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tarj\OneDrive\Desktop\Heros Diner\"/>
    </mc:Choice>
  </mc:AlternateContent>
  <xr:revisionPtr revIDLastSave="0" documentId="13_ncr:1_{2A7BB06E-AC0C-4A96-AA7B-1E04D650AA7D}" xr6:coauthVersionLast="47" xr6:coauthVersionMax="47" xr10:uidLastSave="{00000000-0000-0000-0000-000000000000}"/>
  <bookViews>
    <workbookView xWindow="-120" yWindow="-120" windowWidth="20730" windowHeight="11040" firstSheet="2" activeTab="6" xr2:uid="{FF8E440C-E069-4441-81DB-245DD3D1B066}"/>
  </bookViews>
  <sheets>
    <sheet name="Rules" sheetId="7" r:id="rId1"/>
    <sheet name="Employee List" sheetId="6" r:id="rId2"/>
    <sheet name="Leave Log" sheetId="16" r:id="rId3"/>
    <sheet name="Pay calendar" sheetId="8" r:id="rId4"/>
    <sheet name="Employee Hours" sheetId="10" r:id="rId5"/>
    <sheet name="Tax" sheetId="12" r:id="rId6"/>
    <sheet name="Payroll Master Sheet" sheetId="1" r:id="rId7"/>
    <sheet name="Payroll History" sheetId="14" r:id="rId8"/>
    <sheet name="Summary Sheet" sheetId="13" r:id="rId9"/>
    <sheet name="Employee Summary" sheetId="15" r:id="rId10"/>
    <sheet name="Total NIS Control Sheet" sheetId="4" r:id="rId11"/>
    <sheet name="Pay Slip" sheetId="3" r:id="rId12"/>
    <sheet name="NIS Rate" sheetId="2" r:id="rId13"/>
    <sheet name="Employer policy" sheetId="9" r:id="rId14"/>
  </sheets>
  <definedNames>
    <definedName name="_xlpm.c" hidden="1" xlm="1">#NAME?</definedName>
    <definedName name="_xlpm.earn" hidden="1" xlm="1">#NAME?</definedName>
    <definedName name="_xlpm.emp" hidden="1" xlm="1">#NAME?</definedName>
    <definedName name="_xlpm.freq" hidden="1" xlm="1">#NAME?</definedName>
    <definedName name="_xlpm.h" hidden="1" xlm="1">#NAME?</definedName>
    <definedName name="_xlpm.i" hidden="1" xlm="1">#NAME?</definedName>
    <definedName name="_xlpm.id" hidden="1" xlm="1">#NAME?</definedName>
    <definedName name="_xlpm.ids" hidden="1" xlm="1">#NAME?</definedName>
    <definedName name="_xlpm.keep" hidden="1" xlm="1">#NAME?</definedName>
    <definedName name="_xlpm.low" hidden="1" xlm="1">#NAME?</definedName>
    <definedName name="_xlpm.lst" hidden="1" xlm="1">#NAME?</definedName>
    <definedName name="_xlpm.names" hidden="1" xlm="1">#NAME?</definedName>
    <definedName name="_xlpm.nis" hidden="1" xlm="1">#NAME?</definedName>
    <definedName name="_xlpm.nisE" hidden="1" xlm="1">#NAME?</definedName>
    <definedName name="_xlpm.ot" hidden="1" xlm="1">#NAME?</definedName>
    <definedName name="_xlpm.pFrom" hidden="1" xlm="1">#NAME?</definedName>
    <definedName name="_xlpm.pp" hidden="1" xlm="1">#NAME?</definedName>
    <definedName name="_xlpm.pTo" hidden="1" xlm="1">#NAME?</definedName>
    <definedName name="_xlpm.r" hidden="1" xlm="1">#NAME?</definedName>
    <definedName name="_xlpm.tos" hidden="1" xlm="1">#NAME?</definedName>
    <definedName name="_xlpm.up" hidden="1" xlm="1">#NAME?</definedName>
    <definedName name="selPayPeriodID">'Payroll Master Sheet'!$H$1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A6" i="10" a="1"/>
  <c r="A6" i="10" s="1"/>
  <c r="K66" i="10"/>
  <c r="L66" i="10"/>
  <c r="O66" i="10" s="1"/>
  <c r="K67" i="10"/>
  <c r="L67" i="10"/>
  <c r="M67" i="10"/>
  <c r="N67" i="10"/>
  <c r="O67" i="10"/>
  <c r="P67" i="10"/>
  <c r="Q67" i="10"/>
  <c r="R67" i="10"/>
  <c r="A3" i="10" a="1"/>
  <c r="A3" i="10" s="1"/>
  <c r="B3" i="10" a="1"/>
  <c r="B3" i="10"/>
  <c r="A4" i="10" a="1"/>
  <c r="A4" i="10" s="1"/>
  <c r="B4" i="10" a="1"/>
  <c r="B4" i="10" s="1"/>
  <c r="A5" i="10" a="1"/>
  <c r="A5" i="10" s="1"/>
  <c r="B5" i="10" a="1"/>
  <c r="B5" i="10" s="1"/>
  <c r="B6" i="10" a="1"/>
  <c r="B6" i="10"/>
  <c r="A7" i="10" a="1"/>
  <c r="A7" i="10" s="1"/>
  <c r="B7" i="10" a="1"/>
  <c r="B7" i="10" s="1"/>
  <c r="A8" i="10" a="1"/>
  <c r="A8" i="10" s="1"/>
  <c r="B8" i="10" a="1"/>
  <c r="B8" i="10" s="1"/>
  <c r="A9" i="10" a="1"/>
  <c r="A9" i="10" s="1"/>
  <c r="B9" i="10" a="1"/>
  <c r="B9" i="10" s="1"/>
  <c r="A10" i="10" a="1"/>
  <c r="A10" i="10" s="1"/>
  <c r="B10" i="10" a="1"/>
  <c r="B10" i="10" s="1"/>
  <c r="A11" i="10" a="1"/>
  <c r="A11" i="10" s="1"/>
  <c r="B11" i="10" a="1"/>
  <c r="B11" i="10" s="1"/>
  <c r="J2" i="10"/>
  <c r="R2" i="10"/>
  <c r="Z2" i="10"/>
  <c r="AH2" i="10"/>
  <c r="AP2" i="10"/>
  <c r="AX2" i="10"/>
  <c r="BF2" i="10"/>
  <c r="BN2" i="10"/>
  <c r="R66" i="10" l="1"/>
  <c r="P66" i="10"/>
  <c r="N66" i="10"/>
  <c r="T67" i="10"/>
  <c r="Q66" i="10"/>
  <c r="M66" i="10"/>
  <c r="A2" i="10" a="1"/>
  <c r="A2" i="10" s="1"/>
  <c r="B2" i="10" a="1"/>
  <c r="B2" i="10" s="1"/>
  <c r="T66" i="10" l="1"/>
  <c r="I4" i="1" a="1"/>
  <c r="I4" i="1" s="1"/>
  <c r="I5" i="1" a="1"/>
  <c r="I5" i="1" s="1"/>
  <c r="I6" i="1" a="1"/>
  <c r="I6" i="1" s="1"/>
  <c r="I7" i="1" a="1"/>
  <c r="I7" i="1" s="1"/>
  <c r="I8" i="1" a="1"/>
  <c r="I8" i="1" s="1"/>
  <c r="I9" i="1" a="1"/>
  <c r="I9" i="1" s="1"/>
  <c r="I10" i="1" a="1"/>
  <c r="I10" i="1" s="1"/>
  <c r="I11" i="1" a="1"/>
  <c r="I11" i="1" s="1"/>
  <c r="I12" i="1" a="1"/>
  <c r="I12" i="1" s="1"/>
  <c r="I13" i="1" a="1"/>
  <c r="I13" i="1" s="1"/>
  <c r="I14" i="1" a="1"/>
  <c r="I14" i="1" s="1"/>
  <c r="I15" i="1" a="1"/>
  <c r="I15" i="1" s="1"/>
  <c r="I16" i="1" a="1"/>
  <c r="I16" i="1" s="1"/>
  <c r="I17" i="1" a="1"/>
  <c r="I17" i="1" s="1"/>
  <c r="I18" i="1" a="1"/>
  <c r="I18" i="1" s="1"/>
  <c r="I19" i="1" a="1"/>
  <c r="I19" i="1" s="1"/>
  <c r="I20" i="1" a="1"/>
  <c r="I20" i="1" s="1"/>
  <c r="I21" i="1" a="1"/>
  <c r="I21" i="1" s="1"/>
  <c r="I22" i="1" a="1"/>
  <c r="I22" i="1" s="1"/>
  <c r="I23" i="1" a="1"/>
  <c r="I23" i="1" s="1"/>
  <c r="I24" i="1" a="1"/>
  <c r="I24" i="1" s="1"/>
  <c r="I25" i="1" a="1"/>
  <c r="I25" i="1" s="1"/>
  <c r="I26" i="1" a="1"/>
  <c r="I26" i="1" s="1"/>
  <c r="I27" i="1" a="1"/>
  <c r="I27" i="1" s="1"/>
  <c r="I28" i="1" a="1"/>
  <c r="I28" i="1" s="1"/>
  <c r="I29" i="1" a="1"/>
  <c r="I29" i="1" s="1"/>
  <c r="I30" i="1" a="1"/>
  <c r="I30" i="1" s="1"/>
  <c r="I31" i="1" a="1"/>
  <c r="I31" i="1" s="1"/>
  <c r="I32" i="1" a="1"/>
  <c r="I32" i="1" s="1"/>
  <c r="I33" i="1" a="1"/>
  <c r="I33" i="1" s="1"/>
  <c r="I34" i="1" a="1"/>
  <c r="I34" i="1" s="1"/>
  <c r="I35" i="1" a="1"/>
  <c r="I35" i="1" s="1"/>
  <c r="I36" i="1" a="1"/>
  <c r="I36" i="1" s="1"/>
  <c r="I37" i="1" a="1"/>
  <c r="I37" i="1" s="1"/>
  <c r="I38" i="1" a="1"/>
  <c r="I38" i="1" s="1"/>
  <c r="I39" i="1" a="1"/>
  <c r="I39" i="1" s="1"/>
  <c r="I40" i="1" a="1"/>
  <c r="I40" i="1" s="1"/>
  <c r="I41" i="1" a="1"/>
  <c r="I41" i="1" s="1"/>
  <c r="I42" i="1" a="1"/>
  <c r="I42" i="1" s="1"/>
  <c r="I43" i="1" a="1"/>
  <c r="I43" i="1" s="1"/>
  <c r="I44" i="1" a="1"/>
  <c r="I44" i="1" s="1"/>
  <c r="I45" i="1" a="1"/>
  <c r="I45" i="1" s="1"/>
  <c r="I46" i="1" a="1"/>
  <c r="I46" i="1" s="1"/>
  <c r="I47" i="1" a="1"/>
  <c r="I47" i="1" s="1"/>
  <c r="I48" i="1" a="1"/>
  <c r="I48" i="1" s="1"/>
  <c r="I49" i="1" a="1"/>
  <c r="I49" i="1" s="1"/>
  <c r="I50" i="1" a="1"/>
  <c r="I50" i="1" s="1"/>
  <c r="I51" i="1" a="1"/>
  <c r="I51" i="1" s="1"/>
  <c r="I52" i="1" a="1"/>
  <c r="I52" i="1" s="1"/>
  <c r="I53" i="1" a="1"/>
  <c r="I53" i="1" s="1"/>
  <c r="I54" i="1" a="1"/>
  <c r="I54" i="1" s="1"/>
  <c r="I55" i="1" a="1"/>
  <c r="I55" i="1" s="1"/>
  <c r="I56" i="1" a="1"/>
  <c r="I56" i="1" s="1"/>
  <c r="I57" i="1" a="1"/>
  <c r="I57" i="1" s="1"/>
  <c r="I58" i="1" a="1"/>
  <c r="I58" i="1" s="1"/>
  <c r="I59" i="1" a="1"/>
  <c r="I59" i="1" s="1"/>
  <c r="I60" i="1" a="1"/>
  <c r="I60" i="1" s="1"/>
  <c r="I61" i="1" a="1"/>
  <c r="I61" i="1" s="1"/>
  <c r="I62" i="1" a="1"/>
  <c r="I62" i="1" s="1"/>
  <c r="I63" i="1" a="1"/>
  <c r="I63" i="1" s="1"/>
  <c r="I64" i="1" a="1"/>
  <c r="I64" i="1" s="1"/>
  <c r="I65" i="1" a="1"/>
  <c r="I65" i="1" s="1"/>
  <c r="I66" i="1" a="1"/>
  <c r="I66" i="1" s="1"/>
  <c r="I67" i="1" a="1"/>
  <c r="I67" i="1" s="1"/>
  <c r="I68" i="1" a="1"/>
  <c r="I68" i="1" s="1"/>
  <c r="I69" i="1" a="1"/>
  <c r="I69" i="1" s="1"/>
  <c r="I70" i="1" a="1"/>
  <c r="I70" i="1" s="1"/>
  <c r="I71" i="1" a="1"/>
  <c r="I71" i="1" s="1"/>
  <c r="I72" i="1" a="1"/>
  <c r="I72" i="1" s="1"/>
  <c r="I73" i="1" a="1"/>
  <c r="I73" i="1" s="1"/>
  <c r="I74" i="1" a="1"/>
  <c r="I74" i="1" s="1"/>
  <c r="I75" i="1" a="1"/>
  <c r="I75" i="1" s="1"/>
  <c r="I76" i="1" a="1"/>
  <c r="I76" i="1" s="1"/>
  <c r="I77" i="1" a="1"/>
  <c r="I77" i="1" s="1"/>
  <c r="I78" i="1" a="1"/>
  <c r="I78" i="1" s="1"/>
  <c r="I79" i="1" a="1"/>
  <c r="I79" i="1" s="1"/>
  <c r="I80" i="1" a="1"/>
  <c r="I80" i="1" s="1"/>
  <c r="I81" i="1" a="1"/>
  <c r="I81" i="1" s="1"/>
  <c r="I82" i="1" a="1"/>
  <c r="I82" i="1" s="1"/>
  <c r="I83" i="1" a="1"/>
  <c r="I83" i="1" s="1"/>
  <c r="I84" i="1" a="1"/>
  <c r="I84" i="1" s="1"/>
  <c r="I85" i="1" a="1"/>
  <c r="I85" i="1" s="1"/>
  <c r="I86" i="1" a="1"/>
  <c r="I86" i="1" s="1"/>
  <c r="I87" i="1" a="1"/>
  <c r="I87" i="1" s="1"/>
  <c r="I88" i="1" a="1"/>
  <c r="I88" i="1" s="1"/>
  <c r="I89" i="1" a="1"/>
  <c r="I89" i="1" s="1"/>
  <c r="I90" i="1" a="1"/>
  <c r="I90" i="1" s="1"/>
  <c r="I91" i="1" a="1"/>
  <c r="I91" i="1" s="1"/>
  <c r="I92" i="1" a="1"/>
  <c r="I92" i="1" s="1"/>
  <c r="I93" i="1" a="1"/>
  <c r="I93" i="1" s="1"/>
  <c r="I94" i="1" a="1"/>
  <c r="I94" i="1" s="1"/>
  <c r="I95" i="1" a="1"/>
  <c r="I95" i="1" s="1"/>
  <c r="I96" i="1" a="1"/>
  <c r="I96" i="1" s="1"/>
  <c r="I97" i="1" a="1"/>
  <c r="I97" i="1" s="1"/>
  <c r="I98" i="1" a="1"/>
  <c r="I98" i="1" s="1"/>
  <c r="I99" i="1" a="1"/>
  <c r="I99" i="1" s="1"/>
  <c r="I100" i="1" a="1"/>
  <c r="I100" i="1" s="1"/>
  <c r="I101" i="1" a="1"/>
  <c r="I101" i="1" s="1"/>
  <c r="I102" i="1" a="1"/>
  <c r="I102" i="1" s="1"/>
  <c r="I103" i="1" a="1"/>
  <c r="I103" i="1" s="1"/>
  <c r="I104" i="1" a="1"/>
  <c r="I104" i="1" s="1"/>
  <c r="I105" i="1" a="1"/>
  <c r="I105" i="1" s="1"/>
  <c r="I106" i="1" a="1"/>
  <c r="I106" i="1" s="1"/>
  <c r="I107" i="1" a="1"/>
  <c r="I107" i="1" s="1"/>
  <c r="I108" i="1" a="1"/>
  <c r="I108" i="1" s="1"/>
  <c r="I109" i="1" a="1"/>
  <c r="I109" i="1" s="1"/>
  <c r="I110" i="1" a="1"/>
  <c r="I110" i="1" s="1"/>
  <c r="I111" i="1" a="1"/>
  <c r="I111" i="1" s="1"/>
  <c r="I112" i="1" a="1"/>
  <c r="I112" i="1" s="1"/>
  <c r="I113" i="1" a="1"/>
  <c r="I113" i="1" s="1"/>
  <c r="I114" i="1" a="1"/>
  <c r="I114" i="1" s="1"/>
  <c r="I115" i="1" a="1"/>
  <c r="I115" i="1" s="1"/>
  <c r="I116" i="1" a="1"/>
  <c r="I116" i="1" s="1"/>
  <c r="I117" i="1" a="1"/>
  <c r="I117" i="1" s="1"/>
  <c r="I118" i="1" a="1"/>
  <c r="I118" i="1" s="1"/>
  <c r="I119" i="1" a="1"/>
  <c r="I119" i="1" s="1"/>
  <c r="I120" i="1" a="1"/>
  <c r="I120" i="1" s="1"/>
  <c r="I121" i="1" a="1"/>
  <c r="I121" i="1" s="1"/>
  <c r="I122" i="1" a="1"/>
  <c r="I122" i="1" s="1"/>
  <c r="I123" i="1" a="1"/>
  <c r="I123" i="1" s="1"/>
  <c r="I124" i="1" a="1"/>
  <c r="I124" i="1" s="1"/>
  <c r="I125" i="1" a="1"/>
  <c r="I125" i="1" s="1"/>
  <c r="I126" i="1" a="1"/>
  <c r="I126" i="1" s="1"/>
  <c r="I127" i="1" a="1"/>
  <c r="I127" i="1" s="1"/>
  <c r="I128" i="1" a="1"/>
  <c r="I128" i="1" s="1"/>
  <c r="I129" i="1" a="1"/>
  <c r="I129" i="1" s="1"/>
  <c r="I130" i="1" a="1"/>
  <c r="I130" i="1" s="1"/>
  <c r="I131" i="1" a="1"/>
  <c r="I131" i="1" s="1"/>
  <c r="I132" i="1" a="1"/>
  <c r="I132" i="1" s="1"/>
  <c r="I133" i="1" a="1"/>
  <c r="I133" i="1" s="1"/>
  <c r="I134" i="1" a="1"/>
  <c r="I134" i="1" s="1"/>
  <c r="I135" i="1" a="1"/>
  <c r="I135" i="1" s="1"/>
  <c r="I136" i="1" a="1"/>
  <c r="I136" i="1" s="1"/>
  <c r="I137" i="1" a="1"/>
  <c r="I137" i="1" s="1"/>
  <c r="I138" i="1" a="1"/>
  <c r="I138" i="1" s="1"/>
  <c r="I139" i="1" a="1"/>
  <c r="I139" i="1" s="1"/>
  <c r="I140" i="1" a="1"/>
  <c r="I140" i="1" s="1"/>
  <c r="I141" i="1" a="1"/>
  <c r="I141" i="1" s="1"/>
  <c r="I142" i="1" a="1"/>
  <c r="I142" i="1" s="1"/>
  <c r="I143" i="1" a="1"/>
  <c r="I143" i="1" s="1"/>
  <c r="I144" i="1" a="1"/>
  <c r="I144" i="1" s="1"/>
  <c r="I145" i="1" a="1"/>
  <c r="I145" i="1" s="1"/>
  <c r="I146" i="1" a="1"/>
  <c r="I146" i="1" s="1"/>
  <c r="I147" i="1" a="1"/>
  <c r="I147" i="1" s="1"/>
  <c r="I148" i="1" a="1"/>
  <c r="I148" i="1" s="1"/>
  <c r="I149" i="1" a="1"/>
  <c r="I149" i="1" s="1"/>
  <c r="I150" i="1" a="1"/>
  <c r="I150" i="1" s="1"/>
  <c r="I151" i="1" a="1"/>
  <c r="I151" i="1" s="1"/>
  <c r="I152" i="1" a="1"/>
  <c r="I152" i="1" s="1"/>
  <c r="I153" i="1" a="1"/>
  <c r="I153" i="1" s="1"/>
  <c r="I154" i="1" a="1"/>
  <c r="I154" i="1" s="1"/>
  <c r="I155" i="1" a="1"/>
  <c r="I155" i="1" s="1"/>
  <c r="I156" i="1" a="1"/>
  <c r="I156" i="1" s="1"/>
  <c r="I157" i="1" a="1"/>
  <c r="I157" i="1" s="1"/>
  <c r="I158" i="1" a="1"/>
  <c r="I158" i="1" s="1"/>
  <c r="I159" i="1" a="1"/>
  <c r="I159" i="1" s="1"/>
  <c r="I160" i="1" a="1"/>
  <c r="I160" i="1" s="1"/>
  <c r="I161" i="1" a="1"/>
  <c r="I161" i="1" s="1"/>
  <c r="I162" i="1" a="1"/>
  <c r="I162" i="1" s="1"/>
  <c r="I163" i="1" a="1"/>
  <c r="I163" i="1" s="1"/>
  <c r="I164" i="1" a="1"/>
  <c r="I164" i="1" s="1"/>
  <c r="I165" i="1" a="1"/>
  <c r="I165" i="1" s="1"/>
  <c r="I166" i="1" a="1"/>
  <c r="I166" i="1" s="1"/>
  <c r="I167" i="1" a="1"/>
  <c r="I167" i="1" s="1"/>
  <c r="I168" i="1" a="1"/>
  <c r="I168" i="1" s="1"/>
  <c r="I169" i="1" a="1"/>
  <c r="I169" i="1" s="1"/>
  <c r="I170" i="1" a="1"/>
  <c r="I170" i="1" s="1"/>
  <c r="I171" i="1" a="1"/>
  <c r="I171" i="1" s="1"/>
  <c r="I172" i="1" a="1"/>
  <c r="I172" i="1" s="1"/>
  <c r="I173" i="1" a="1"/>
  <c r="I173" i="1" s="1"/>
  <c r="I174" i="1" a="1"/>
  <c r="I174" i="1" s="1"/>
  <c r="I175" i="1" a="1"/>
  <c r="I175" i="1" s="1"/>
  <c r="I176" i="1" a="1"/>
  <c r="I176" i="1" s="1"/>
  <c r="I177" i="1" a="1"/>
  <c r="I177" i="1" s="1"/>
  <c r="I178" i="1" a="1"/>
  <c r="I178" i="1" s="1"/>
  <c r="I179" i="1" a="1"/>
  <c r="I179" i="1" s="1"/>
  <c r="I180" i="1" a="1"/>
  <c r="I180" i="1" s="1"/>
  <c r="I181" i="1" a="1"/>
  <c r="I181" i="1" s="1"/>
  <c r="I182" i="1" a="1"/>
  <c r="I182" i="1" s="1"/>
  <c r="I183" i="1" a="1"/>
  <c r="I183" i="1" s="1"/>
  <c r="I184" i="1" a="1"/>
  <c r="I184" i="1" s="1"/>
  <c r="I185" i="1" a="1"/>
  <c r="I185" i="1" s="1"/>
  <c r="I186" i="1" a="1"/>
  <c r="I186" i="1" s="1"/>
  <c r="I187" i="1" a="1"/>
  <c r="I187" i="1" s="1"/>
  <c r="I188" i="1" a="1"/>
  <c r="I188" i="1" s="1"/>
  <c r="I189" i="1" a="1"/>
  <c r="I189" i="1" s="1"/>
  <c r="I190" i="1" a="1"/>
  <c r="I190" i="1" s="1"/>
  <c r="I191" i="1" a="1"/>
  <c r="I191" i="1" s="1"/>
  <c r="I192" i="1" a="1"/>
  <c r="I192" i="1" s="1"/>
  <c r="I193" i="1" a="1"/>
  <c r="I193" i="1" s="1"/>
  <c r="I194" i="1" a="1"/>
  <c r="I194" i="1" s="1"/>
  <c r="I195" i="1" a="1"/>
  <c r="I195" i="1" s="1"/>
  <c r="I196" i="1" a="1"/>
  <c r="I196" i="1" s="1"/>
  <c r="I197" i="1" a="1"/>
  <c r="I197" i="1" s="1"/>
  <c r="I198" i="1" a="1"/>
  <c r="I198" i="1" s="1"/>
  <c r="I199" i="1" a="1"/>
  <c r="I199" i="1" s="1"/>
  <c r="I200" i="1" a="1"/>
  <c r="I200" i="1" s="1"/>
  <c r="I201" i="1" a="1"/>
  <c r="I201" i="1" s="1"/>
  <c r="I202" i="1" a="1"/>
  <c r="I202" i="1" s="1"/>
  <c r="I203" i="1" a="1"/>
  <c r="I203" i="1" s="1"/>
  <c r="I204" i="1" a="1"/>
  <c r="I204" i="1" s="1"/>
  <c r="I205" i="1" a="1"/>
  <c r="I205" i="1" s="1"/>
  <c r="I206" i="1" a="1"/>
  <c r="I206" i="1" s="1"/>
  <c r="I207" i="1" a="1"/>
  <c r="I207" i="1" s="1"/>
  <c r="I208" i="1" a="1"/>
  <c r="I208" i="1" s="1"/>
  <c r="I209" i="1" a="1"/>
  <c r="I209" i="1" s="1"/>
  <c r="I210" i="1" a="1"/>
  <c r="I210" i="1" s="1"/>
  <c r="I211" i="1" a="1"/>
  <c r="I211" i="1" s="1"/>
  <c r="I212" i="1" a="1"/>
  <c r="I212" i="1" s="1"/>
  <c r="I213" i="1" a="1"/>
  <c r="I213" i="1" s="1"/>
  <c r="I214" i="1" a="1"/>
  <c r="I214" i="1" s="1"/>
  <c r="I215" i="1" a="1"/>
  <c r="I215" i="1" s="1"/>
  <c r="I216" i="1" a="1"/>
  <c r="I216" i="1" s="1"/>
  <c r="I217" i="1" a="1"/>
  <c r="I217" i="1" s="1"/>
  <c r="I218" i="1" a="1"/>
  <c r="I218" i="1" s="1"/>
  <c r="I219" i="1" a="1"/>
  <c r="I219" i="1" s="1"/>
  <c r="I220" i="1" a="1"/>
  <c r="I220" i="1" s="1"/>
  <c r="I221" i="1" a="1"/>
  <c r="I221" i="1" s="1"/>
  <c r="I222" i="1" a="1"/>
  <c r="I222" i="1" s="1"/>
  <c r="I223" i="1" a="1"/>
  <c r="I223" i="1" s="1"/>
  <c r="I224" i="1" a="1"/>
  <c r="I224" i="1" s="1"/>
  <c r="I225" i="1" a="1"/>
  <c r="I225" i="1" s="1"/>
  <c r="I226" i="1" a="1"/>
  <c r="I226" i="1" s="1"/>
  <c r="I227" i="1" a="1"/>
  <c r="I227" i="1" s="1"/>
  <c r="I228" i="1" a="1"/>
  <c r="I228" i="1" s="1"/>
  <c r="I229" i="1" a="1"/>
  <c r="I229" i="1" s="1"/>
  <c r="I230" i="1" a="1"/>
  <c r="I230" i="1" s="1"/>
  <c r="I231" i="1" a="1"/>
  <c r="I231" i="1" s="1"/>
  <c r="I232" i="1" a="1"/>
  <c r="I232" i="1" s="1"/>
  <c r="I233" i="1" a="1"/>
  <c r="I233" i="1" s="1"/>
  <c r="I234" i="1" a="1"/>
  <c r="I234" i="1" s="1"/>
  <c r="I235" i="1" a="1"/>
  <c r="I235" i="1" s="1"/>
  <c r="I236" i="1" a="1"/>
  <c r="I236" i="1" s="1"/>
  <c r="I237" i="1" a="1"/>
  <c r="I237" i="1" s="1"/>
  <c r="I238" i="1" a="1"/>
  <c r="I238" i="1" s="1"/>
  <c r="I239" i="1" a="1"/>
  <c r="I239" i="1" s="1"/>
  <c r="I240" i="1" a="1"/>
  <c r="I240" i="1" s="1"/>
  <c r="I241" i="1" a="1"/>
  <c r="I241" i="1" s="1"/>
  <c r="I242" i="1" a="1"/>
  <c r="I242" i="1" s="1"/>
  <c r="I243" i="1" a="1"/>
  <c r="I243" i="1" s="1"/>
  <c r="I244" i="1" a="1"/>
  <c r="I244" i="1" s="1"/>
  <c r="I245" i="1" a="1"/>
  <c r="I245" i="1" s="1"/>
  <c r="I246" i="1" a="1"/>
  <c r="I246" i="1" s="1"/>
  <c r="I247" i="1" a="1"/>
  <c r="I247" i="1" s="1"/>
  <c r="I248" i="1" a="1"/>
  <c r="I248" i="1" s="1"/>
  <c r="I249" i="1" a="1"/>
  <c r="I249" i="1" s="1"/>
  <c r="I250" i="1" a="1"/>
  <c r="I250" i="1" s="1"/>
  <c r="I251" i="1" a="1"/>
  <c r="I251" i="1" s="1"/>
  <c r="I252" i="1" a="1"/>
  <c r="I252" i="1" s="1"/>
  <c r="I253" i="1" a="1"/>
  <c r="I253" i="1" s="1"/>
  <c r="I254" i="1" a="1"/>
  <c r="I254" i="1" s="1"/>
  <c r="I255" i="1" a="1"/>
  <c r="I255" i="1" s="1"/>
  <c r="I256" i="1" a="1"/>
  <c r="I256" i="1" s="1"/>
  <c r="I257" i="1" a="1"/>
  <c r="I257" i="1" s="1"/>
  <c r="I258" i="1" a="1"/>
  <c r="I258" i="1" s="1"/>
  <c r="I259" i="1" a="1"/>
  <c r="I259" i="1" s="1"/>
  <c r="I260" i="1" a="1"/>
  <c r="I260" i="1" s="1"/>
  <c r="I261" i="1" a="1"/>
  <c r="I261" i="1" s="1"/>
  <c r="I262" i="1" a="1"/>
  <c r="I262" i="1" s="1"/>
  <c r="I263" i="1" a="1"/>
  <c r="I263" i="1" s="1"/>
  <c r="I264" i="1" a="1"/>
  <c r="I264" i="1" s="1"/>
  <c r="I265" i="1" a="1"/>
  <c r="I265" i="1" s="1"/>
  <c r="I266" i="1" a="1"/>
  <c r="I266" i="1" s="1"/>
  <c r="I267" i="1" a="1"/>
  <c r="I267" i="1" s="1"/>
  <c r="I268" i="1" a="1"/>
  <c r="I268" i="1" s="1"/>
  <c r="I269" i="1" a="1"/>
  <c r="I269" i="1" s="1"/>
  <c r="I270" i="1" a="1"/>
  <c r="I270" i="1" s="1"/>
  <c r="I271" i="1" a="1"/>
  <c r="I271" i="1" s="1"/>
  <c r="I272" i="1" a="1"/>
  <c r="I272" i="1" s="1"/>
  <c r="I273" i="1" a="1"/>
  <c r="I273" i="1" s="1"/>
  <c r="I274" i="1" a="1"/>
  <c r="I274" i="1" s="1"/>
  <c r="I275" i="1" a="1"/>
  <c r="I275" i="1" s="1"/>
  <c r="I276" i="1" a="1"/>
  <c r="I276" i="1" s="1"/>
  <c r="I277" i="1" a="1"/>
  <c r="I277" i="1" s="1"/>
  <c r="I278" i="1" a="1"/>
  <c r="I278" i="1" s="1"/>
  <c r="I279" i="1" a="1"/>
  <c r="I279" i="1" s="1"/>
  <c r="I280" i="1" a="1"/>
  <c r="I280" i="1" s="1"/>
  <c r="I281" i="1" a="1"/>
  <c r="I281" i="1" s="1"/>
  <c r="I282" i="1" a="1"/>
  <c r="I282" i="1" s="1"/>
  <c r="I283" i="1" a="1"/>
  <c r="I283" i="1" s="1"/>
  <c r="I284" i="1" a="1"/>
  <c r="I284" i="1" s="1"/>
  <c r="I285" i="1" a="1"/>
  <c r="I285" i="1" s="1"/>
  <c r="I286" i="1" a="1"/>
  <c r="I286" i="1" s="1"/>
  <c r="I287" i="1" a="1"/>
  <c r="I287" i="1" s="1"/>
  <c r="I288" i="1" a="1"/>
  <c r="I288" i="1" s="1"/>
  <c r="I289" i="1" a="1"/>
  <c r="I289" i="1" s="1"/>
  <c r="I290" i="1" a="1"/>
  <c r="I290" i="1" s="1"/>
  <c r="I291" i="1" a="1"/>
  <c r="I291" i="1" s="1"/>
  <c r="I292" i="1" a="1"/>
  <c r="I292" i="1" s="1"/>
  <c r="I293" i="1" a="1"/>
  <c r="I293" i="1" s="1"/>
  <c r="I294" i="1" a="1"/>
  <c r="I294" i="1" s="1"/>
  <c r="I295" i="1" a="1"/>
  <c r="I295" i="1" s="1"/>
  <c r="I296" i="1" a="1"/>
  <c r="I296" i="1" s="1"/>
  <c r="I297" i="1" a="1"/>
  <c r="I297" i="1" s="1"/>
  <c r="I298" i="1" a="1"/>
  <c r="I298" i="1" s="1"/>
  <c r="I299" i="1" a="1"/>
  <c r="I299" i="1" s="1"/>
  <c r="I300" i="1" a="1"/>
  <c r="I300" i="1" s="1"/>
  <c r="I301" i="1" a="1"/>
  <c r="I301" i="1" s="1"/>
  <c r="I302" i="1" a="1"/>
  <c r="I302" i="1" s="1"/>
  <c r="I303" i="1" a="1"/>
  <c r="I303" i="1" s="1"/>
  <c r="I304" i="1" a="1"/>
  <c r="I304" i="1" s="1"/>
  <c r="I305" i="1" a="1"/>
  <c r="I305" i="1" s="1"/>
  <c r="I306" i="1" a="1"/>
  <c r="I306" i="1" s="1"/>
  <c r="I307" i="1" a="1"/>
  <c r="I307" i="1" s="1"/>
  <c r="I308" i="1" a="1"/>
  <c r="I308" i="1" s="1"/>
  <c r="I309" i="1" a="1"/>
  <c r="I309" i="1" s="1"/>
  <c r="I310" i="1" a="1"/>
  <c r="I310" i="1" s="1"/>
  <c r="I311" i="1" a="1"/>
  <c r="I311" i="1" s="1"/>
  <c r="I312" i="1" a="1"/>
  <c r="I312" i="1" s="1"/>
  <c r="I313" i="1" a="1"/>
  <c r="I313" i="1" s="1"/>
  <c r="I314" i="1" a="1"/>
  <c r="I314" i="1" s="1"/>
  <c r="I315" i="1" a="1"/>
  <c r="I315" i="1" s="1"/>
  <c r="I316" i="1" a="1"/>
  <c r="I316" i="1" s="1"/>
  <c r="I317" i="1" a="1"/>
  <c r="I317" i="1" s="1"/>
  <c r="I318" i="1" a="1"/>
  <c r="I318" i="1" s="1"/>
  <c r="I319" i="1" a="1"/>
  <c r="I319" i="1" s="1"/>
  <c r="I320" i="1" a="1"/>
  <c r="I320" i="1" s="1"/>
  <c r="I321" i="1" a="1"/>
  <c r="I321" i="1" s="1"/>
  <c r="I322" i="1" a="1"/>
  <c r="I322" i="1" s="1"/>
  <c r="I323" i="1" a="1"/>
  <c r="I323" i="1" s="1"/>
  <c r="I324" i="1" a="1"/>
  <c r="I324" i="1" s="1"/>
  <c r="I325" i="1" a="1"/>
  <c r="I325" i="1" s="1"/>
  <c r="I326" i="1" a="1"/>
  <c r="I326" i="1" s="1"/>
  <c r="I327" i="1" a="1"/>
  <c r="I327" i="1" s="1"/>
  <c r="I328" i="1" a="1"/>
  <c r="I328" i="1" s="1"/>
  <c r="I329" i="1" a="1"/>
  <c r="I329" i="1" s="1"/>
  <c r="I330" i="1" a="1"/>
  <c r="I330" i="1" s="1"/>
  <c r="I331" i="1" a="1"/>
  <c r="I331" i="1" s="1"/>
  <c r="I332" i="1" a="1"/>
  <c r="I332" i="1" s="1"/>
  <c r="I333" i="1" a="1"/>
  <c r="I333" i="1" s="1"/>
  <c r="I334" i="1" a="1"/>
  <c r="I334" i="1" s="1"/>
  <c r="I335" i="1" a="1"/>
  <c r="I335" i="1" s="1"/>
  <c r="I336" i="1" a="1"/>
  <c r="I336" i="1" s="1"/>
  <c r="I337" i="1" a="1"/>
  <c r="I337" i="1" s="1"/>
  <c r="I338" i="1" a="1"/>
  <c r="I338" i="1" s="1"/>
  <c r="I339" i="1" a="1"/>
  <c r="I339" i="1" s="1"/>
  <c r="I340" i="1" a="1"/>
  <c r="I340" i="1" s="1"/>
  <c r="I341" i="1" a="1"/>
  <c r="I341" i="1" s="1"/>
  <c r="I342" i="1" a="1"/>
  <c r="I342" i="1" s="1"/>
  <c r="I343" i="1" a="1"/>
  <c r="I343" i="1" s="1"/>
  <c r="I344" i="1" a="1"/>
  <c r="I344" i="1" s="1"/>
  <c r="I345" i="1" a="1"/>
  <c r="I345" i="1" s="1"/>
  <c r="I346" i="1" a="1"/>
  <c r="I346" i="1" s="1"/>
  <c r="I347" i="1" a="1"/>
  <c r="I347" i="1" s="1"/>
  <c r="I348" i="1" a="1"/>
  <c r="I348" i="1" s="1"/>
  <c r="I349" i="1" a="1"/>
  <c r="I349" i="1" s="1"/>
  <c r="I350" i="1" a="1"/>
  <c r="I350" i="1" s="1"/>
  <c r="I351" i="1" a="1"/>
  <c r="I351" i="1" s="1"/>
  <c r="I352" i="1" a="1"/>
  <c r="I352" i="1" s="1"/>
  <c r="I353" i="1" a="1"/>
  <c r="I353" i="1" s="1"/>
  <c r="I354" i="1" a="1"/>
  <c r="I354" i="1" s="1"/>
  <c r="I355" i="1" a="1"/>
  <c r="I355" i="1" s="1"/>
  <c r="I356" i="1" a="1"/>
  <c r="I356" i="1" s="1"/>
  <c r="I357" i="1" a="1"/>
  <c r="I357" i="1" s="1"/>
  <c r="I358" i="1" a="1"/>
  <c r="I358" i="1" s="1"/>
  <c r="I359" i="1" a="1"/>
  <c r="I359" i="1" s="1"/>
  <c r="I360" i="1" a="1"/>
  <c r="I360" i="1" s="1"/>
  <c r="I361" i="1" a="1"/>
  <c r="I361" i="1" s="1"/>
  <c r="I362" i="1" a="1"/>
  <c r="I362" i="1" s="1"/>
  <c r="I363" i="1" a="1"/>
  <c r="I363" i="1" s="1"/>
  <c r="I364" i="1" a="1"/>
  <c r="I364" i="1" s="1"/>
  <c r="I365" i="1" a="1"/>
  <c r="I365" i="1" s="1"/>
  <c r="I366" i="1" a="1"/>
  <c r="I366" i="1" s="1"/>
  <c r="I367" i="1" a="1"/>
  <c r="I367" i="1" s="1"/>
  <c r="I368" i="1" a="1"/>
  <c r="I368" i="1" s="1"/>
  <c r="I369" i="1" a="1"/>
  <c r="I369" i="1" s="1"/>
  <c r="I370" i="1" a="1"/>
  <c r="I370" i="1" s="1"/>
  <c r="I371" i="1" a="1"/>
  <c r="I371" i="1" s="1"/>
  <c r="I372" i="1" a="1"/>
  <c r="I372" i="1" s="1"/>
  <c r="I373" i="1" a="1"/>
  <c r="I373" i="1" s="1"/>
  <c r="I374" i="1" a="1"/>
  <c r="I374" i="1" s="1"/>
  <c r="I375" i="1" a="1"/>
  <c r="I375" i="1" s="1"/>
  <c r="I376" i="1" a="1"/>
  <c r="I376" i="1" s="1"/>
  <c r="I377" i="1" a="1"/>
  <c r="I377" i="1" s="1"/>
  <c r="I378" i="1" a="1"/>
  <c r="I378" i="1" s="1"/>
  <c r="I379" i="1" a="1"/>
  <c r="I379" i="1" s="1"/>
  <c r="I380" i="1" a="1"/>
  <c r="I380" i="1" s="1"/>
  <c r="I381" i="1" a="1"/>
  <c r="I381" i="1" s="1"/>
  <c r="I382" i="1" a="1"/>
  <c r="I382" i="1" s="1"/>
  <c r="I383" i="1" a="1"/>
  <c r="I383" i="1" s="1"/>
  <c r="I384" i="1" a="1"/>
  <c r="I384" i="1" s="1"/>
  <c r="I385" i="1" a="1"/>
  <c r="I385" i="1" s="1"/>
  <c r="I386" i="1" a="1"/>
  <c r="I386" i="1" s="1"/>
  <c r="I387" i="1" a="1"/>
  <c r="I387" i="1" s="1"/>
  <c r="I388" i="1" a="1"/>
  <c r="I388" i="1" s="1"/>
  <c r="I389" i="1" a="1"/>
  <c r="I389" i="1" s="1"/>
  <c r="I390" i="1" a="1"/>
  <c r="I390" i="1" s="1"/>
  <c r="I391" i="1" a="1"/>
  <c r="I391" i="1" s="1"/>
  <c r="I392" i="1" a="1"/>
  <c r="I392" i="1" s="1"/>
  <c r="I393" i="1" a="1"/>
  <c r="I393" i="1" s="1"/>
  <c r="I394" i="1" a="1"/>
  <c r="I394" i="1" s="1"/>
  <c r="I395" i="1" a="1"/>
  <c r="I395" i="1" s="1"/>
  <c r="I396" i="1" a="1"/>
  <c r="I396" i="1" s="1"/>
  <c r="I397" i="1" a="1"/>
  <c r="I397" i="1" s="1"/>
  <c r="I398" i="1" a="1"/>
  <c r="I398" i="1" s="1"/>
  <c r="I399" i="1" a="1"/>
  <c r="I399" i="1" s="1"/>
  <c r="I400" i="1" a="1"/>
  <c r="I400" i="1" s="1"/>
  <c r="I401" i="1" a="1"/>
  <c r="I401" i="1" s="1"/>
  <c r="I402" i="1" a="1"/>
  <c r="I402" i="1" s="1"/>
  <c r="I403" i="1" a="1"/>
  <c r="I403" i="1" s="1"/>
  <c r="I404" i="1" a="1"/>
  <c r="I404" i="1" s="1"/>
  <c r="I405" i="1" a="1"/>
  <c r="I405" i="1" s="1"/>
  <c r="I406" i="1" a="1"/>
  <c r="I406" i="1" s="1"/>
  <c r="I407" i="1" a="1"/>
  <c r="I407" i="1" s="1"/>
  <c r="I408" i="1" a="1"/>
  <c r="I408" i="1" s="1"/>
  <c r="I409" i="1" a="1"/>
  <c r="I409" i="1" s="1"/>
  <c r="I410" i="1" a="1"/>
  <c r="I410" i="1" s="1"/>
  <c r="I411" i="1" a="1"/>
  <c r="I411" i="1" s="1"/>
  <c r="I412" i="1" a="1"/>
  <c r="I412" i="1" s="1"/>
  <c r="I413" i="1" a="1"/>
  <c r="I413" i="1" s="1"/>
  <c r="I414" i="1" a="1"/>
  <c r="I414" i="1" s="1"/>
  <c r="I415" i="1" a="1"/>
  <c r="I415" i="1" s="1"/>
  <c r="I416" i="1" a="1"/>
  <c r="I416" i="1" s="1"/>
  <c r="I417" i="1" a="1"/>
  <c r="I417" i="1" s="1"/>
  <c r="I418" i="1" a="1"/>
  <c r="I418" i="1" s="1"/>
  <c r="I419" i="1" a="1"/>
  <c r="I419" i="1" s="1"/>
  <c r="I420" i="1" a="1"/>
  <c r="I420" i="1" s="1"/>
  <c r="I421" i="1" a="1"/>
  <c r="I421" i="1" s="1"/>
  <c r="I422" i="1" a="1"/>
  <c r="I422" i="1" s="1"/>
  <c r="I423" i="1" a="1"/>
  <c r="I423" i="1" s="1"/>
  <c r="I424" i="1" a="1"/>
  <c r="I424" i="1" s="1"/>
  <c r="I425" i="1" a="1"/>
  <c r="I425" i="1" s="1"/>
  <c r="I426" i="1" a="1"/>
  <c r="I426" i="1" s="1"/>
  <c r="I427" i="1" a="1"/>
  <c r="I427" i="1" s="1"/>
  <c r="I428" i="1" a="1"/>
  <c r="I428" i="1" s="1"/>
  <c r="I429" i="1" a="1"/>
  <c r="I429" i="1" s="1"/>
  <c r="I430" i="1" a="1"/>
  <c r="I430" i="1" s="1"/>
  <c r="I431" i="1" a="1"/>
  <c r="I431" i="1" s="1"/>
  <c r="I432" i="1" a="1"/>
  <c r="I432" i="1" s="1"/>
  <c r="I433" i="1" a="1"/>
  <c r="I433" i="1" s="1"/>
  <c r="I434" i="1" a="1"/>
  <c r="I434" i="1" s="1"/>
  <c r="I435" i="1" a="1"/>
  <c r="I435" i="1" s="1"/>
  <c r="I436" i="1" a="1"/>
  <c r="I436" i="1" s="1"/>
  <c r="I437" i="1" a="1"/>
  <c r="I437" i="1" s="1"/>
  <c r="I438" i="1" a="1"/>
  <c r="I438" i="1" s="1"/>
  <c r="I439" i="1" a="1"/>
  <c r="I439" i="1" s="1"/>
  <c r="I440" i="1" a="1"/>
  <c r="I440" i="1" s="1"/>
  <c r="I441" i="1" a="1"/>
  <c r="I441" i="1" s="1"/>
  <c r="I442" i="1" a="1"/>
  <c r="I442" i="1" s="1"/>
  <c r="I443" i="1" a="1"/>
  <c r="I443" i="1" s="1"/>
  <c r="I444" i="1" a="1"/>
  <c r="I444" i="1" s="1"/>
  <c r="I445" i="1" a="1"/>
  <c r="I445" i="1" s="1"/>
  <c r="I446" i="1" a="1"/>
  <c r="I446" i="1" s="1"/>
  <c r="I447" i="1" a="1"/>
  <c r="I447" i="1" s="1"/>
  <c r="I448" i="1" a="1"/>
  <c r="I448" i="1" s="1"/>
  <c r="I449" i="1" a="1"/>
  <c r="I449" i="1" s="1"/>
  <c r="I450" i="1" a="1"/>
  <c r="I450" i="1" s="1"/>
  <c r="I451" i="1" a="1"/>
  <c r="I451" i="1" s="1"/>
  <c r="I452" i="1" a="1"/>
  <c r="I452" i="1" s="1"/>
  <c r="I453" i="1" a="1"/>
  <c r="I453" i="1" s="1"/>
  <c r="I454" i="1" a="1"/>
  <c r="I454" i="1" s="1"/>
  <c r="I455" i="1" a="1"/>
  <c r="I455" i="1" s="1"/>
  <c r="I456" i="1" a="1"/>
  <c r="I456" i="1" s="1"/>
  <c r="I457" i="1" a="1"/>
  <c r="I457" i="1" s="1"/>
  <c r="I458" i="1" a="1"/>
  <c r="I458" i="1" s="1"/>
  <c r="I459" i="1" a="1"/>
  <c r="I459" i="1" s="1"/>
  <c r="I460" i="1" a="1"/>
  <c r="I460" i="1" s="1"/>
  <c r="I461" i="1" a="1"/>
  <c r="I461" i="1" s="1"/>
  <c r="I462" i="1" a="1"/>
  <c r="I462" i="1" s="1"/>
  <c r="I463" i="1" a="1"/>
  <c r="I463" i="1" s="1"/>
  <c r="I464" i="1" a="1"/>
  <c r="I464" i="1" s="1"/>
  <c r="I465" i="1" a="1"/>
  <c r="I465" i="1" s="1"/>
  <c r="I466" i="1" a="1"/>
  <c r="I466" i="1" s="1"/>
  <c r="I467" i="1" a="1"/>
  <c r="I467" i="1" s="1"/>
  <c r="I468" i="1" a="1"/>
  <c r="I468" i="1" s="1"/>
  <c r="I469" i="1" a="1"/>
  <c r="I469" i="1" s="1"/>
  <c r="I470" i="1" a="1"/>
  <c r="I470" i="1" s="1"/>
  <c r="I471" i="1" a="1"/>
  <c r="I471" i="1" s="1"/>
  <c r="I472" i="1" a="1"/>
  <c r="I472" i="1" s="1"/>
  <c r="I473" i="1" a="1"/>
  <c r="I473" i="1" s="1"/>
  <c r="I474" i="1" a="1"/>
  <c r="I474" i="1" s="1"/>
  <c r="I475" i="1" a="1"/>
  <c r="I475" i="1" s="1"/>
  <c r="I476" i="1" a="1"/>
  <c r="I476" i="1" s="1"/>
  <c r="I477" i="1" a="1"/>
  <c r="I477" i="1" s="1"/>
  <c r="I478" i="1" a="1"/>
  <c r="I478" i="1" s="1"/>
  <c r="I479" i="1" a="1"/>
  <c r="I479" i="1" s="1"/>
  <c r="I480" i="1" a="1"/>
  <c r="I480" i="1" s="1"/>
  <c r="I481" i="1" a="1"/>
  <c r="I481" i="1" s="1"/>
  <c r="I482" i="1" a="1"/>
  <c r="I482" i="1" s="1"/>
  <c r="I483" i="1" a="1"/>
  <c r="I483" i="1" s="1"/>
  <c r="I484" i="1" a="1"/>
  <c r="I484" i="1" s="1"/>
  <c r="I485" i="1" a="1"/>
  <c r="I485" i="1" s="1"/>
  <c r="I486" i="1" a="1"/>
  <c r="I486" i="1" s="1"/>
  <c r="I487" i="1" a="1"/>
  <c r="I487" i="1" s="1"/>
  <c r="I488" i="1" a="1"/>
  <c r="I488" i="1" s="1"/>
  <c r="I489" i="1" a="1"/>
  <c r="I489" i="1" s="1"/>
  <c r="I490" i="1" a="1"/>
  <c r="I490" i="1" s="1"/>
  <c r="I491" i="1" a="1"/>
  <c r="I491" i="1" s="1"/>
  <c r="I492" i="1" a="1"/>
  <c r="I492" i="1" s="1"/>
  <c r="I493" i="1" a="1"/>
  <c r="I493" i="1" s="1"/>
  <c r="I494" i="1" a="1"/>
  <c r="I494" i="1" s="1"/>
  <c r="I495" i="1" a="1"/>
  <c r="I495" i="1" s="1"/>
  <c r="I496" i="1" a="1"/>
  <c r="I496" i="1" s="1"/>
  <c r="I497" i="1" a="1"/>
  <c r="I497" i="1" s="1"/>
  <c r="I498" i="1" a="1"/>
  <c r="I498" i="1" s="1"/>
  <c r="I499" i="1" a="1"/>
  <c r="I499" i="1" s="1"/>
  <c r="I500" i="1" a="1"/>
  <c r="I500" i="1" s="1"/>
  <c r="I501" i="1" a="1"/>
  <c r="I501" i="1" s="1"/>
  <c r="I502" i="1" a="1"/>
  <c r="I502" i="1" s="1"/>
  <c r="I503" i="1" a="1"/>
  <c r="I503" i="1" s="1"/>
  <c r="I504" i="1" a="1"/>
  <c r="I504" i="1" s="1"/>
  <c r="I505" i="1" a="1"/>
  <c r="I505" i="1" s="1"/>
  <c r="I506" i="1" a="1"/>
  <c r="I506" i="1" s="1"/>
  <c r="I507" i="1" a="1"/>
  <c r="I507" i="1" s="1"/>
  <c r="I508" i="1" a="1"/>
  <c r="I508" i="1" s="1"/>
  <c r="I509" i="1" a="1"/>
  <c r="I509" i="1" s="1"/>
  <c r="I510" i="1" a="1"/>
  <c r="I510" i="1" s="1"/>
  <c r="I511" i="1" a="1"/>
  <c r="I511" i="1" s="1"/>
  <c r="I512" i="1" a="1"/>
  <c r="I512" i="1" s="1"/>
  <c r="I513" i="1" a="1"/>
  <c r="I513" i="1" s="1"/>
  <c r="I514" i="1" a="1"/>
  <c r="I514" i="1" s="1"/>
  <c r="I515" i="1" a="1"/>
  <c r="I515" i="1" s="1"/>
  <c r="I516" i="1" a="1"/>
  <c r="I516" i="1" s="1"/>
  <c r="I517" i="1" a="1"/>
  <c r="I517" i="1" s="1"/>
  <c r="I518" i="1" a="1"/>
  <c r="I518" i="1" s="1"/>
  <c r="I519" i="1" a="1"/>
  <c r="I519" i="1" s="1"/>
  <c r="I520" i="1" a="1"/>
  <c r="I520" i="1" s="1"/>
  <c r="I521" i="1" a="1"/>
  <c r="I521" i="1" s="1"/>
  <c r="I522" i="1" a="1"/>
  <c r="I522" i="1" s="1"/>
  <c r="I523" i="1" a="1"/>
  <c r="I523" i="1" s="1"/>
  <c r="I524" i="1" a="1"/>
  <c r="I524" i="1" s="1"/>
  <c r="I525" i="1" a="1"/>
  <c r="I525" i="1" s="1"/>
  <c r="I526" i="1" a="1"/>
  <c r="I526" i="1" s="1"/>
  <c r="I527" i="1" a="1"/>
  <c r="I527" i="1" s="1"/>
  <c r="I528" i="1" a="1"/>
  <c r="I528" i="1" s="1"/>
  <c r="I529" i="1" a="1"/>
  <c r="I529" i="1" s="1"/>
  <c r="I530" i="1" a="1"/>
  <c r="I530" i="1" s="1"/>
  <c r="I531" i="1" a="1"/>
  <c r="I531" i="1" s="1"/>
  <c r="I532" i="1" a="1"/>
  <c r="I532" i="1" s="1"/>
  <c r="I533" i="1" a="1"/>
  <c r="I533" i="1" s="1"/>
  <c r="I534" i="1" a="1"/>
  <c r="I534" i="1" s="1"/>
  <c r="I535" i="1" a="1"/>
  <c r="I535" i="1" s="1"/>
  <c r="I536" i="1" a="1"/>
  <c r="I536" i="1" s="1"/>
  <c r="I537" i="1" a="1"/>
  <c r="I537" i="1" s="1"/>
  <c r="I538" i="1" a="1"/>
  <c r="I538" i="1" s="1"/>
  <c r="I539" i="1" a="1"/>
  <c r="I539" i="1" s="1"/>
  <c r="I540" i="1" a="1"/>
  <c r="I540" i="1" s="1"/>
  <c r="I541" i="1" a="1"/>
  <c r="I541" i="1" s="1"/>
  <c r="I542" i="1" a="1"/>
  <c r="I542" i="1" s="1"/>
  <c r="I543" i="1" a="1"/>
  <c r="I543" i="1" s="1"/>
  <c r="I544" i="1" a="1"/>
  <c r="I544" i="1" s="1"/>
  <c r="I545" i="1" a="1"/>
  <c r="I545" i="1" s="1"/>
  <c r="I546" i="1" a="1"/>
  <c r="I546" i="1" s="1"/>
  <c r="I547" i="1" a="1"/>
  <c r="I547" i="1" s="1"/>
  <c r="I548" i="1" a="1"/>
  <c r="I548" i="1" s="1"/>
  <c r="I549" i="1" a="1"/>
  <c r="I549" i="1" s="1"/>
  <c r="I550" i="1" a="1"/>
  <c r="I550" i="1" s="1"/>
  <c r="I551" i="1" a="1"/>
  <c r="I551" i="1" s="1"/>
  <c r="I552" i="1" a="1"/>
  <c r="I552" i="1" s="1"/>
  <c r="I553" i="1" a="1"/>
  <c r="I553" i="1" s="1"/>
  <c r="I554" i="1" a="1"/>
  <c r="I554" i="1" s="1"/>
  <c r="I555" i="1" a="1"/>
  <c r="I555" i="1" s="1"/>
  <c r="I556" i="1" a="1"/>
  <c r="I556" i="1" s="1"/>
  <c r="I557" i="1" a="1"/>
  <c r="I557" i="1" s="1"/>
  <c r="I558" i="1" a="1"/>
  <c r="I558" i="1" s="1"/>
  <c r="I559" i="1" a="1"/>
  <c r="I559" i="1" s="1"/>
  <c r="I560" i="1" a="1"/>
  <c r="I560" i="1" s="1"/>
  <c r="I561" i="1" a="1"/>
  <c r="I561" i="1" s="1"/>
  <c r="I562" i="1" a="1"/>
  <c r="I562" i="1" s="1"/>
  <c r="I563" i="1" a="1"/>
  <c r="I563" i="1" s="1"/>
  <c r="I564" i="1" a="1"/>
  <c r="I564" i="1" s="1"/>
  <c r="I565" i="1" a="1"/>
  <c r="I565" i="1" s="1"/>
  <c r="I566" i="1" a="1"/>
  <c r="I566" i="1" s="1"/>
  <c r="I567" i="1" a="1"/>
  <c r="I567" i="1" s="1"/>
  <c r="I568" i="1" a="1"/>
  <c r="I568" i="1" s="1"/>
  <c r="I569" i="1" a="1"/>
  <c r="I569" i="1" s="1"/>
  <c r="I570" i="1" a="1"/>
  <c r="I570" i="1" s="1"/>
  <c r="I571" i="1" a="1"/>
  <c r="I571" i="1" s="1"/>
  <c r="I572" i="1" a="1"/>
  <c r="I572" i="1" s="1"/>
  <c r="I573" i="1" a="1"/>
  <c r="I573" i="1" s="1"/>
  <c r="I574" i="1" a="1"/>
  <c r="I574" i="1" s="1"/>
  <c r="I575" i="1" a="1"/>
  <c r="I575" i="1" s="1"/>
  <c r="I576" i="1" a="1"/>
  <c r="I576" i="1" s="1"/>
  <c r="I577" i="1" a="1"/>
  <c r="I577" i="1" s="1"/>
  <c r="I578" i="1" a="1"/>
  <c r="I578" i="1" s="1"/>
  <c r="I579" i="1" a="1"/>
  <c r="I579" i="1" s="1"/>
  <c r="I580" i="1" a="1"/>
  <c r="I580" i="1" s="1"/>
  <c r="I581" i="1" a="1"/>
  <c r="I581" i="1" s="1"/>
  <c r="I582" i="1" a="1"/>
  <c r="I582" i="1" s="1"/>
  <c r="I583" i="1" a="1"/>
  <c r="I583" i="1" s="1"/>
  <c r="I584" i="1" a="1"/>
  <c r="I584" i="1" s="1"/>
  <c r="I585" i="1" a="1"/>
  <c r="I585" i="1" s="1"/>
  <c r="I586" i="1" a="1"/>
  <c r="I586" i="1" s="1"/>
  <c r="I587" i="1" a="1"/>
  <c r="I587" i="1" s="1"/>
  <c r="I588" i="1" a="1"/>
  <c r="I588" i="1" s="1"/>
  <c r="I589" i="1" a="1"/>
  <c r="I589" i="1" s="1"/>
  <c r="I590" i="1" a="1"/>
  <c r="I590" i="1" s="1"/>
  <c r="I591" i="1" a="1"/>
  <c r="I591" i="1" s="1"/>
  <c r="I592" i="1" a="1"/>
  <c r="I592" i="1" s="1"/>
  <c r="I593" i="1" a="1"/>
  <c r="I593" i="1" s="1"/>
  <c r="I594" i="1" a="1"/>
  <c r="I594" i="1" s="1"/>
  <c r="I595" i="1" a="1"/>
  <c r="I595" i="1" s="1"/>
  <c r="I596" i="1" a="1"/>
  <c r="I596" i="1" s="1"/>
  <c r="I597" i="1" a="1"/>
  <c r="I597" i="1" s="1"/>
  <c r="I598" i="1" a="1"/>
  <c r="I598" i="1" s="1"/>
  <c r="I599" i="1" a="1"/>
  <c r="I599" i="1" s="1"/>
  <c r="I600" i="1" a="1"/>
  <c r="I600" i="1" s="1"/>
  <c r="I601" i="1" a="1"/>
  <c r="I601" i="1" s="1"/>
  <c r="I602" i="1" a="1"/>
  <c r="I602" i="1" s="1"/>
  <c r="I603" i="1" a="1"/>
  <c r="I603" i="1" s="1"/>
  <c r="I604" i="1" a="1"/>
  <c r="I604" i="1" s="1"/>
  <c r="I605" i="1" a="1"/>
  <c r="I605" i="1" s="1"/>
  <c r="I606" i="1" a="1"/>
  <c r="I606" i="1" s="1"/>
  <c r="I607" i="1" a="1"/>
  <c r="I607" i="1" s="1"/>
  <c r="I608" i="1" a="1"/>
  <c r="I608" i="1" s="1"/>
  <c r="I609" i="1" a="1"/>
  <c r="I609" i="1" s="1"/>
  <c r="I610" i="1" a="1"/>
  <c r="I610" i="1" s="1"/>
  <c r="I611" i="1" a="1"/>
  <c r="I611" i="1" s="1"/>
  <c r="I612" i="1" a="1"/>
  <c r="I612" i="1" s="1"/>
  <c r="I613" i="1" a="1"/>
  <c r="I613" i="1" s="1"/>
  <c r="I614" i="1" a="1"/>
  <c r="I614" i="1" s="1"/>
  <c r="I615" i="1" a="1"/>
  <c r="I615" i="1" s="1"/>
  <c r="I616" i="1" a="1"/>
  <c r="I616" i="1" s="1"/>
  <c r="I617" i="1" a="1"/>
  <c r="I617" i="1" s="1"/>
  <c r="I618" i="1" a="1"/>
  <c r="I618" i="1" s="1"/>
  <c r="I619" i="1" a="1"/>
  <c r="I619" i="1" s="1"/>
  <c r="I620" i="1" a="1"/>
  <c r="I620" i="1" s="1"/>
  <c r="I621" i="1" a="1"/>
  <c r="I621" i="1" s="1"/>
  <c r="I622" i="1" a="1"/>
  <c r="I622" i="1" s="1"/>
  <c r="I623" i="1" a="1"/>
  <c r="I623" i="1" s="1"/>
  <c r="I624" i="1" a="1"/>
  <c r="I624" i="1" s="1"/>
  <c r="I625" i="1" a="1"/>
  <c r="I625" i="1" s="1"/>
  <c r="I626" i="1" a="1"/>
  <c r="I626" i="1" s="1"/>
  <c r="I627" i="1" a="1"/>
  <c r="I627" i="1" s="1"/>
  <c r="I628" i="1" a="1"/>
  <c r="I628" i="1" s="1"/>
  <c r="I629" i="1" a="1"/>
  <c r="I629" i="1" s="1"/>
  <c r="I630" i="1" a="1"/>
  <c r="I630" i="1" s="1"/>
  <c r="I631" i="1" a="1"/>
  <c r="I631" i="1" s="1"/>
  <c r="I632" i="1" a="1"/>
  <c r="I632" i="1" s="1"/>
  <c r="I633" i="1" a="1"/>
  <c r="I633" i="1" s="1"/>
  <c r="I634" i="1" a="1"/>
  <c r="I634" i="1" s="1"/>
  <c r="I635" i="1" a="1"/>
  <c r="I635" i="1" s="1"/>
  <c r="I636" i="1" a="1"/>
  <c r="I636" i="1" s="1"/>
  <c r="I637" i="1" a="1"/>
  <c r="I637" i="1" s="1"/>
  <c r="I638" i="1" a="1"/>
  <c r="I638" i="1" s="1"/>
  <c r="I639" i="1" a="1"/>
  <c r="I639" i="1" s="1"/>
  <c r="I640" i="1" a="1"/>
  <c r="I640" i="1" s="1"/>
  <c r="I641" i="1" a="1"/>
  <c r="I641" i="1" s="1"/>
  <c r="I642" i="1" a="1"/>
  <c r="I642" i="1" s="1"/>
  <c r="I643" i="1" a="1"/>
  <c r="I643" i="1" s="1"/>
  <c r="I644" i="1" a="1"/>
  <c r="I644" i="1" s="1"/>
  <c r="I645" i="1" a="1"/>
  <c r="I645" i="1" s="1"/>
  <c r="I646" i="1" a="1"/>
  <c r="I646" i="1" s="1"/>
  <c r="I647" i="1" a="1"/>
  <c r="I647" i="1" s="1"/>
  <c r="I648" i="1" a="1"/>
  <c r="I648" i="1" s="1"/>
  <c r="I649" i="1" a="1"/>
  <c r="I649" i="1" s="1"/>
  <c r="I650" i="1" a="1"/>
  <c r="I650" i="1" s="1"/>
  <c r="I651" i="1" a="1"/>
  <c r="I651" i="1" s="1"/>
  <c r="I652" i="1" a="1"/>
  <c r="I652" i="1" s="1"/>
  <c r="I653" i="1" a="1"/>
  <c r="I653" i="1" s="1"/>
  <c r="I654" i="1" a="1"/>
  <c r="I654" i="1" s="1"/>
  <c r="I655" i="1" a="1"/>
  <c r="I655" i="1" s="1"/>
  <c r="I656" i="1" a="1"/>
  <c r="I656" i="1" s="1"/>
  <c r="I657" i="1" a="1"/>
  <c r="I657" i="1" s="1"/>
  <c r="I658" i="1" a="1"/>
  <c r="I658" i="1" s="1"/>
  <c r="I659" i="1" a="1"/>
  <c r="I659" i="1" s="1"/>
  <c r="I660" i="1" a="1"/>
  <c r="I660" i="1" s="1"/>
  <c r="I661" i="1" a="1"/>
  <c r="I661" i="1" s="1"/>
  <c r="I662" i="1" a="1"/>
  <c r="I662" i="1" s="1"/>
  <c r="I663" i="1" a="1"/>
  <c r="I663" i="1" s="1"/>
  <c r="I664" i="1" a="1"/>
  <c r="I664" i="1" s="1"/>
  <c r="I665" i="1" a="1"/>
  <c r="I665" i="1" s="1"/>
  <c r="I666" i="1" a="1"/>
  <c r="I666" i="1" s="1"/>
  <c r="I667" i="1" a="1"/>
  <c r="I667" i="1" s="1"/>
  <c r="I668" i="1" a="1"/>
  <c r="I668" i="1" s="1"/>
  <c r="I669" i="1" a="1"/>
  <c r="I669" i="1" s="1"/>
  <c r="I670" i="1" a="1"/>
  <c r="I670" i="1" s="1"/>
  <c r="I671" i="1" a="1"/>
  <c r="I671" i="1" s="1"/>
  <c r="I672" i="1" a="1"/>
  <c r="I672" i="1" s="1"/>
  <c r="I673" i="1" a="1"/>
  <c r="I673" i="1" s="1"/>
  <c r="I674" i="1" a="1"/>
  <c r="I674" i="1" s="1"/>
  <c r="I675" i="1" a="1"/>
  <c r="I675" i="1" s="1"/>
  <c r="I676" i="1" a="1"/>
  <c r="I676" i="1" s="1"/>
  <c r="I677" i="1" a="1"/>
  <c r="I677" i="1" s="1"/>
  <c r="I678" i="1" a="1"/>
  <c r="I678" i="1" s="1"/>
  <c r="I679" i="1" a="1"/>
  <c r="I679" i="1" s="1"/>
  <c r="I680" i="1" a="1"/>
  <c r="I680" i="1" s="1"/>
  <c r="I681" i="1" a="1"/>
  <c r="I681" i="1" s="1"/>
  <c r="I682" i="1" a="1"/>
  <c r="I682" i="1" s="1"/>
  <c r="I683" i="1" a="1"/>
  <c r="I683" i="1" s="1"/>
  <c r="I684" i="1" a="1"/>
  <c r="I684" i="1" s="1"/>
  <c r="I685" i="1" a="1"/>
  <c r="I685" i="1" s="1"/>
  <c r="I686" i="1" a="1"/>
  <c r="I686" i="1" s="1"/>
  <c r="I687" i="1" a="1"/>
  <c r="I687" i="1" s="1"/>
  <c r="I688" i="1" a="1"/>
  <c r="I688" i="1" s="1"/>
  <c r="I689" i="1" a="1"/>
  <c r="I689" i="1" s="1"/>
  <c r="I690" i="1" a="1"/>
  <c r="I690" i="1" s="1"/>
  <c r="I691" i="1" a="1"/>
  <c r="I691" i="1" s="1"/>
  <c r="I692" i="1" a="1"/>
  <c r="I692" i="1" s="1"/>
  <c r="I693" i="1" a="1"/>
  <c r="I693" i="1" s="1"/>
  <c r="I694" i="1" a="1"/>
  <c r="I694" i="1" s="1"/>
  <c r="I695" i="1" a="1"/>
  <c r="I695" i="1" s="1"/>
  <c r="I696" i="1" a="1"/>
  <c r="I696" i="1" s="1"/>
  <c r="I697" i="1" a="1"/>
  <c r="I697" i="1" s="1"/>
  <c r="I698" i="1" a="1"/>
  <c r="I698" i="1" s="1"/>
  <c r="I699" i="1" a="1"/>
  <c r="I699" i="1" s="1"/>
  <c r="I700" i="1" a="1"/>
  <c r="I700" i="1" s="1"/>
  <c r="I701" i="1" a="1"/>
  <c r="I701" i="1" s="1"/>
  <c r="I702" i="1" a="1"/>
  <c r="I702" i="1" s="1"/>
  <c r="I703" i="1" a="1"/>
  <c r="I703" i="1" s="1"/>
  <c r="I704" i="1" a="1"/>
  <c r="I704" i="1" s="1"/>
  <c r="I705" i="1" a="1"/>
  <c r="I705" i="1" s="1"/>
  <c r="I706" i="1" a="1"/>
  <c r="I706" i="1" s="1"/>
  <c r="I707" i="1" a="1"/>
  <c r="I707" i="1" s="1"/>
  <c r="I708" i="1" a="1"/>
  <c r="I708" i="1" s="1"/>
  <c r="I709" i="1" a="1"/>
  <c r="I709" i="1" s="1"/>
  <c r="I710" i="1" a="1"/>
  <c r="I710" i="1" s="1"/>
  <c r="I711" i="1" a="1"/>
  <c r="I711" i="1" s="1"/>
  <c r="I712" i="1" a="1"/>
  <c r="I712" i="1" s="1"/>
  <c r="I713" i="1" a="1"/>
  <c r="I713" i="1" s="1"/>
  <c r="I714" i="1" a="1"/>
  <c r="I714" i="1" s="1"/>
  <c r="I715" i="1" a="1"/>
  <c r="I715" i="1" s="1"/>
  <c r="I716" i="1" a="1"/>
  <c r="I716" i="1" s="1"/>
  <c r="I717" i="1" a="1"/>
  <c r="I717" i="1" s="1"/>
  <c r="I718" i="1" a="1"/>
  <c r="I718" i="1" s="1"/>
  <c r="I719" i="1" a="1"/>
  <c r="I719" i="1" s="1"/>
  <c r="I720" i="1" a="1"/>
  <c r="I720" i="1" s="1"/>
  <c r="I721" i="1" a="1"/>
  <c r="I721" i="1" s="1"/>
  <c r="I722" i="1" a="1"/>
  <c r="I722" i="1" s="1"/>
  <c r="I723" i="1" a="1"/>
  <c r="I723" i="1" s="1"/>
  <c r="I724" i="1" a="1"/>
  <c r="I724" i="1" s="1"/>
  <c r="I725" i="1" a="1"/>
  <c r="I725" i="1" s="1"/>
  <c r="I726" i="1" a="1"/>
  <c r="I726" i="1" s="1"/>
  <c r="I727" i="1" a="1"/>
  <c r="I727" i="1" s="1"/>
  <c r="I728" i="1" a="1"/>
  <c r="I728" i="1" s="1"/>
  <c r="I729" i="1" a="1"/>
  <c r="I729" i="1" s="1"/>
  <c r="I730" i="1" a="1"/>
  <c r="I730" i="1" s="1"/>
  <c r="I731" i="1" a="1"/>
  <c r="I731" i="1" s="1"/>
  <c r="I732" i="1" a="1"/>
  <c r="I732" i="1" s="1"/>
  <c r="I733" i="1" a="1"/>
  <c r="I733" i="1" s="1"/>
  <c r="I734" i="1" a="1"/>
  <c r="I734" i="1" s="1"/>
  <c r="I735" i="1" a="1"/>
  <c r="I735" i="1" s="1"/>
  <c r="I736" i="1" a="1"/>
  <c r="I736" i="1" s="1"/>
  <c r="I737" i="1" a="1"/>
  <c r="I737" i="1" s="1"/>
  <c r="I738" i="1" a="1"/>
  <c r="I738" i="1" s="1"/>
  <c r="I739" i="1" a="1"/>
  <c r="I739" i="1" s="1"/>
  <c r="I740" i="1" a="1"/>
  <c r="I740" i="1" s="1"/>
  <c r="I741" i="1" a="1"/>
  <c r="I741" i="1" s="1"/>
  <c r="I742" i="1" a="1"/>
  <c r="I742" i="1" s="1"/>
  <c r="I743" i="1" a="1"/>
  <c r="I743" i="1" s="1"/>
  <c r="I744" i="1" a="1"/>
  <c r="I744" i="1" s="1"/>
  <c r="I745" i="1" a="1"/>
  <c r="I745" i="1" s="1"/>
  <c r="I746" i="1" a="1"/>
  <c r="I746" i="1" s="1"/>
  <c r="I747" i="1" a="1"/>
  <c r="I747" i="1" s="1"/>
  <c r="I748" i="1" a="1"/>
  <c r="I748" i="1" s="1"/>
  <c r="I749" i="1" a="1"/>
  <c r="I749" i="1" s="1"/>
  <c r="I750" i="1" a="1"/>
  <c r="I750" i="1" s="1"/>
  <c r="I751" i="1" a="1"/>
  <c r="I751" i="1" s="1"/>
  <c r="I752" i="1" a="1"/>
  <c r="I752" i="1" s="1"/>
  <c r="I753" i="1" a="1"/>
  <c r="I753" i="1" s="1"/>
  <c r="I754" i="1" a="1"/>
  <c r="I754" i="1" s="1"/>
  <c r="I755" i="1" a="1"/>
  <c r="I755" i="1" s="1"/>
  <c r="I756" i="1" a="1"/>
  <c r="I756" i="1" s="1"/>
  <c r="I757" i="1" a="1"/>
  <c r="I757" i="1" s="1"/>
  <c r="I758" i="1" a="1"/>
  <c r="I758" i="1" s="1"/>
  <c r="I759" i="1" a="1"/>
  <c r="I759" i="1" s="1"/>
  <c r="I760" i="1" a="1"/>
  <c r="I760" i="1" s="1"/>
  <c r="I761" i="1" a="1"/>
  <c r="I761" i="1" s="1"/>
  <c r="I762" i="1" a="1"/>
  <c r="I762" i="1" s="1"/>
  <c r="I763" i="1" a="1"/>
  <c r="I763" i="1" s="1"/>
  <c r="I764" i="1" a="1"/>
  <c r="I764" i="1" s="1"/>
  <c r="I765" i="1" a="1"/>
  <c r="I765" i="1" s="1"/>
  <c r="I766" i="1" a="1"/>
  <c r="I766" i="1" s="1"/>
  <c r="I767" i="1" a="1"/>
  <c r="I767" i="1" s="1"/>
  <c r="I768" i="1" a="1"/>
  <c r="I768" i="1" s="1"/>
  <c r="I769" i="1" a="1"/>
  <c r="I769" i="1" s="1"/>
  <c r="I770" i="1" a="1"/>
  <c r="I770" i="1" s="1"/>
  <c r="I771" i="1" a="1"/>
  <c r="I771" i="1" s="1"/>
  <c r="I772" i="1" a="1"/>
  <c r="I772" i="1" s="1"/>
  <c r="I773" i="1" a="1"/>
  <c r="I773" i="1" s="1"/>
  <c r="I774" i="1" a="1"/>
  <c r="I774" i="1" s="1"/>
  <c r="I775" i="1" a="1"/>
  <c r="I775" i="1" s="1"/>
  <c r="I776" i="1" a="1"/>
  <c r="I776" i="1" s="1"/>
  <c r="I777" i="1" a="1"/>
  <c r="I777" i="1" s="1"/>
  <c r="I778" i="1" a="1"/>
  <c r="I778" i="1" s="1"/>
  <c r="I779" i="1" a="1"/>
  <c r="I779" i="1" s="1"/>
  <c r="I780" i="1" a="1"/>
  <c r="I780" i="1" s="1"/>
  <c r="I781" i="1" a="1"/>
  <c r="I781" i="1" s="1"/>
  <c r="I782" i="1" a="1"/>
  <c r="I782" i="1" s="1"/>
  <c r="I783" i="1" a="1"/>
  <c r="I783" i="1" s="1"/>
  <c r="I784" i="1" a="1"/>
  <c r="I784" i="1" s="1"/>
  <c r="I785" i="1" a="1"/>
  <c r="I785" i="1" s="1"/>
  <c r="I786" i="1" a="1"/>
  <c r="I786" i="1" s="1"/>
  <c r="I787" i="1" a="1"/>
  <c r="I787" i="1" s="1"/>
  <c r="I788" i="1" a="1"/>
  <c r="I788" i="1" s="1"/>
  <c r="I789" i="1" a="1"/>
  <c r="I789" i="1" s="1"/>
  <c r="I790" i="1" a="1"/>
  <c r="I790" i="1" s="1"/>
  <c r="I791" i="1" a="1"/>
  <c r="I791" i="1" s="1"/>
  <c r="I792" i="1" a="1"/>
  <c r="I792" i="1" s="1"/>
  <c r="I793" i="1" a="1"/>
  <c r="I793" i="1" s="1"/>
  <c r="I794" i="1" a="1"/>
  <c r="I794" i="1" s="1"/>
  <c r="I795" i="1" a="1"/>
  <c r="I795" i="1" s="1"/>
  <c r="I796" i="1" a="1"/>
  <c r="I796" i="1" s="1"/>
  <c r="I797" i="1" a="1"/>
  <c r="I797" i="1" s="1"/>
  <c r="I798" i="1" a="1"/>
  <c r="I798" i="1" s="1"/>
  <c r="I799" i="1" a="1"/>
  <c r="I799" i="1" s="1"/>
  <c r="I800" i="1" a="1"/>
  <c r="I800" i="1" s="1"/>
  <c r="I801" i="1" a="1"/>
  <c r="I801" i="1" s="1"/>
  <c r="I802" i="1" a="1"/>
  <c r="I802" i="1" s="1"/>
  <c r="I803" i="1" a="1"/>
  <c r="I803" i="1" s="1"/>
  <c r="I804" i="1" a="1"/>
  <c r="I804" i="1" s="1"/>
  <c r="I805" i="1" a="1"/>
  <c r="I805" i="1" s="1"/>
  <c r="I806" i="1" a="1"/>
  <c r="I806" i="1" s="1"/>
  <c r="I807" i="1" a="1"/>
  <c r="I807" i="1" s="1"/>
  <c r="I808" i="1" a="1"/>
  <c r="I808" i="1" s="1"/>
  <c r="I809" i="1" a="1"/>
  <c r="I809" i="1" s="1"/>
  <c r="I810" i="1" a="1"/>
  <c r="I810" i="1" s="1"/>
  <c r="I811" i="1" a="1"/>
  <c r="I811" i="1" s="1"/>
  <c r="I812" i="1" a="1"/>
  <c r="I812" i="1" s="1"/>
  <c r="I813" i="1" a="1"/>
  <c r="I813" i="1" s="1"/>
  <c r="I814" i="1" a="1"/>
  <c r="I814" i="1" s="1"/>
  <c r="I815" i="1" a="1"/>
  <c r="I815" i="1" s="1"/>
  <c r="I816" i="1" a="1"/>
  <c r="I816" i="1" s="1"/>
  <c r="I817" i="1" a="1"/>
  <c r="I817" i="1" s="1"/>
  <c r="I818" i="1" a="1"/>
  <c r="I818" i="1" s="1"/>
  <c r="I819" i="1" a="1"/>
  <c r="I819" i="1" s="1"/>
  <c r="I820" i="1" a="1"/>
  <c r="I820" i="1" s="1"/>
  <c r="I821" i="1" a="1"/>
  <c r="I821" i="1" s="1"/>
  <c r="I822" i="1" a="1"/>
  <c r="I822" i="1" s="1"/>
  <c r="I823" i="1" a="1"/>
  <c r="I823" i="1" s="1"/>
  <c r="I824" i="1" a="1"/>
  <c r="I824" i="1" s="1"/>
  <c r="I825" i="1" a="1"/>
  <c r="I825" i="1" s="1"/>
  <c r="I826" i="1" a="1"/>
  <c r="I826" i="1" s="1"/>
  <c r="I827" i="1" a="1"/>
  <c r="I827" i="1" s="1"/>
  <c r="I828" i="1" a="1"/>
  <c r="I828" i="1" s="1"/>
  <c r="I829" i="1" a="1"/>
  <c r="I829" i="1" s="1"/>
  <c r="I830" i="1" a="1"/>
  <c r="I830" i="1" s="1"/>
  <c r="I831" i="1" a="1"/>
  <c r="I831" i="1" s="1"/>
  <c r="I832" i="1" a="1"/>
  <c r="I832" i="1" s="1"/>
  <c r="I833" i="1" a="1"/>
  <c r="I833" i="1" s="1"/>
  <c r="I834" i="1" a="1"/>
  <c r="I834" i="1" s="1"/>
  <c r="I835" i="1" a="1"/>
  <c r="I835" i="1" s="1"/>
  <c r="I836" i="1" a="1"/>
  <c r="I836" i="1" s="1"/>
  <c r="I837" i="1" a="1"/>
  <c r="I837" i="1" s="1"/>
  <c r="I838" i="1" a="1"/>
  <c r="I838" i="1" s="1"/>
  <c r="I839" i="1" a="1"/>
  <c r="I839" i="1" s="1"/>
  <c r="I840" i="1" a="1"/>
  <c r="I840" i="1" s="1"/>
  <c r="I841" i="1" a="1"/>
  <c r="I841" i="1" s="1"/>
  <c r="I842" i="1" a="1"/>
  <c r="I842" i="1" s="1"/>
  <c r="I843" i="1" a="1"/>
  <c r="I843" i="1" s="1"/>
  <c r="I844" i="1" a="1"/>
  <c r="I844" i="1" s="1"/>
  <c r="I845" i="1" a="1"/>
  <c r="I845" i="1" s="1"/>
  <c r="I846" i="1" a="1"/>
  <c r="I846" i="1" s="1"/>
  <c r="I847" i="1" a="1"/>
  <c r="I847" i="1" s="1"/>
  <c r="I848" i="1" a="1"/>
  <c r="I848" i="1" s="1"/>
  <c r="I849" i="1" a="1"/>
  <c r="I849" i="1" s="1"/>
  <c r="I850" i="1" a="1"/>
  <c r="I850" i="1" s="1"/>
  <c r="I851" i="1" a="1"/>
  <c r="I851" i="1" s="1"/>
  <c r="I852" i="1" a="1"/>
  <c r="I852" i="1" s="1"/>
  <c r="I853" i="1" a="1"/>
  <c r="I853" i="1" s="1"/>
  <c r="I854" i="1" a="1"/>
  <c r="I854" i="1" s="1"/>
  <c r="I855" i="1" a="1"/>
  <c r="I855" i="1" s="1"/>
  <c r="I856" i="1" a="1"/>
  <c r="I856" i="1" s="1"/>
  <c r="I857" i="1" a="1"/>
  <c r="I857" i="1" s="1"/>
  <c r="I858" i="1" a="1"/>
  <c r="I858" i="1" s="1"/>
  <c r="I859" i="1" a="1"/>
  <c r="I859" i="1" s="1"/>
  <c r="I860" i="1" a="1"/>
  <c r="I860" i="1" s="1"/>
  <c r="I861" i="1" a="1"/>
  <c r="I861" i="1" s="1"/>
  <c r="I862" i="1" a="1"/>
  <c r="I862" i="1" s="1"/>
  <c r="I863" i="1" a="1"/>
  <c r="I863" i="1" s="1"/>
  <c r="I864" i="1" a="1"/>
  <c r="I864" i="1" s="1"/>
  <c r="I865" i="1" a="1"/>
  <c r="I865" i="1" s="1"/>
  <c r="I866" i="1" a="1"/>
  <c r="I866" i="1" s="1"/>
  <c r="I867" i="1" a="1"/>
  <c r="I867" i="1" s="1"/>
  <c r="I868" i="1" a="1"/>
  <c r="I868" i="1" s="1"/>
  <c r="I869" i="1" a="1"/>
  <c r="I869" i="1" s="1"/>
  <c r="I870" i="1" a="1"/>
  <c r="I870" i="1" s="1"/>
  <c r="I871" i="1" a="1"/>
  <c r="I871" i="1" s="1"/>
  <c r="I872" i="1" a="1"/>
  <c r="I872" i="1" s="1"/>
  <c r="I873" i="1" a="1"/>
  <c r="I873" i="1" s="1"/>
  <c r="I874" i="1" a="1"/>
  <c r="I874" i="1" s="1"/>
  <c r="I875" i="1" a="1"/>
  <c r="I875" i="1" s="1"/>
  <c r="I876" i="1" a="1"/>
  <c r="I876" i="1" s="1"/>
  <c r="I877" i="1" a="1"/>
  <c r="I877" i="1" s="1"/>
  <c r="I878" i="1" a="1"/>
  <c r="I878" i="1" s="1"/>
  <c r="I879" i="1" a="1"/>
  <c r="I879" i="1" s="1"/>
  <c r="I880" i="1" a="1"/>
  <c r="I880" i="1" s="1"/>
  <c r="I881" i="1" a="1"/>
  <c r="I881" i="1" s="1"/>
  <c r="I882" i="1" a="1"/>
  <c r="I882" i="1" s="1"/>
  <c r="I883" i="1" a="1"/>
  <c r="I883" i="1" s="1"/>
  <c r="I884" i="1" a="1"/>
  <c r="I884" i="1" s="1"/>
  <c r="I885" i="1" a="1"/>
  <c r="I885" i="1" s="1"/>
  <c r="I886" i="1" a="1"/>
  <c r="I886" i="1" s="1"/>
  <c r="I887" i="1" a="1"/>
  <c r="I887" i="1" s="1"/>
  <c r="I888" i="1" a="1"/>
  <c r="I888" i="1" s="1"/>
  <c r="I889" i="1" a="1"/>
  <c r="I889" i="1" s="1"/>
  <c r="I890" i="1" a="1"/>
  <c r="I890" i="1" s="1"/>
  <c r="I891" i="1" a="1"/>
  <c r="I891" i="1" s="1"/>
  <c r="I892" i="1" a="1"/>
  <c r="I892" i="1" s="1"/>
  <c r="I893" i="1" a="1"/>
  <c r="I893" i="1" s="1"/>
  <c r="I894" i="1" a="1"/>
  <c r="I894" i="1" s="1"/>
  <c r="I895" i="1" a="1"/>
  <c r="I895" i="1" s="1"/>
  <c r="I896" i="1" a="1"/>
  <c r="I896" i="1" s="1"/>
  <c r="I897" i="1" a="1"/>
  <c r="I897" i="1" s="1"/>
  <c r="I898" i="1" a="1"/>
  <c r="I898" i="1" s="1"/>
  <c r="I899" i="1" a="1"/>
  <c r="I899" i="1" s="1"/>
  <c r="I900" i="1" a="1"/>
  <c r="I900" i="1" s="1"/>
  <c r="I901" i="1" a="1"/>
  <c r="I901" i="1" s="1"/>
  <c r="I902" i="1" a="1"/>
  <c r="I902" i="1" s="1"/>
  <c r="I903" i="1" a="1"/>
  <c r="I903" i="1" s="1"/>
  <c r="I904" i="1" a="1"/>
  <c r="I904" i="1" s="1"/>
  <c r="I905" i="1" a="1"/>
  <c r="I905" i="1" s="1"/>
  <c r="I906" i="1" a="1"/>
  <c r="I906" i="1" s="1"/>
  <c r="I907" i="1" a="1"/>
  <c r="I907" i="1" s="1"/>
  <c r="I908" i="1" a="1"/>
  <c r="I908" i="1" s="1"/>
  <c r="I909" i="1" a="1"/>
  <c r="I909" i="1" s="1"/>
  <c r="I910" i="1" a="1"/>
  <c r="I910" i="1" s="1"/>
  <c r="I911" i="1" a="1"/>
  <c r="I911" i="1" s="1"/>
  <c r="I912" i="1" a="1"/>
  <c r="I912" i="1" s="1"/>
  <c r="I913" i="1" a="1"/>
  <c r="I913" i="1" s="1"/>
  <c r="I914" i="1" a="1"/>
  <c r="I914" i="1" s="1"/>
  <c r="I915" i="1" a="1"/>
  <c r="I915" i="1" s="1"/>
  <c r="I916" i="1" a="1"/>
  <c r="I916" i="1" s="1"/>
  <c r="I917" i="1" a="1"/>
  <c r="I917" i="1" s="1"/>
  <c r="I918" i="1" a="1"/>
  <c r="I918" i="1" s="1"/>
  <c r="I919" i="1" a="1"/>
  <c r="I919" i="1" s="1"/>
  <c r="I920" i="1" a="1"/>
  <c r="I920" i="1" s="1"/>
  <c r="I921" i="1" a="1"/>
  <c r="I921" i="1" s="1"/>
  <c r="I922" i="1" a="1"/>
  <c r="I922" i="1" s="1"/>
  <c r="I923" i="1" a="1"/>
  <c r="I923" i="1" s="1"/>
  <c r="I924" i="1" a="1"/>
  <c r="I924" i="1" s="1"/>
  <c r="I925" i="1" a="1"/>
  <c r="I925" i="1" s="1"/>
  <c r="I926" i="1" a="1"/>
  <c r="I926" i="1" s="1"/>
  <c r="I927" i="1" a="1"/>
  <c r="I927" i="1" s="1"/>
  <c r="I928" i="1" a="1"/>
  <c r="I928" i="1" s="1"/>
  <c r="I929" i="1" a="1"/>
  <c r="I929" i="1" s="1"/>
  <c r="I930" i="1" a="1"/>
  <c r="I930" i="1" s="1"/>
  <c r="I931" i="1" a="1"/>
  <c r="I931" i="1" s="1"/>
  <c r="I932" i="1" a="1"/>
  <c r="I932" i="1" s="1"/>
  <c r="I933" i="1" a="1"/>
  <c r="I933" i="1" s="1"/>
  <c r="I934" i="1" a="1"/>
  <c r="I934" i="1" s="1"/>
  <c r="I935" i="1" a="1"/>
  <c r="I935" i="1" s="1"/>
  <c r="I936" i="1" a="1"/>
  <c r="I936" i="1" s="1"/>
  <c r="I937" i="1" a="1"/>
  <c r="I937" i="1" s="1"/>
  <c r="I938" i="1" a="1"/>
  <c r="I938" i="1" s="1"/>
  <c r="I939" i="1" a="1"/>
  <c r="I939" i="1" s="1"/>
  <c r="I940" i="1" a="1"/>
  <c r="I940" i="1" s="1"/>
  <c r="I941" i="1" a="1"/>
  <c r="I941" i="1" s="1"/>
  <c r="I942" i="1" a="1"/>
  <c r="I942" i="1" s="1"/>
  <c r="I943" i="1" a="1"/>
  <c r="I943" i="1" s="1"/>
  <c r="I944" i="1" a="1"/>
  <c r="I944" i="1" s="1"/>
  <c r="I945" i="1" a="1"/>
  <c r="I945" i="1" s="1"/>
  <c r="I946" i="1" a="1"/>
  <c r="I946" i="1" s="1"/>
  <c r="I947" i="1" a="1"/>
  <c r="I947" i="1" s="1"/>
  <c r="I948" i="1" a="1"/>
  <c r="I948" i="1" s="1"/>
  <c r="I949" i="1" a="1"/>
  <c r="I949" i="1" s="1"/>
  <c r="I950" i="1" a="1"/>
  <c r="I950" i="1" s="1"/>
  <c r="I951" i="1" a="1"/>
  <c r="I951" i="1" s="1"/>
  <c r="I952" i="1" a="1"/>
  <c r="I952" i="1" s="1"/>
  <c r="I953" i="1" a="1"/>
  <c r="I953" i="1" s="1"/>
  <c r="I954" i="1" a="1"/>
  <c r="I954" i="1" s="1"/>
  <c r="I955" i="1" a="1"/>
  <c r="I955" i="1" s="1"/>
  <c r="I956" i="1" a="1"/>
  <c r="I956" i="1" s="1"/>
  <c r="I957" i="1" a="1"/>
  <c r="I957" i="1" s="1"/>
  <c r="I958" i="1" a="1"/>
  <c r="I958" i="1" s="1"/>
  <c r="I959" i="1" a="1"/>
  <c r="I959" i="1" s="1"/>
  <c r="I960" i="1" a="1"/>
  <c r="I960" i="1" s="1"/>
  <c r="I961" i="1" a="1"/>
  <c r="I961" i="1" s="1"/>
  <c r="I962" i="1" a="1"/>
  <c r="I962" i="1" s="1"/>
  <c r="I963" i="1" a="1"/>
  <c r="I963" i="1" s="1"/>
  <c r="I964" i="1" a="1"/>
  <c r="I964" i="1" s="1"/>
  <c r="I965" i="1" a="1"/>
  <c r="I965" i="1" s="1"/>
  <c r="I966" i="1" a="1"/>
  <c r="I966" i="1" s="1"/>
  <c r="I967" i="1" a="1"/>
  <c r="I967" i="1" s="1"/>
  <c r="I968" i="1" a="1"/>
  <c r="I968" i="1" s="1"/>
  <c r="I969" i="1" a="1"/>
  <c r="I969" i="1" s="1"/>
  <c r="I970" i="1" a="1"/>
  <c r="I970" i="1" s="1"/>
  <c r="I971" i="1" a="1"/>
  <c r="I971" i="1" s="1"/>
  <c r="I972" i="1" a="1"/>
  <c r="I972" i="1" s="1"/>
  <c r="I973" i="1" a="1"/>
  <c r="I973" i="1" s="1"/>
  <c r="I974" i="1" a="1"/>
  <c r="I974" i="1" s="1"/>
  <c r="I975" i="1" a="1"/>
  <c r="I975" i="1" s="1"/>
  <c r="I976" i="1" a="1"/>
  <c r="I976" i="1" s="1"/>
  <c r="I977" i="1" a="1"/>
  <c r="I977" i="1" s="1"/>
  <c r="I978" i="1" a="1"/>
  <c r="I978" i="1" s="1"/>
  <c r="I979" i="1" a="1"/>
  <c r="I979" i="1" s="1"/>
  <c r="I980" i="1" a="1"/>
  <c r="I980" i="1" s="1"/>
  <c r="I981" i="1" a="1"/>
  <c r="I981" i="1" s="1"/>
  <c r="I982" i="1" a="1"/>
  <c r="I982" i="1" s="1"/>
  <c r="I983" i="1" a="1"/>
  <c r="I983" i="1" s="1"/>
  <c r="I984" i="1" a="1"/>
  <c r="I984" i="1" s="1"/>
  <c r="I985" i="1" a="1"/>
  <c r="I985" i="1" s="1"/>
  <c r="I986" i="1" a="1"/>
  <c r="I986" i="1" s="1"/>
  <c r="I987" i="1" a="1"/>
  <c r="I987" i="1" s="1"/>
  <c r="I988" i="1" a="1"/>
  <c r="I988" i="1" s="1"/>
  <c r="I989" i="1" a="1"/>
  <c r="I989" i="1" s="1"/>
  <c r="I990" i="1" a="1"/>
  <c r="I990" i="1" s="1"/>
  <c r="I991" i="1" a="1"/>
  <c r="I991" i="1" s="1"/>
  <c r="I992" i="1" a="1"/>
  <c r="I992" i="1" s="1"/>
  <c r="I993" i="1" a="1"/>
  <c r="I993" i="1" s="1"/>
  <c r="I994" i="1" a="1"/>
  <c r="I994" i="1" s="1"/>
  <c r="I995" i="1" a="1"/>
  <c r="I995" i="1" s="1"/>
  <c r="I996" i="1" a="1"/>
  <c r="I996" i="1" s="1"/>
  <c r="I997" i="1" a="1"/>
  <c r="I997" i="1" s="1"/>
  <c r="I998" i="1" a="1"/>
  <c r="I998" i="1" s="1"/>
  <c r="I3" i="1" a="1"/>
  <c r="I3" i="1" s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3" i="1"/>
  <c r="C3" i="1"/>
  <c r="J3" i="1" s="1" a="1"/>
  <c r="J3" i="1" s="1"/>
  <c r="K4" i="1" l="1"/>
  <c r="L65" i="10" l="1"/>
  <c r="P65" i="10" s="1"/>
  <c r="N65" i="10" l="1"/>
  <c r="Q65" i="10"/>
  <c r="M65" i="10"/>
  <c r="R65" i="10"/>
  <c r="O65" i="10"/>
  <c r="K65" i="10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3" i="1"/>
  <c r="D23" i="7"/>
  <c r="D22" i="7"/>
  <c r="D19" i="7"/>
  <c r="D21" i="7"/>
  <c r="T65" i="10" l="1"/>
  <c r="G3" i="1"/>
  <c r="A12" i="10" a="1"/>
  <c r="A12" i="10" s="1"/>
  <c r="B12" i="10" a="1"/>
  <c r="B12" i="10" s="1"/>
  <c r="A13" i="10" a="1"/>
  <c r="A13" i="10" s="1"/>
  <c r="B13" i="10" a="1"/>
  <c r="B13" i="10" s="1"/>
  <c r="A14" i="10" a="1"/>
  <c r="A14" i="10" s="1"/>
  <c r="B14" i="10" a="1"/>
  <c r="B14" i="10" s="1"/>
  <c r="A15" i="10" a="1"/>
  <c r="A15" i="10" s="1"/>
  <c r="J8" i="10"/>
  <c r="J9" i="10"/>
  <c r="J10" i="10"/>
  <c r="J11" i="10"/>
  <c r="J12" i="10"/>
  <c r="J13" i="10"/>
  <c r="J14" i="10"/>
  <c r="J15" i="10"/>
  <c r="R8" i="10"/>
  <c r="R9" i="10"/>
  <c r="R10" i="10"/>
  <c r="R11" i="10"/>
  <c r="R12" i="10"/>
  <c r="R13" i="10"/>
  <c r="R14" i="10"/>
  <c r="R15" i="10"/>
  <c r="Z8" i="10"/>
  <c r="Z9" i="10"/>
  <c r="Z10" i="10"/>
  <c r="Z11" i="10"/>
  <c r="Z12" i="10"/>
  <c r="Z13" i="10"/>
  <c r="Z14" i="10"/>
  <c r="Z15" i="10"/>
  <c r="AH8" i="10"/>
  <c r="AH9" i="10"/>
  <c r="AH10" i="10"/>
  <c r="AH11" i="10"/>
  <c r="AH12" i="10"/>
  <c r="AH13" i="10"/>
  <c r="AH14" i="10"/>
  <c r="AH15" i="10"/>
  <c r="AP8" i="10"/>
  <c r="AP9" i="10"/>
  <c r="AP10" i="10"/>
  <c r="AP11" i="10"/>
  <c r="AP12" i="10"/>
  <c r="AP13" i="10"/>
  <c r="AP14" i="10"/>
  <c r="AP15" i="10"/>
  <c r="AX8" i="10"/>
  <c r="AX9" i="10"/>
  <c r="AX10" i="10"/>
  <c r="AX11" i="10"/>
  <c r="AX12" i="10"/>
  <c r="AX13" i="10"/>
  <c r="AX14" i="10"/>
  <c r="AX15" i="10"/>
  <c r="BF8" i="10"/>
  <c r="BF9" i="10"/>
  <c r="BF10" i="10"/>
  <c r="BF11" i="10"/>
  <c r="BF12" i="10"/>
  <c r="BF13" i="10"/>
  <c r="BF14" i="10"/>
  <c r="BF15" i="10"/>
  <c r="BN8" i="10"/>
  <c r="BN9" i="10"/>
  <c r="BN10" i="10"/>
  <c r="BN11" i="10"/>
  <c r="BN12" i="10"/>
  <c r="BN13" i="10"/>
  <c r="BN14" i="10"/>
  <c r="BN15" i="10"/>
  <c r="BV8" i="10"/>
  <c r="BV9" i="10"/>
  <c r="BV10" i="10"/>
  <c r="BV11" i="10"/>
  <c r="BV12" i="10"/>
  <c r="BV13" i="10"/>
  <c r="BV14" i="10"/>
  <c r="BV15" i="10"/>
  <c r="CD8" i="10"/>
  <c r="CD9" i="10"/>
  <c r="CD10" i="10"/>
  <c r="CD11" i="10"/>
  <c r="CD12" i="10"/>
  <c r="CD13" i="10"/>
  <c r="CD14" i="10"/>
  <c r="CD15" i="10"/>
  <c r="CL8" i="10"/>
  <c r="CL9" i="10"/>
  <c r="CL10" i="10"/>
  <c r="CL11" i="10"/>
  <c r="CL12" i="10"/>
  <c r="CL13" i="10"/>
  <c r="CL14" i="10"/>
  <c r="CL15" i="10"/>
  <c r="CT8" i="10"/>
  <c r="CT9" i="10"/>
  <c r="CT10" i="10"/>
  <c r="CT11" i="10"/>
  <c r="CT12" i="10"/>
  <c r="CT13" i="10"/>
  <c r="CT14" i="10"/>
  <c r="CT15" i="10"/>
  <c r="DB8" i="10"/>
  <c r="DB9" i="10"/>
  <c r="DB10" i="10"/>
  <c r="DB11" i="10"/>
  <c r="DB12" i="10"/>
  <c r="DB13" i="10"/>
  <c r="DB14" i="10"/>
  <c r="DB15" i="10"/>
  <c r="B15" i="10" a="1"/>
  <c r="B15" i="10" s="1"/>
  <c r="DB3" i="10"/>
  <c r="DB4" i="10"/>
  <c r="DB5" i="10"/>
  <c r="DB6" i="10"/>
  <c r="DB7" i="10"/>
  <c r="DB2" i="10"/>
  <c r="CT3" i="10"/>
  <c r="CT4" i="10"/>
  <c r="CT5" i="10"/>
  <c r="CT6" i="10"/>
  <c r="CT7" i="10"/>
  <c r="CT2" i="10"/>
  <c r="CL3" i="10"/>
  <c r="CL4" i="10"/>
  <c r="CL5" i="10"/>
  <c r="CL6" i="10"/>
  <c r="CL7" i="10"/>
  <c r="CL2" i="10"/>
  <c r="CD3" i="10"/>
  <c r="CD4" i="10"/>
  <c r="CD5" i="10"/>
  <c r="CD6" i="10"/>
  <c r="CD7" i="10"/>
  <c r="CD2" i="10"/>
  <c r="BV3" i="10"/>
  <c r="BV4" i="10"/>
  <c r="BV5" i="10"/>
  <c r="BV6" i="10"/>
  <c r="BV7" i="10"/>
  <c r="BV2" i="10"/>
  <c r="BN3" i="10"/>
  <c r="BN4" i="10"/>
  <c r="BN5" i="10"/>
  <c r="BN6" i="10"/>
  <c r="BN7" i="10"/>
  <c r="BF3" i="10"/>
  <c r="BF4" i="10"/>
  <c r="BF5" i="10"/>
  <c r="BF6" i="10"/>
  <c r="BF7" i="10"/>
  <c r="AX3" i="10"/>
  <c r="AX4" i="10"/>
  <c r="AX5" i="10"/>
  <c r="AX6" i="10"/>
  <c r="AX7" i="10"/>
  <c r="AP3" i="10"/>
  <c r="AP4" i="10"/>
  <c r="AP5" i="10"/>
  <c r="AP6" i="10"/>
  <c r="AP7" i="10"/>
  <c r="AH3" i="10"/>
  <c r="AH4" i="10"/>
  <c r="AH5" i="10"/>
  <c r="AH6" i="10"/>
  <c r="AH7" i="10"/>
  <c r="Z3" i="10"/>
  <c r="Z4" i="10"/>
  <c r="Z5" i="10"/>
  <c r="Z6" i="10"/>
  <c r="Z7" i="10"/>
  <c r="R3" i="10"/>
  <c r="R4" i="10"/>
  <c r="R5" i="10"/>
  <c r="R6" i="10"/>
  <c r="R7" i="10"/>
  <c r="J3" i="10"/>
  <c r="J4" i="10"/>
  <c r="J5" i="10"/>
  <c r="J6" i="10"/>
  <c r="J7" i="10"/>
  <c r="H4" i="1" a="1"/>
  <c r="H4" i="1" s="1"/>
  <c r="H5" i="1" a="1"/>
  <c r="H5" i="1" s="1"/>
  <c r="H6" i="1" a="1"/>
  <c r="H6" i="1" s="1"/>
  <c r="H7" i="1" a="1"/>
  <c r="H7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8" i="1" a="1"/>
  <c r="H68" i="1" s="1"/>
  <c r="H69" i="1" a="1"/>
  <c r="H69" i="1" s="1"/>
  <c r="H70" i="1" a="1"/>
  <c r="H70" i="1" s="1"/>
  <c r="H71" i="1" a="1"/>
  <c r="H71" i="1" s="1"/>
  <c r="H72" i="1" a="1"/>
  <c r="H72" i="1" s="1"/>
  <c r="H73" i="1" a="1"/>
  <c r="H73" i="1" s="1"/>
  <c r="H74" i="1" a="1"/>
  <c r="H74" i="1" s="1"/>
  <c r="H75" i="1" a="1"/>
  <c r="H75" i="1" s="1"/>
  <c r="H76" i="1" a="1"/>
  <c r="H76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3" i="1" a="1"/>
  <c r="H83" i="1" s="1"/>
  <c r="H84" i="1" a="1"/>
  <c r="H84" i="1" s="1"/>
  <c r="H85" i="1" a="1"/>
  <c r="H85" i="1" s="1"/>
  <c r="H86" i="1" a="1"/>
  <c r="H86" i="1" s="1"/>
  <c r="H87" i="1" a="1"/>
  <c r="H87" i="1" s="1"/>
  <c r="H88" i="1" a="1"/>
  <c r="H88" i="1" s="1"/>
  <c r="H89" i="1" a="1"/>
  <c r="H89" i="1" s="1"/>
  <c r="H90" i="1" a="1"/>
  <c r="H90" i="1" s="1"/>
  <c r="H91" i="1" a="1"/>
  <c r="H91" i="1" s="1"/>
  <c r="H92" i="1" a="1"/>
  <c r="H92" i="1" s="1"/>
  <c r="H93" i="1" a="1"/>
  <c r="H93" i="1" s="1"/>
  <c r="H94" i="1" a="1"/>
  <c r="H94" i="1" s="1"/>
  <c r="H95" i="1" a="1"/>
  <c r="H95" i="1" s="1"/>
  <c r="H96" i="1" a="1"/>
  <c r="H96" i="1" s="1"/>
  <c r="H97" i="1" a="1"/>
  <c r="H97" i="1" s="1"/>
  <c r="H98" i="1" a="1"/>
  <c r="H98" i="1" s="1"/>
  <c r="H99" i="1" a="1"/>
  <c r="H99" i="1" s="1"/>
  <c r="H100" i="1" a="1"/>
  <c r="H100" i="1" s="1"/>
  <c r="H101" i="1" a="1"/>
  <c r="H101" i="1" s="1"/>
  <c r="H102" i="1" a="1"/>
  <c r="H102" i="1" s="1"/>
  <c r="H103" i="1" a="1"/>
  <c r="H103" i="1" s="1"/>
  <c r="H104" i="1" a="1"/>
  <c r="H104" i="1" s="1"/>
  <c r="H105" i="1" a="1"/>
  <c r="H105" i="1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3" i="1" a="1"/>
  <c r="H113" i="1" s="1"/>
  <c r="H114" i="1" a="1"/>
  <c r="H114" i="1" s="1"/>
  <c r="H115" i="1" a="1"/>
  <c r="H115" i="1" s="1"/>
  <c r="H116" i="1" a="1"/>
  <c r="H116" i="1" s="1"/>
  <c r="H117" i="1" a="1"/>
  <c r="H117" i="1" s="1"/>
  <c r="H118" i="1" a="1"/>
  <c r="H118" i="1" s="1"/>
  <c r="H119" i="1" a="1"/>
  <c r="H119" i="1" s="1"/>
  <c r="H120" i="1" a="1"/>
  <c r="H120" i="1" s="1"/>
  <c r="H121" i="1" a="1"/>
  <c r="H121" i="1" s="1"/>
  <c r="H122" i="1" a="1"/>
  <c r="H122" i="1" s="1"/>
  <c r="H123" i="1" a="1"/>
  <c r="H123" i="1" s="1"/>
  <c r="H124" i="1" a="1"/>
  <c r="H124" i="1" s="1"/>
  <c r="H125" i="1" a="1"/>
  <c r="H125" i="1" s="1"/>
  <c r="H126" i="1" a="1"/>
  <c r="H126" i="1" s="1"/>
  <c r="H127" i="1" a="1"/>
  <c r="H127" i="1" s="1"/>
  <c r="H128" i="1" a="1"/>
  <c r="H128" i="1" s="1"/>
  <c r="H129" i="1" a="1"/>
  <c r="H129" i="1" s="1"/>
  <c r="H130" i="1" a="1"/>
  <c r="H130" i="1" s="1"/>
  <c r="H131" i="1" a="1"/>
  <c r="H131" i="1" s="1"/>
  <c r="H132" i="1" a="1"/>
  <c r="H132" i="1" s="1"/>
  <c r="H133" i="1" a="1"/>
  <c r="H133" i="1" s="1"/>
  <c r="H134" i="1" a="1"/>
  <c r="H134" i="1" s="1"/>
  <c r="H135" i="1" a="1"/>
  <c r="H135" i="1" s="1"/>
  <c r="H136" i="1" a="1"/>
  <c r="H136" i="1" s="1"/>
  <c r="H137" i="1" a="1"/>
  <c r="H137" i="1" s="1"/>
  <c r="H138" i="1" a="1"/>
  <c r="H138" i="1" s="1"/>
  <c r="H139" i="1" a="1"/>
  <c r="H139" i="1" s="1"/>
  <c r="H140" i="1" a="1"/>
  <c r="H140" i="1" s="1"/>
  <c r="H141" i="1" a="1"/>
  <c r="H141" i="1" s="1"/>
  <c r="H142" i="1" a="1"/>
  <c r="H142" i="1" s="1"/>
  <c r="H143" i="1" a="1"/>
  <c r="H143" i="1" s="1"/>
  <c r="H144" i="1" a="1"/>
  <c r="H144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0" i="1" a="1"/>
  <c r="H150" i="1" s="1"/>
  <c r="H151" i="1" a="1"/>
  <c r="H151" i="1" s="1"/>
  <c r="H152" i="1" a="1"/>
  <c r="H152" i="1" s="1"/>
  <c r="H153" i="1" a="1"/>
  <c r="H153" i="1" s="1"/>
  <c r="H154" i="1" a="1"/>
  <c r="H154" i="1" s="1"/>
  <c r="H155" i="1" a="1"/>
  <c r="H155" i="1" s="1"/>
  <c r="H156" i="1" a="1"/>
  <c r="H156" i="1" s="1"/>
  <c r="H157" i="1" a="1"/>
  <c r="H157" i="1" s="1"/>
  <c r="H158" i="1" a="1"/>
  <c r="H158" i="1" s="1"/>
  <c r="H159" i="1" a="1"/>
  <c r="H159" i="1" s="1"/>
  <c r="H160" i="1" a="1"/>
  <c r="H160" i="1" s="1"/>
  <c r="H161" i="1" a="1"/>
  <c r="H161" i="1" s="1"/>
  <c r="H162" i="1" a="1"/>
  <c r="H162" i="1" s="1"/>
  <c r="H163" i="1" a="1"/>
  <c r="H163" i="1" s="1"/>
  <c r="H164" i="1" a="1"/>
  <c r="H164" i="1" s="1"/>
  <c r="H165" i="1" a="1"/>
  <c r="H165" i="1" s="1"/>
  <c r="H166" i="1" a="1"/>
  <c r="H166" i="1" s="1"/>
  <c r="H167" i="1" a="1"/>
  <c r="H167" i="1" s="1"/>
  <c r="H168" i="1" a="1"/>
  <c r="H168" i="1" s="1"/>
  <c r="H169" i="1" a="1"/>
  <c r="H169" i="1" s="1"/>
  <c r="H170" i="1" a="1"/>
  <c r="H170" i="1" s="1"/>
  <c r="H171" i="1" a="1"/>
  <c r="H171" i="1" s="1"/>
  <c r="H172" i="1" a="1"/>
  <c r="H172" i="1" s="1"/>
  <c r="H173" i="1" a="1"/>
  <c r="H173" i="1" s="1"/>
  <c r="H174" i="1" a="1"/>
  <c r="H174" i="1" s="1"/>
  <c r="H175" i="1" a="1"/>
  <c r="H175" i="1" s="1"/>
  <c r="H176" i="1" a="1"/>
  <c r="H176" i="1" s="1"/>
  <c r="H177" i="1" a="1"/>
  <c r="H177" i="1" s="1"/>
  <c r="H178" i="1" a="1"/>
  <c r="H178" i="1" s="1"/>
  <c r="H179" i="1" a="1"/>
  <c r="H179" i="1" s="1"/>
  <c r="H180" i="1" a="1"/>
  <c r="H180" i="1" s="1"/>
  <c r="H181" i="1" a="1"/>
  <c r="H181" i="1" s="1"/>
  <c r="H182" i="1" a="1"/>
  <c r="H182" i="1" s="1"/>
  <c r="H183" i="1" a="1"/>
  <c r="H183" i="1" s="1"/>
  <c r="H184" i="1" a="1"/>
  <c r="H184" i="1" s="1"/>
  <c r="H185" i="1" a="1"/>
  <c r="H185" i="1" s="1"/>
  <c r="H186" i="1" a="1"/>
  <c r="H186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193" i="1" a="1"/>
  <c r="H193" i="1" s="1"/>
  <c r="H194" i="1" a="1"/>
  <c r="H194" i="1" s="1"/>
  <c r="H195" i="1" a="1"/>
  <c r="H195" i="1" s="1"/>
  <c r="H196" i="1" a="1"/>
  <c r="H196" i="1" s="1"/>
  <c r="H197" i="1" a="1"/>
  <c r="H197" i="1" s="1"/>
  <c r="H198" i="1" a="1"/>
  <c r="H198" i="1" s="1"/>
  <c r="H199" i="1" a="1"/>
  <c r="H199" i="1" s="1"/>
  <c r="H200" i="1" a="1"/>
  <c r="H200" i="1" s="1"/>
  <c r="H201" i="1" a="1"/>
  <c r="H201" i="1" s="1"/>
  <c r="H202" i="1" a="1"/>
  <c r="H202" i="1" s="1"/>
  <c r="H203" i="1" a="1"/>
  <c r="H203" i="1" s="1"/>
  <c r="H204" i="1" a="1"/>
  <c r="H204" i="1" s="1"/>
  <c r="H205" i="1" a="1"/>
  <c r="H205" i="1" s="1"/>
  <c r="H206" i="1" a="1"/>
  <c r="H206" i="1" s="1"/>
  <c r="H207" i="1" a="1"/>
  <c r="H207" i="1" s="1"/>
  <c r="H208" i="1" a="1"/>
  <c r="H208" i="1" s="1"/>
  <c r="H209" i="1" a="1"/>
  <c r="H209" i="1" s="1"/>
  <c r="H210" i="1" a="1"/>
  <c r="H210" i="1" s="1"/>
  <c r="H211" i="1" a="1"/>
  <c r="H211" i="1" s="1"/>
  <c r="H212" i="1" a="1"/>
  <c r="H212" i="1" s="1"/>
  <c r="H213" i="1" a="1"/>
  <c r="H213" i="1" s="1"/>
  <c r="H214" i="1" a="1"/>
  <c r="H214" i="1" s="1"/>
  <c r="H215" i="1" a="1"/>
  <c r="H215" i="1" s="1"/>
  <c r="H216" i="1" a="1"/>
  <c r="H216" i="1" s="1"/>
  <c r="H217" i="1" a="1"/>
  <c r="H217" i="1" s="1"/>
  <c r="H218" i="1" a="1"/>
  <c r="H218" i="1" s="1"/>
  <c r="H219" i="1" a="1"/>
  <c r="H219" i="1" s="1"/>
  <c r="H220" i="1" a="1"/>
  <c r="H220" i="1" s="1"/>
  <c r="H221" i="1" a="1"/>
  <c r="H221" i="1" s="1"/>
  <c r="H222" i="1" a="1"/>
  <c r="H222" i="1" s="1"/>
  <c r="H223" i="1" a="1"/>
  <c r="H223" i="1" s="1"/>
  <c r="H224" i="1" a="1"/>
  <c r="H224" i="1" s="1"/>
  <c r="H225" i="1" a="1"/>
  <c r="H225" i="1" s="1"/>
  <c r="H226" i="1" a="1"/>
  <c r="H226" i="1" s="1"/>
  <c r="H227" i="1" a="1"/>
  <c r="H227" i="1" s="1"/>
  <c r="H228" i="1" a="1"/>
  <c r="H228" i="1" s="1"/>
  <c r="H229" i="1" a="1"/>
  <c r="H229" i="1" s="1"/>
  <c r="H230" i="1" a="1"/>
  <c r="H230" i="1" s="1"/>
  <c r="H231" i="1" a="1"/>
  <c r="H231" i="1" s="1"/>
  <c r="H232" i="1" a="1"/>
  <c r="H232" i="1" s="1"/>
  <c r="H233" i="1" a="1"/>
  <c r="H233" i="1" s="1"/>
  <c r="H234" i="1" a="1"/>
  <c r="H234" i="1" s="1"/>
  <c r="H235" i="1" a="1"/>
  <c r="H235" i="1" s="1"/>
  <c r="H236" i="1" a="1"/>
  <c r="H236" i="1" s="1"/>
  <c r="H237" i="1" a="1"/>
  <c r="H237" i="1" s="1"/>
  <c r="H238" i="1" a="1"/>
  <c r="H238" i="1" s="1"/>
  <c r="H239" i="1" a="1"/>
  <c r="H239" i="1" s="1"/>
  <c r="H240" i="1" a="1"/>
  <c r="H240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7" i="1" a="1"/>
  <c r="H247" i="1" s="1"/>
  <c r="H248" i="1" a="1"/>
  <c r="H248" i="1" s="1"/>
  <c r="H249" i="1" a="1"/>
  <c r="H249" i="1" s="1"/>
  <c r="H250" i="1" a="1"/>
  <c r="H250" i="1" s="1"/>
  <c r="H251" i="1" a="1"/>
  <c r="H251" i="1" s="1"/>
  <c r="H252" i="1" a="1"/>
  <c r="H252" i="1" s="1"/>
  <c r="H253" i="1" a="1"/>
  <c r="H253" i="1" s="1"/>
  <c r="H254" i="1" a="1"/>
  <c r="H254" i="1" s="1"/>
  <c r="H255" i="1" a="1"/>
  <c r="H255" i="1" s="1"/>
  <c r="H256" i="1" a="1"/>
  <c r="H256" i="1" s="1"/>
  <c r="H257" i="1" a="1"/>
  <c r="H257" i="1" s="1"/>
  <c r="H258" i="1" a="1"/>
  <c r="H258" i="1" s="1"/>
  <c r="H259" i="1" a="1"/>
  <c r="H259" i="1" s="1"/>
  <c r="H260" i="1" a="1"/>
  <c r="H260" i="1" s="1"/>
  <c r="H261" i="1" a="1"/>
  <c r="H261" i="1" s="1"/>
  <c r="H262" i="1" a="1"/>
  <c r="H262" i="1" s="1"/>
  <c r="H263" i="1" a="1"/>
  <c r="H263" i="1" s="1"/>
  <c r="H264" i="1" a="1"/>
  <c r="H264" i="1" s="1"/>
  <c r="H265" i="1" a="1"/>
  <c r="H265" i="1" s="1"/>
  <c r="H266" i="1" a="1"/>
  <c r="H266" i="1" s="1"/>
  <c r="H267" i="1" a="1"/>
  <c r="H267" i="1" s="1"/>
  <c r="H268" i="1" a="1"/>
  <c r="H268" i="1" s="1"/>
  <c r="H269" i="1" a="1"/>
  <c r="H269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6" i="1" a="1"/>
  <c r="H276" i="1" s="1"/>
  <c r="H277" i="1" a="1"/>
  <c r="H277" i="1" s="1"/>
  <c r="H278" i="1" a="1"/>
  <c r="H278" i="1" s="1"/>
  <c r="H279" i="1" a="1"/>
  <c r="H279" i="1" s="1"/>
  <c r="H280" i="1" a="1"/>
  <c r="H280" i="1" s="1"/>
  <c r="H281" i="1" a="1"/>
  <c r="H281" i="1" s="1"/>
  <c r="H282" i="1" a="1"/>
  <c r="H282" i="1" s="1"/>
  <c r="H283" i="1" a="1"/>
  <c r="H283" i="1" s="1"/>
  <c r="H284" i="1" a="1"/>
  <c r="H284" i="1" s="1"/>
  <c r="H285" i="1" a="1"/>
  <c r="H285" i="1" s="1"/>
  <c r="H286" i="1" a="1"/>
  <c r="H286" i="1" s="1"/>
  <c r="H287" i="1" a="1"/>
  <c r="H287" i="1" s="1"/>
  <c r="H288" i="1" a="1"/>
  <c r="H288" i="1" s="1"/>
  <c r="H289" i="1" a="1"/>
  <c r="H289" i="1" s="1"/>
  <c r="H290" i="1" a="1"/>
  <c r="H290" i="1" s="1"/>
  <c r="H291" i="1" a="1"/>
  <c r="H291" i="1" s="1"/>
  <c r="H292" i="1" a="1"/>
  <c r="H292" i="1" s="1"/>
  <c r="H293" i="1" a="1"/>
  <c r="H293" i="1" s="1"/>
  <c r="H294" i="1" a="1"/>
  <c r="H294" i="1" s="1"/>
  <c r="H295" i="1" a="1"/>
  <c r="H295" i="1" s="1"/>
  <c r="H296" i="1" a="1"/>
  <c r="H296" i="1" s="1"/>
  <c r="H297" i="1" a="1"/>
  <c r="H297" i="1" s="1"/>
  <c r="H298" i="1" a="1"/>
  <c r="H298" i="1" s="1"/>
  <c r="H299" i="1" a="1"/>
  <c r="H299" i="1" s="1"/>
  <c r="H300" i="1" a="1"/>
  <c r="H300" i="1" s="1"/>
  <c r="H301" i="1" a="1"/>
  <c r="H301" i="1" s="1"/>
  <c r="H302" i="1" a="1"/>
  <c r="H302" i="1" s="1"/>
  <c r="H303" i="1" a="1"/>
  <c r="H303" i="1" s="1"/>
  <c r="H304" i="1" a="1"/>
  <c r="H304" i="1" s="1"/>
  <c r="H305" i="1" a="1"/>
  <c r="H305" i="1" s="1"/>
  <c r="H306" i="1" a="1"/>
  <c r="H306" i="1" s="1"/>
  <c r="H307" i="1" a="1"/>
  <c r="H307" i="1" s="1"/>
  <c r="H308" i="1" a="1"/>
  <c r="H308" i="1" s="1"/>
  <c r="H309" i="1" a="1"/>
  <c r="H309" i="1" s="1"/>
  <c r="H310" i="1" a="1"/>
  <c r="H310" i="1" s="1"/>
  <c r="H311" i="1" a="1"/>
  <c r="H311" i="1" s="1"/>
  <c r="H312" i="1" a="1"/>
  <c r="H312" i="1" s="1"/>
  <c r="H313" i="1" a="1"/>
  <c r="H313" i="1" s="1"/>
  <c r="H314" i="1" a="1"/>
  <c r="H314" i="1" s="1"/>
  <c r="H315" i="1" a="1"/>
  <c r="H315" i="1" s="1"/>
  <c r="H316" i="1" a="1"/>
  <c r="H316" i="1" s="1"/>
  <c r="H317" i="1" a="1"/>
  <c r="H317" i="1" s="1"/>
  <c r="H318" i="1" a="1"/>
  <c r="H318" i="1" s="1"/>
  <c r="H319" i="1" a="1"/>
  <c r="H319" i="1" s="1"/>
  <c r="H320" i="1" a="1"/>
  <c r="H320" i="1" s="1"/>
  <c r="H321" i="1" a="1"/>
  <c r="H321" i="1" s="1"/>
  <c r="H322" i="1" a="1"/>
  <c r="H322" i="1" s="1"/>
  <c r="H323" i="1" a="1"/>
  <c r="H323" i="1" s="1"/>
  <c r="H324" i="1" a="1"/>
  <c r="H324" i="1" s="1"/>
  <c r="H325" i="1" a="1"/>
  <c r="H325" i="1" s="1"/>
  <c r="H326" i="1" a="1"/>
  <c r="H326" i="1" s="1"/>
  <c r="H327" i="1" a="1"/>
  <c r="H327" i="1" s="1"/>
  <c r="H328" i="1" a="1"/>
  <c r="H328" i="1" s="1"/>
  <c r="H329" i="1" a="1"/>
  <c r="H329" i="1" s="1"/>
  <c r="H330" i="1" a="1"/>
  <c r="H330" i="1" s="1"/>
  <c r="H331" i="1" a="1"/>
  <c r="H331" i="1" s="1"/>
  <c r="H332" i="1" a="1"/>
  <c r="H332" i="1" s="1"/>
  <c r="H333" i="1" a="1"/>
  <c r="H333" i="1" s="1"/>
  <c r="H334" i="1" a="1"/>
  <c r="H334" i="1" s="1"/>
  <c r="H335" i="1" a="1"/>
  <c r="H335" i="1" s="1"/>
  <c r="H336" i="1" a="1"/>
  <c r="H336" i="1" s="1"/>
  <c r="H337" i="1" a="1"/>
  <c r="H337" i="1" s="1"/>
  <c r="H338" i="1" a="1"/>
  <c r="H338" i="1" s="1"/>
  <c r="H339" i="1" a="1"/>
  <c r="H339" i="1" s="1"/>
  <c r="H340" i="1" a="1"/>
  <c r="H340" i="1" s="1"/>
  <c r="H341" i="1" a="1"/>
  <c r="H341" i="1" s="1"/>
  <c r="H342" i="1" a="1"/>
  <c r="H342" i="1" s="1"/>
  <c r="H343" i="1" a="1"/>
  <c r="H343" i="1" s="1"/>
  <c r="H344" i="1" a="1"/>
  <c r="H344" i="1" s="1"/>
  <c r="H345" i="1" a="1"/>
  <c r="H345" i="1" s="1"/>
  <c r="H346" i="1" a="1"/>
  <c r="H346" i="1" s="1"/>
  <c r="H347" i="1" a="1"/>
  <c r="H347" i="1" s="1"/>
  <c r="H348" i="1" a="1"/>
  <c r="H348" i="1" s="1"/>
  <c r="H349" i="1" a="1"/>
  <c r="H349" i="1" s="1"/>
  <c r="H350" i="1" a="1"/>
  <c r="H350" i="1" s="1"/>
  <c r="H351" i="1" a="1"/>
  <c r="H351" i="1" s="1"/>
  <c r="H352" i="1" a="1"/>
  <c r="H352" i="1" s="1"/>
  <c r="H353" i="1" a="1"/>
  <c r="H353" i="1" s="1"/>
  <c r="H354" i="1" a="1"/>
  <c r="H354" i="1" s="1"/>
  <c r="H355" i="1" a="1"/>
  <c r="H355" i="1" s="1"/>
  <c r="H356" i="1" a="1"/>
  <c r="H356" i="1" s="1"/>
  <c r="H357" i="1" a="1"/>
  <c r="H357" i="1" s="1"/>
  <c r="H358" i="1" a="1"/>
  <c r="H358" i="1" s="1"/>
  <c r="H359" i="1" a="1"/>
  <c r="H359" i="1" s="1"/>
  <c r="H360" i="1" a="1"/>
  <c r="H360" i="1" s="1"/>
  <c r="H361" i="1" a="1"/>
  <c r="H361" i="1" s="1"/>
  <c r="H362" i="1" a="1"/>
  <c r="H362" i="1" s="1"/>
  <c r="H363" i="1" a="1"/>
  <c r="H363" i="1" s="1"/>
  <c r="H364" i="1" a="1"/>
  <c r="H364" i="1" s="1"/>
  <c r="H365" i="1" a="1"/>
  <c r="H365" i="1" s="1"/>
  <c r="H366" i="1" a="1"/>
  <c r="H366" i="1" s="1"/>
  <c r="H367" i="1" a="1"/>
  <c r="H367" i="1" s="1"/>
  <c r="H368" i="1" a="1"/>
  <c r="H368" i="1" s="1"/>
  <c r="H369" i="1" a="1"/>
  <c r="H369" i="1" s="1"/>
  <c r="H370" i="1" a="1"/>
  <c r="H370" i="1" s="1"/>
  <c r="H371" i="1" a="1"/>
  <c r="H371" i="1" s="1"/>
  <c r="H372" i="1" a="1"/>
  <c r="H372" i="1" s="1"/>
  <c r="H373" i="1" a="1"/>
  <c r="H373" i="1" s="1"/>
  <c r="H374" i="1" a="1"/>
  <c r="H374" i="1" s="1"/>
  <c r="H375" i="1" a="1"/>
  <c r="H375" i="1" s="1"/>
  <c r="H376" i="1" a="1"/>
  <c r="H376" i="1" s="1"/>
  <c r="H377" i="1" a="1"/>
  <c r="H377" i="1" s="1"/>
  <c r="H378" i="1" a="1"/>
  <c r="H378" i="1" s="1"/>
  <c r="H379" i="1" a="1"/>
  <c r="H379" i="1" s="1"/>
  <c r="H380" i="1" a="1"/>
  <c r="H380" i="1" s="1"/>
  <c r="H381" i="1" a="1"/>
  <c r="H381" i="1" s="1"/>
  <c r="H382" i="1" a="1"/>
  <c r="H382" i="1" s="1"/>
  <c r="H383" i="1" a="1"/>
  <c r="H383" i="1" s="1"/>
  <c r="H384" i="1" a="1"/>
  <c r="H384" i="1" s="1"/>
  <c r="H385" i="1" a="1"/>
  <c r="H385" i="1" s="1"/>
  <c r="H386" i="1" a="1"/>
  <c r="H386" i="1" s="1"/>
  <c r="H387" i="1" a="1"/>
  <c r="H387" i="1" s="1"/>
  <c r="H388" i="1" a="1"/>
  <c r="H388" i="1" s="1"/>
  <c r="H389" i="1" a="1"/>
  <c r="H389" i="1" s="1"/>
  <c r="H390" i="1" a="1"/>
  <c r="H390" i="1" s="1"/>
  <c r="H391" i="1" a="1"/>
  <c r="H391" i="1" s="1"/>
  <c r="H392" i="1" a="1"/>
  <c r="H392" i="1" s="1"/>
  <c r="H393" i="1" a="1"/>
  <c r="H393" i="1" s="1"/>
  <c r="H394" i="1" a="1"/>
  <c r="H394" i="1" s="1"/>
  <c r="H395" i="1" a="1"/>
  <c r="H395" i="1" s="1"/>
  <c r="H396" i="1" a="1"/>
  <c r="H396" i="1" s="1"/>
  <c r="H397" i="1" a="1"/>
  <c r="H397" i="1" s="1"/>
  <c r="H398" i="1" a="1"/>
  <c r="H398" i="1" s="1"/>
  <c r="H399" i="1" a="1"/>
  <c r="H399" i="1" s="1"/>
  <c r="H400" i="1" a="1"/>
  <c r="H400" i="1" s="1"/>
  <c r="H401" i="1" a="1"/>
  <c r="H401" i="1" s="1"/>
  <c r="H402" i="1" a="1"/>
  <c r="H402" i="1" s="1"/>
  <c r="H403" i="1" a="1"/>
  <c r="H403" i="1" s="1"/>
  <c r="H404" i="1" a="1"/>
  <c r="H404" i="1" s="1"/>
  <c r="H405" i="1" a="1"/>
  <c r="H405" i="1" s="1"/>
  <c r="H406" i="1" a="1"/>
  <c r="H406" i="1" s="1"/>
  <c r="H407" i="1" a="1"/>
  <c r="H407" i="1" s="1"/>
  <c r="H408" i="1" a="1"/>
  <c r="H408" i="1" s="1"/>
  <c r="H409" i="1" a="1"/>
  <c r="H409" i="1" s="1"/>
  <c r="H410" i="1" a="1"/>
  <c r="H410" i="1" s="1"/>
  <c r="H411" i="1" a="1"/>
  <c r="H411" i="1" s="1"/>
  <c r="H412" i="1" a="1"/>
  <c r="H412" i="1" s="1"/>
  <c r="H413" i="1" a="1"/>
  <c r="H413" i="1" s="1"/>
  <c r="H414" i="1" a="1"/>
  <c r="H414" i="1" s="1"/>
  <c r="H415" i="1" a="1"/>
  <c r="H415" i="1" s="1"/>
  <c r="H416" i="1" a="1"/>
  <c r="H416" i="1" s="1"/>
  <c r="H417" i="1" a="1"/>
  <c r="H417" i="1" s="1"/>
  <c r="H418" i="1" a="1"/>
  <c r="H418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4" i="1" a="1"/>
  <c r="H424" i="1" s="1"/>
  <c r="H425" i="1" a="1"/>
  <c r="H425" i="1" s="1"/>
  <c r="H426" i="1" a="1"/>
  <c r="H426" i="1" s="1"/>
  <c r="H427" i="1" a="1"/>
  <c r="H427" i="1" s="1"/>
  <c r="H428" i="1" a="1"/>
  <c r="H428" i="1" s="1"/>
  <c r="H429" i="1" a="1"/>
  <c r="H429" i="1" s="1"/>
  <c r="H430" i="1" a="1"/>
  <c r="H430" i="1" s="1"/>
  <c r="H431" i="1" a="1"/>
  <c r="H431" i="1" s="1"/>
  <c r="H432" i="1" a="1"/>
  <c r="H432" i="1" s="1"/>
  <c r="H433" i="1" a="1"/>
  <c r="H433" i="1" s="1"/>
  <c r="H434" i="1" a="1"/>
  <c r="H434" i="1" s="1"/>
  <c r="H435" i="1" a="1"/>
  <c r="H435" i="1" s="1"/>
  <c r="H436" i="1" a="1"/>
  <c r="H436" i="1" s="1"/>
  <c r="H437" i="1" a="1"/>
  <c r="H437" i="1" s="1"/>
  <c r="H438" i="1" a="1"/>
  <c r="H438" i="1" s="1"/>
  <c r="H439" i="1" a="1"/>
  <c r="H439" i="1" s="1"/>
  <c r="H440" i="1" a="1"/>
  <c r="H440" i="1" s="1"/>
  <c r="H441" i="1" a="1"/>
  <c r="H441" i="1" s="1"/>
  <c r="H442" i="1" a="1"/>
  <c r="H442" i="1" s="1"/>
  <c r="H443" i="1" a="1"/>
  <c r="H443" i="1" s="1"/>
  <c r="H444" i="1" a="1"/>
  <c r="H444" i="1" s="1"/>
  <c r="H445" i="1" a="1"/>
  <c r="H445" i="1" s="1"/>
  <c r="H446" i="1" a="1"/>
  <c r="H446" i="1" s="1"/>
  <c r="H447" i="1" a="1"/>
  <c r="H447" i="1" s="1"/>
  <c r="H448" i="1" a="1"/>
  <c r="H448" i="1" s="1"/>
  <c r="H449" i="1" a="1"/>
  <c r="H449" i="1" s="1"/>
  <c r="H450" i="1" a="1"/>
  <c r="H450" i="1" s="1"/>
  <c r="H451" i="1" a="1"/>
  <c r="H451" i="1" s="1"/>
  <c r="H452" i="1" a="1"/>
  <c r="H452" i="1" s="1"/>
  <c r="H453" i="1" a="1"/>
  <c r="H453" i="1" s="1"/>
  <c r="H454" i="1" a="1"/>
  <c r="H454" i="1" s="1"/>
  <c r="H455" i="1" a="1"/>
  <c r="H455" i="1" s="1"/>
  <c r="H456" i="1" a="1"/>
  <c r="H456" i="1" s="1"/>
  <c r="H457" i="1" a="1"/>
  <c r="H457" i="1" s="1"/>
  <c r="H458" i="1" a="1"/>
  <c r="H458" i="1" s="1"/>
  <c r="H459" i="1" a="1"/>
  <c r="H459" i="1" s="1"/>
  <c r="H460" i="1" a="1"/>
  <c r="H460" i="1" s="1"/>
  <c r="H461" i="1" a="1"/>
  <c r="H461" i="1" s="1"/>
  <c r="H462" i="1" a="1"/>
  <c r="H462" i="1" s="1"/>
  <c r="H463" i="1" a="1"/>
  <c r="H463" i="1" s="1"/>
  <c r="H464" i="1" a="1"/>
  <c r="H464" i="1" s="1"/>
  <c r="H465" i="1" a="1"/>
  <c r="H465" i="1" s="1"/>
  <c r="H466" i="1" a="1"/>
  <c r="H466" i="1" s="1"/>
  <c r="H467" i="1" a="1"/>
  <c r="H467" i="1" s="1"/>
  <c r="H468" i="1" a="1"/>
  <c r="H468" i="1" s="1"/>
  <c r="H469" i="1" a="1"/>
  <c r="H469" i="1" s="1"/>
  <c r="H470" i="1" a="1"/>
  <c r="H470" i="1" s="1"/>
  <c r="H471" i="1" a="1"/>
  <c r="H471" i="1" s="1"/>
  <c r="H472" i="1" a="1"/>
  <c r="H472" i="1" s="1"/>
  <c r="H473" i="1" a="1"/>
  <c r="H473" i="1" s="1"/>
  <c r="H474" i="1" a="1"/>
  <c r="H474" i="1" s="1"/>
  <c r="H475" i="1" a="1"/>
  <c r="H475" i="1" s="1"/>
  <c r="H476" i="1" a="1"/>
  <c r="H476" i="1" s="1"/>
  <c r="H477" i="1" a="1"/>
  <c r="H477" i="1" s="1"/>
  <c r="H478" i="1" a="1"/>
  <c r="H478" i="1" s="1"/>
  <c r="H479" i="1" a="1"/>
  <c r="H479" i="1" s="1"/>
  <c r="H480" i="1" a="1"/>
  <c r="H480" i="1" s="1"/>
  <c r="H481" i="1" a="1"/>
  <c r="H481" i="1" s="1"/>
  <c r="H482" i="1" a="1"/>
  <c r="H482" i="1" s="1"/>
  <c r="H483" i="1" a="1"/>
  <c r="H483" i="1" s="1"/>
  <c r="H484" i="1" a="1"/>
  <c r="H484" i="1" s="1"/>
  <c r="H485" i="1" a="1"/>
  <c r="H485" i="1" s="1"/>
  <c r="H486" i="1" a="1"/>
  <c r="H486" i="1" s="1"/>
  <c r="H487" i="1" a="1"/>
  <c r="H487" i="1" s="1"/>
  <c r="H488" i="1" a="1"/>
  <c r="H488" i="1" s="1"/>
  <c r="H489" i="1" a="1"/>
  <c r="H489" i="1" s="1"/>
  <c r="H490" i="1" a="1"/>
  <c r="H490" i="1" s="1"/>
  <c r="H491" i="1" a="1"/>
  <c r="H491" i="1" s="1"/>
  <c r="H492" i="1" a="1"/>
  <c r="H492" i="1" s="1"/>
  <c r="H493" i="1" a="1"/>
  <c r="H493" i="1" s="1"/>
  <c r="H494" i="1" a="1"/>
  <c r="H494" i="1" s="1"/>
  <c r="H495" i="1" a="1"/>
  <c r="H495" i="1" s="1"/>
  <c r="H496" i="1" a="1"/>
  <c r="H496" i="1" s="1"/>
  <c r="H497" i="1" a="1"/>
  <c r="H497" i="1" s="1"/>
  <c r="H498" i="1" a="1"/>
  <c r="H498" i="1" s="1"/>
  <c r="H499" i="1" a="1"/>
  <c r="H499" i="1" s="1"/>
  <c r="H500" i="1" a="1"/>
  <c r="H500" i="1" s="1"/>
  <c r="H501" i="1" a="1"/>
  <c r="H501" i="1" s="1"/>
  <c r="H502" i="1" a="1"/>
  <c r="H502" i="1" s="1"/>
  <c r="H503" i="1" a="1"/>
  <c r="H503" i="1" s="1"/>
  <c r="H504" i="1" a="1"/>
  <c r="H504" i="1" s="1"/>
  <c r="H505" i="1" a="1"/>
  <c r="H505" i="1" s="1"/>
  <c r="H506" i="1" a="1"/>
  <c r="H506" i="1" s="1"/>
  <c r="H507" i="1" a="1"/>
  <c r="H507" i="1" s="1"/>
  <c r="H508" i="1" a="1"/>
  <c r="H508" i="1" s="1"/>
  <c r="H509" i="1" a="1"/>
  <c r="H509" i="1" s="1"/>
  <c r="H510" i="1" a="1"/>
  <c r="H510" i="1" s="1"/>
  <c r="H511" i="1" a="1"/>
  <c r="H511" i="1" s="1"/>
  <c r="H512" i="1" a="1"/>
  <c r="H512" i="1" s="1"/>
  <c r="H513" i="1" a="1"/>
  <c r="H513" i="1" s="1"/>
  <c r="H514" i="1" a="1"/>
  <c r="H514" i="1" s="1"/>
  <c r="H515" i="1" a="1"/>
  <c r="H515" i="1" s="1"/>
  <c r="H516" i="1" a="1"/>
  <c r="H516" i="1" s="1"/>
  <c r="H517" i="1" a="1"/>
  <c r="H517" i="1" s="1"/>
  <c r="H518" i="1" a="1"/>
  <c r="H518" i="1" s="1"/>
  <c r="H519" i="1" a="1"/>
  <c r="H519" i="1" s="1"/>
  <c r="H520" i="1" a="1"/>
  <c r="H520" i="1" s="1"/>
  <c r="H521" i="1" a="1"/>
  <c r="H521" i="1" s="1"/>
  <c r="H522" i="1" a="1"/>
  <c r="H522" i="1" s="1"/>
  <c r="H523" i="1" a="1"/>
  <c r="H523" i="1" s="1"/>
  <c r="H524" i="1" a="1"/>
  <c r="H524" i="1" s="1"/>
  <c r="H525" i="1" a="1"/>
  <c r="H525" i="1" s="1"/>
  <c r="H526" i="1" a="1"/>
  <c r="H526" i="1" s="1"/>
  <c r="H527" i="1" a="1"/>
  <c r="H527" i="1" s="1"/>
  <c r="H528" i="1" a="1"/>
  <c r="H528" i="1" s="1"/>
  <c r="H529" i="1" a="1"/>
  <c r="H529" i="1" s="1"/>
  <c r="H530" i="1" a="1"/>
  <c r="H530" i="1" s="1"/>
  <c r="H531" i="1" a="1"/>
  <c r="H531" i="1" s="1"/>
  <c r="H532" i="1" a="1"/>
  <c r="H532" i="1" s="1"/>
  <c r="H533" i="1" a="1"/>
  <c r="H533" i="1" s="1"/>
  <c r="H534" i="1" a="1"/>
  <c r="H534" i="1" s="1"/>
  <c r="H535" i="1" a="1"/>
  <c r="H535" i="1" s="1"/>
  <c r="H536" i="1" a="1"/>
  <c r="H536" i="1" s="1"/>
  <c r="H537" i="1" a="1"/>
  <c r="H537" i="1" s="1"/>
  <c r="H538" i="1" a="1"/>
  <c r="H538" i="1" s="1"/>
  <c r="H539" i="1" a="1"/>
  <c r="H539" i="1" s="1"/>
  <c r="H540" i="1" a="1"/>
  <c r="H540" i="1" s="1"/>
  <c r="H541" i="1" a="1"/>
  <c r="H541" i="1" s="1"/>
  <c r="H542" i="1" a="1"/>
  <c r="H542" i="1" s="1"/>
  <c r="H543" i="1" a="1"/>
  <c r="H543" i="1" s="1"/>
  <c r="H544" i="1" a="1"/>
  <c r="H544" i="1" s="1"/>
  <c r="H545" i="1" a="1"/>
  <c r="H545" i="1" s="1"/>
  <c r="H546" i="1" a="1"/>
  <c r="H546" i="1" s="1"/>
  <c r="H547" i="1" a="1"/>
  <c r="H547" i="1" s="1"/>
  <c r="H548" i="1" a="1"/>
  <c r="H548" i="1" s="1"/>
  <c r="H549" i="1" a="1"/>
  <c r="H549" i="1" s="1"/>
  <c r="H550" i="1" a="1"/>
  <c r="H550" i="1" s="1"/>
  <c r="H551" i="1" a="1"/>
  <c r="H551" i="1" s="1"/>
  <c r="H552" i="1" a="1"/>
  <c r="H552" i="1" s="1"/>
  <c r="H553" i="1" a="1"/>
  <c r="H553" i="1" s="1"/>
  <c r="H554" i="1" a="1"/>
  <c r="H554" i="1" s="1"/>
  <c r="H555" i="1" a="1"/>
  <c r="H555" i="1" s="1"/>
  <c r="H556" i="1" a="1"/>
  <c r="H556" i="1" s="1"/>
  <c r="H557" i="1" a="1"/>
  <c r="H557" i="1" s="1"/>
  <c r="H558" i="1" a="1"/>
  <c r="H558" i="1" s="1"/>
  <c r="H559" i="1" a="1"/>
  <c r="H559" i="1" s="1"/>
  <c r="H560" i="1" a="1"/>
  <c r="H560" i="1" s="1"/>
  <c r="H561" i="1" a="1"/>
  <c r="H561" i="1" s="1"/>
  <c r="H562" i="1" a="1"/>
  <c r="H562" i="1" s="1"/>
  <c r="H563" i="1" a="1"/>
  <c r="H563" i="1" s="1"/>
  <c r="H564" i="1" a="1"/>
  <c r="H564" i="1" s="1"/>
  <c r="H565" i="1" a="1"/>
  <c r="H565" i="1" s="1"/>
  <c r="H566" i="1" a="1"/>
  <c r="H566" i="1" s="1"/>
  <c r="H567" i="1" a="1"/>
  <c r="H567" i="1" s="1"/>
  <c r="H568" i="1" a="1"/>
  <c r="H568" i="1" s="1"/>
  <c r="H569" i="1" a="1"/>
  <c r="H569" i="1" s="1"/>
  <c r="H570" i="1" a="1"/>
  <c r="H570" i="1" s="1"/>
  <c r="H571" i="1" a="1"/>
  <c r="H571" i="1" s="1"/>
  <c r="H572" i="1" a="1"/>
  <c r="H572" i="1" s="1"/>
  <c r="H573" i="1" a="1"/>
  <c r="H573" i="1" s="1"/>
  <c r="H574" i="1" a="1"/>
  <c r="H574" i="1" s="1"/>
  <c r="H575" i="1" a="1"/>
  <c r="H575" i="1" s="1"/>
  <c r="H576" i="1" a="1"/>
  <c r="H576" i="1" s="1"/>
  <c r="H577" i="1" a="1"/>
  <c r="H577" i="1" s="1"/>
  <c r="H578" i="1" a="1"/>
  <c r="H578" i="1" s="1"/>
  <c r="H579" i="1" a="1"/>
  <c r="H579" i="1" s="1"/>
  <c r="H580" i="1" a="1"/>
  <c r="H580" i="1" s="1"/>
  <c r="H581" i="1" a="1"/>
  <c r="H581" i="1" s="1"/>
  <c r="H582" i="1" a="1"/>
  <c r="H582" i="1" s="1"/>
  <c r="H583" i="1" a="1"/>
  <c r="H583" i="1" s="1"/>
  <c r="H584" i="1" a="1"/>
  <c r="H584" i="1" s="1"/>
  <c r="H585" i="1" a="1"/>
  <c r="H585" i="1" s="1"/>
  <c r="H586" i="1" a="1"/>
  <c r="H586" i="1" s="1"/>
  <c r="H587" i="1" a="1"/>
  <c r="H587" i="1" s="1"/>
  <c r="H588" i="1" a="1"/>
  <c r="H588" i="1" s="1"/>
  <c r="H589" i="1" a="1"/>
  <c r="H589" i="1" s="1"/>
  <c r="H590" i="1" a="1"/>
  <c r="H590" i="1" s="1"/>
  <c r="H591" i="1" a="1"/>
  <c r="H591" i="1" s="1"/>
  <c r="H592" i="1" a="1"/>
  <c r="H592" i="1" s="1"/>
  <c r="H593" i="1" a="1"/>
  <c r="H593" i="1" s="1"/>
  <c r="H594" i="1" a="1"/>
  <c r="H594" i="1" s="1"/>
  <c r="H595" i="1" a="1"/>
  <c r="H595" i="1" s="1"/>
  <c r="H596" i="1" a="1"/>
  <c r="H596" i="1" s="1"/>
  <c r="H597" i="1" a="1"/>
  <c r="H597" i="1" s="1"/>
  <c r="H598" i="1" a="1"/>
  <c r="H598" i="1" s="1"/>
  <c r="H599" i="1" a="1"/>
  <c r="H599" i="1" s="1"/>
  <c r="H600" i="1" a="1"/>
  <c r="H600" i="1" s="1"/>
  <c r="H601" i="1" a="1"/>
  <c r="H601" i="1" s="1"/>
  <c r="H602" i="1" a="1"/>
  <c r="H602" i="1" s="1"/>
  <c r="H603" i="1" a="1"/>
  <c r="H603" i="1" s="1"/>
  <c r="H604" i="1" a="1"/>
  <c r="H604" i="1" s="1"/>
  <c r="H605" i="1" a="1"/>
  <c r="H605" i="1" s="1"/>
  <c r="H606" i="1" a="1"/>
  <c r="H606" i="1" s="1"/>
  <c r="H607" i="1" a="1"/>
  <c r="H607" i="1" s="1"/>
  <c r="H608" i="1" a="1"/>
  <c r="H608" i="1" s="1"/>
  <c r="H609" i="1" a="1"/>
  <c r="H609" i="1" s="1"/>
  <c r="H610" i="1" a="1"/>
  <c r="H610" i="1" s="1"/>
  <c r="H611" i="1" a="1"/>
  <c r="H611" i="1" s="1"/>
  <c r="H612" i="1" a="1"/>
  <c r="H612" i="1" s="1"/>
  <c r="H613" i="1" a="1"/>
  <c r="H613" i="1" s="1"/>
  <c r="H614" i="1" a="1"/>
  <c r="H614" i="1" s="1"/>
  <c r="H615" i="1" a="1"/>
  <c r="H615" i="1" s="1"/>
  <c r="H616" i="1" a="1"/>
  <c r="H616" i="1" s="1"/>
  <c r="H617" i="1" a="1"/>
  <c r="H617" i="1" s="1"/>
  <c r="H618" i="1" a="1"/>
  <c r="H618" i="1" s="1"/>
  <c r="H619" i="1" a="1"/>
  <c r="H619" i="1" s="1"/>
  <c r="H620" i="1" a="1"/>
  <c r="H620" i="1" s="1"/>
  <c r="H621" i="1" a="1"/>
  <c r="H621" i="1" s="1"/>
  <c r="H622" i="1" a="1"/>
  <c r="H622" i="1" s="1"/>
  <c r="H623" i="1" a="1"/>
  <c r="H623" i="1" s="1"/>
  <c r="H624" i="1" a="1"/>
  <c r="H624" i="1" s="1"/>
  <c r="H625" i="1" a="1"/>
  <c r="H625" i="1" s="1"/>
  <c r="H626" i="1" a="1"/>
  <c r="H626" i="1" s="1"/>
  <c r="H627" i="1" a="1"/>
  <c r="H627" i="1" s="1"/>
  <c r="H628" i="1" a="1"/>
  <c r="H628" i="1" s="1"/>
  <c r="H629" i="1" a="1"/>
  <c r="H629" i="1" s="1"/>
  <c r="H630" i="1" a="1"/>
  <c r="H630" i="1" s="1"/>
  <c r="H631" i="1" a="1"/>
  <c r="H631" i="1" s="1"/>
  <c r="H632" i="1" a="1"/>
  <c r="H632" i="1" s="1"/>
  <c r="H633" i="1" a="1"/>
  <c r="H633" i="1" s="1"/>
  <c r="H634" i="1" a="1"/>
  <c r="H634" i="1" s="1"/>
  <c r="H635" i="1" a="1"/>
  <c r="H635" i="1" s="1"/>
  <c r="H636" i="1" a="1"/>
  <c r="H636" i="1" s="1"/>
  <c r="H637" i="1" a="1"/>
  <c r="H637" i="1" s="1"/>
  <c r="H638" i="1" a="1"/>
  <c r="H638" i="1" s="1"/>
  <c r="H639" i="1" a="1"/>
  <c r="H639" i="1" s="1"/>
  <c r="H640" i="1" a="1"/>
  <c r="H640" i="1" s="1"/>
  <c r="H641" i="1" a="1"/>
  <c r="H641" i="1" s="1"/>
  <c r="H642" i="1" a="1"/>
  <c r="H642" i="1" s="1"/>
  <c r="H643" i="1" a="1"/>
  <c r="H643" i="1" s="1"/>
  <c r="H644" i="1" a="1"/>
  <c r="H644" i="1" s="1"/>
  <c r="H645" i="1" a="1"/>
  <c r="H645" i="1" s="1"/>
  <c r="H646" i="1" a="1"/>
  <c r="H646" i="1" s="1"/>
  <c r="H647" i="1" a="1"/>
  <c r="H647" i="1" s="1"/>
  <c r="H648" i="1" a="1"/>
  <c r="H648" i="1" s="1"/>
  <c r="H649" i="1" a="1"/>
  <c r="H649" i="1" s="1"/>
  <c r="H650" i="1" a="1"/>
  <c r="H650" i="1" s="1"/>
  <c r="H651" i="1" a="1"/>
  <c r="H651" i="1" s="1"/>
  <c r="H652" i="1" a="1"/>
  <c r="H652" i="1" s="1"/>
  <c r="H653" i="1" a="1"/>
  <c r="H653" i="1" s="1"/>
  <c r="H654" i="1" a="1"/>
  <c r="H654" i="1" s="1"/>
  <c r="H655" i="1" a="1"/>
  <c r="H655" i="1" s="1"/>
  <c r="H656" i="1" a="1"/>
  <c r="H656" i="1" s="1"/>
  <c r="H657" i="1" a="1"/>
  <c r="H657" i="1" s="1"/>
  <c r="H658" i="1" a="1"/>
  <c r="H658" i="1" s="1"/>
  <c r="H659" i="1" a="1"/>
  <c r="H659" i="1" s="1"/>
  <c r="H660" i="1" a="1"/>
  <c r="H660" i="1" s="1"/>
  <c r="H661" i="1" a="1"/>
  <c r="H661" i="1" s="1"/>
  <c r="H662" i="1" a="1"/>
  <c r="H662" i="1" s="1"/>
  <c r="H663" i="1" a="1"/>
  <c r="H663" i="1" s="1"/>
  <c r="H664" i="1" a="1"/>
  <c r="H664" i="1" s="1"/>
  <c r="H665" i="1" a="1"/>
  <c r="H665" i="1" s="1"/>
  <c r="H666" i="1" a="1"/>
  <c r="H666" i="1" s="1"/>
  <c r="H667" i="1" a="1"/>
  <c r="H667" i="1" s="1"/>
  <c r="H668" i="1" a="1"/>
  <c r="H668" i="1" s="1"/>
  <c r="H669" i="1" a="1"/>
  <c r="H669" i="1" s="1"/>
  <c r="H670" i="1" a="1"/>
  <c r="H670" i="1" s="1"/>
  <c r="H671" i="1" a="1"/>
  <c r="H671" i="1" s="1"/>
  <c r="H672" i="1" a="1"/>
  <c r="H672" i="1" s="1"/>
  <c r="H673" i="1" a="1"/>
  <c r="H673" i="1" s="1"/>
  <c r="H674" i="1" a="1"/>
  <c r="H674" i="1" s="1"/>
  <c r="H675" i="1" a="1"/>
  <c r="H675" i="1" s="1"/>
  <c r="H676" i="1" a="1"/>
  <c r="H676" i="1" s="1"/>
  <c r="H677" i="1" a="1"/>
  <c r="H677" i="1" s="1"/>
  <c r="H678" i="1" a="1"/>
  <c r="H678" i="1" s="1"/>
  <c r="H679" i="1" a="1"/>
  <c r="H679" i="1" s="1"/>
  <c r="H680" i="1" a="1"/>
  <c r="H680" i="1" s="1"/>
  <c r="H681" i="1" a="1"/>
  <c r="H681" i="1" s="1"/>
  <c r="H682" i="1" a="1"/>
  <c r="H682" i="1" s="1"/>
  <c r="H683" i="1" a="1"/>
  <c r="H683" i="1" s="1"/>
  <c r="H684" i="1" a="1"/>
  <c r="H684" i="1" s="1"/>
  <c r="H685" i="1" a="1"/>
  <c r="H685" i="1" s="1"/>
  <c r="H686" i="1" a="1"/>
  <c r="H686" i="1" s="1"/>
  <c r="H687" i="1" a="1"/>
  <c r="H687" i="1" s="1"/>
  <c r="H688" i="1" a="1"/>
  <c r="H688" i="1" s="1"/>
  <c r="H689" i="1" a="1"/>
  <c r="H689" i="1" s="1"/>
  <c r="H690" i="1" a="1"/>
  <c r="H690" i="1" s="1"/>
  <c r="H691" i="1" a="1"/>
  <c r="H691" i="1" s="1"/>
  <c r="H692" i="1" a="1"/>
  <c r="H692" i="1" s="1"/>
  <c r="H693" i="1" a="1"/>
  <c r="H693" i="1" s="1"/>
  <c r="H694" i="1" a="1"/>
  <c r="H694" i="1" s="1"/>
  <c r="H695" i="1" a="1"/>
  <c r="H695" i="1" s="1"/>
  <c r="H696" i="1" a="1"/>
  <c r="H696" i="1" s="1"/>
  <c r="H697" i="1" a="1"/>
  <c r="H697" i="1" s="1"/>
  <c r="H698" i="1" a="1"/>
  <c r="H698" i="1" s="1"/>
  <c r="H699" i="1" a="1"/>
  <c r="H699" i="1" s="1"/>
  <c r="H700" i="1" a="1"/>
  <c r="H700" i="1" s="1"/>
  <c r="H701" i="1" a="1"/>
  <c r="H701" i="1" s="1"/>
  <c r="H702" i="1" a="1"/>
  <c r="H702" i="1" s="1"/>
  <c r="H703" i="1" a="1"/>
  <c r="H703" i="1" s="1"/>
  <c r="H704" i="1" a="1"/>
  <c r="H704" i="1" s="1"/>
  <c r="H705" i="1" a="1"/>
  <c r="H705" i="1" s="1"/>
  <c r="H706" i="1" a="1"/>
  <c r="H706" i="1" s="1"/>
  <c r="H707" i="1" a="1"/>
  <c r="H707" i="1" s="1"/>
  <c r="H708" i="1" a="1"/>
  <c r="H708" i="1" s="1"/>
  <c r="H709" i="1" a="1"/>
  <c r="H709" i="1" s="1"/>
  <c r="H710" i="1" a="1"/>
  <c r="H710" i="1" s="1"/>
  <c r="H711" i="1" a="1"/>
  <c r="H711" i="1" s="1"/>
  <c r="H712" i="1" a="1"/>
  <c r="H712" i="1" s="1"/>
  <c r="H713" i="1" a="1"/>
  <c r="H713" i="1" s="1"/>
  <c r="H714" i="1" a="1"/>
  <c r="H714" i="1" s="1"/>
  <c r="H715" i="1" a="1"/>
  <c r="H715" i="1" s="1"/>
  <c r="H716" i="1" a="1"/>
  <c r="H716" i="1" s="1"/>
  <c r="H717" i="1" a="1"/>
  <c r="H717" i="1" s="1"/>
  <c r="H718" i="1" a="1"/>
  <c r="H718" i="1" s="1"/>
  <c r="H719" i="1" a="1"/>
  <c r="H719" i="1" s="1"/>
  <c r="H720" i="1" a="1"/>
  <c r="H720" i="1" s="1"/>
  <c r="H721" i="1" a="1"/>
  <c r="H721" i="1" s="1"/>
  <c r="H722" i="1" a="1"/>
  <c r="H722" i="1" s="1"/>
  <c r="H723" i="1" a="1"/>
  <c r="H723" i="1" s="1"/>
  <c r="H724" i="1" a="1"/>
  <c r="H724" i="1" s="1"/>
  <c r="H725" i="1" a="1"/>
  <c r="H725" i="1" s="1"/>
  <c r="H726" i="1" a="1"/>
  <c r="H726" i="1" s="1"/>
  <c r="H727" i="1" a="1"/>
  <c r="H727" i="1" s="1"/>
  <c r="H728" i="1" a="1"/>
  <c r="H728" i="1" s="1"/>
  <c r="H729" i="1" a="1"/>
  <c r="H729" i="1" s="1"/>
  <c r="H730" i="1" a="1"/>
  <c r="H730" i="1" s="1"/>
  <c r="H731" i="1" a="1"/>
  <c r="H731" i="1" s="1"/>
  <c r="H732" i="1" a="1"/>
  <c r="H732" i="1" s="1"/>
  <c r="H733" i="1" a="1"/>
  <c r="H733" i="1" s="1"/>
  <c r="H734" i="1" a="1"/>
  <c r="H734" i="1" s="1"/>
  <c r="H735" i="1" a="1"/>
  <c r="H735" i="1" s="1"/>
  <c r="H736" i="1" a="1"/>
  <c r="H736" i="1" s="1"/>
  <c r="H737" i="1" a="1"/>
  <c r="H737" i="1" s="1"/>
  <c r="H738" i="1" a="1"/>
  <c r="H738" i="1" s="1"/>
  <c r="H739" i="1" a="1"/>
  <c r="H739" i="1" s="1"/>
  <c r="H740" i="1" a="1"/>
  <c r="H740" i="1" s="1"/>
  <c r="H741" i="1" a="1"/>
  <c r="H741" i="1" s="1"/>
  <c r="H742" i="1" a="1"/>
  <c r="H742" i="1" s="1"/>
  <c r="H743" i="1" a="1"/>
  <c r="H743" i="1" s="1"/>
  <c r="H744" i="1" a="1"/>
  <c r="H744" i="1" s="1"/>
  <c r="H745" i="1" a="1"/>
  <c r="H745" i="1" s="1"/>
  <c r="H746" i="1" a="1"/>
  <c r="H746" i="1" s="1"/>
  <c r="H747" i="1" a="1"/>
  <c r="H747" i="1" s="1"/>
  <c r="H748" i="1" a="1"/>
  <c r="H748" i="1" s="1"/>
  <c r="H749" i="1" a="1"/>
  <c r="H749" i="1" s="1"/>
  <c r="H750" i="1" a="1"/>
  <c r="H750" i="1" s="1"/>
  <c r="H751" i="1" a="1"/>
  <c r="H751" i="1" s="1"/>
  <c r="H752" i="1" a="1"/>
  <c r="H752" i="1" s="1"/>
  <c r="H753" i="1" a="1"/>
  <c r="H753" i="1" s="1"/>
  <c r="H754" i="1" a="1"/>
  <c r="H754" i="1" s="1"/>
  <c r="H755" i="1" a="1"/>
  <c r="H755" i="1" s="1"/>
  <c r="H756" i="1" a="1"/>
  <c r="H756" i="1" s="1"/>
  <c r="H757" i="1" a="1"/>
  <c r="H757" i="1" s="1"/>
  <c r="H758" i="1" a="1"/>
  <c r="H758" i="1" s="1"/>
  <c r="H759" i="1" a="1"/>
  <c r="H759" i="1" s="1"/>
  <c r="H760" i="1" a="1"/>
  <c r="H760" i="1" s="1"/>
  <c r="H761" i="1" a="1"/>
  <c r="H761" i="1" s="1"/>
  <c r="H762" i="1" a="1"/>
  <c r="H762" i="1" s="1"/>
  <c r="H763" i="1" a="1"/>
  <c r="H763" i="1" s="1"/>
  <c r="H764" i="1" a="1"/>
  <c r="H764" i="1" s="1"/>
  <c r="H765" i="1" a="1"/>
  <c r="H765" i="1" s="1"/>
  <c r="H766" i="1" a="1"/>
  <c r="H766" i="1" s="1"/>
  <c r="H767" i="1" a="1"/>
  <c r="H767" i="1" s="1"/>
  <c r="H768" i="1" a="1"/>
  <c r="H768" i="1" s="1"/>
  <c r="H769" i="1" a="1"/>
  <c r="H769" i="1" s="1"/>
  <c r="H770" i="1" a="1"/>
  <c r="H770" i="1" s="1"/>
  <c r="H771" i="1" a="1"/>
  <c r="H771" i="1" s="1"/>
  <c r="H772" i="1" a="1"/>
  <c r="H772" i="1" s="1"/>
  <c r="H773" i="1" a="1"/>
  <c r="H773" i="1" s="1"/>
  <c r="H774" i="1" a="1"/>
  <c r="H774" i="1" s="1"/>
  <c r="H775" i="1" a="1"/>
  <c r="H775" i="1" s="1"/>
  <c r="H776" i="1" a="1"/>
  <c r="H776" i="1" s="1"/>
  <c r="H777" i="1" a="1"/>
  <c r="H777" i="1" s="1"/>
  <c r="H778" i="1" a="1"/>
  <c r="H778" i="1" s="1"/>
  <c r="H779" i="1" a="1"/>
  <c r="H779" i="1" s="1"/>
  <c r="H780" i="1" a="1"/>
  <c r="H780" i="1" s="1"/>
  <c r="H781" i="1" a="1"/>
  <c r="H781" i="1" s="1"/>
  <c r="H782" i="1" a="1"/>
  <c r="H782" i="1" s="1"/>
  <c r="H783" i="1" a="1"/>
  <c r="H783" i="1" s="1"/>
  <c r="H784" i="1" a="1"/>
  <c r="H784" i="1" s="1"/>
  <c r="H785" i="1" a="1"/>
  <c r="H785" i="1" s="1"/>
  <c r="H786" i="1" a="1"/>
  <c r="H786" i="1" s="1"/>
  <c r="H787" i="1" a="1"/>
  <c r="H787" i="1" s="1"/>
  <c r="H788" i="1" a="1"/>
  <c r="H788" i="1" s="1"/>
  <c r="H789" i="1" a="1"/>
  <c r="H789" i="1" s="1"/>
  <c r="H790" i="1" a="1"/>
  <c r="H790" i="1" s="1"/>
  <c r="H791" i="1" a="1"/>
  <c r="H791" i="1" s="1"/>
  <c r="H792" i="1" a="1"/>
  <c r="H792" i="1" s="1"/>
  <c r="H793" i="1" a="1"/>
  <c r="H793" i="1" s="1"/>
  <c r="H794" i="1" a="1"/>
  <c r="H794" i="1" s="1"/>
  <c r="H795" i="1" a="1"/>
  <c r="H795" i="1" s="1"/>
  <c r="H796" i="1" a="1"/>
  <c r="H796" i="1" s="1"/>
  <c r="H797" i="1" a="1"/>
  <c r="H797" i="1" s="1"/>
  <c r="H798" i="1" a="1"/>
  <c r="H798" i="1" s="1"/>
  <c r="H799" i="1" a="1"/>
  <c r="H799" i="1" s="1"/>
  <c r="H800" i="1" a="1"/>
  <c r="H800" i="1" s="1"/>
  <c r="H801" i="1" a="1"/>
  <c r="H801" i="1" s="1"/>
  <c r="H802" i="1" a="1"/>
  <c r="H802" i="1" s="1"/>
  <c r="H803" i="1" a="1"/>
  <c r="H803" i="1" s="1"/>
  <c r="H804" i="1" a="1"/>
  <c r="H804" i="1" s="1"/>
  <c r="H805" i="1" a="1"/>
  <c r="H805" i="1" s="1"/>
  <c r="H806" i="1" a="1"/>
  <c r="H806" i="1" s="1"/>
  <c r="H807" i="1" a="1"/>
  <c r="H807" i="1" s="1"/>
  <c r="H808" i="1" a="1"/>
  <c r="H808" i="1" s="1"/>
  <c r="H809" i="1" a="1"/>
  <c r="H809" i="1" s="1"/>
  <c r="H810" i="1" a="1"/>
  <c r="H810" i="1" s="1"/>
  <c r="H811" i="1" a="1"/>
  <c r="H811" i="1" s="1"/>
  <c r="H812" i="1" a="1"/>
  <c r="H812" i="1" s="1"/>
  <c r="H813" i="1" a="1"/>
  <c r="H813" i="1" s="1"/>
  <c r="H814" i="1" a="1"/>
  <c r="H814" i="1" s="1"/>
  <c r="H815" i="1" a="1"/>
  <c r="H815" i="1" s="1"/>
  <c r="H816" i="1" a="1"/>
  <c r="H816" i="1" s="1"/>
  <c r="H817" i="1" a="1"/>
  <c r="H817" i="1" s="1"/>
  <c r="H818" i="1" a="1"/>
  <c r="H818" i="1" s="1"/>
  <c r="H819" i="1" a="1"/>
  <c r="H819" i="1" s="1"/>
  <c r="H820" i="1" a="1"/>
  <c r="H820" i="1" s="1"/>
  <c r="H821" i="1" a="1"/>
  <c r="H821" i="1" s="1"/>
  <c r="H822" i="1" a="1"/>
  <c r="H822" i="1" s="1"/>
  <c r="H823" i="1" a="1"/>
  <c r="H823" i="1" s="1"/>
  <c r="H824" i="1" a="1"/>
  <c r="H824" i="1" s="1"/>
  <c r="H825" i="1" a="1"/>
  <c r="H825" i="1" s="1"/>
  <c r="H826" i="1" a="1"/>
  <c r="H826" i="1" s="1"/>
  <c r="H827" i="1" a="1"/>
  <c r="H827" i="1" s="1"/>
  <c r="H828" i="1" a="1"/>
  <c r="H828" i="1" s="1"/>
  <c r="H829" i="1" a="1"/>
  <c r="H829" i="1" s="1"/>
  <c r="H830" i="1" a="1"/>
  <c r="H830" i="1" s="1"/>
  <c r="H831" i="1" a="1"/>
  <c r="H831" i="1" s="1"/>
  <c r="H832" i="1" a="1"/>
  <c r="H832" i="1" s="1"/>
  <c r="H833" i="1" a="1"/>
  <c r="H833" i="1" s="1"/>
  <c r="H834" i="1" a="1"/>
  <c r="H834" i="1" s="1"/>
  <c r="H835" i="1" a="1"/>
  <c r="H835" i="1" s="1"/>
  <c r="H836" i="1" a="1"/>
  <c r="H836" i="1" s="1"/>
  <c r="H837" i="1" a="1"/>
  <c r="H837" i="1" s="1"/>
  <c r="H838" i="1" a="1"/>
  <c r="H838" i="1" s="1"/>
  <c r="H839" i="1" a="1"/>
  <c r="H839" i="1" s="1"/>
  <c r="H840" i="1" a="1"/>
  <c r="H840" i="1" s="1"/>
  <c r="H841" i="1" a="1"/>
  <c r="H841" i="1" s="1"/>
  <c r="H842" i="1" a="1"/>
  <c r="H842" i="1" s="1"/>
  <c r="H843" i="1" a="1"/>
  <c r="H843" i="1" s="1"/>
  <c r="H844" i="1" a="1"/>
  <c r="H844" i="1" s="1"/>
  <c r="H845" i="1" a="1"/>
  <c r="H845" i="1" s="1"/>
  <c r="H846" i="1" a="1"/>
  <c r="H846" i="1" s="1"/>
  <c r="H847" i="1" a="1"/>
  <c r="H847" i="1" s="1"/>
  <c r="H848" i="1" a="1"/>
  <c r="H848" i="1" s="1"/>
  <c r="H849" i="1" a="1"/>
  <c r="H849" i="1" s="1"/>
  <c r="H850" i="1" a="1"/>
  <c r="H850" i="1" s="1"/>
  <c r="H851" i="1" a="1"/>
  <c r="H851" i="1" s="1"/>
  <c r="H852" i="1" a="1"/>
  <c r="H852" i="1" s="1"/>
  <c r="H853" i="1" a="1"/>
  <c r="H853" i="1" s="1"/>
  <c r="H854" i="1" a="1"/>
  <c r="H854" i="1" s="1"/>
  <c r="H855" i="1" a="1"/>
  <c r="H855" i="1" s="1"/>
  <c r="H856" i="1" a="1"/>
  <c r="H856" i="1" s="1"/>
  <c r="H857" i="1" a="1"/>
  <c r="H857" i="1" s="1"/>
  <c r="H858" i="1" a="1"/>
  <c r="H858" i="1" s="1"/>
  <c r="H859" i="1" a="1"/>
  <c r="H859" i="1" s="1"/>
  <c r="H860" i="1" a="1"/>
  <c r="H860" i="1" s="1"/>
  <c r="H861" i="1" a="1"/>
  <c r="H861" i="1" s="1"/>
  <c r="H862" i="1" a="1"/>
  <c r="H862" i="1" s="1"/>
  <c r="H863" i="1" a="1"/>
  <c r="H863" i="1" s="1"/>
  <c r="H864" i="1" a="1"/>
  <c r="H864" i="1" s="1"/>
  <c r="H865" i="1" a="1"/>
  <c r="H865" i="1" s="1"/>
  <c r="H866" i="1" a="1"/>
  <c r="H866" i="1" s="1"/>
  <c r="H867" i="1" a="1"/>
  <c r="H867" i="1" s="1"/>
  <c r="H868" i="1" a="1"/>
  <c r="H868" i="1" s="1"/>
  <c r="H869" i="1" a="1"/>
  <c r="H869" i="1" s="1"/>
  <c r="H870" i="1" a="1"/>
  <c r="H870" i="1" s="1"/>
  <c r="H871" i="1" a="1"/>
  <c r="H871" i="1" s="1"/>
  <c r="H872" i="1" a="1"/>
  <c r="H872" i="1" s="1"/>
  <c r="H873" i="1" a="1"/>
  <c r="H873" i="1" s="1"/>
  <c r="H874" i="1" a="1"/>
  <c r="H874" i="1" s="1"/>
  <c r="H875" i="1" a="1"/>
  <c r="H875" i="1" s="1"/>
  <c r="H876" i="1" a="1"/>
  <c r="H876" i="1" s="1"/>
  <c r="H877" i="1" a="1"/>
  <c r="H877" i="1" s="1"/>
  <c r="H878" i="1" a="1"/>
  <c r="H878" i="1" s="1"/>
  <c r="H879" i="1" a="1"/>
  <c r="H879" i="1" s="1"/>
  <c r="H880" i="1" a="1"/>
  <c r="H880" i="1" s="1"/>
  <c r="H881" i="1" a="1"/>
  <c r="H881" i="1" s="1"/>
  <c r="H882" i="1" a="1"/>
  <c r="H882" i="1" s="1"/>
  <c r="H883" i="1" a="1"/>
  <c r="H883" i="1" s="1"/>
  <c r="H884" i="1" a="1"/>
  <c r="H884" i="1" s="1"/>
  <c r="H885" i="1" a="1"/>
  <c r="H885" i="1" s="1"/>
  <c r="H886" i="1" a="1"/>
  <c r="H886" i="1" s="1"/>
  <c r="H887" i="1" a="1"/>
  <c r="H887" i="1" s="1"/>
  <c r="H888" i="1" a="1"/>
  <c r="H888" i="1" s="1"/>
  <c r="H889" i="1" a="1"/>
  <c r="H889" i="1" s="1"/>
  <c r="H890" i="1" a="1"/>
  <c r="H890" i="1" s="1"/>
  <c r="H891" i="1" a="1"/>
  <c r="H891" i="1" s="1"/>
  <c r="H892" i="1" a="1"/>
  <c r="H892" i="1" s="1"/>
  <c r="H893" i="1" a="1"/>
  <c r="H893" i="1" s="1"/>
  <c r="H894" i="1" a="1"/>
  <c r="H894" i="1" s="1"/>
  <c r="H895" i="1" a="1"/>
  <c r="H895" i="1" s="1"/>
  <c r="H896" i="1" a="1"/>
  <c r="H896" i="1" s="1"/>
  <c r="H897" i="1" a="1"/>
  <c r="H897" i="1" s="1"/>
  <c r="H898" i="1" a="1"/>
  <c r="H898" i="1" s="1"/>
  <c r="H899" i="1" a="1"/>
  <c r="H899" i="1" s="1"/>
  <c r="H900" i="1" a="1"/>
  <c r="H900" i="1" s="1"/>
  <c r="H901" i="1" a="1"/>
  <c r="H901" i="1" s="1"/>
  <c r="H902" i="1" a="1"/>
  <c r="H902" i="1" s="1"/>
  <c r="H903" i="1" a="1"/>
  <c r="H903" i="1" s="1"/>
  <c r="H904" i="1" a="1"/>
  <c r="H904" i="1" s="1"/>
  <c r="H905" i="1" a="1"/>
  <c r="H905" i="1" s="1"/>
  <c r="H906" i="1" a="1"/>
  <c r="H906" i="1" s="1"/>
  <c r="H907" i="1" a="1"/>
  <c r="H907" i="1" s="1"/>
  <c r="H908" i="1" a="1"/>
  <c r="H908" i="1" s="1"/>
  <c r="H909" i="1" a="1"/>
  <c r="H909" i="1" s="1"/>
  <c r="H910" i="1" a="1"/>
  <c r="H910" i="1" s="1"/>
  <c r="H911" i="1" a="1"/>
  <c r="H911" i="1" s="1"/>
  <c r="H912" i="1" a="1"/>
  <c r="H912" i="1" s="1"/>
  <c r="H913" i="1" a="1"/>
  <c r="H913" i="1" s="1"/>
  <c r="H914" i="1" a="1"/>
  <c r="H914" i="1" s="1"/>
  <c r="H915" i="1" a="1"/>
  <c r="H915" i="1" s="1"/>
  <c r="H916" i="1" a="1"/>
  <c r="H916" i="1" s="1"/>
  <c r="H917" i="1" a="1"/>
  <c r="H917" i="1" s="1"/>
  <c r="H918" i="1" a="1"/>
  <c r="H918" i="1" s="1"/>
  <c r="H919" i="1" a="1"/>
  <c r="H919" i="1" s="1"/>
  <c r="H920" i="1" a="1"/>
  <c r="H920" i="1" s="1"/>
  <c r="H921" i="1" a="1"/>
  <c r="H921" i="1" s="1"/>
  <c r="H922" i="1" a="1"/>
  <c r="H922" i="1" s="1"/>
  <c r="H923" i="1" a="1"/>
  <c r="H923" i="1" s="1"/>
  <c r="H924" i="1" a="1"/>
  <c r="H924" i="1" s="1"/>
  <c r="H925" i="1" a="1"/>
  <c r="H925" i="1" s="1"/>
  <c r="H926" i="1" a="1"/>
  <c r="H926" i="1" s="1"/>
  <c r="H927" i="1" a="1"/>
  <c r="H927" i="1" s="1"/>
  <c r="H928" i="1" a="1"/>
  <c r="H928" i="1" s="1"/>
  <c r="H929" i="1" a="1"/>
  <c r="H929" i="1" s="1"/>
  <c r="H930" i="1" a="1"/>
  <c r="H930" i="1" s="1"/>
  <c r="H931" i="1" a="1"/>
  <c r="H931" i="1" s="1"/>
  <c r="H932" i="1" a="1"/>
  <c r="H932" i="1" s="1"/>
  <c r="H933" i="1" a="1"/>
  <c r="H933" i="1" s="1"/>
  <c r="H934" i="1" a="1"/>
  <c r="H934" i="1" s="1"/>
  <c r="H935" i="1" a="1"/>
  <c r="H935" i="1" s="1"/>
  <c r="H936" i="1" a="1"/>
  <c r="H936" i="1" s="1"/>
  <c r="H937" i="1" a="1"/>
  <c r="H937" i="1" s="1"/>
  <c r="H938" i="1" a="1"/>
  <c r="H938" i="1" s="1"/>
  <c r="H939" i="1" a="1"/>
  <c r="H939" i="1" s="1"/>
  <c r="H940" i="1" a="1"/>
  <c r="H940" i="1" s="1"/>
  <c r="H941" i="1" a="1"/>
  <c r="H941" i="1" s="1"/>
  <c r="H942" i="1" a="1"/>
  <c r="H942" i="1" s="1"/>
  <c r="H943" i="1" a="1"/>
  <c r="H943" i="1" s="1"/>
  <c r="H944" i="1" a="1"/>
  <c r="H944" i="1" s="1"/>
  <c r="H945" i="1" a="1"/>
  <c r="H945" i="1" s="1"/>
  <c r="H946" i="1" a="1"/>
  <c r="H946" i="1" s="1"/>
  <c r="H947" i="1" a="1"/>
  <c r="H947" i="1" s="1"/>
  <c r="H948" i="1" a="1"/>
  <c r="H948" i="1" s="1"/>
  <c r="H949" i="1" a="1"/>
  <c r="H949" i="1" s="1"/>
  <c r="H950" i="1" a="1"/>
  <c r="H950" i="1" s="1"/>
  <c r="H951" i="1" a="1"/>
  <c r="H951" i="1" s="1"/>
  <c r="H952" i="1" a="1"/>
  <c r="H952" i="1" s="1"/>
  <c r="H953" i="1" a="1"/>
  <c r="H953" i="1" s="1"/>
  <c r="H954" i="1" a="1"/>
  <c r="H954" i="1" s="1"/>
  <c r="H955" i="1" a="1"/>
  <c r="H955" i="1" s="1"/>
  <c r="H956" i="1" a="1"/>
  <c r="H956" i="1" s="1"/>
  <c r="H957" i="1" a="1"/>
  <c r="H957" i="1" s="1"/>
  <c r="H958" i="1" a="1"/>
  <c r="H958" i="1" s="1"/>
  <c r="H959" i="1" a="1"/>
  <c r="H959" i="1" s="1"/>
  <c r="H960" i="1" a="1"/>
  <c r="H960" i="1" s="1"/>
  <c r="H961" i="1" a="1"/>
  <c r="H961" i="1" s="1"/>
  <c r="H962" i="1" a="1"/>
  <c r="H962" i="1" s="1"/>
  <c r="H963" i="1" a="1"/>
  <c r="H963" i="1" s="1"/>
  <c r="H964" i="1" a="1"/>
  <c r="H964" i="1" s="1"/>
  <c r="H965" i="1" a="1"/>
  <c r="H965" i="1" s="1"/>
  <c r="H966" i="1" a="1"/>
  <c r="H966" i="1" s="1"/>
  <c r="H967" i="1" a="1"/>
  <c r="H967" i="1" s="1"/>
  <c r="H968" i="1" a="1"/>
  <c r="H968" i="1" s="1"/>
  <c r="H969" i="1" a="1"/>
  <c r="H969" i="1" s="1"/>
  <c r="H970" i="1" a="1"/>
  <c r="H970" i="1" s="1"/>
  <c r="H971" i="1" a="1"/>
  <c r="H971" i="1" s="1"/>
  <c r="H972" i="1" a="1"/>
  <c r="H972" i="1" s="1"/>
  <c r="H973" i="1" a="1"/>
  <c r="H973" i="1" s="1"/>
  <c r="H974" i="1" a="1"/>
  <c r="H974" i="1" s="1"/>
  <c r="H975" i="1" a="1"/>
  <c r="H975" i="1" s="1"/>
  <c r="H976" i="1" a="1"/>
  <c r="H976" i="1" s="1"/>
  <c r="H977" i="1" a="1"/>
  <c r="H977" i="1" s="1"/>
  <c r="H978" i="1" a="1"/>
  <c r="H978" i="1" s="1"/>
  <c r="H979" i="1" a="1"/>
  <c r="H979" i="1" s="1"/>
  <c r="H980" i="1" a="1"/>
  <c r="H980" i="1" s="1"/>
  <c r="H981" i="1" a="1"/>
  <c r="H981" i="1" s="1"/>
  <c r="H982" i="1" a="1"/>
  <c r="H982" i="1" s="1"/>
  <c r="H983" i="1" a="1"/>
  <c r="H983" i="1" s="1"/>
  <c r="H984" i="1" a="1"/>
  <c r="H984" i="1" s="1"/>
  <c r="H985" i="1" a="1"/>
  <c r="H985" i="1" s="1"/>
  <c r="H986" i="1" a="1"/>
  <c r="H986" i="1" s="1"/>
  <c r="H987" i="1" a="1"/>
  <c r="H987" i="1" s="1"/>
  <c r="H988" i="1" a="1"/>
  <c r="H988" i="1" s="1"/>
  <c r="H989" i="1" a="1"/>
  <c r="H989" i="1" s="1"/>
  <c r="H990" i="1" a="1"/>
  <c r="H990" i="1" s="1"/>
  <c r="H991" i="1" a="1"/>
  <c r="H991" i="1" s="1"/>
  <c r="H992" i="1" a="1"/>
  <c r="H992" i="1" s="1"/>
  <c r="H993" i="1" a="1"/>
  <c r="H993" i="1" s="1"/>
  <c r="H994" i="1" a="1"/>
  <c r="H994" i="1" s="1"/>
  <c r="H995" i="1" a="1"/>
  <c r="H995" i="1" s="1"/>
  <c r="H996" i="1" a="1"/>
  <c r="H996" i="1" s="1"/>
  <c r="H997" i="1" a="1"/>
  <c r="H997" i="1" s="1"/>
  <c r="H998" i="1" a="1"/>
  <c r="H998" i="1" s="1"/>
  <c r="H999" i="1" a="1"/>
  <c r="H999" i="1" s="1"/>
  <c r="G4" i="1" a="1"/>
  <c r="G4" i="1" s="1"/>
  <c r="G5" i="1" a="1"/>
  <c r="G5" i="1" s="1"/>
  <c r="G6" i="1" a="1"/>
  <c r="G6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8" i="1" a="1"/>
  <c r="G68" i="1" s="1"/>
  <c r="G69" i="1" a="1"/>
  <c r="G69" i="1" s="1"/>
  <c r="G70" i="1" a="1"/>
  <c r="G70" i="1" s="1"/>
  <c r="G71" i="1" a="1"/>
  <c r="G71" i="1" s="1"/>
  <c r="G72" i="1" a="1"/>
  <c r="G72" i="1" s="1"/>
  <c r="G73" i="1" a="1"/>
  <c r="G73" i="1" s="1"/>
  <c r="G74" i="1" a="1"/>
  <c r="G74" i="1" s="1"/>
  <c r="G75" i="1" a="1"/>
  <c r="G75" i="1" s="1"/>
  <c r="G76" i="1" a="1"/>
  <c r="G76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84" i="1" a="1"/>
  <c r="G84" i="1" s="1"/>
  <c r="G85" i="1" a="1"/>
  <c r="G85" i="1" s="1"/>
  <c r="G86" i="1" a="1"/>
  <c r="G86" i="1" s="1"/>
  <c r="G87" i="1" a="1"/>
  <c r="G87" i="1" s="1"/>
  <c r="G88" i="1" a="1"/>
  <c r="G88" i="1" s="1"/>
  <c r="G89" i="1" a="1"/>
  <c r="G89" i="1" s="1"/>
  <c r="G90" i="1" a="1"/>
  <c r="G90" i="1" s="1"/>
  <c r="G91" i="1" a="1"/>
  <c r="G91" i="1" s="1"/>
  <c r="G92" i="1" a="1"/>
  <c r="G92" i="1" s="1"/>
  <c r="G93" i="1" a="1"/>
  <c r="G93" i="1" s="1"/>
  <c r="G94" i="1" a="1"/>
  <c r="G94" i="1" s="1"/>
  <c r="G95" i="1" a="1"/>
  <c r="G95" i="1" s="1"/>
  <c r="G96" i="1" a="1"/>
  <c r="G96" i="1" s="1"/>
  <c r="G97" i="1" a="1"/>
  <c r="G97" i="1" s="1"/>
  <c r="G98" i="1" a="1"/>
  <c r="G98" i="1" s="1"/>
  <c r="G99" i="1" a="1"/>
  <c r="G99" i="1" s="1"/>
  <c r="G100" i="1" a="1"/>
  <c r="G100" i="1" s="1"/>
  <c r="G101" i="1" a="1"/>
  <c r="G101" i="1" s="1"/>
  <c r="G102" i="1" a="1"/>
  <c r="G102" i="1" s="1"/>
  <c r="G103" i="1" a="1"/>
  <c r="G103" i="1" s="1"/>
  <c r="G104" i="1" a="1"/>
  <c r="G104" i="1" s="1"/>
  <c r="G105" i="1" a="1"/>
  <c r="G105" i="1" s="1"/>
  <c r="G106" i="1" a="1"/>
  <c r="G106" i="1" s="1"/>
  <c r="G107" i="1" a="1"/>
  <c r="G107" i="1" s="1"/>
  <c r="G108" i="1" a="1"/>
  <c r="G108" i="1" s="1"/>
  <c r="G109" i="1" a="1"/>
  <c r="G109" i="1" s="1"/>
  <c r="G110" i="1" a="1"/>
  <c r="G110" i="1" s="1"/>
  <c r="G111" i="1" a="1"/>
  <c r="G111" i="1" s="1"/>
  <c r="G112" i="1" a="1"/>
  <c r="G112" i="1" s="1"/>
  <c r="G113" i="1" a="1"/>
  <c r="G113" i="1" s="1"/>
  <c r="G114" i="1" a="1"/>
  <c r="G114" i="1" s="1"/>
  <c r="G115" i="1" a="1"/>
  <c r="G115" i="1" s="1"/>
  <c r="G116" i="1" a="1"/>
  <c r="G116" i="1" s="1"/>
  <c r="G117" i="1" a="1"/>
  <c r="G117" i="1" s="1"/>
  <c r="G118" i="1" a="1"/>
  <c r="G118" i="1" s="1"/>
  <c r="G119" i="1" a="1"/>
  <c r="G119" i="1" s="1"/>
  <c r="G120" i="1" a="1"/>
  <c r="G120" i="1" s="1"/>
  <c r="G121" i="1" a="1"/>
  <c r="G121" i="1" s="1"/>
  <c r="G122" i="1" a="1"/>
  <c r="G122" i="1" s="1"/>
  <c r="G123" i="1" a="1"/>
  <c r="G123" i="1" s="1"/>
  <c r="G124" i="1" a="1"/>
  <c r="G124" i="1" s="1"/>
  <c r="G125" i="1" a="1"/>
  <c r="G125" i="1" s="1"/>
  <c r="G126" i="1" a="1"/>
  <c r="G126" i="1" s="1"/>
  <c r="G127" i="1" a="1"/>
  <c r="G127" i="1" s="1"/>
  <c r="G128" i="1" a="1"/>
  <c r="G128" i="1" s="1"/>
  <c r="G129" i="1" a="1"/>
  <c r="G129" i="1" s="1"/>
  <c r="G130" i="1" a="1"/>
  <c r="G130" i="1" s="1"/>
  <c r="G131" i="1" a="1"/>
  <c r="G131" i="1" s="1"/>
  <c r="G132" i="1" a="1"/>
  <c r="G132" i="1" s="1"/>
  <c r="G133" i="1" a="1"/>
  <c r="G133" i="1" s="1"/>
  <c r="G134" i="1" a="1"/>
  <c r="G134" i="1" s="1"/>
  <c r="G135" i="1" a="1"/>
  <c r="G135" i="1" s="1"/>
  <c r="G136" i="1" a="1"/>
  <c r="G136" i="1" s="1"/>
  <c r="G137" i="1" a="1"/>
  <c r="G137" i="1" s="1"/>
  <c r="G138" i="1" a="1"/>
  <c r="G138" i="1" s="1"/>
  <c r="G139" i="1" a="1"/>
  <c r="G139" i="1" s="1"/>
  <c r="G140" i="1" a="1"/>
  <c r="G140" i="1" s="1"/>
  <c r="G141" i="1" a="1"/>
  <c r="G141" i="1" s="1"/>
  <c r="G142" i="1" a="1"/>
  <c r="G142" i="1" s="1"/>
  <c r="G143" i="1" a="1"/>
  <c r="G143" i="1" s="1"/>
  <c r="G144" i="1" a="1"/>
  <c r="G144" i="1" s="1"/>
  <c r="G145" i="1" a="1"/>
  <c r="G145" i="1" s="1"/>
  <c r="G146" i="1" a="1"/>
  <c r="G146" i="1" s="1"/>
  <c r="G147" i="1" a="1"/>
  <c r="G147" i="1" s="1"/>
  <c r="G148" i="1" a="1"/>
  <c r="G148" i="1" s="1"/>
  <c r="G149" i="1" a="1"/>
  <c r="G149" i="1" s="1"/>
  <c r="G150" i="1" a="1"/>
  <c r="G150" i="1" s="1"/>
  <c r="G151" i="1" a="1"/>
  <c r="G151" i="1" s="1"/>
  <c r="G152" i="1" a="1"/>
  <c r="G152" i="1" s="1"/>
  <c r="G153" i="1" a="1"/>
  <c r="G153" i="1" s="1"/>
  <c r="G154" i="1" a="1"/>
  <c r="G154" i="1" s="1"/>
  <c r="G155" i="1" a="1"/>
  <c r="G155" i="1" s="1"/>
  <c r="G156" i="1" a="1"/>
  <c r="G156" i="1" s="1"/>
  <c r="G157" i="1" a="1"/>
  <c r="G157" i="1" s="1"/>
  <c r="G158" i="1" a="1"/>
  <c r="G158" i="1" s="1"/>
  <c r="G159" i="1" a="1"/>
  <c r="G159" i="1" s="1"/>
  <c r="G160" i="1" a="1"/>
  <c r="G160" i="1" s="1"/>
  <c r="G161" i="1" a="1"/>
  <c r="G161" i="1" s="1"/>
  <c r="G162" i="1" a="1"/>
  <c r="G162" i="1" s="1"/>
  <c r="G163" i="1" a="1"/>
  <c r="G163" i="1" s="1"/>
  <c r="G164" i="1" a="1"/>
  <c r="G164" i="1" s="1"/>
  <c r="G165" i="1" a="1"/>
  <c r="G165" i="1" s="1"/>
  <c r="G166" i="1" a="1"/>
  <c r="G166" i="1" s="1"/>
  <c r="G167" i="1" a="1"/>
  <c r="G167" i="1" s="1"/>
  <c r="G168" i="1" a="1"/>
  <c r="G168" i="1" s="1"/>
  <c r="G169" i="1" a="1"/>
  <c r="G169" i="1" s="1"/>
  <c r="G170" i="1" a="1"/>
  <c r="G170" i="1" s="1"/>
  <c r="G171" i="1" a="1"/>
  <c r="G171" i="1" s="1"/>
  <c r="G172" i="1" a="1"/>
  <c r="G172" i="1" s="1"/>
  <c r="G173" i="1" a="1"/>
  <c r="G173" i="1" s="1"/>
  <c r="G174" i="1" a="1"/>
  <c r="G174" i="1" s="1"/>
  <c r="G175" i="1" a="1"/>
  <c r="G175" i="1" s="1"/>
  <c r="G176" i="1" a="1"/>
  <c r="G176" i="1" s="1"/>
  <c r="G177" i="1" a="1"/>
  <c r="G177" i="1" s="1"/>
  <c r="G178" i="1" a="1"/>
  <c r="G178" i="1" s="1"/>
  <c r="G179" i="1" a="1"/>
  <c r="G179" i="1" s="1"/>
  <c r="G180" i="1" a="1"/>
  <c r="G180" i="1" s="1"/>
  <c r="G181" i="1" a="1"/>
  <c r="G181" i="1" s="1"/>
  <c r="G182" i="1" a="1"/>
  <c r="G182" i="1" s="1"/>
  <c r="G183" i="1" a="1"/>
  <c r="G183" i="1" s="1"/>
  <c r="G184" i="1" a="1"/>
  <c r="G184" i="1" s="1"/>
  <c r="G185" i="1" a="1"/>
  <c r="G185" i="1" s="1"/>
  <c r="G186" i="1" a="1"/>
  <c r="G186" i="1" s="1"/>
  <c r="G187" i="1" a="1"/>
  <c r="G187" i="1" s="1"/>
  <c r="G188" i="1" a="1"/>
  <c r="G188" i="1" s="1"/>
  <c r="G189" i="1" a="1"/>
  <c r="G189" i="1" s="1"/>
  <c r="G190" i="1" a="1"/>
  <c r="G190" i="1" s="1"/>
  <c r="G191" i="1" a="1"/>
  <c r="G191" i="1" s="1"/>
  <c r="G192" i="1" a="1"/>
  <c r="G192" i="1" s="1"/>
  <c r="G193" i="1" a="1"/>
  <c r="G193" i="1" s="1"/>
  <c r="G194" i="1" a="1"/>
  <c r="G194" i="1" s="1"/>
  <c r="G195" i="1" a="1"/>
  <c r="G195" i="1" s="1"/>
  <c r="G196" i="1" a="1"/>
  <c r="G196" i="1" s="1"/>
  <c r="G197" i="1" a="1"/>
  <c r="G197" i="1" s="1"/>
  <c r="G198" i="1" a="1"/>
  <c r="G198" i="1" s="1"/>
  <c r="G199" i="1" a="1"/>
  <c r="G199" i="1" s="1"/>
  <c r="G200" i="1" a="1"/>
  <c r="G200" i="1" s="1"/>
  <c r="G201" i="1" a="1"/>
  <c r="G201" i="1" s="1"/>
  <c r="G202" i="1" a="1"/>
  <c r="G202" i="1" s="1"/>
  <c r="G203" i="1" a="1"/>
  <c r="G203" i="1" s="1"/>
  <c r="G204" i="1" a="1"/>
  <c r="G204" i="1" s="1"/>
  <c r="G205" i="1" a="1"/>
  <c r="G205" i="1" s="1"/>
  <c r="G206" i="1" a="1"/>
  <c r="G206" i="1" s="1"/>
  <c r="G207" i="1" a="1"/>
  <c r="G207" i="1" s="1"/>
  <c r="G208" i="1" a="1"/>
  <c r="G208" i="1" s="1"/>
  <c r="G209" i="1" a="1"/>
  <c r="G209" i="1" s="1"/>
  <c r="G210" i="1" a="1"/>
  <c r="G210" i="1" s="1"/>
  <c r="G211" i="1" a="1"/>
  <c r="G211" i="1" s="1"/>
  <c r="G212" i="1" a="1"/>
  <c r="G212" i="1" s="1"/>
  <c r="G213" i="1" a="1"/>
  <c r="G213" i="1" s="1"/>
  <c r="G214" i="1" a="1"/>
  <c r="G214" i="1" s="1"/>
  <c r="G215" i="1" a="1"/>
  <c r="G215" i="1" s="1"/>
  <c r="G216" i="1" a="1"/>
  <c r="G216" i="1" s="1"/>
  <c r="G217" i="1" a="1"/>
  <c r="G217" i="1" s="1"/>
  <c r="G218" i="1" a="1"/>
  <c r="G218" i="1" s="1"/>
  <c r="G219" i="1" a="1"/>
  <c r="G219" i="1" s="1"/>
  <c r="G220" i="1" a="1"/>
  <c r="G220" i="1" s="1"/>
  <c r="G221" i="1" a="1"/>
  <c r="G221" i="1" s="1"/>
  <c r="G222" i="1" a="1"/>
  <c r="G222" i="1" s="1"/>
  <c r="G223" i="1" a="1"/>
  <c r="G223" i="1" s="1"/>
  <c r="G224" i="1" a="1"/>
  <c r="G224" i="1" s="1"/>
  <c r="G225" i="1" a="1"/>
  <c r="G225" i="1" s="1"/>
  <c r="G226" i="1" a="1"/>
  <c r="G226" i="1" s="1"/>
  <c r="G227" i="1" a="1"/>
  <c r="G227" i="1" s="1"/>
  <c r="G228" i="1" a="1"/>
  <c r="G228" i="1" s="1"/>
  <c r="G229" i="1" a="1"/>
  <c r="G229" i="1" s="1"/>
  <c r="G230" i="1" a="1"/>
  <c r="G230" i="1" s="1"/>
  <c r="G231" i="1" a="1"/>
  <c r="G231" i="1" s="1"/>
  <c r="G232" i="1" a="1"/>
  <c r="G232" i="1" s="1"/>
  <c r="G233" i="1" a="1"/>
  <c r="G233" i="1" s="1"/>
  <c r="G234" i="1" a="1"/>
  <c r="G234" i="1" s="1"/>
  <c r="G235" i="1" a="1"/>
  <c r="G235" i="1" s="1"/>
  <c r="G236" i="1" a="1"/>
  <c r="G236" i="1" s="1"/>
  <c r="G237" i="1" a="1"/>
  <c r="G237" i="1" s="1"/>
  <c r="G238" i="1" a="1"/>
  <c r="G238" i="1" s="1"/>
  <c r="G239" i="1" a="1"/>
  <c r="G239" i="1" s="1"/>
  <c r="G240" i="1" a="1"/>
  <c r="G240" i="1" s="1"/>
  <c r="G241" i="1" a="1"/>
  <c r="G241" i="1" s="1"/>
  <c r="G242" i="1" a="1"/>
  <c r="G242" i="1" s="1"/>
  <c r="G243" i="1" a="1"/>
  <c r="G243" i="1" s="1"/>
  <c r="G244" i="1" a="1"/>
  <c r="G244" i="1" s="1"/>
  <c r="G245" i="1" a="1"/>
  <c r="G245" i="1" s="1"/>
  <c r="G246" i="1" a="1"/>
  <c r="G246" i="1" s="1"/>
  <c r="G247" i="1" a="1"/>
  <c r="G247" i="1" s="1"/>
  <c r="G248" i="1" a="1"/>
  <c r="G248" i="1" s="1"/>
  <c r="G249" i="1" a="1"/>
  <c r="G249" i="1" s="1"/>
  <c r="G250" i="1" a="1"/>
  <c r="G250" i="1" s="1"/>
  <c r="G251" i="1" a="1"/>
  <c r="G251" i="1" s="1"/>
  <c r="G252" i="1" a="1"/>
  <c r="G252" i="1" s="1"/>
  <c r="G253" i="1" a="1"/>
  <c r="G253" i="1" s="1"/>
  <c r="G254" i="1" a="1"/>
  <c r="G254" i="1" s="1"/>
  <c r="G255" i="1" a="1"/>
  <c r="G255" i="1" s="1"/>
  <c r="G256" i="1" a="1"/>
  <c r="G256" i="1" s="1"/>
  <c r="G257" i="1" a="1"/>
  <c r="G257" i="1" s="1"/>
  <c r="G258" i="1" a="1"/>
  <c r="G258" i="1" s="1"/>
  <c r="G259" i="1" a="1"/>
  <c r="G259" i="1" s="1"/>
  <c r="G260" i="1" a="1"/>
  <c r="G260" i="1" s="1"/>
  <c r="G261" i="1" a="1"/>
  <c r="G261" i="1" s="1"/>
  <c r="G262" i="1" a="1"/>
  <c r="G262" i="1" s="1"/>
  <c r="G263" i="1" a="1"/>
  <c r="G263" i="1" s="1"/>
  <c r="G264" i="1" a="1"/>
  <c r="G264" i="1" s="1"/>
  <c r="G265" i="1" a="1"/>
  <c r="G265" i="1" s="1"/>
  <c r="G266" i="1" a="1"/>
  <c r="G266" i="1" s="1"/>
  <c r="G267" i="1" a="1"/>
  <c r="G267" i="1" s="1"/>
  <c r="G268" i="1" a="1"/>
  <c r="G268" i="1" s="1"/>
  <c r="G269" i="1" a="1"/>
  <c r="G269" i="1" s="1"/>
  <c r="G270" i="1" a="1"/>
  <c r="G270" i="1" s="1"/>
  <c r="G271" i="1" a="1"/>
  <c r="G271" i="1" s="1"/>
  <c r="G272" i="1" a="1"/>
  <c r="G272" i="1" s="1"/>
  <c r="G273" i="1" a="1"/>
  <c r="G273" i="1" s="1"/>
  <c r="G274" i="1" a="1"/>
  <c r="G274" i="1" s="1"/>
  <c r="G275" i="1" a="1"/>
  <c r="G275" i="1" s="1"/>
  <c r="G276" i="1" a="1"/>
  <c r="G276" i="1" s="1"/>
  <c r="G277" i="1" a="1"/>
  <c r="G277" i="1" s="1"/>
  <c r="G278" i="1" a="1"/>
  <c r="G278" i="1" s="1"/>
  <c r="G279" i="1" a="1"/>
  <c r="G279" i="1" s="1"/>
  <c r="G280" i="1" a="1"/>
  <c r="G280" i="1" s="1"/>
  <c r="G281" i="1" a="1"/>
  <c r="G281" i="1" s="1"/>
  <c r="G282" i="1" a="1"/>
  <c r="G282" i="1" s="1"/>
  <c r="G283" i="1" a="1"/>
  <c r="G283" i="1" s="1"/>
  <c r="G284" i="1" a="1"/>
  <c r="G284" i="1" s="1"/>
  <c r="G285" i="1" a="1"/>
  <c r="G285" i="1" s="1"/>
  <c r="G286" i="1" a="1"/>
  <c r="G286" i="1" s="1"/>
  <c r="G287" i="1" a="1"/>
  <c r="G287" i="1" s="1"/>
  <c r="G288" i="1" a="1"/>
  <c r="G288" i="1" s="1"/>
  <c r="G289" i="1" a="1"/>
  <c r="G289" i="1" s="1"/>
  <c r="G290" i="1" a="1"/>
  <c r="G290" i="1" s="1"/>
  <c r="G291" i="1" a="1"/>
  <c r="G291" i="1" s="1"/>
  <c r="G292" i="1" a="1"/>
  <c r="G292" i="1" s="1"/>
  <c r="G293" i="1" a="1"/>
  <c r="G293" i="1" s="1"/>
  <c r="G294" i="1" a="1"/>
  <c r="G294" i="1" s="1"/>
  <c r="G295" i="1" a="1"/>
  <c r="G295" i="1" s="1"/>
  <c r="G296" i="1" a="1"/>
  <c r="G296" i="1" s="1"/>
  <c r="G297" i="1" a="1"/>
  <c r="G297" i="1" s="1"/>
  <c r="G298" i="1" a="1"/>
  <c r="G298" i="1" s="1"/>
  <c r="G299" i="1" a="1"/>
  <c r="G299" i="1" s="1"/>
  <c r="G300" i="1" a="1"/>
  <c r="G300" i="1" s="1"/>
  <c r="G301" i="1" a="1"/>
  <c r="G301" i="1" s="1"/>
  <c r="G302" i="1" a="1"/>
  <c r="G302" i="1" s="1"/>
  <c r="G303" i="1" a="1"/>
  <c r="G303" i="1" s="1"/>
  <c r="G304" i="1" a="1"/>
  <c r="G304" i="1" s="1"/>
  <c r="G305" i="1" a="1"/>
  <c r="G305" i="1" s="1"/>
  <c r="G306" i="1" a="1"/>
  <c r="G306" i="1" s="1"/>
  <c r="G307" i="1" a="1"/>
  <c r="G307" i="1" s="1"/>
  <c r="G308" i="1" a="1"/>
  <c r="G308" i="1" s="1"/>
  <c r="G309" i="1" a="1"/>
  <c r="G309" i="1" s="1"/>
  <c r="G310" i="1" a="1"/>
  <c r="G310" i="1" s="1"/>
  <c r="G311" i="1" a="1"/>
  <c r="G311" i="1" s="1"/>
  <c r="G312" i="1" a="1"/>
  <c r="G312" i="1" s="1"/>
  <c r="G313" i="1" a="1"/>
  <c r="G313" i="1" s="1"/>
  <c r="G314" i="1" a="1"/>
  <c r="G314" i="1" s="1"/>
  <c r="G315" i="1" a="1"/>
  <c r="G315" i="1" s="1"/>
  <c r="G316" i="1" a="1"/>
  <c r="G316" i="1" s="1"/>
  <c r="G317" i="1" a="1"/>
  <c r="G317" i="1" s="1"/>
  <c r="G318" i="1" a="1"/>
  <c r="G318" i="1" s="1"/>
  <c r="G319" i="1" a="1"/>
  <c r="G319" i="1" s="1"/>
  <c r="G320" i="1" a="1"/>
  <c r="G320" i="1" s="1"/>
  <c r="G321" i="1" a="1"/>
  <c r="G321" i="1" s="1"/>
  <c r="G322" i="1" a="1"/>
  <c r="G322" i="1" s="1"/>
  <c r="G323" i="1" a="1"/>
  <c r="G323" i="1" s="1"/>
  <c r="G324" i="1" a="1"/>
  <c r="G324" i="1" s="1"/>
  <c r="G325" i="1" a="1"/>
  <c r="G325" i="1" s="1"/>
  <c r="G326" i="1" a="1"/>
  <c r="G326" i="1" s="1"/>
  <c r="G327" i="1" a="1"/>
  <c r="G327" i="1" s="1"/>
  <c r="G328" i="1" a="1"/>
  <c r="G328" i="1" s="1"/>
  <c r="G329" i="1" a="1"/>
  <c r="G329" i="1" s="1"/>
  <c r="G330" i="1" a="1"/>
  <c r="G330" i="1" s="1"/>
  <c r="G331" i="1" a="1"/>
  <c r="G331" i="1" s="1"/>
  <c r="G332" i="1" a="1"/>
  <c r="G332" i="1" s="1"/>
  <c r="G333" i="1" a="1"/>
  <c r="G333" i="1" s="1"/>
  <c r="G334" i="1" a="1"/>
  <c r="G334" i="1" s="1"/>
  <c r="G335" i="1" a="1"/>
  <c r="G335" i="1" s="1"/>
  <c r="G336" i="1" a="1"/>
  <c r="G336" i="1" s="1"/>
  <c r="G337" i="1" a="1"/>
  <c r="G337" i="1" s="1"/>
  <c r="G338" i="1" a="1"/>
  <c r="G338" i="1" s="1"/>
  <c r="G339" i="1" a="1"/>
  <c r="G339" i="1" s="1"/>
  <c r="G340" i="1" a="1"/>
  <c r="G340" i="1" s="1"/>
  <c r="G341" i="1" a="1"/>
  <c r="G341" i="1" s="1"/>
  <c r="G342" i="1" a="1"/>
  <c r="G342" i="1" s="1"/>
  <c r="G343" i="1" a="1"/>
  <c r="G343" i="1" s="1"/>
  <c r="G344" i="1" a="1"/>
  <c r="G344" i="1" s="1"/>
  <c r="G345" i="1" a="1"/>
  <c r="G345" i="1" s="1"/>
  <c r="G346" i="1" a="1"/>
  <c r="G346" i="1" s="1"/>
  <c r="G347" i="1" a="1"/>
  <c r="G347" i="1" s="1"/>
  <c r="G348" i="1" a="1"/>
  <c r="G348" i="1" s="1"/>
  <c r="G349" i="1" a="1"/>
  <c r="G349" i="1" s="1"/>
  <c r="G350" i="1" a="1"/>
  <c r="G350" i="1" s="1"/>
  <c r="G351" i="1" a="1"/>
  <c r="G351" i="1" s="1"/>
  <c r="G352" i="1" a="1"/>
  <c r="G352" i="1" s="1"/>
  <c r="G353" i="1" a="1"/>
  <c r="G353" i="1" s="1"/>
  <c r="G354" i="1" a="1"/>
  <c r="G354" i="1" s="1"/>
  <c r="G355" i="1" a="1"/>
  <c r="G355" i="1" s="1"/>
  <c r="G356" i="1" a="1"/>
  <c r="G356" i="1" s="1"/>
  <c r="G357" i="1" a="1"/>
  <c r="G357" i="1" s="1"/>
  <c r="G358" i="1" a="1"/>
  <c r="G358" i="1" s="1"/>
  <c r="G359" i="1" a="1"/>
  <c r="G359" i="1" s="1"/>
  <c r="G360" i="1" a="1"/>
  <c r="G360" i="1" s="1"/>
  <c r="G361" i="1" a="1"/>
  <c r="G361" i="1" s="1"/>
  <c r="G362" i="1" a="1"/>
  <c r="G362" i="1" s="1"/>
  <c r="G363" i="1" a="1"/>
  <c r="G363" i="1" s="1"/>
  <c r="G364" i="1" a="1"/>
  <c r="G364" i="1" s="1"/>
  <c r="G365" i="1" a="1"/>
  <c r="G365" i="1" s="1"/>
  <c r="G366" i="1" a="1"/>
  <c r="G366" i="1" s="1"/>
  <c r="G367" i="1" a="1"/>
  <c r="G367" i="1" s="1"/>
  <c r="G368" i="1" a="1"/>
  <c r="G368" i="1" s="1"/>
  <c r="G369" i="1" a="1"/>
  <c r="G369" i="1" s="1"/>
  <c r="G370" i="1" a="1"/>
  <c r="G370" i="1" s="1"/>
  <c r="G371" i="1" a="1"/>
  <c r="G371" i="1" s="1"/>
  <c r="G372" i="1" a="1"/>
  <c r="G372" i="1" s="1"/>
  <c r="G373" i="1" a="1"/>
  <c r="G373" i="1" s="1"/>
  <c r="G374" i="1" a="1"/>
  <c r="G374" i="1" s="1"/>
  <c r="G375" i="1" a="1"/>
  <c r="G375" i="1" s="1"/>
  <c r="G376" i="1" a="1"/>
  <c r="G376" i="1" s="1"/>
  <c r="G377" i="1" a="1"/>
  <c r="G377" i="1" s="1"/>
  <c r="G378" i="1" a="1"/>
  <c r="G378" i="1" s="1"/>
  <c r="G379" i="1" a="1"/>
  <c r="G379" i="1" s="1"/>
  <c r="G380" i="1" a="1"/>
  <c r="G380" i="1" s="1"/>
  <c r="G381" i="1" a="1"/>
  <c r="G381" i="1" s="1"/>
  <c r="G382" i="1" a="1"/>
  <c r="G382" i="1" s="1"/>
  <c r="G383" i="1" a="1"/>
  <c r="G383" i="1" s="1"/>
  <c r="G384" i="1" a="1"/>
  <c r="G384" i="1" s="1"/>
  <c r="G385" i="1" a="1"/>
  <c r="G385" i="1" s="1"/>
  <c r="G386" i="1" a="1"/>
  <c r="G386" i="1" s="1"/>
  <c r="G387" i="1" a="1"/>
  <c r="G387" i="1" s="1"/>
  <c r="G388" i="1" a="1"/>
  <c r="G388" i="1" s="1"/>
  <c r="G389" i="1" a="1"/>
  <c r="G389" i="1" s="1"/>
  <c r="G390" i="1" a="1"/>
  <c r="G390" i="1" s="1"/>
  <c r="G391" i="1" a="1"/>
  <c r="G391" i="1" s="1"/>
  <c r="G392" i="1" a="1"/>
  <c r="G392" i="1" s="1"/>
  <c r="G393" i="1" a="1"/>
  <c r="G393" i="1" s="1"/>
  <c r="G394" i="1" a="1"/>
  <c r="G394" i="1" s="1"/>
  <c r="G395" i="1" a="1"/>
  <c r="G395" i="1" s="1"/>
  <c r="G396" i="1" a="1"/>
  <c r="G396" i="1" s="1"/>
  <c r="G397" i="1" a="1"/>
  <c r="G397" i="1" s="1"/>
  <c r="G398" i="1" a="1"/>
  <c r="G398" i="1" s="1"/>
  <c r="G399" i="1" a="1"/>
  <c r="G399" i="1" s="1"/>
  <c r="G400" i="1" a="1"/>
  <c r="G400" i="1" s="1"/>
  <c r="G401" i="1" a="1"/>
  <c r="G401" i="1" s="1"/>
  <c r="G402" i="1" a="1"/>
  <c r="G402" i="1" s="1"/>
  <c r="G403" i="1" a="1"/>
  <c r="G403" i="1" s="1"/>
  <c r="G404" i="1" a="1"/>
  <c r="G404" i="1" s="1"/>
  <c r="G405" i="1" a="1"/>
  <c r="G405" i="1" s="1"/>
  <c r="G406" i="1" a="1"/>
  <c r="G406" i="1" s="1"/>
  <c r="G407" i="1" a="1"/>
  <c r="G407" i="1" s="1"/>
  <c r="G408" i="1" a="1"/>
  <c r="G408" i="1" s="1"/>
  <c r="G409" i="1" a="1"/>
  <c r="G409" i="1" s="1"/>
  <c r="G410" i="1" a="1"/>
  <c r="G410" i="1" s="1"/>
  <c r="G411" i="1" a="1"/>
  <c r="G411" i="1" s="1"/>
  <c r="G412" i="1" a="1"/>
  <c r="G412" i="1" s="1"/>
  <c r="G413" i="1" a="1"/>
  <c r="G413" i="1" s="1"/>
  <c r="G414" i="1" a="1"/>
  <c r="G414" i="1" s="1"/>
  <c r="G415" i="1" a="1"/>
  <c r="G415" i="1" s="1"/>
  <c r="G416" i="1" a="1"/>
  <c r="G416" i="1" s="1"/>
  <c r="G417" i="1" a="1"/>
  <c r="G417" i="1" s="1"/>
  <c r="G418" i="1" a="1"/>
  <c r="G418" i="1" s="1"/>
  <c r="G419" i="1" a="1"/>
  <c r="G419" i="1" s="1"/>
  <c r="G420" i="1" a="1"/>
  <c r="G420" i="1" s="1"/>
  <c r="G421" i="1" a="1"/>
  <c r="G421" i="1" s="1"/>
  <c r="G422" i="1" a="1"/>
  <c r="G422" i="1" s="1"/>
  <c r="G423" i="1" a="1"/>
  <c r="G423" i="1" s="1"/>
  <c r="G424" i="1" a="1"/>
  <c r="G424" i="1" s="1"/>
  <c r="G425" i="1" a="1"/>
  <c r="G425" i="1" s="1"/>
  <c r="G426" i="1" a="1"/>
  <c r="G426" i="1" s="1"/>
  <c r="G427" i="1" a="1"/>
  <c r="G427" i="1" s="1"/>
  <c r="G428" i="1" a="1"/>
  <c r="G428" i="1" s="1"/>
  <c r="G429" i="1" a="1"/>
  <c r="G429" i="1" s="1"/>
  <c r="G430" i="1" a="1"/>
  <c r="G430" i="1" s="1"/>
  <c r="G431" i="1" a="1"/>
  <c r="G431" i="1" s="1"/>
  <c r="G432" i="1" a="1"/>
  <c r="G432" i="1" s="1"/>
  <c r="G433" i="1" a="1"/>
  <c r="G433" i="1" s="1"/>
  <c r="G434" i="1" a="1"/>
  <c r="G434" i="1" s="1"/>
  <c r="G435" i="1" a="1"/>
  <c r="G435" i="1" s="1"/>
  <c r="G436" i="1" a="1"/>
  <c r="G436" i="1" s="1"/>
  <c r="G437" i="1" a="1"/>
  <c r="G437" i="1" s="1"/>
  <c r="G438" i="1" a="1"/>
  <c r="G438" i="1" s="1"/>
  <c r="G439" i="1" a="1"/>
  <c r="G439" i="1" s="1"/>
  <c r="G440" i="1" a="1"/>
  <c r="G440" i="1" s="1"/>
  <c r="G441" i="1" a="1"/>
  <c r="G441" i="1" s="1"/>
  <c r="G442" i="1" a="1"/>
  <c r="G442" i="1" s="1"/>
  <c r="G443" i="1" a="1"/>
  <c r="G443" i="1" s="1"/>
  <c r="G444" i="1" a="1"/>
  <c r="G444" i="1" s="1"/>
  <c r="G445" i="1" a="1"/>
  <c r="G445" i="1" s="1"/>
  <c r="G446" i="1" a="1"/>
  <c r="G446" i="1" s="1"/>
  <c r="G447" i="1" a="1"/>
  <c r="G447" i="1" s="1"/>
  <c r="G448" i="1" a="1"/>
  <c r="G448" i="1" s="1"/>
  <c r="G449" i="1" a="1"/>
  <c r="G449" i="1" s="1"/>
  <c r="G450" i="1" a="1"/>
  <c r="G450" i="1" s="1"/>
  <c r="G451" i="1" a="1"/>
  <c r="G451" i="1" s="1"/>
  <c r="G452" i="1" a="1"/>
  <c r="G452" i="1" s="1"/>
  <c r="G453" i="1" a="1"/>
  <c r="G453" i="1" s="1"/>
  <c r="G454" i="1" a="1"/>
  <c r="G454" i="1" s="1"/>
  <c r="G455" i="1" a="1"/>
  <c r="G455" i="1" s="1"/>
  <c r="G456" i="1" a="1"/>
  <c r="G456" i="1" s="1"/>
  <c r="G457" i="1" a="1"/>
  <c r="G457" i="1" s="1"/>
  <c r="G458" i="1" a="1"/>
  <c r="G458" i="1" s="1"/>
  <c r="G459" i="1" a="1"/>
  <c r="G459" i="1" s="1"/>
  <c r="G460" i="1" a="1"/>
  <c r="G460" i="1" s="1"/>
  <c r="G461" i="1" a="1"/>
  <c r="G461" i="1" s="1"/>
  <c r="G462" i="1" a="1"/>
  <c r="G462" i="1" s="1"/>
  <c r="G463" i="1" a="1"/>
  <c r="G463" i="1" s="1"/>
  <c r="G464" i="1" a="1"/>
  <c r="G464" i="1" s="1"/>
  <c r="G465" i="1" a="1"/>
  <c r="G465" i="1" s="1"/>
  <c r="G466" i="1" a="1"/>
  <c r="G466" i="1" s="1"/>
  <c r="G467" i="1" a="1"/>
  <c r="G467" i="1" s="1"/>
  <c r="G468" i="1" a="1"/>
  <c r="G468" i="1" s="1"/>
  <c r="G469" i="1" a="1"/>
  <c r="G469" i="1" s="1"/>
  <c r="G470" i="1" a="1"/>
  <c r="G470" i="1" s="1"/>
  <c r="G471" i="1" a="1"/>
  <c r="G471" i="1" s="1"/>
  <c r="G472" i="1" a="1"/>
  <c r="G472" i="1" s="1"/>
  <c r="G473" i="1" a="1"/>
  <c r="G473" i="1" s="1"/>
  <c r="G474" i="1" a="1"/>
  <c r="G474" i="1" s="1"/>
  <c r="G475" i="1" a="1"/>
  <c r="G475" i="1" s="1"/>
  <c r="G476" i="1" a="1"/>
  <c r="G476" i="1" s="1"/>
  <c r="G477" i="1" a="1"/>
  <c r="G477" i="1" s="1"/>
  <c r="G478" i="1" a="1"/>
  <c r="G478" i="1" s="1"/>
  <c r="G479" i="1" a="1"/>
  <c r="G479" i="1" s="1"/>
  <c r="G480" i="1" a="1"/>
  <c r="G480" i="1" s="1"/>
  <c r="G481" i="1" a="1"/>
  <c r="G481" i="1" s="1"/>
  <c r="G482" i="1" a="1"/>
  <c r="G482" i="1" s="1"/>
  <c r="G483" i="1" a="1"/>
  <c r="G483" i="1" s="1"/>
  <c r="G484" i="1" a="1"/>
  <c r="G484" i="1" s="1"/>
  <c r="G485" i="1" a="1"/>
  <c r="G485" i="1" s="1"/>
  <c r="G486" i="1" a="1"/>
  <c r="G486" i="1" s="1"/>
  <c r="G487" i="1" a="1"/>
  <c r="G487" i="1" s="1"/>
  <c r="G488" i="1" a="1"/>
  <c r="G488" i="1" s="1"/>
  <c r="G489" i="1" a="1"/>
  <c r="G489" i="1" s="1"/>
  <c r="G490" i="1" a="1"/>
  <c r="G490" i="1" s="1"/>
  <c r="G491" i="1" a="1"/>
  <c r="G491" i="1" s="1"/>
  <c r="G492" i="1" a="1"/>
  <c r="G492" i="1" s="1"/>
  <c r="G493" i="1" a="1"/>
  <c r="G493" i="1" s="1"/>
  <c r="G494" i="1" a="1"/>
  <c r="G494" i="1" s="1"/>
  <c r="G495" i="1" a="1"/>
  <c r="G495" i="1" s="1"/>
  <c r="G496" i="1" a="1"/>
  <c r="G496" i="1" s="1"/>
  <c r="G497" i="1" a="1"/>
  <c r="G497" i="1" s="1"/>
  <c r="G498" i="1" a="1"/>
  <c r="G498" i="1" s="1"/>
  <c r="G499" i="1" a="1"/>
  <c r="G499" i="1" s="1"/>
  <c r="G500" i="1" a="1"/>
  <c r="G500" i="1" s="1"/>
  <c r="G501" i="1" a="1"/>
  <c r="G501" i="1" s="1"/>
  <c r="G502" i="1" a="1"/>
  <c r="G502" i="1" s="1"/>
  <c r="G503" i="1" a="1"/>
  <c r="G503" i="1" s="1"/>
  <c r="G504" i="1" a="1"/>
  <c r="G504" i="1" s="1"/>
  <c r="G505" i="1" a="1"/>
  <c r="G505" i="1" s="1"/>
  <c r="G506" i="1" a="1"/>
  <c r="G506" i="1" s="1"/>
  <c r="G507" i="1" a="1"/>
  <c r="G507" i="1" s="1"/>
  <c r="G508" i="1" a="1"/>
  <c r="G508" i="1" s="1"/>
  <c r="G509" i="1" a="1"/>
  <c r="G509" i="1" s="1"/>
  <c r="G510" i="1" a="1"/>
  <c r="G510" i="1" s="1"/>
  <c r="G511" i="1" a="1"/>
  <c r="G511" i="1" s="1"/>
  <c r="G512" i="1" a="1"/>
  <c r="G512" i="1" s="1"/>
  <c r="G513" i="1" a="1"/>
  <c r="G513" i="1" s="1"/>
  <c r="G514" i="1" a="1"/>
  <c r="G514" i="1" s="1"/>
  <c r="G515" i="1" a="1"/>
  <c r="G515" i="1" s="1"/>
  <c r="G516" i="1" a="1"/>
  <c r="G516" i="1" s="1"/>
  <c r="G517" i="1" a="1"/>
  <c r="G517" i="1" s="1"/>
  <c r="G518" i="1" a="1"/>
  <c r="G518" i="1" s="1"/>
  <c r="G519" i="1" a="1"/>
  <c r="G519" i="1" s="1"/>
  <c r="G520" i="1" a="1"/>
  <c r="G520" i="1" s="1"/>
  <c r="G521" i="1" a="1"/>
  <c r="G521" i="1" s="1"/>
  <c r="G522" i="1" a="1"/>
  <c r="G522" i="1" s="1"/>
  <c r="G523" i="1" a="1"/>
  <c r="G523" i="1" s="1"/>
  <c r="G524" i="1" a="1"/>
  <c r="G524" i="1" s="1"/>
  <c r="G525" i="1" a="1"/>
  <c r="G525" i="1" s="1"/>
  <c r="G526" i="1" a="1"/>
  <c r="G526" i="1" s="1"/>
  <c r="G527" i="1" a="1"/>
  <c r="G527" i="1" s="1"/>
  <c r="G528" i="1" a="1"/>
  <c r="G528" i="1" s="1"/>
  <c r="G529" i="1" a="1"/>
  <c r="G529" i="1" s="1"/>
  <c r="G530" i="1" a="1"/>
  <c r="G530" i="1" s="1"/>
  <c r="G531" i="1" a="1"/>
  <c r="G531" i="1" s="1"/>
  <c r="G532" i="1" a="1"/>
  <c r="G532" i="1" s="1"/>
  <c r="G533" i="1" a="1"/>
  <c r="G533" i="1" s="1"/>
  <c r="G534" i="1" a="1"/>
  <c r="G534" i="1" s="1"/>
  <c r="G535" i="1" a="1"/>
  <c r="G535" i="1" s="1"/>
  <c r="G536" i="1" a="1"/>
  <c r="G536" i="1" s="1"/>
  <c r="G537" i="1" a="1"/>
  <c r="G537" i="1" s="1"/>
  <c r="G538" i="1" a="1"/>
  <c r="G538" i="1" s="1"/>
  <c r="G539" i="1" a="1"/>
  <c r="G539" i="1" s="1"/>
  <c r="G540" i="1" a="1"/>
  <c r="G540" i="1" s="1"/>
  <c r="G541" i="1" a="1"/>
  <c r="G541" i="1" s="1"/>
  <c r="G542" i="1" a="1"/>
  <c r="G542" i="1" s="1"/>
  <c r="G543" i="1" a="1"/>
  <c r="G543" i="1" s="1"/>
  <c r="G544" i="1" a="1"/>
  <c r="G544" i="1" s="1"/>
  <c r="G545" i="1" a="1"/>
  <c r="G545" i="1" s="1"/>
  <c r="G546" i="1" a="1"/>
  <c r="G546" i="1" s="1"/>
  <c r="G547" i="1" a="1"/>
  <c r="G547" i="1" s="1"/>
  <c r="G548" i="1" a="1"/>
  <c r="G548" i="1" s="1"/>
  <c r="G549" i="1" a="1"/>
  <c r="G549" i="1" s="1"/>
  <c r="G550" i="1" a="1"/>
  <c r="G550" i="1" s="1"/>
  <c r="G551" i="1" a="1"/>
  <c r="G551" i="1" s="1"/>
  <c r="G552" i="1" a="1"/>
  <c r="G552" i="1" s="1"/>
  <c r="G553" i="1" a="1"/>
  <c r="G553" i="1" s="1"/>
  <c r="G554" i="1" a="1"/>
  <c r="G554" i="1" s="1"/>
  <c r="G555" i="1" a="1"/>
  <c r="G555" i="1" s="1"/>
  <c r="G556" i="1" a="1"/>
  <c r="G556" i="1" s="1"/>
  <c r="G557" i="1" a="1"/>
  <c r="G557" i="1" s="1"/>
  <c r="G558" i="1" a="1"/>
  <c r="G558" i="1" s="1"/>
  <c r="G559" i="1" a="1"/>
  <c r="G559" i="1" s="1"/>
  <c r="G560" i="1" a="1"/>
  <c r="G560" i="1" s="1"/>
  <c r="G561" i="1" a="1"/>
  <c r="G561" i="1" s="1"/>
  <c r="G562" i="1" a="1"/>
  <c r="G562" i="1" s="1"/>
  <c r="G563" i="1" a="1"/>
  <c r="G563" i="1" s="1"/>
  <c r="G564" i="1" a="1"/>
  <c r="G564" i="1" s="1"/>
  <c r="G565" i="1" a="1"/>
  <c r="G565" i="1" s="1"/>
  <c r="G566" i="1" a="1"/>
  <c r="G566" i="1" s="1"/>
  <c r="G567" i="1" a="1"/>
  <c r="G567" i="1" s="1"/>
  <c r="G568" i="1" a="1"/>
  <c r="G568" i="1" s="1"/>
  <c r="G569" i="1" a="1"/>
  <c r="G569" i="1" s="1"/>
  <c r="G570" i="1" a="1"/>
  <c r="G570" i="1" s="1"/>
  <c r="G571" i="1" a="1"/>
  <c r="G571" i="1" s="1"/>
  <c r="G572" i="1" a="1"/>
  <c r="G572" i="1" s="1"/>
  <c r="G573" i="1" a="1"/>
  <c r="G573" i="1" s="1"/>
  <c r="G574" i="1" a="1"/>
  <c r="G574" i="1" s="1"/>
  <c r="G575" i="1" a="1"/>
  <c r="G575" i="1" s="1"/>
  <c r="G576" i="1" a="1"/>
  <c r="G576" i="1" s="1"/>
  <c r="G577" i="1" a="1"/>
  <c r="G577" i="1" s="1"/>
  <c r="G578" i="1" a="1"/>
  <c r="G578" i="1" s="1"/>
  <c r="G579" i="1" a="1"/>
  <c r="G579" i="1" s="1"/>
  <c r="G580" i="1" a="1"/>
  <c r="G580" i="1" s="1"/>
  <c r="G581" i="1" a="1"/>
  <c r="G581" i="1" s="1"/>
  <c r="G582" i="1" a="1"/>
  <c r="G582" i="1" s="1"/>
  <c r="G583" i="1" a="1"/>
  <c r="G583" i="1" s="1"/>
  <c r="G584" i="1" a="1"/>
  <c r="G584" i="1" s="1"/>
  <c r="G585" i="1" a="1"/>
  <c r="G585" i="1" s="1"/>
  <c r="G586" i="1" a="1"/>
  <c r="G586" i="1" s="1"/>
  <c r="G587" i="1" a="1"/>
  <c r="G587" i="1" s="1"/>
  <c r="G588" i="1" a="1"/>
  <c r="G588" i="1" s="1"/>
  <c r="G589" i="1" a="1"/>
  <c r="G589" i="1" s="1"/>
  <c r="G590" i="1" a="1"/>
  <c r="G590" i="1" s="1"/>
  <c r="G591" i="1" a="1"/>
  <c r="G591" i="1" s="1"/>
  <c r="G592" i="1" a="1"/>
  <c r="G592" i="1" s="1"/>
  <c r="G593" i="1" a="1"/>
  <c r="G593" i="1" s="1"/>
  <c r="G594" i="1" a="1"/>
  <c r="G594" i="1" s="1"/>
  <c r="G595" i="1" a="1"/>
  <c r="G595" i="1" s="1"/>
  <c r="G596" i="1" a="1"/>
  <c r="G596" i="1" s="1"/>
  <c r="G597" i="1" a="1"/>
  <c r="G597" i="1" s="1"/>
  <c r="G598" i="1" a="1"/>
  <c r="G598" i="1" s="1"/>
  <c r="G599" i="1" a="1"/>
  <c r="G599" i="1" s="1"/>
  <c r="G600" i="1" a="1"/>
  <c r="G600" i="1" s="1"/>
  <c r="G601" i="1" a="1"/>
  <c r="G601" i="1" s="1"/>
  <c r="G602" i="1" a="1"/>
  <c r="G602" i="1" s="1"/>
  <c r="G603" i="1" a="1"/>
  <c r="G603" i="1" s="1"/>
  <c r="G604" i="1" a="1"/>
  <c r="G604" i="1" s="1"/>
  <c r="G605" i="1" a="1"/>
  <c r="G605" i="1" s="1"/>
  <c r="G606" i="1" a="1"/>
  <c r="G606" i="1" s="1"/>
  <c r="G607" i="1" a="1"/>
  <c r="G607" i="1" s="1"/>
  <c r="G608" i="1" a="1"/>
  <c r="G608" i="1" s="1"/>
  <c r="G609" i="1" a="1"/>
  <c r="G609" i="1" s="1"/>
  <c r="G610" i="1" a="1"/>
  <c r="G610" i="1" s="1"/>
  <c r="G611" i="1" a="1"/>
  <c r="G611" i="1" s="1"/>
  <c r="G612" i="1" a="1"/>
  <c r="G612" i="1" s="1"/>
  <c r="G613" i="1" a="1"/>
  <c r="G613" i="1" s="1"/>
  <c r="G614" i="1" a="1"/>
  <c r="G614" i="1" s="1"/>
  <c r="G615" i="1" a="1"/>
  <c r="G615" i="1" s="1"/>
  <c r="G616" i="1" a="1"/>
  <c r="G616" i="1" s="1"/>
  <c r="G617" i="1" a="1"/>
  <c r="G617" i="1" s="1"/>
  <c r="G618" i="1" a="1"/>
  <c r="G618" i="1" s="1"/>
  <c r="G619" i="1" a="1"/>
  <c r="G619" i="1" s="1"/>
  <c r="G620" i="1" a="1"/>
  <c r="G620" i="1" s="1"/>
  <c r="G621" i="1" a="1"/>
  <c r="G621" i="1" s="1"/>
  <c r="G622" i="1" a="1"/>
  <c r="G622" i="1" s="1"/>
  <c r="G623" i="1" a="1"/>
  <c r="G623" i="1" s="1"/>
  <c r="G624" i="1" a="1"/>
  <c r="G624" i="1" s="1"/>
  <c r="G625" i="1" a="1"/>
  <c r="G625" i="1" s="1"/>
  <c r="G626" i="1" a="1"/>
  <c r="G626" i="1" s="1"/>
  <c r="G627" i="1" a="1"/>
  <c r="G627" i="1" s="1"/>
  <c r="G628" i="1" a="1"/>
  <c r="G628" i="1" s="1"/>
  <c r="G629" i="1" a="1"/>
  <c r="G629" i="1" s="1"/>
  <c r="G630" i="1" a="1"/>
  <c r="G630" i="1" s="1"/>
  <c r="G631" i="1" a="1"/>
  <c r="G631" i="1" s="1"/>
  <c r="G632" i="1" a="1"/>
  <c r="G632" i="1" s="1"/>
  <c r="G633" i="1" a="1"/>
  <c r="G633" i="1" s="1"/>
  <c r="G634" i="1" a="1"/>
  <c r="G634" i="1" s="1"/>
  <c r="G635" i="1" a="1"/>
  <c r="G635" i="1" s="1"/>
  <c r="G636" i="1" a="1"/>
  <c r="G636" i="1" s="1"/>
  <c r="G637" i="1" a="1"/>
  <c r="G637" i="1" s="1"/>
  <c r="G638" i="1" a="1"/>
  <c r="G638" i="1" s="1"/>
  <c r="G639" i="1" a="1"/>
  <c r="G639" i="1" s="1"/>
  <c r="G640" i="1" a="1"/>
  <c r="G640" i="1" s="1"/>
  <c r="G641" i="1" a="1"/>
  <c r="G641" i="1" s="1"/>
  <c r="G642" i="1" a="1"/>
  <c r="G642" i="1" s="1"/>
  <c r="G643" i="1" a="1"/>
  <c r="G643" i="1" s="1"/>
  <c r="G644" i="1" a="1"/>
  <c r="G644" i="1" s="1"/>
  <c r="G645" i="1" a="1"/>
  <c r="G645" i="1" s="1"/>
  <c r="G646" i="1" a="1"/>
  <c r="G646" i="1" s="1"/>
  <c r="G647" i="1" a="1"/>
  <c r="G647" i="1" s="1"/>
  <c r="G648" i="1" a="1"/>
  <c r="G648" i="1" s="1"/>
  <c r="G649" i="1" a="1"/>
  <c r="G649" i="1" s="1"/>
  <c r="G650" i="1" a="1"/>
  <c r="G650" i="1" s="1"/>
  <c r="G651" i="1" a="1"/>
  <c r="G651" i="1" s="1"/>
  <c r="G652" i="1" a="1"/>
  <c r="G652" i="1" s="1"/>
  <c r="G653" i="1" a="1"/>
  <c r="G653" i="1" s="1"/>
  <c r="G654" i="1" a="1"/>
  <c r="G654" i="1" s="1"/>
  <c r="G655" i="1" a="1"/>
  <c r="G655" i="1" s="1"/>
  <c r="G656" i="1" a="1"/>
  <c r="G656" i="1" s="1"/>
  <c r="G657" i="1" a="1"/>
  <c r="G657" i="1" s="1"/>
  <c r="G658" i="1" a="1"/>
  <c r="G658" i="1" s="1"/>
  <c r="G659" i="1" a="1"/>
  <c r="G659" i="1" s="1"/>
  <c r="G660" i="1" a="1"/>
  <c r="G660" i="1" s="1"/>
  <c r="G661" i="1" a="1"/>
  <c r="G661" i="1" s="1"/>
  <c r="G662" i="1" a="1"/>
  <c r="G662" i="1" s="1"/>
  <c r="G663" i="1" a="1"/>
  <c r="G663" i="1" s="1"/>
  <c r="G664" i="1" a="1"/>
  <c r="G664" i="1" s="1"/>
  <c r="G665" i="1" a="1"/>
  <c r="G665" i="1" s="1"/>
  <c r="G666" i="1" a="1"/>
  <c r="G666" i="1" s="1"/>
  <c r="G667" i="1" a="1"/>
  <c r="G667" i="1" s="1"/>
  <c r="G668" i="1" a="1"/>
  <c r="G668" i="1" s="1"/>
  <c r="G669" i="1" a="1"/>
  <c r="G669" i="1" s="1"/>
  <c r="G670" i="1" a="1"/>
  <c r="G670" i="1" s="1"/>
  <c r="G671" i="1" a="1"/>
  <c r="G671" i="1" s="1"/>
  <c r="G672" i="1" a="1"/>
  <c r="G672" i="1" s="1"/>
  <c r="G673" i="1" a="1"/>
  <c r="G673" i="1" s="1"/>
  <c r="G674" i="1" a="1"/>
  <c r="G674" i="1" s="1"/>
  <c r="G675" i="1" a="1"/>
  <c r="G675" i="1" s="1"/>
  <c r="G676" i="1" a="1"/>
  <c r="G676" i="1" s="1"/>
  <c r="G677" i="1" a="1"/>
  <c r="G677" i="1" s="1"/>
  <c r="G678" i="1" a="1"/>
  <c r="G678" i="1" s="1"/>
  <c r="G679" i="1" a="1"/>
  <c r="G679" i="1" s="1"/>
  <c r="G680" i="1" a="1"/>
  <c r="G680" i="1" s="1"/>
  <c r="G681" i="1" a="1"/>
  <c r="G681" i="1" s="1"/>
  <c r="G682" i="1" a="1"/>
  <c r="G682" i="1" s="1"/>
  <c r="G683" i="1" a="1"/>
  <c r="G683" i="1" s="1"/>
  <c r="G684" i="1" a="1"/>
  <c r="G684" i="1" s="1"/>
  <c r="G685" i="1" a="1"/>
  <c r="G685" i="1" s="1"/>
  <c r="G686" i="1" a="1"/>
  <c r="G686" i="1" s="1"/>
  <c r="G687" i="1" a="1"/>
  <c r="G687" i="1" s="1"/>
  <c r="G688" i="1" a="1"/>
  <c r="G688" i="1" s="1"/>
  <c r="G689" i="1" a="1"/>
  <c r="G689" i="1" s="1"/>
  <c r="G690" i="1" a="1"/>
  <c r="G690" i="1" s="1"/>
  <c r="G691" i="1" a="1"/>
  <c r="G691" i="1" s="1"/>
  <c r="G692" i="1" a="1"/>
  <c r="G692" i="1" s="1"/>
  <c r="G693" i="1" a="1"/>
  <c r="G693" i="1" s="1"/>
  <c r="G694" i="1" a="1"/>
  <c r="G694" i="1" s="1"/>
  <c r="G695" i="1" a="1"/>
  <c r="G695" i="1" s="1"/>
  <c r="G696" i="1" a="1"/>
  <c r="G696" i="1" s="1"/>
  <c r="G697" i="1" a="1"/>
  <c r="G697" i="1" s="1"/>
  <c r="G698" i="1" a="1"/>
  <c r="G698" i="1" s="1"/>
  <c r="G699" i="1" a="1"/>
  <c r="G699" i="1" s="1"/>
  <c r="G700" i="1" a="1"/>
  <c r="G700" i="1" s="1"/>
  <c r="G701" i="1" a="1"/>
  <c r="G701" i="1" s="1"/>
  <c r="G702" i="1" a="1"/>
  <c r="G702" i="1" s="1"/>
  <c r="G703" i="1" a="1"/>
  <c r="G703" i="1" s="1"/>
  <c r="G704" i="1" a="1"/>
  <c r="G704" i="1" s="1"/>
  <c r="G705" i="1" a="1"/>
  <c r="G705" i="1" s="1"/>
  <c r="G706" i="1" a="1"/>
  <c r="G706" i="1" s="1"/>
  <c r="G707" i="1" a="1"/>
  <c r="G707" i="1" s="1"/>
  <c r="G708" i="1" a="1"/>
  <c r="G708" i="1" s="1"/>
  <c r="G709" i="1" a="1"/>
  <c r="G709" i="1" s="1"/>
  <c r="G710" i="1" a="1"/>
  <c r="G710" i="1" s="1"/>
  <c r="G711" i="1" a="1"/>
  <c r="G711" i="1" s="1"/>
  <c r="G712" i="1" a="1"/>
  <c r="G712" i="1" s="1"/>
  <c r="G713" i="1" a="1"/>
  <c r="G713" i="1" s="1"/>
  <c r="G714" i="1" a="1"/>
  <c r="G714" i="1" s="1"/>
  <c r="G715" i="1" a="1"/>
  <c r="G715" i="1" s="1"/>
  <c r="G716" i="1" a="1"/>
  <c r="G716" i="1" s="1"/>
  <c r="G717" i="1" a="1"/>
  <c r="G717" i="1" s="1"/>
  <c r="G718" i="1" a="1"/>
  <c r="G718" i="1" s="1"/>
  <c r="G719" i="1" a="1"/>
  <c r="G719" i="1" s="1"/>
  <c r="G720" i="1" a="1"/>
  <c r="G720" i="1" s="1"/>
  <c r="G721" i="1" a="1"/>
  <c r="G721" i="1" s="1"/>
  <c r="G722" i="1" a="1"/>
  <c r="G722" i="1" s="1"/>
  <c r="G723" i="1" a="1"/>
  <c r="G723" i="1" s="1"/>
  <c r="G724" i="1" a="1"/>
  <c r="G724" i="1" s="1"/>
  <c r="G725" i="1" a="1"/>
  <c r="G725" i="1" s="1"/>
  <c r="G726" i="1" a="1"/>
  <c r="G726" i="1" s="1"/>
  <c r="G727" i="1" a="1"/>
  <c r="G727" i="1" s="1"/>
  <c r="G728" i="1" a="1"/>
  <c r="G728" i="1" s="1"/>
  <c r="G729" i="1" a="1"/>
  <c r="G729" i="1" s="1"/>
  <c r="G730" i="1" a="1"/>
  <c r="G730" i="1" s="1"/>
  <c r="G731" i="1" a="1"/>
  <c r="G731" i="1" s="1"/>
  <c r="G732" i="1" a="1"/>
  <c r="G732" i="1" s="1"/>
  <c r="G733" i="1" a="1"/>
  <c r="G733" i="1" s="1"/>
  <c r="G734" i="1" a="1"/>
  <c r="G734" i="1" s="1"/>
  <c r="G735" i="1" a="1"/>
  <c r="G735" i="1" s="1"/>
  <c r="G736" i="1" a="1"/>
  <c r="G736" i="1" s="1"/>
  <c r="G737" i="1" a="1"/>
  <c r="G737" i="1" s="1"/>
  <c r="G738" i="1" a="1"/>
  <c r="G738" i="1" s="1"/>
  <c r="G739" i="1" a="1"/>
  <c r="G739" i="1" s="1"/>
  <c r="G740" i="1" a="1"/>
  <c r="G740" i="1" s="1"/>
  <c r="G741" i="1" a="1"/>
  <c r="G741" i="1" s="1"/>
  <c r="G742" i="1" a="1"/>
  <c r="G742" i="1" s="1"/>
  <c r="G743" i="1" a="1"/>
  <c r="G743" i="1" s="1"/>
  <c r="G744" i="1" a="1"/>
  <c r="G744" i="1" s="1"/>
  <c r="G745" i="1" a="1"/>
  <c r="G745" i="1" s="1"/>
  <c r="G746" i="1" a="1"/>
  <c r="G746" i="1" s="1"/>
  <c r="G747" i="1" a="1"/>
  <c r="G747" i="1" s="1"/>
  <c r="G748" i="1" a="1"/>
  <c r="G748" i="1" s="1"/>
  <c r="G749" i="1" a="1"/>
  <c r="G749" i="1" s="1"/>
  <c r="G750" i="1" a="1"/>
  <c r="G750" i="1" s="1"/>
  <c r="G751" i="1" a="1"/>
  <c r="G751" i="1" s="1"/>
  <c r="G752" i="1" a="1"/>
  <c r="G752" i="1" s="1"/>
  <c r="G753" i="1" a="1"/>
  <c r="G753" i="1" s="1"/>
  <c r="G754" i="1" a="1"/>
  <c r="G754" i="1" s="1"/>
  <c r="G755" i="1" a="1"/>
  <c r="G755" i="1" s="1"/>
  <c r="G756" i="1" a="1"/>
  <c r="G756" i="1" s="1"/>
  <c r="G757" i="1" a="1"/>
  <c r="G757" i="1" s="1"/>
  <c r="G758" i="1" a="1"/>
  <c r="G758" i="1" s="1"/>
  <c r="G759" i="1" a="1"/>
  <c r="G759" i="1" s="1"/>
  <c r="G760" i="1" a="1"/>
  <c r="G760" i="1" s="1"/>
  <c r="G761" i="1" a="1"/>
  <c r="G761" i="1" s="1"/>
  <c r="G762" i="1" a="1"/>
  <c r="G762" i="1" s="1"/>
  <c r="G763" i="1" a="1"/>
  <c r="G763" i="1" s="1"/>
  <c r="G764" i="1" a="1"/>
  <c r="G764" i="1" s="1"/>
  <c r="G765" i="1" a="1"/>
  <c r="G765" i="1" s="1"/>
  <c r="G766" i="1" a="1"/>
  <c r="G766" i="1" s="1"/>
  <c r="G767" i="1" a="1"/>
  <c r="G767" i="1" s="1"/>
  <c r="G768" i="1" a="1"/>
  <c r="G768" i="1" s="1"/>
  <c r="G769" i="1" a="1"/>
  <c r="G769" i="1" s="1"/>
  <c r="G770" i="1" a="1"/>
  <c r="G770" i="1" s="1"/>
  <c r="G771" i="1" a="1"/>
  <c r="G771" i="1" s="1"/>
  <c r="G772" i="1" a="1"/>
  <c r="G772" i="1" s="1"/>
  <c r="G773" i="1" a="1"/>
  <c r="G773" i="1" s="1"/>
  <c r="G774" i="1" a="1"/>
  <c r="G774" i="1" s="1"/>
  <c r="G775" i="1" a="1"/>
  <c r="G775" i="1" s="1"/>
  <c r="G776" i="1" a="1"/>
  <c r="G776" i="1" s="1"/>
  <c r="G777" i="1" a="1"/>
  <c r="G777" i="1" s="1"/>
  <c r="G778" i="1" a="1"/>
  <c r="G778" i="1" s="1"/>
  <c r="G779" i="1" a="1"/>
  <c r="G779" i="1" s="1"/>
  <c r="G780" i="1" a="1"/>
  <c r="G780" i="1" s="1"/>
  <c r="G781" i="1" a="1"/>
  <c r="G781" i="1" s="1"/>
  <c r="G782" i="1" a="1"/>
  <c r="G782" i="1" s="1"/>
  <c r="G783" i="1" a="1"/>
  <c r="G783" i="1" s="1"/>
  <c r="G784" i="1" a="1"/>
  <c r="G784" i="1" s="1"/>
  <c r="G785" i="1" a="1"/>
  <c r="G785" i="1" s="1"/>
  <c r="G786" i="1" a="1"/>
  <c r="G786" i="1" s="1"/>
  <c r="G787" i="1" a="1"/>
  <c r="G787" i="1" s="1"/>
  <c r="G788" i="1" a="1"/>
  <c r="G788" i="1" s="1"/>
  <c r="G789" i="1" a="1"/>
  <c r="G789" i="1" s="1"/>
  <c r="G790" i="1" a="1"/>
  <c r="G790" i="1" s="1"/>
  <c r="G791" i="1" a="1"/>
  <c r="G791" i="1" s="1"/>
  <c r="G792" i="1" a="1"/>
  <c r="G792" i="1" s="1"/>
  <c r="G793" i="1" a="1"/>
  <c r="G793" i="1" s="1"/>
  <c r="G794" i="1" a="1"/>
  <c r="G794" i="1" s="1"/>
  <c r="G795" i="1" a="1"/>
  <c r="G795" i="1" s="1"/>
  <c r="G796" i="1" a="1"/>
  <c r="G796" i="1" s="1"/>
  <c r="G797" i="1" a="1"/>
  <c r="G797" i="1" s="1"/>
  <c r="G798" i="1" a="1"/>
  <c r="G798" i="1" s="1"/>
  <c r="G799" i="1" a="1"/>
  <c r="G799" i="1" s="1"/>
  <c r="G800" i="1" a="1"/>
  <c r="G800" i="1" s="1"/>
  <c r="G801" i="1" a="1"/>
  <c r="G801" i="1" s="1"/>
  <c r="G802" i="1" a="1"/>
  <c r="G802" i="1" s="1"/>
  <c r="G803" i="1" a="1"/>
  <c r="G803" i="1" s="1"/>
  <c r="G804" i="1" a="1"/>
  <c r="G804" i="1" s="1"/>
  <c r="G805" i="1" a="1"/>
  <c r="G805" i="1" s="1"/>
  <c r="G806" i="1" a="1"/>
  <c r="G806" i="1" s="1"/>
  <c r="G807" i="1" a="1"/>
  <c r="G807" i="1" s="1"/>
  <c r="G808" i="1" a="1"/>
  <c r="G808" i="1" s="1"/>
  <c r="G809" i="1" a="1"/>
  <c r="G809" i="1" s="1"/>
  <c r="G810" i="1" a="1"/>
  <c r="G810" i="1" s="1"/>
  <c r="G811" i="1" a="1"/>
  <c r="G811" i="1" s="1"/>
  <c r="G812" i="1" a="1"/>
  <c r="G812" i="1" s="1"/>
  <c r="G813" i="1" a="1"/>
  <c r="G813" i="1" s="1"/>
  <c r="G814" i="1" a="1"/>
  <c r="G814" i="1" s="1"/>
  <c r="G815" i="1" a="1"/>
  <c r="G815" i="1" s="1"/>
  <c r="G816" i="1" a="1"/>
  <c r="G816" i="1" s="1"/>
  <c r="G817" i="1" a="1"/>
  <c r="G817" i="1" s="1"/>
  <c r="G818" i="1" a="1"/>
  <c r="G818" i="1" s="1"/>
  <c r="G819" i="1" a="1"/>
  <c r="G819" i="1" s="1"/>
  <c r="G820" i="1" a="1"/>
  <c r="G820" i="1" s="1"/>
  <c r="G821" i="1" a="1"/>
  <c r="G821" i="1" s="1"/>
  <c r="G822" i="1" a="1"/>
  <c r="G822" i="1" s="1"/>
  <c r="G823" i="1" a="1"/>
  <c r="G823" i="1" s="1"/>
  <c r="G824" i="1" a="1"/>
  <c r="G824" i="1" s="1"/>
  <c r="G825" i="1" a="1"/>
  <c r="G825" i="1" s="1"/>
  <c r="G826" i="1" a="1"/>
  <c r="G826" i="1" s="1"/>
  <c r="G827" i="1" a="1"/>
  <c r="G827" i="1" s="1"/>
  <c r="G828" i="1" a="1"/>
  <c r="G828" i="1" s="1"/>
  <c r="G829" i="1" a="1"/>
  <c r="G829" i="1" s="1"/>
  <c r="G830" i="1" a="1"/>
  <c r="G830" i="1" s="1"/>
  <c r="G831" i="1" a="1"/>
  <c r="G831" i="1" s="1"/>
  <c r="G832" i="1" a="1"/>
  <c r="G832" i="1" s="1"/>
  <c r="G833" i="1" a="1"/>
  <c r="G833" i="1" s="1"/>
  <c r="G834" i="1" a="1"/>
  <c r="G834" i="1" s="1"/>
  <c r="G835" i="1" a="1"/>
  <c r="G835" i="1" s="1"/>
  <c r="G836" i="1" a="1"/>
  <c r="G836" i="1" s="1"/>
  <c r="G837" i="1" a="1"/>
  <c r="G837" i="1" s="1"/>
  <c r="G838" i="1" a="1"/>
  <c r="G838" i="1" s="1"/>
  <c r="G839" i="1" a="1"/>
  <c r="G839" i="1" s="1"/>
  <c r="G840" i="1" a="1"/>
  <c r="G840" i="1" s="1"/>
  <c r="G841" i="1" a="1"/>
  <c r="G841" i="1" s="1"/>
  <c r="G842" i="1" a="1"/>
  <c r="G842" i="1" s="1"/>
  <c r="G843" i="1" a="1"/>
  <c r="G843" i="1" s="1"/>
  <c r="G844" i="1" a="1"/>
  <c r="G844" i="1" s="1"/>
  <c r="G845" i="1" a="1"/>
  <c r="G845" i="1" s="1"/>
  <c r="G846" i="1" a="1"/>
  <c r="G846" i="1" s="1"/>
  <c r="G847" i="1" a="1"/>
  <c r="G847" i="1" s="1"/>
  <c r="G848" i="1" a="1"/>
  <c r="G848" i="1" s="1"/>
  <c r="G849" i="1" a="1"/>
  <c r="G849" i="1" s="1"/>
  <c r="G850" i="1" a="1"/>
  <c r="G850" i="1" s="1"/>
  <c r="G851" i="1" a="1"/>
  <c r="G851" i="1" s="1"/>
  <c r="G852" i="1" a="1"/>
  <c r="G852" i="1" s="1"/>
  <c r="G853" i="1" a="1"/>
  <c r="G853" i="1" s="1"/>
  <c r="G854" i="1" a="1"/>
  <c r="G854" i="1" s="1"/>
  <c r="G855" i="1" a="1"/>
  <c r="G855" i="1" s="1"/>
  <c r="G856" i="1" a="1"/>
  <c r="G856" i="1" s="1"/>
  <c r="G857" i="1" a="1"/>
  <c r="G857" i="1" s="1"/>
  <c r="G858" i="1" a="1"/>
  <c r="G858" i="1" s="1"/>
  <c r="G859" i="1" a="1"/>
  <c r="G859" i="1" s="1"/>
  <c r="G860" i="1" a="1"/>
  <c r="G860" i="1" s="1"/>
  <c r="G861" i="1" a="1"/>
  <c r="G861" i="1" s="1"/>
  <c r="G862" i="1" a="1"/>
  <c r="G862" i="1" s="1"/>
  <c r="G863" i="1" a="1"/>
  <c r="G863" i="1" s="1"/>
  <c r="G864" i="1" a="1"/>
  <c r="G864" i="1" s="1"/>
  <c r="G865" i="1" a="1"/>
  <c r="G865" i="1" s="1"/>
  <c r="G866" i="1" a="1"/>
  <c r="G866" i="1" s="1"/>
  <c r="G867" i="1" a="1"/>
  <c r="G867" i="1" s="1"/>
  <c r="G868" i="1" a="1"/>
  <c r="G868" i="1" s="1"/>
  <c r="G869" i="1" a="1"/>
  <c r="G869" i="1" s="1"/>
  <c r="G870" i="1" a="1"/>
  <c r="G870" i="1" s="1"/>
  <c r="G871" i="1" a="1"/>
  <c r="G871" i="1" s="1"/>
  <c r="G872" i="1" a="1"/>
  <c r="G872" i="1" s="1"/>
  <c r="G873" i="1" a="1"/>
  <c r="G873" i="1" s="1"/>
  <c r="G874" i="1" a="1"/>
  <c r="G874" i="1" s="1"/>
  <c r="G875" i="1" a="1"/>
  <c r="G875" i="1" s="1"/>
  <c r="G876" i="1" a="1"/>
  <c r="G876" i="1" s="1"/>
  <c r="G877" i="1" a="1"/>
  <c r="G877" i="1" s="1"/>
  <c r="G878" i="1" a="1"/>
  <c r="G878" i="1" s="1"/>
  <c r="G879" i="1" a="1"/>
  <c r="G879" i="1" s="1"/>
  <c r="G880" i="1" a="1"/>
  <c r="G880" i="1" s="1"/>
  <c r="G881" i="1" a="1"/>
  <c r="G881" i="1" s="1"/>
  <c r="G882" i="1" a="1"/>
  <c r="G882" i="1" s="1"/>
  <c r="G883" i="1" a="1"/>
  <c r="G883" i="1" s="1"/>
  <c r="G884" i="1" a="1"/>
  <c r="G884" i="1" s="1"/>
  <c r="G885" i="1" a="1"/>
  <c r="G885" i="1" s="1"/>
  <c r="G886" i="1" a="1"/>
  <c r="G886" i="1" s="1"/>
  <c r="G887" i="1" a="1"/>
  <c r="G887" i="1" s="1"/>
  <c r="G888" i="1" a="1"/>
  <c r="G888" i="1" s="1"/>
  <c r="G889" i="1" a="1"/>
  <c r="G889" i="1" s="1"/>
  <c r="G890" i="1" a="1"/>
  <c r="G890" i="1" s="1"/>
  <c r="G891" i="1" a="1"/>
  <c r="G891" i="1" s="1"/>
  <c r="G892" i="1" a="1"/>
  <c r="G892" i="1" s="1"/>
  <c r="G893" i="1" a="1"/>
  <c r="G893" i="1" s="1"/>
  <c r="G894" i="1" a="1"/>
  <c r="G894" i="1" s="1"/>
  <c r="G895" i="1" a="1"/>
  <c r="G895" i="1" s="1"/>
  <c r="G896" i="1" a="1"/>
  <c r="G896" i="1" s="1"/>
  <c r="G897" i="1" a="1"/>
  <c r="G897" i="1" s="1"/>
  <c r="G898" i="1" a="1"/>
  <c r="G898" i="1" s="1"/>
  <c r="G899" i="1" a="1"/>
  <c r="G899" i="1" s="1"/>
  <c r="G900" i="1" a="1"/>
  <c r="G900" i="1" s="1"/>
  <c r="G901" i="1" a="1"/>
  <c r="G901" i="1" s="1"/>
  <c r="G902" i="1" a="1"/>
  <c r="G902" i="1" s="1"/>
  <c r="G903" i="1" a="1"/>
  <c r="G903" i="1" s="1"/>
  <c r="G904" i="1" a="1"/>
  <c r="G904" i="1" s="1"/>
  <c r="G905" i="1" a="1"/>
  <c r="G905" i="1" s="1"/>
  <c r="G906" i="1" a="1"/>
  <c r="G906" i="1" s="1"/>
  <c r="G907" i="1" a="1"/>
  <c r="G907" i="1" s="1"/>
  <c r="G908" i="1" a="1"/>
  <c r="G908" i="1" s="1"/>
  <c r="G909" i="1" a="1"/>
  <c r="G909" i="1" s="1"/>
  <c r="G910" i="1" a="1"/>
  <c r="G910" i="1" s="1"/>
  <c r="G911" i="1" a="1"/>
  <c r="G911" i="1" s="1"/>
  <c r="G912" i="1" a="1"/>
  <c r="G912" i="1" s="1"/>
  <c r="G913" i="1" a="1"/>
  <c r="G913" i="1" s="1"/>
  <c r="G914" i="1" a="1"/>
  <c r="G914" i="1" s="1"/>
  <c r="G915" i="1" a="1"/>
  <c r="G915" i="1" s="1"/>
  <c r="G916" i="1" a="1"/>
  <c r="G916" i="1" s="1"/>
  <c r="G917" i="1" a="1"/>
  <c r="G917" i="1" s="1"/>
  <c r="G918" i="1" a="1"/>
  <c r="G918" i="1" s="1"/>
  <c r="G919" i="1" a="1"/>
  <c r="G919" i="1" s="1"/>
  <c r="G920" i="1" a="1"/>
  <c r="G920" i="1" s="1"/>
  <c r="G921" i="1" a="1"/>
  <c r="G921" i="1" s="1"/>
  <c r="G922" i="1" a="1"/>
  <c r="G922" i="1" s="1"/>
  <c r="G923" i="1" a="1"/>
  <c r="G923" i="1" s="1"/>
  <c r="G924" i="1" a="1"/>
  <c r="G924" i="1" s="1"/>
  <c r="G925" i="1" a="1"/>
  <c r="G925" i="1" s="1"/>
  <c r="G926" i="1" a="1"/>
  <c r="G926" i="1" s="1"/>
  <c r="G927" i="1" a="1"/>
  <c r="G927" i="1" s="1"/>
  <c r="G928" i="1" a="1"/>
  <c r="G928" i="1" s="1"/>
  <c r="G929" i="1" a="1"/>
  <c r="G929" i="1" s="1"/>
  <c r="G930" i="1" a="1"/>
  <c r="G930" i="1" s="1"/>
  <c r="G931" i="1" a="1"/>
  <c r="G931" i="1" s="1"/>
  <c r="G932" i="1" a="1"/>
  <c r="G932" i="1" s="1"/>
  <c r="G933" i="1" a="1"/>
  <c r="G933" i="1" s="1"/>
  <c r="G934" i="1" a="1"/>
  <c r="G934" i="1" s="1"/>
  <c r="G935" i="1" a="1"/>
  <c r="G935" i="1" s="1"/>
  <c r="G936" i="1" a="1"/>
  <c r="G936" i="1" s="1"/>
  <c r="G937" i="1" a="1"/>
  <c r="G937" i="1" s="1"/>
  <c r="G938" i="1" a="1"/>
  <c r="G938" i="1" s="1"/>
  <c r="G939" i="1" a="1"/>
  <c r="G939" i="1" s="1"/>
  <c r="G940" i="1" a="1"/>
  <c r="G940" i="1" s="1"/>
  <c r="G941" i="1" a="1"/>
  <c r="G941" i="1" s="1"/>
  <c r="G942" i="1" a="1"/>
  <c r="G942" i="1" s="1"/>
  <c r="G943" i="1" a="1"/>
  <c r="G943" i="1" s="1"/>
  <c r="G944" i="1" a="1"/>
  <c r="G944" i="1" s="1"/>
  <c r="G945" i="1" a="1"/>
  <c r="G945" i="1" s="1"/>
  <c r="G946" i="1" a="1"/>
  <c r="G946" i="1" s="1"/>
  <c r="G947" i="1" a="1"/>
  <c r="G947" i="1" s="1"/>
  <c r="G948" i="1" a="1"/>
  <c r="G948" i="1" s="1"/>
  <c r="G949" i="1" a="1"/>
  <c r="G949" i="1" s="1"/>
  <c r="G950" i="1" a="1"/>
  <c r="G950" i="1" s="1"/>
  <c r="G951" i="1" a="1"/>
  <c r="G951" i="1" s="1"/>
  <c r="G952" i="1" a="1"/>
  <c r="G952" i="1" s="1"/>
  <c r="G953" i="1" a="1"/>
  <c r="G953" i="1" s="1"/>
  <c r="G954" i="1" a="1"/>
  <c r="G954" i="1" s="1"/>
  <c r="G955" i="1" a="1"/>
  <c r="G955" i="1" s="1"/>
  <c r="G956" i="1" a="1"/>
  <c r="G956" i="1" s="1"/>
  <c r="G957" i="1" a="1"/>
  <c r="G957" i="1" s="1"/>
  <c r="G958" i="1" a="1"/>
  <c r="G958" i="1" s="1"/>
  <c r="G959" i="1" a="1"/>
  <c r="G959" i="1" s="1"/>
  <c r="G960" i="1" a="1"/>
  <c r="G960" i="1" s="1"/>
  <c r="G961" i="1" a="1"/>
  <c r="G961" i="1" s="1"/>
  <c r="G962" i="1" a="1"/>
  <c r="G962" i="1" s="1"/>
  <c r="G963" i="1" a="1"/>
  <c r="G963" i="1" s="1"/>
  <c r="G964" i="1" a="1"/>
  <c r="G964" i="1" s="1"/>
  <c r="G965" i="1" a="1"/>
  <c r="G965" i="1" s="1"/>
  <c r="G966" i="1" a="1"/>
  <c r="G966" i="1" s="1"/>
  <c r="G967" i="1" a="1"/>
  <c r="G967" i="1" s="1"/>
  <c r="G968" i="1" a="1"/>
  <c r="G968" i="1" s="1"/>
  <c r="G969" i="1" a="1"/>
  <c r="G969" i="1" s="1"/>
  <c r="G970" i="1" a="1"/>
  <c r="G970" i="1" s="1"/>
  <c r="G971" i="1" a="1"/>
  <c r="G971" i="1" s="1"/>
  <c r="G972" i="1" a="1"/>
  <c r="G972" i="1" s="1"/>
  <c r="G973" i="1" a="1"/>
  <c r="G973" i="1" s="1"/>
  <c r="G974" i="1" a="1"/>
  <c r="G974" i="1" s="1"/>
  <c r="G975" i="1" a="1"/>
  <c r="G975" i="1" s="1"/>
  <c r="G976" i="1" a="1"/>
  <c r="G976" i="1" s="1"/>
  <c r="G977" i="1" a="1"/>
  <c r="G977" i="1" s="1"/>
  <c r="G978" i="1" a="1"/>
  <c r="G978" i="1" s="1"/>
  <c r="G979" i="1" a="1"/>
  <c r="G979" i="1" s="1"/>
  <c r="G980" i="1" a="1"/>
  <c r="G980" i="1" s="1"/>
  <c r="G981" i="1" a="1"/>
  <c r="G981" i="1" s="1"/>
  <c r="G982" i="1" a="1"/>
  <c r="G982" i="1" s="1"/>
  <c r="G983" i="1" a="1"/>
  <c r="G983" i="1" s="1"/>
  <c r="G984" i="1" a="1"/>
  <c r="G984" i="1" s="1"/>
  <c r="G985" i="1" a="1"/>
  <c r="G985" i="1" s="1"/>
  <c r="G986" i="1" a="1"/>
  <c r="G986" i="1" s="1"/>
  <c r="G987" i="1" a="1"/>
  <c r="G987" i="1" s="1"/>
  <c r="G988" i="1" a="1"/>
  <c r="G988" i="1" s="1"/>
  <c r="G989" i="1" a="1"/>
  <c r="G989" i="1" s="1"/>
  <c r="G990" i="1" a="1"/>
  <c r="G990" i="1" s="1"/>
  <c r="G991" i="1" a="1"/>
  <c r="G991" i="1" s="1"/>
  <c r="G992" i="1" a="1"/>
  <c r="G992" i="1" s="1"/>
  <c r="G993" i="1" a="1"/>
  <c r="G993" i="1" s="1"/>
  <c r="G994" i="1" a="1"/>
  <c r="G994" i="1" s="1"/>
  <c r="G995" i="1" a="1"/>
  <c r="G995" i="1" s="1"/>
  <c r="G996" i="1" a="1"/>
  <c r="G996" i="1" s="1"/>
  <c r="G997" i="1" a="1"/>
  <c r="G997" i="1" s="1"/>
  <c r="G998" i="1" a="1"/>
  <c r="G998" i="1" s="1"/>
  <c r="G999" i="1" a="1"/>
  <c r="G999" i="1" s="1"/>
  <c r="H3" i="1" a="1"/>
  <c r="H3" i="1" s="1"/>
  <c r="D65" i="10" l="1" a="1"/>
  <c r="D65" i="10" s="1"/>
  <c r="E65" i="10" s="1"/>
  <c r="F65" i="10" s="1"/>
  <c r="D66" i="10" a="1"/>
  <c r="D66" i="10" s="1"/>
  <c r="E66" i="10" s="1"/>
  <c r="F66" i="10" s="1"/>
  <c r="D67" i="10" a="1"/>
  <c r="D67" i="10" s="1"/>
  <c r="E67" i="10" s="1"/>
  <c r="F67" i="10" s="1"/>
  <c r="D71" i="10" a="1"/>
  <c r="D71" i="10" s="1"/>
  <c r="E71" i="10" s="1"/>
  <c r="F71" i="10" s="1"/>
  <c r="D75" i="10" a="1"/>
  <c r="D75" i="10" s="1"/>
  <c r="D79" i="10" a="1"/>
  <c r="D79" i="10" s="1"/>
  <c r="D83" i="10" a="1"/>
  <c r="D83" i="10" s="1"/>
  <c r="D87" i="10" a="1"/>
  <c r="D87" i="10" s="1"/>
  <c r="D91" i="10" a="1"/>
  <c r="D91" i="10" s="1"/>
  <c r="D95" i="10" a="1"/>
  <c r="D95" i="10" s="1"/>
  <c r="D99" i="10" a="1"/>
  <c r="D99" i="10" s="1"/>
  <c r="D103" i="10" a="1"/>
  <c r="D103" i="10" s="1"/>
  <c r="D107" i="10" a="1"/>
  <c r="D107" i="10" s="1"/>
  <c r="D111" i="10" a="1"/>
  <c r="D111" i="10" s="1"/>
  <c r="D115" i="10" a="1"/>
  <c r="D115" i="10" s="1"/>
  <c r="D72" i="10" a="1"/>
  <c r="D72" i="10" s="1"/>
  <c r="D76" i="10" a="1"/>
  <c r="D76" i="10" s="1"/>
  <c r="D84" i="10" a="1"/>
  <c r="D84" i="10" s="1"/>
  <c r="D92" i="10" a="1"/>
  <c r="D92" i="10" s="1"/>
  <c r="D100" i="10" a="1"/>
  <c r="D100" i="10" s="1"/>
  <c r="D108" i="10" a="1"/>
  <c r="D108" i="10" s="1"/>
  <c r="D116" i="10" a="1"/>
  <c r="D116" i="10" s="1"/>
  <c r="D70" i="10" a="1"/>
  <c r="D70" i="10" s="1"/>
  <c r="E70" i="10" s="1"/>
  <c r="F70" i="10" s="1"/>
  <c r="D74" i="10" a="1"/>
  <c r="D74" i="10" s="1"/>
  <c r="E74" i="10" s="1"/>
  <c r="F74" i="10" s="1"/>
  <c r="D78" i="10" a="1"/>
  <c r="D78" i="10" s="1"/>
  <c r="E78" i="10" s="1"/>
  <c r="F78" i="10" s="1"/>
  <c r="D82" i="10" a="1"/>
  <c r="D82" i="10" s="1"/>
  <c r="E82" i="10" s="1"/>
  <c r="F82" i="10" s="1"/>
  <c r="D86" i="10" a="1"/>
  <c r="D86" i="10" s="1"/>
  <c r="E86" i="10" s="1"/>
  <c r="F86" i="10" s="1"/>
  <c r="D90" i="10" a="1"/>
  <c r="D90" i="10" s="1"/>
  <c r="E90" i="10" s="1"/>
  <c r="F90" i="10" s="1"/>
  <c r="D94" i="10" a="1"/>
  <c r="D94" i="10" s="1"/>
  <c r="E94" i="10" s="1"/>
  <c r="F94" i="10" s="1"/>
  <c r="D98" i="10" a="1"/>
  <c r="D98" i="10" s="1"/>
  <c r="E98" i="10" s="1"/>
  <c r="F98" i="10" s="1"/>
  <c r="D102" i="10" a="1"/>
  <c r="D102" i="10" s="1"/>
  <c r="E102" i="10" s="1"/>
  <c r="F102" i="10" s="1"/>
  <c r="D106" i="10" a="1"/>
  <c r="D106" i="10" s="1"/>
  <c r="E106" i="10" s="1"/>
  <c r="F106" i="10" s="1"/>
  <c r="D110" i="10" a="1"/>
  <c r="D110" i="10" s="1"/>
  <c r="E110" i="10" s="1"/>
  <c r="F110" i="10" s="1"/>
  <c r="D114" i="10" a="1"/>
  <c r="D114" i="10" s="1"/>
  <c r="E114" i="10" s="1"/>
  <c r="F114" i="10" s="1"/>
  <c r="D68" i="10" a="1"/>
  <c r="D68" i="10" s="1"/>
  <c r="D80" i="10" a="1"/>
  <c r="D80" i="10" s="1"/>
  <c r="D88" i="10" a="1"/>
  <c r="D88" i="10" s="1"/>
  <c r="D96" i="10" a="1"/>
  <c r="D96" i="10" s="1"/>
  <c r="D104" i="10" a="1"/>
  <c r="D104" i="10" s="1"/>
  <c r="D112" i="10" a="1"/>
  <c r="D112" i="10" s="1"/>
  <c r="D69" i="10" a="1"/>
  <c r="D69" i="10" s="1"/>
  <c r="E69" i="10" s="1"/>
  <c r="F69" i="10" s="1"/>
  <c r="D73" i="10" a="1"/>
  <c r="D73" i="10" s="1"/>
  <c r="D77" i="10" a="1"/>
  <c r="D77" i="10" s="1"/>
  <c r="D81" i="10" a="1"/>
  <c r="D81" i="10" s="1"/>
  <c r="D85" i="10" a="1"/>
  <c r="D85" i="10" s="1"/>
  <c r="D89" i="10" a="1"/>
  <c r="D89" i="10" s="1"/>
  <c r="D93" i="10" a="1"/>
  <c r="D93" i="10" s="1"/>
  <c r="D97" i="10" a="1"/>
  <c r="D97" i="10" s="1"/>
  <c r="D101" i="10" a="1"/>
  <c r="D101" i="10" s="1"/>
  <c r="D105" i="10" a="1"/>
  <c r="D105" i="10" s="1"/>
  <c r="D109" i="10" a="1"/>
  <c r="D109" i="10" s="1"/>
  <c r="D113" i="10" a="1"/>
  <c r="D113" i="10" s="1"/>
  <c r="G373" i="6"/>
  <c r="G405" i="6"/>
  <c r="G437" i="6"/>
  <c r="G469" i="6"/>
  <c r="G501" i="6"/>
  <c r="G533" i="6"/>
  <c r="G565" i="6"/>
  <c r="G597" i="6"/>
  <c r="G629" i="6"/>
  <c r="G661" i="6"/>
  <c r="G693" i="6"/>
  <c r="G725" i="6"/>
  <c r="G757" i="6"/>
  <c r="G789" i="6"/>
  <c r="G821" i="6"/>
  <c r="G853" i="6"/>
  <c r="G869" i="6"/>
  <c r="G885" i="6"/>
  <c r="G901" i="6"/>
  <c r="G917" i="6"/>
  <c r="G933" i="6"/>
  <c r="G949" i="6"/>
  <c r="G965" i="6"/>
  <c r="G981" i="6"/>
  <c r="G997" i="6"/>
  <c r="H5" i="6"/>
  <c r="G5" i="6" s="1"/>
  <c r="H6" i="6"/>
  <c r="H7" i="6"/>
  <c r="G7" i="6" s="1"/>
  <c r="H8" i="6"/>
  <c r="G8" i="6" s="1"/>
  <c r="H9" i="6"/>
  <c r="G9" i="6" s="1"/>
  <c r="H10" i="6"/>
  <c r="H11" i="6"/>
  <c r="G11" i="6" s="1"/>
  <c r="H12" i="6"/>
  <c r="G12" i="6" s="1"/>
  <c r="H13" i="6"/>
  <c r="G13" i="6" s="1"/>
  <c r="H14" i="6"/>
  <c r="H15" i="6"/>
  <c r="G15" i="6" s="1"/>
  <c r="H16" i="6"/>
  <c r="G16" i="6" s="1"/>
  <c r="H17" i="6"/>
  <c r="G17" i="6" s="1"/>
  <c r="H18" i="6"/>
  <c r="H19" i="6"/>
  <c r="G19" i="6" s="1"/>
  <c r="H20" i="6"/>
  <c r="G20" i="6" s="1"/>
  <c r="H21" i="6"/>
  <c r="G21" i="6" s="1"/>
  <c r="H22" i="6"/>
  <c r="H23" i="6"/>
  <c r="G23" i="6" s="1"/>
  <c r="H24" i="6"/>
  <c r="G24" i="6" s="1"/>
  <c r="H25" i="6"/>
  <c r="G25" i="6" s="1"/>
  <c r="H26" i="6"/>
  <c r="H27" i="6"/>
  <c r="G27" i="6" s="1"/>
  <c r="H28" i="6"/>
  <c r="G28" i="6" s="1"/>
  <c r="H29" i="6"/>
  <c r="G29" i="6" s="1"/>
  <c r="H30" i="6"/>
  <c r="H31" i="6"/>
  <c r="G31" i="6" s="1"/>
  <c r="H32" i="6"/>
  <c r="G32" i="6" s="1"/>
  <c r="H33" i="6"/>
  <c r="G33" i="6" s="1"/>
  <c r="H34" i="6"/>
  <c r="H35" i="6"/>
  <c r="I35" i="6" s="1"/>
  <c r="H36" i="6"/>
  <c r="G36" i="6" s="1"/>
  <c r="H37" i="6"/>
  <c r="G37" i="6" s="1"/>
  <c r="H38" i="6"/>
  <c r="H39" i="6"/>
  <c r="G39" i="6" s="1"/>
  <c r="H40" i="6"/>
  <c r="G40" i="6" s="1"/>
  <c r="H41" i="6"/>
  <c r="G41" i="6" s="1"/>
  <c r="H42" i="6"/>
  <c r="H43" i="6"/>
  <c r="G43" i="6" s="1"/>
  <c r="H44" i="6"/>
  <c r="G44" i="6" s="1"/>
  <c r="H45" i="6"/>
  <c r="G45" i="6" s="1"/>
  <c r="H46" i="6"/>
  <c r="H47" i="6"/>
  <c r="G47" i="6" s="1"/>
  <c r="H48" i="6"/>
  <c r="G48" i="6" s="1"/>
  <c r="H49" i="6"/>
  <c r="G49" i="6" s="1"/>
  <c r="H50" i="6"/>
  <c r="H51" i="6"/>
  <c r="I51" i="6" s="1"/>
  <c r="H52" i="6"/>
  <c r="I52" i="6" s="1"/>
  <c r="H53" i="6"/>
  <c r="G53" i="6" s="1"/>
  <c r="H54" i="6"/>
  <c r="H55" i="6"/>
  <c r="G55" i="6" s="1"/>
  <c r="H56" i="6"/>
  <c r="G56" i="6" s="1"/>
  <c r="H57" i="6"/>
  <c r="G57" i="6" s="1"/>
  <c r="H58" i="6"/>
  <c r="H59" i="6"/>
  <c r="G59" i="6" s="1"/>
  <c r="H60" i="6"/>
  <c r="G60" i="6" s="1"/>
  <c r="H61" i="6"/>
  <c r="G61" i="6" s="1"/>
  <c r="H62" i="6"/>
  <c r="H63" i="6"/>
  <c r="G63" i="6" s="1"/>
  <c r="H64" i="6"/>
  <c r="G64" i="6" s="1"/>
  <c r="H65" i="6"/>
  <c r="G65" i="6" s="1"/>
  <c r="H66" i="6"/>
  <c r="H67" i="6"/>
  <c r="G67" i="6" s="1"/>
  <c r="H68" i="6"/>
  <c r="G68" i="6" s="1"/>
  <c r="H69" i="6"/>
  <c r="G69" i="6" s="1"/>
  <c r="H70" i="6"/>
  <c r="H71" i="6"/>
  <c r="G71" i="6" s="1"/>
  <c r="H72" i="6"/>
  <c r="G72" i="6" s="1"/>
  <c r="H73" i="6"/>
  <c r="G73" i="6" s="1"/>
  <c r="H74" i="6"/>
  <c r="H75" i="6"/>
  <c r="G75" i="6" s="1"/>
  <c r="H76" i="6"/>
  <c r="G76" i="6" s="1"/>
  <c r="H77" i="6"/>
  <c r="G77" i="6" s="1"/>
  <c r="H78" i="6"/>
  <c r="H79" i="6"/>
  <c r="G79" i="6" s="1"/>
  <c r="H80" i="6"/>
  <c r="G80" i="6" s="1"/>
  <c r="H81" i="6"/>
  <c r="G81" i="6" s="1"/>
  <c r="H82" i="6"/>
  <c r="H83" i="6"/>
  <c r="I83" i="6" s="1"/>
  <c r="H84" i="6"/>
  <c r="G84" i="6" s="1"/>
  <c r="H85" i="6"/>
  <c r="G85" i="6" s="1"/>
  <c r="H86" i="6"/>
  <c r="H87" i="6"/>
  <c r="G87" i="6" s="1"/>
  <c r="H88" i="6"/>
  <c r="G88" i="6" s="1"/>
  <c r="H89" i="6"/>
  <c r="G89" i="6" s="1"/>
  <c r="H90" i="6"/>
  <c r="H91" i="6"/>
  <c r="G91" i="6" s="1"/>
  <c r="H92" i="6"/>
  <c r="G92" i="6" s="1"/>
  <c r="H93" i="6"/>
  <c r="G93" i="6" s="1"/>
  <c r="H94" i="6"/>
  <c r="H95" i="6"/>
  <c r="G95" i="6" s="1"/>
  <c r="H96" i="6"/>
  <c r="G96" i="6" s="1"/>
  <c r="H97" i="6"/>
  <c r="G97" i="6" s="1"/>
  <c r="H98" i="6"/>
  <c r="H99" i="6"/>
  <c r="G99" i="6" s="1"/>
  <c r="H100" i="6"/>
  <c r="G100" i="6" s="1"/>
  <c r="H101" i="6"/>
  <c r="G101" i="6" s="1"/>
  <c r="H102" i="6"/>
  <c r="H103" i="6"/>
  <c r="G103" i="6" s="1"/>
  <c r="H104" i="6"/>
  <c r="G104" i="6" s="1"/>
  <c r="H105" i="6"/>
  <c r="G105" i="6" s="1"/>
  <c r="H106" i="6"/>
  <c r="H107" i="6"/>
  <c r="G107" i="6" s="1"/>
  <c r="H108" i="6"/>
  <c r="G108" i="6" s="1"/>
  <c r="H109" i="6"/>
  <c r="G109" i="6" s="1"/>
  <c r="H110" i="6"/>
  <c r="H111" i="6"/>
  <c r="G111" i="6" s="1"/>
  <c r="H112" i="6"/>
  <c r="G112" i="6" s="1"/>
  <c r="H113" i="6"/>
  <c r="G113" i="6" s="1"/>
  <c r="H114" i="6"/>
  <c r="H115" i="6"/>
  <c r="G115" i="6" s="1"/>
  <c r="H116" i="6"/>
  <c r="I116" i="6" s="1"/>
  <c r="H117" i="6"/>
  <c r="G117" i="6" s="1"/>
  <c r="H118" i="6"/>
  <c r="H119" i="6"/>
  <c r="G119" i="6" s="1"/>
  <c r="H120" i="6"/>
  <c r="G120" i="6" s="1"/>
  <c r="H121" i="6"/>
  <c r="G121" i="6" s="1"/>
  <c r="H122" i="6"/>
  <c r="H123" i="6"/>
  <c r="G123" i="6" s="1"/>
  <c r="H124" i="6"/>
  <c r="G124" i="6" s="1"/>
  <c r="H125" i="6"/>
  <c r="G125" i="6" s="1"/>
  <c r="H126" i="6"/>
  <c r="H127" i="6"/>
  <c r="G127" i="6" s="1"/>
  <c r="H128" i="6"/>
  <c r="G128" i="6" s="1"/>
  <c r="H129" i="6"/>
  <c r="G129" i="6" s="1"/>
  <c r="H130" i="6"/>
  <c r="H131" i="6"/>
  <c r="G131" i="6" s="1"/>
  <c r="H132" i="6"/>
  <c r="G132" i="6" s="1"/>
  <c r="H133" i="6"/>
  <c r="G133" i="6" s="1"/>
  <c r="H134" i="6"/>
  <c r="H135" i="6"/>
  <c r="G135" i="6" s="1"/>
  <c r="H136" i="6"/>
  <c r="G136" i="6" s="1"/>
  <c r="H137" i="6"/>
  <c r="G137" i="6" s="1"/>
  <c r="H138" i="6"/>
  <c r="H139" i="6"/>
  <c r="G139" i="6" s="1"/>
  <c r="H140" i="6"/>
  <c r="G140" i="6" s="1"/>
  <c r="H141" i="6"/>
  <c r="G141" i="6" s="1"/>
  <c r="H142" i="6"/>
  <c r="H143" i="6"/>
  <c r="G143" i="6" s="1"/>
  <c r="H144" i="6"/>
  <c r="H145" i="6"/>
  <c r="G145" i="6" s="1"/>
  <c r="H146" i="6"/>
  <c r="H147" i="6"/>
  <c r="I147" i="6" s="1"/>
  <c r="H148" i="6"/>
  <c r="G148" i="6" s="1"/>
  <c r="H149" i="6"/>
  <c r="G149" i="6" s="1"/>
  <c r="H150" i="6"/>
  <c r="H151" i="6"/>
  <c r="G151" i="6" s="1"/>
  <c r="H152" i="6"/>
  <c r="H153" i="6"/>
  <c r="G153" i="6" s="1"/>
  <c r="H154" i="6"/>
  <c r="H155" i="6"/>
  <c r="G155" i="6" s="1"/>
  <c r="H156" i="6"/>
  <c r="G156" i="6" s="1"/>
  <c r="H157" i="6"/>
  <c r="G157" i="6" s="1"/>
  <c r="H158" i="6"/>
  <c r="H159" i="6"/>
  <c r="G159" i="6" s="1"/>
  <c r="H160" i="6"/>
  <c r="G160" i="6" s="1"/>
  <c r="H161" i="6"/>
  <c r="G161" i="6" s="1"/>
  <c r="H162" i="6"/>
  <c r="H163" i="6"/>
  <c r="I163" i="6" s="1"/>
  <c r="H164" i="6"/>
  <c r="G164" i="6" s="1"/>
  <c r="H165" i="6"/>
  <c r="G165" i="6" s="1"/>
  <c r="H166" i="6"/>
  <c r="H167" i="6"/>
  <c r="G167" i="6" s="1"/>
  <c r="H168" i="6"/>
  <c r="G168" i="6" s="1"/>
  <c r="H169" i="6"/>
  <c r="G169" i="6" s="1"/>
  <c r="H170" i="6"/>
  <c r="H171" i="6"/>
  <c r="G171" i="6" s="1"/>
  <c r="H172" i="6"/>
  <c r="G172" i="6" s="1"/>
  <c r="H173" i="6"/>
  <c r="G173" i="6" s="1"/>
  <c r="H174" i="6"/>
  <c r="H175" i="6"/>
  <c r="G175" i="6" s="1"/>
  <c r="H176" i="6"/>
  <c r="G176" i="6" s="1"/>
  <c r="H177" i="6"/>
  <c r="G177" i="6" s="1"/>
  <c r="H178" i="6"/>
  <c r="H179" i="6"/>
  <c r="I179" i="6" s="1"/>
  <c r="H180" i="6"/>
  <c r="H181" i="6"/>
  <c r="G181" i="6" s="1"/>
  <c r="H182" i="6"/>
  <c r="H183" i="6"/>
  <c r="G183" i="6" s="1"/>
  <c r="H184" i="6"/>
  <c r="G184" i="6" s="1"/>
  <c r="H185" i="6"/>
  <c r="G185" i="6" s="1"/>
  <c r="H186" i="6"/>
  <c r="H187" i="6"/>
  <c r="G187" i="6" s="1"/>
  <c r="H188" i="6"/>
  <c r="H189" i="6"/>
  <c r="G189" i="6" s="1"/>
  <c r="H190" i="6"/>
  <c r="H191" i="6"/>
  <c r="G191" i="6" s="1"/>
  <c r="H192" i="6"/>
  <c r="G192" i="6" s="1"/>
  <c r="H193" i="6"/>
  <c r="G193" i="6" s="1"/>
  <c r="H194" i="6"/>
  <c r="H195" i="6"/>
  <c r="G195" i="6" s="1"/>
  <c r="H196" i="6"/>
  <c r="G196" i="6" s="1"/>
  <c r="H197" i="6"/>
  <c r="G197" i="6" s="1"/>
  <c r="H198" i="6"/>
  <c r="H199" i="6"/>
  <c r="G199" i="6" s="1"/>
  <c r="H200" i="6"/>
  <c r="G200" i="6" s="1"/>
  <c r="H201" i="6"/>
  <c r="G201" i="6" s="1"/>
  <c r="H202" i="6"/>
  <c r="H203" i="6"/>
  <c r="G203" i="6" s="1"/>
  <c r="H204" i="6"/>
  <c r="G204" i="6" s="1"/>
  <c r="H205" i="6"/>
  <c r="G205" i="6" s="1"/>
  <c r="H206" i="6"/>
  <c r="H207" i="6"/>
  <c r="G207" i="6" s="1"/>
  <c r="H208" i="6"/>
  <c r="H209" i="6"/>
  <c r="G209" i="6" s="1"/>
  <c r="H210" i="6"/>
  <c r="H211" i="6"/>
  <c r="I211" i="6" s="1"/>
  <c r="H212" i="6"/>
  <c r="G212" i="6" s="1"/>
  <c r="H213" i="6"/>
  <c r="G213" i="6" s="1"/>
  <c r="H214" i="6"/>
  <c r="H215" i="6"/>
  <c r="G215" i="6" s="1"/>
  <c r="H216" i="6"/>
  <c r="H217" i="6"/>
  <c r="G217" i="6" s="1"/>
  <c r="H218" i="6"/>
  <c r="H219" i="6"/>
  <c r="G219" i="6" s="1"/>
  <c r="H220" i="6"/>
  <c r="G220" i="6" s="1"/>
  <c r="H221" i="6"/>
  <c r="G221" i="6" s="1"/>
  <c r="H222" i="6"/>
  <c r="H223" i="6"/>
  <c r="G223" i="6" s="1"/>
  <c r="H224" i="6"/>
  <c r="G224" i="6" s="1"/>
  <c r="H225" i="6"/>
  <c r="G225" i="6" s="1"/>
  <c r="H226" i="6"/>
  <c r="H227" i="6"/>
  <c r="I227" i="6" s="1"/>
  <c r="H228" i="6"/>
  <c r="G228" i="6" s="1"/>
  <c r="H229" i="6"/>
  <c r="G229" i="6" s="1"/>
  <c r="H230" i="6"/>
  <c r="H231" i="6"/>
  <c r="G231" i="6" s="1"/>
  <c r="H232" i="6"/>
  <c r="G232" i="6" s="1"/>
  <c r="H233" i="6"/>
  <c r="G233" i="6" s="1"/>
  <c r="H234" i="6"/>
  <c r="H235" i="6"/>
  <c r="G235" i="6" s="1"/>
  <c r="H236" i="6"/>
  <c r="G236" i="6" s="1"/>
  <c r="H237" i="6"/>
  <c r="G237" i="6" s="1"/>
  <c r="H238" i="6"/>
  <c r="H239" i="6"/>
  <c r="G239" i="6" s="1"/>
  <c r="H240" i="6"/>
  <c r="G240" i="6" s="1"/>
  <c r="H241" i="6"/>
  <c r="G241" i="6" s="1"/>
  <c r="H242" i="6"/>
  <c r="H243" i="6"/>
  <c r="I243" i="6" s="1"/>
  <c r="H244" i="6"/>
  <c r="H245" i="6"/>
  <c r="G245" i="6" s="1"/>
  <c r="H246" i="6"/>
  <c r="H247" i="6"/>
  <c r="G247" i="6" s="1"/>
  <c r="H248" i="6"/>
  <c r="G248" i="6" s="1"/>
  <c r="H249" i="6"/>
  <c r="G249" i="6" s="1"/>
  <c r="H250" i="6"/>
  <c r="H251" i="6"/>
  <c r="G251" i="6" s="1"/>
  <c r="H252" i="6"/>
  <c r="H253" i="6"/>
  <c r="G253" i="6" s="1"/>
  <c r="H254" i="6"/>
  <c r="H255" i="6"/>
  <c r="G255" i="6" s="1"/>
  <c r="H256" i="6"/>
  <c r="G256" i="6" s="1"/>
  <c r="H257" i="6"/>
  <c r="G257" i="6" s="1"/>
  <c r="H258" i="6"/>
  <c r="H259" i="6"/>
  <c r="I259" i="6" s="1"/>
  <c r="H260" i="6"/>
  <c r="G260" i="6" s="1"/>
  <c r="H261" i="6"/>
  <c r="G261" i="6" s="1"/>
  <c r="H262" i="6"/>
  <c r="H263" i="6"/>
  <c r="G263" i="6" s="1"/>
  <c r="H264" i="6"/>
  <c r="G264" i="6" s="1"/>
  <c r="H265" i="6"/>
  <c r="G265" i="6" s="1"/>
  <c r="H266" i="6"/>
  <c r="H267" i="6"/>
  <c r="G267" i="6" s="1"/>
  <c r="H268" i="6"/>
  <c r="G268" i="6" s="1"/>
  <c r="H269" i="6"/>
  <c r="G269" i="6" s="1"/>
  <c r="H270" i="6"/>
  <c r="H271" i="6"/>
  <c r="G271" i="6" s="1"/>
  <c r="H272" i="6"/>
  <c r="H273" i="6"/>
  <c r="G273" i="6" s="1"/>
  <c r="H274" i="6"/>
  <c r="H275" i="6"/>
  <c r="I275" i="6" s="1"/>
  <c r="H276" i="6"/>
  <c r="G276" i="6" s="1"/>
  <c r="H277" i="6"/>
  <c r="G277" i="6" s="1"/>
  <c r="H278" i="6"/>
  <c r="H279" i="6"/>
  <c r="G279" i="6" s="1"/>
  <c r="H280" i="6"/>
  <c r="H281" i="6"/>
  <c r="G281" i="6" s="1"/>
  <c r="H282" i="6"/>
  <c r="H283" i="6"/>
  <c r="G283" i="6" s="1"/>
  <c r="H284" i="6"/>
  <c r="G284" i="6" s="1"/>
  <c r="H285" i="6"/>
  <c r="G285" i="6" s="1"/>
  <c r="H286" i="6"/>
  <c r="H287" i="6"/>
  <c r="G287" i="6" s="1"/>
  <c r="H288" i="6"/>
  <c r="G288" i="6" s="1"/>
  <c r="H289" i="6"/>
  <c r="G289" i="6" s="1"/>
  <c r="H290" i="6"/>
  <c r="H291" i="6"/>
  <c r="I291" i="6" s="1"/>
  <c r="H292" i="6"/>
  <c r="G292" i="6" s="1"/>
  <c r="H293" i="6"/>
  <c r="G293" i="6" s="1"/>
  <c r="H294" i="6"/>
  <c r="H295" i="6"/>
  <c r="G295" i="6" s="1"/>
  <c r="H296" i="6"/>
  <c r="G296" i="6" s="1"/>
  <c r="H297" i="6"/>
  <c r="G297" i="6" s="1"/>
  <c r="H298" i="6"/>
  <c r="H299" i="6"/>
  <c r="G299" i="6" s="1"/>
  <c r="H300" i="6"/>
  <c r="G300" i="6" s="1"/>
  <c r="H301" i="6"/>
  <c r="G301" i="6" s="1"/>
  <c r="H302" i="6"/>
  <c r="H303" i="6"/>
  <c r="G303" i="6" s="1"/>
  <c r="H304" i="6"/>
  <c r="G304" i="6" s="1"/>
  <c r="H305" i="6"/>
  <c r="G305" i="6" s="1"/>
  <c r="H306" i="6"/>
  <c r="H307" i="6"/>
  <c r="I307" i="6" s="1"/>
  <c r="H308" i="6"/>
  <c r="H309" i="6"/>
  <c r="G309" i="6" s="1"/>
  <c r="H310" i="6"/>
  <c r="H311" i="6"/>
  <c r="G311" i="6" s="1"/>
  <c r="H312" i="6"/>
  <c r="G312" i="6" s="1"/>
  <c r="H313" i="6"/>
  <c r="G313" i="6" s="1"/>
  <c r="H314" i="6"/>
  <c r="H315" i="6"/>
  <c r="G315" i="6" s="1"/>
  <c r="H316" i="6"/>
  <c r="H317" i="6"/>
  <c r="G317" i="6" s="1"/>
  <c r="H318" i="6"/>
  <c r="H319" i="6"/>
  <c r="G319" i="6" s="1"/>
  <c r="H320" i="6"/>
  <c r="G320" i="6" s="1"/>
  <c r="H321" i="6"/>
  <c r="G321" i="6" s="1"/>
  <c r="H322" i="6"/>
  <c r="H323" i="6"/>
  <c r="I323" i="6" s="1"/>
  <c r="H324" i="6"/>
  <c r="G324" i="6" s="1"/>
  <c r="H325" i="6"/>
  <c r="G325" i="6" s="1"/>
  <c r="H326" i="6"/>
  <c r="H327" i="6"/>
  <c r="G327" i="6" s="1"/>
  <c r="H328" i="6"/>
  <c r="G328" i="6" s="1"/>
  <c r="H329" i="6"/>
  <c r="G329" i="6" s="1"/>
  <c r="H330" i="6"/>
  <c r="H331" i="6"/>
  <c r="G331" i="6" s="1"/>
  <c r="H332" i="6"/>
  <c r="G332" i="6" s="1"/>
  <c r="H333" i="6"/>
  <c r="G333" i="6" s="1"/>
  <c r="H334" i="6"/>
  <c r="H335" i="6"/>
  <c r="G335" i="6" s="1"/>
  <c r="H336" i="6"/>
  <c r="H337" i="6"/>
  <c r="G337" i="6" s="1"/>
  <c r="H338" i="6"/>
  <c r="H339" i="6"/>
  <c r="I339" i="6" s="1"/>
  <c r="H340" i="6"/>
  <c r="G340" i="6" s="1"/>
  <c r="H341" i="6"/>
  <c r="G341" i="6" s="1"/>
  <c r="H342" i="6"/>
  <c r="H343" i="6"/>
  <c r="G343" i="6" s="1"/>
  <c r="H344" i="6"/>
  <c r="H345" i="6"/>
  <c r="G345" i="6" s="1"/>
  <c r="H346" i="6"/>
  <c r="H347" i="6"/>
  <c r="G347" i="6" s="1"/>
  <c r="H348" i="6"/>
  <c r="G348" i="6" s="1"/>
  <c r="H349" i="6"/>
  <c r="G349" i="6" s="1"/>
  <c r="H350" i="6"/>
  <c r="I350" i="6" s="1"/>
  <c r="H351" i="6"/>
  <c r="G351" i="6" s="1"/>
  <c r="H352" i="6"/>
  <c r="G352" i="6" s="1"/>
  <c r="H353" i="6"/>
  <c r="G353" i="6" s="1"/>
  <c r="H354" i="6"/>
  <c r="H355" i="6"/>
  <c r="G355" i="6" s="1"/>
  <c r="H356" i="6"/>
  <c r="G356" i="6" s="1"/>
  <c r="H357" i="6"/>
  <c r="G357" i="6" s="1"/>
  <c r="H358" i="6"/>
  <c r="I358" i="6" s="1"/>
  <c r="H359" i="6"/>
  <c r="G359" i="6" s="1"/>
  <c r="H360" i="6"/>
  <c r="G360" i="6" s="1"/>
  <c r="H361" i="6"/>
  <c r="G361" i="6" s="1"/>
  <c r="H362" i="6"/>
  <c r="H363" i="6"/>
  <c r="G363" i="6" s="1"/>
  <c r="H364" i="6"/>
  <c r="G364" i="6" s="1"/>
  <c r="H365" i="6"/>
  <c r="G365" i="6" s="1"/>
  <c r="H366" i="6"/>
  <c r="I366" i="6" s="1"/>
  <c r="H367" i="6"/>
  <c r="G367" i="6" s="1"/>
  <c r="H368" i="6"/>
  <c r="G368" i="6" s="1"/>
  <c r="H369" i="6"/>
  <c r="G369" i="6" s="1"/>
  <c r="H370" i="6"/>
  <c r="H371" i="6"/>
  <c r="G371" i="6" s="1"/>
  <c r="H372" i="6"/>
  <c r="H373" i="6"/>
  <c r="H374" i="6"/>
  <c r="I374" i="6" s="1"/>
  <c r="H375" i="6"/>
  <c r="G375" i="6" s="1"/>
  <c r="H376" i="6"/>
  <c r="G376" i="6" s="1"/>
  <c r="H377" i="6"/>
  <c r="G377" i="6" s="1"/>
  <c r="H378" i="6"/>
  <c r="H379" i="6"/>
  <c r="G379" i="6" s="1"/>
  <c r="H380" i="6"/>
  <c r="H381" i="6"/>
  <c r="G381" i="6" s="1"/>
  <c r="H382" i="6"/>
  <c r="I382" i="6" s="1"/>
  <c r="H383" i="6"/>
  <c r="G383" i="6" s="1"/>
  <c r="H384" i="6"/>
  <c r="G384" i="6" s="1"/>
  <c r="H385" i="6"/>
  <c r="G385" i="6" s="1"/>
  <c r="H386" i="6"/>
  <c r="H387" i="6"/>
  <c r="G387" i="6" s="1"/>
  <c r="H388" i="6"/>
  <c r="G388" i="6" s="1"/>
  <c r="H389" i="6"/>
  <c r="G389" i="6" s="1"/>
  <c r="H390" i="6"/>
  <c r="I390" i="6" s="1"/>
  <c r="H391" i="6"/>
  <c r="G391" i="6" s="1"/>
  <c r="H392" i="6"/>
  <c r="G392" i="6" s="1"/>
  <c r="H393" i="6"/>
  <c r="G393" i="6" s="1"/>
  <c r="H394" i="6"/>
  <c r="H395" i="6"/>
  <c r="G395" i="6" s="1"/>
  <c r="H396" i="6"/>
  <c r="G396" i="6" s="1"/>
  <c r="H397" i="6"/>
  <c r="G397" i="6" s="1"/>
  <c r="H398" i="6"/>
  <c r="I398" i="6" s="1"/>
  <c r="H399" i="6"/>
  <c r="G399" i="6" s="1"/>
  <c r="H400" i="6"/>
  <c r="H401" i="6"/>
  <c r="G401" i="6" s="1"/>
  <c r="H402" i="6"/>
  <c r="H403" i="6"/>
  <c r="G403" i="6" s="1"/>
  <c r="H404" i="6"/>
  <c r="G404" i="6" s="1"/>
  <c r="H405" i="6"/>
  <c r="H406" i="6"/>
  <c r="I406" i="6" s="1"/>
  <c r="H407" i="6"/>
  <c r="G407" i="6" s="1"/>
  <c r="H408" i="6"/>
  <c r="H409" i="6"/>
  <c r="G409" i="6" s="1"/>
  <c r="H410" i="6"/>
  <c r="H411" i="6"/>
  <c r="G411" i="6" s="1"/>
  <c r="H412" i="6"/>
  <c r="G412" i="6" s="1"/>
  <c r="H413" i="6"/>
  <c r="G413" i="6" s="1"/>
  <c r="H414" i="6"/>
  <c r="I414" i="6" s="1"/>
  <c r="H415" i="6"/>
  <c r="G415" i="6" s="1"/>
  <c r="H416" i="6"/>
  <c r="G416" i="6" s="1"/>
  <c r="H417" i="6"/>
  <c r="G417" i="6" s="1"/>
  <c r="H418" i="6"/>
  <c r="H419" i="6"/>
  <c r="G419" i="6" s="1"/>
  <c r="H420" i="6"/>
  <c r="G420" i="6" s="1"/>
  <c r="H421" i="6"/>
  <c r="G421" i="6" s="1"/>
  <c r="H422" i="6"/>
  <c r="I422" i="6" s="1"/>
  <c r="H423" i="6"/>
  <c r="G423" i="6" s="1"/>
  <c r="H424" i="6"/>
  <c r="G424" i="6" s="1"/>
  <c r="H425" i="6"/>
  <c r="G425" i="6" s="1"/>
  <c r="H426" i="6"/>
  <c r="H427" i="6"/>
  <c r="G427" i="6" s="1"/>
  <c r="H428" i="6"/>
  <c r="G428" i="6" s="1"/>
  <c r="H429" i="6"/>
  <c r="G429" i="6" s="1"/>
  <c r="H430" i="6"/>
  <c r="I430" i="6" s="1"/>
  <c r="H431" i="6"/>
  <c r="G431" i="6" s="1"/>
  <c r="H432" i="6"/>
  <c r="G432" i="6" s="1"/>
  <c r="H433" i="6"/>
  <c r="G433" i="6" s="1"/>
  <c r="H434" i="6"/>
  <c r="H435" i="6"/>
  <c r="G435" i="6" s="1"/>
  <c r="H436" i="6"/>
  <c r="H437" i="6"/>
  <c r="H438" i="6"/>
  <c r="I438" i="6" s="1"/>
  <c r="H439" i="6"/>
  <c r="G439" i="6" s="1"/>
  <c r="H440" i="6"/>
  <c r="G440" i="6" s="1"/>
  <c r="H441" i="6"/>
  <c r="G441" i="6" s="1"/>
  <c r="H442" i="6"/>
  <c r="H443" i="6"/>
  <c r="G443" i="6" s="1"/>
  <c r="H444" i="6"/>
  <c r="H445" i="6"/>
  <c r="G445" i="6" s="1"/>
  <c r="H446" i="6"/>
  <c r="I446" i="6" s="1"/>
  <c r="H447" i="6"/>
  <c r="G447" i="6" s="1"/>
  <c r="H448" i="6"/>
  <c r="G448" i="6" s="1"/>
  <c r="H449" i="6"/>
  <c r="G449" i="6" s="1"/>
  <c r="H450" i="6"/>
  <c r="H451" i="6"/>
  <c r="G451" i="6" s="1"/>
  <c r="H452" i="6"/>
  <c r="G452" i="6" s="1"/>
  <c r="H453" i="6"/>
  <c r="G453" i="6" s="1"/>
  <c r="H454" i="6"/>
  <c r="I454" i="6" s="1"/>
  <c r="H455" i="6"/>
  <c r="G455" i="6" s="1"/>
  <c r="H456" i="6"/>
  <c r="G456" i="6" s="1"/>
  <c r="H457" i="6"/>
  <c r="G457" i="6" s="1"/>
  <c r="H458" i="6"/>
  <c r="H459" i="6"/>
  <c r="G459" i="6" s="1"/>
  <c r="H460" i="6"/>
  <c r="G460" i="6" s="1"/>
  <c r="H461" i="6"/>
  <c r="G461" i="6" s="1"/>
  <c r="H462" i="6"/>
  <c r="I462" i="6" s="1"/>
  <c r="H463" i="6"/>
  <c r="G463" i="6" s="1"/>
  <c r="H464" i="6"/>
  <c r="H465" i="6"/>
  <c r="G465" i="6" s="1"/>
  <c r="H466" i="6"/>
  <c r="H467" i="6"/>
  <c r="G467" i="6" s="1"/>
  <c r="H468" i="6"/>
  <c r="G468" i="6" s="1"/>
  <c r="H469" i="6"/>
  <c r="H470" i="6"/>
  <c r="I470" i="6" s="1"/>
  <c r="H471" i="6"/>
  <c r="G471" i="6" s="1"/>
  <c r="H472" i="6"/>
  <c r="H473" i="6"/>
  <c r="G473" i="6" s="1"/>
  <c r="H474" i="6"/>
  <c r="H475" i="6"/>
  <c r="G475" i="6" s="1"/>
  <c r="H476" i="6"/>
  <c r="H477" i="6"/>
  <c r="G477" i="6" s="1"/>
  <c r="H478" i="6"/>
  <c r="I478" i="6" s="1"/>
  <c r="H479" i="6"/>
  <c r="G479" i="6" s="1"/>
  <c r="H480" i="6"/>
  <c r="G480" i="6" s="1"/>
  <c r="H481" i="6"/>
  <c r="G481" i="6" s="1"/>
  <c r="H482" i="6"/>
  <c r="H483" i="6"/>
  <c r="G483" i="6" s="1"/>
  <c r="H484" i="6"/>
  <c r="H485" i="6"/>
  <c r="G485" i="6" s="1"/>
  <c r="H486" i="6"/>
  <c r="I486" i="6" s="1"/>
  <c r="H487" i="6"/>
  <c r="G487" i="6" s="1"/>
  <c r="H488" i="6"/>
  <c r="G488" i="6" s="1"/>
  <c r="H489" i="6"/>
  <c r="G489" i="6" s="1"/>
  <c r="H490" i="6"/>
  <c r="H491" i="6"/>
  <c r="G491" i="6" s="1"/>
  <c r="H492" i="6"/>
  <c r="H493" i="6"/>
  <c r="G493" i="6" s="1"/>
  <c r="H494" i="6"/>
  <c r="I494" i="6" s="1"/>
  <c r="H495" i="6"/>
  <c r="G495" i="6" s="1"/>
  <c r="H496" i="6"/>
  <c r="H497" i="6"/>
  <c r="G497" i="6" s="1"/>
  <c r="H498" i="6"/>
  <c r="H499" i="6"/>
  <c r="G499" i="6" s="1"/>
  <c r="H500" i="6"/>
  <c r="H501" i="6"/>
  <c r="H502" i="6"/>
  <c r="I502" i="6" s="1"/>
  <c r="H503" i="6"/>
  <c r="G503" i="6" s="1"/>
  <c r="H504" i="6"/>
  <c r="G504" i="6" s="1"/>
  <c r="H505" i="6"/>
  <c r="G505" i="6" s="1"/>
  <c r="H506" i="6"/>
  <c r="H507" i="6"/>
  <c r="G507" i="6" s="1"/>
  <c r="H508" i="6"/>
  <c r="H509" i="6"/>
  <c r="G509" i="6" s="1"/>
  <c r="H510" i="6"/>
  <c r="I510" i="6" s="1"/>
  <c r="H511" i="6"/>
  <c r="G511" i="6" s="1"/>
  <c r="H512" i="6"/>
  <c r="G512" i="6" s="1"/>
  <c r="H513" i="6"/>
  <c r="G513" i="6" s="1"/>
  <c r="H514" i="6"/>
  <c r="H515" i="6"/>
  <c r="G515" i="6" s="1"/>
  <c r="H516" i="6"/>
  <c r="H517" i="6"/>
  <c r="G517" i="6" s="1"/>
  <c r="H518" i="6"/>
  <c r="I518" i="6" s="1"/>
  <c r="H519" i="6"/>
  <c r="G519" i="6" s="1"/>
  <c r="H520" i="6"/>
  <c r="G520" i="6" s="1"/>
  <c r="H521" i="6"/>
  <c r="G521" i="6" s="1"/>
  <c r="H522" i="6"/>
  <c r="H523" i="6"/>
  <c r="G523" i="6" s="1"/>
  <c r="H524" i="6"/>
  <c r="H525" i="6"/>
  <c r="G525" i="6" s="1"/>
  <c r="H526" i="6"/>
  <c r="I526" i="6" s="1"/>
  <c r="H527" i="6"/>
  <c r="G527" i="6" s="1"/>
  <c r="H528" i="6"/>
  <c r="H529" i="6"/>
  <c r="G529" i="6" s="1"/>
  <c r="H530" i="6"/>
  <c r="H531" i="6"/>
  <c r="G531" i="6" s="1"/>
  <c r="H532" i="6"/>
  <c r="H533" i="6"/>
  <c r="H534" i="6"/>
  <c r="I534" i="6" s="1"/>
  <c r="H535" i="6"/>
  <c r="G535" i="6" s="1"/>
  <c r="H536" i="6"/>
  <c r="H537" i="6"/>
  <c r="G537" i="6" s="1"/>
  <c r="H538" i="6"/>
  <c r="H539" i="6"/>
  <c r="G539" i="6" s="1"/>
  <c r="H540" i="6"/>
  <c r="H541" i="6"/>
  <c r="G541" i="6" s="1"/>
  <c r="H542" i="6"/>
  <c r="I542" i="6" s="1"/>
  <c r="H543" i="6"/>
  <c r="G543" i="6" s="1"/>
  <c r="H544" i="6"/>
  <c r="G544" i="6" s="1"/>
  <c r="H545" i="6"/>
  <c r="G545" i="6" s="1"/>
  <c r="H546" i="6"/>
  <c r="H547" i="6"/>
  <c r="G547" i="6" s="1"/>
  <c r="H548" i="6"/>
  <c r="H549" i="6"/>
  <c r="G549" i="6" s="1"/>
  <c r="H550" i="6"/>
  <c r="I550" i="6" s="1"/>
  <c r="H551" i="6"/>
  <c r="G551" i="6" s="1"/>
  <c r="H552" i="6"/>
  <c r="G552" i="6" s="1"/>
  <c r="H553" i="6"/>
  <c r="G553" i="6" s="1"/>
  <c r="H554" i="6"/>
  <c r="H555" i="6"/>
  <c r="G555" i="6" s="1"/>
  <c r="H556" i="6"/>
  <c r="H557" i="6"/>
  <c r="G557" i="6" s="1"/>
  <c r="H558" i="6"/>
  <c r="I558" i="6" s="1"/>
  <c r="H559" i="6"/>
  <c r="G559" i="6" s="1"/>
  <c r="H560" i="6"/>
  <c r="H561" i="6"/>
  <c r="G561" i="6" s="1"/>
  <c r="H562" i="6"/>
  <c r="H563" i="6"/>
  <c r="G563" i="6" s="1"/>
  <c r="H564" i="6"/>
  <c r="H565" i="6"/>
  <c r="H566" i="6"/>
  <c r="I566" i="6" s="1"/>
  <c r="H567" i="6"/>
  <c r="G567" i="6" s="1"/>
  <c r="H568" i="6"/>
  <c r="G568" i="6" s="1"/>
  <c r="H569" i="6"/>
  <c r="G569" i="6" s="1"/>
  <c r="H570" i="6"/>
  <c r="H571" i="6"/>
  <c r="G571" i="6" s="1"/>
  <c r="H572" i="6"/>
  <c r="H573" i="6"/>
  <c r="G573" i="6" s="1"/>
  <c r="H574" i="6"/>
  <c r="I574" i="6" s="1"/>
  <c r="H575" i="6"/>
  <c r="G575" i="6" s="1"/>
  <c r="H576" i="6"/>
  <c r="G576" i="6" s="1"/>
  <c r="H577" i="6"/>
  <c r="G577" i="6" s="1"/>
  <c r="H578" i="6"/>
  <c r="H579" i="6"/>
  <c r="G579" i="6" s="1"/>
  <c r="H580" i="6"/>
  <c r="H581" i="6"/>
  <c r="G581" i="6" s="1"/>
  <c r="H582" i="6"/>
  <c r="I582" i="6" s="1"/>
  <c r="H583" i="6"/>
  <c r="G583" i="6" s="1"/>
  <c r="H584" i="6"/>
  <c r="G584" i="6" s="1"/>
  <c r="H585" i="6"/>
  <c r="G585" i="6" s="1"/>
  <c r="H586" i="6"/>
  <c r="H587" i="6"/>
  <c r="G587" i="6" s="1"/>
  <c r="H588" i="6"/>
  <c r="H589" i="6"/>
  <c r="G589" i="6" s="1"/>
  <c r="H590" i="6"/>
  <c r="I590" i="6" s="1"/>
  <c r="H591" i="6"/>
  <c r="G591" i="6" s="1"/>
  <c r="H592" i="6"/>
  <c r="H593" i="6"/>
  <c r="G593" i="6" s="1"/>
  <c r="H594" i="6"/>
  <c r="H595" i="6"/>
  <c r="G595" i="6" s="1"/>
  <c r="H596" i="6"/>
  <c r="H597" i="6"/>
  <c r="H598" i="6"/>
  <c r="I598" i="6" s="1"/>
  <c r="H599" i="6"/>
  <c r="G599" i="6" s="1"/>
  <c r="H600" i="6"/>
  <c r="H601" i="6"/>
  <c r="G601" i="6" s="1"/>
  <c r="H602" i="6"/>
  <c r="H603" i="6"/>
  <c r="G603" i="6" s="1"/>
  <c r="H604" i="6"/>
  <c r="H605" i="6"/>
  <c r="G605" i="6" s="1"/>
  <c r="H606" i="6"/>
  <c r="I606" i="6" s="1"/>
  <c r="H607" i="6"/>
  <c r="G607" i="6" s="1"/>
  <c r="H608" i="6"/>
  <c r="G608" i="6" s="1"/>
  <c r="H609" i="6"/>
  <c r="G609" i="6" s="1"/>
  <c r="H610" i="6"/>
  <c r="H611" i="6"/>
  <c r="G611" i="6" s="1"/>
  <c r="H612" i="6"/>
  <c r="H613" i="6"/>
  <c r="G613" i="6" s="1"/>
  <c r="H614" i="6"/>
  <c r="I614" i="6" s="1"/>
  <c r="H615" i="6"/>
  <c r="G615" i="6" s="1"/>
  <c r="H616" i="6"/>
  <c r="G616" i="6" s="1"/>
  <c r="H617" i="6"/>
  <c r="G617" i="6" s="1"/>
  <c r="H618" i="6"/>
  <c r="H619" i="6"/>
  <c r="G619" i="6" s="1"/>
  <c r="H620" i="6"/>
  <c r="H621" i="6"/>
  <c r="G621" i="6" s="1"/>
  <c r="H622" i="6"/>
  <c r="I622" i="6" s="1"/>
  <c r="H623" i="6"/>
  <c r="G623" i="6" s="1"/>
  <c r="H624" i="6"/>
  <c r="H625" i="6"/>
  <c r="G625" i="6" s="1"/>
  <c r="H626" i="6"/>
  <c r="H627" i="6"/>
  <c r="G627" i="6" s="1"/>
  <c r="H628" i="6"/>
  <c r="H629" i="6"/>
  <c r="H630" i="6"/>
  <c r="I630" i="6" s="1"/>
  <c r="H631" i="6"/>
  <c r="G631" i="6" s="1"/>
  <c r="H632" i="6"/>
  <c r="G632" i="6" s="1"/>
  <c r="H633" i="6"/>
  <c r="G633" i="6" s="1"/>
  <c r="H634" i="6"/>
  <c r="H635" i="6"/>
  <c r="G635" i="6" s="1"/>
  <c r="H636" i="6"/>
  <c r="H637" i="6"/>
  <c r="G637" i="6" s="1"/>
  <c r="H638" i="6"/>
  <c r="I638" i="6" s="1"/>
  <c r="H639" i="6"/>
  <c r="G639" i="6" s="1"/>
  <c r="H640" i="6"/>
  <c r="G640" i="6" s="1"/>
  <c r="H641" i="6"/>
  <c r="G641" i="6" s="1"/>
  <c r="H642" i="6"/>
  <c r="H643" i="6"/>
  <c r="G643" i="6" s="1"/>
  <c r="H644" i="6"/>
  <c r="H645" i="6"/>
  <c r="G645" i="6" s="1"/>
  <c r="H646" i="6"/>
  <c r="I646" i="6" s="1"/>
  <c r="H647" i="6"/>
  <c r="G647" i="6" s="1"/>
  <c r="H648" i="6"/>
  <c r="G648" i="6" s="1"/>
  <c r="H649" i="6"/>
  <c r="G649" i="6" s="1"/>
  <c r="H650" i="6"/>
  <c r="H651" i="6"/>
  <c r="G651" i="6" s="1"/>
  <c r="H652" i="6"/>
  <c r="H653" i="6"/>
  <c r="G653" i="6" s="1"/>
  <c r="H654" i="6"/>
  <c r="I654" i="6" s="1"/>
  <c r="H655" i="6"/>
  <c r="G655" i="6" s="1"/>
  <c r="H656" i="6"/>
  <c r="H657" i="6"/>
  <c r="G657" i="6" s="1"/>
  <c r="H658" i="6"/>
  <c r="H659" i="6"/>
  <c r="G659" i="6" s="1"/>
  <c r="H660" i="6"/>
  <c r="H661" i="6"/>
  <c r="H662" i="6"/>
  <c r="I662" i="6" s="1"/>
  <c r="H663" i="6"/>
  <c r="G663" i="6" s="1"/>
  <c r="H664" i="6"/>
  <c r="H665" i="6"/>
  <c r="G665" i="6" s="1"/>
  <c r="H666" i="6"/>
  <c r="H667" i="6"/>
  <c r="G667" i="6" s="1"/>
  <c r="H668" i="6"/>
  <c r="H669" i="6"/>
  <c r="G669" i="6" s="1"/>
  <c r="H670" i="6"/>
  <c r="I670" i="6" s="1"/>
  <c r="H671" i="6"/>
  <c r="G671" i="6" s="1"/>
  <c r="H672" i="6"/>
  <c r="G672" i="6" s="1"/>
  <c r="H673" i="6"/>
  <c r="G673" i="6" s="1"/>
  <c r="H674" i="6"/>
  <c r="H675" i="6"/>
  <c r="G675" i="6" s="1"/>
  <c r="H676" i="6"/>
  <c r="H677" i="6"/>
  <c r="G677" i="6" s="1"/>
  <c r="H678" i="6"/>
  <c r="I678" i="6" s="1"/>
  <c r="H679" i="6"/>
  <c r="G679" i="6" s="1"/>
  <c r="H680" i="6"/>
  <c r="G680" i="6" s="1"/>
  <c r="H681" i="6"/>
  <c r="G681" i="6" s="1"/>
  <c r="H682" i="6"/>
  <c r="H683" i="6"/>
  <c r="G683" i="6" s="1"/>
  <c r="H684" i="6"/>
  <c r="H685" i="6"/>
  <c r="G685" i="6" s="1"/>
  <c r="H686" i="6"/>
  <c r="I686" i="6" s="1"/>
  <c r="H687" i="6"/>
  <c r="G687" i="6" s="1"/>
  <c r="H688" i="6"/>
  <c r="H689" i="6"/>
  <c r="G689" i="6" s="1"/>
  <c r="H690" i="6"/>
  <c r="H691" i="6"/>
  <c r="G691" i="6" s="1"/>
  <c r="H692" i="6"/>
  <c r="H693" i="6"/>
  <c r="H694" i="6"/>
  <c r="I694" i="6" s="1"/>
  <c r="H695" i="6"/>
  <c r="G695" i="6" s="1"/>
  <c r="H696" i="6"/>
  <c r="G696" i="6" s="1"/>
  <c r="H697" i="6"/>
  <c r="G697" i="6" s="1"/>
  <c r="H698" i="6"/>
  <c r="H699" i="6"/>
  <c r="G699" i="6" s="1"/>
  <c r="H700" i="6"/>
  <c r="H701" i="6"/>
  <c r="G701" i="6" s="1"/>
  <c r="H702" i="6"/>
  <c r="I702" i="6" s="1"/>
  <c r="H703" i="6"/>
  <c r="G703" i="6" s="1"/>
  <c r="H704" i="6"/>
  <c r="G704" i="6" s="1"/>
  <c r="H705" i="6"/>
  <c r="G705" i="6" s="1"/>
  <c r="H706" i="6"/>
  <c r="H707" i="6"/>
  <c r="G707" i="6" s="1"/>
  <c r="H708" i="6"/>
  <c r="H709" i="6"/>
  <c r="G709" i="6" s="1"/>
  <c r="H710" i="6"/>
  <c r="I710" i="6" s="1"/>
  <c r="H711" i="6"/>
  <c r="G711" i="6" s="1"/>
  <c r="H712" i="6"/>
  <c r="G712" i="6" s="1"/>
  <c r="H713" i="6"/>
  <c r="G713" i="6" s="1"/>
  <c r="H714" i="6"/>
  <c r="H715" i="6"/>
  <c r="G715" i="6" s="1"/>
  <c r="H716" i="6"/>
  <c r="H717" i="6"/>
  <c r="G717" i="6" s="1"/>
  <c r="H718" i="6"/>
  <c r="I718" i="6" s="1"/>
  <c r="H719" i="6"/>
  <c r="G719" i="6" s="1"/>
  <c r="H720" i="6"/>
  <c r="H721" i="6"/>
  <c r="G721" i="6" s="1"/>
  <c r="H722" i="6"/>
  <c r="H723" i="6"/>
  <c r="G723" i="6" s="1"/>
  <c r="H724" i="6"/>
  <c r="H725" i="6"/>
  <c r="H726" i="6"/>
  <c r="I726" i="6" s="1"/>
  <c r="H727" i="6"/>
  <c r="G727" i="6" s="1"/>
  <c r="H728" i="6"/>
  <c r="H729" i="6"/>
  <c r="G729" i="6" s="1"/>
  <c r="H730" i="6"/>
  <c r="H731" i="6"/>
  <c r="G731" i="6" s="1"/>
  <c r="H732" i="6"/>
  <c r="H733" i="6"/>
  <c r="G733" i="6" s="1"/>
  <c r="H734" i="6"/>
  <c r="I734" i="6" s="1"/>
  <c r="H735" i="6"/>
  <c r="G735" i="6" s="1"/>
  <c r="H736" i="6"/>
  <c r="G736" i="6" s="1"/>
  <c r="H737" i="6"/>
  <c r="G737" i="6" s="1"/>
  <c r="H738" i="6"/>
  <c r="H739" i="6"/>
  <c r="G739" i="6" s="1"/>
  <c r="H740" i="6"/>
  <c r="H741" i="6"/>
  <c r="G741" i="6" s="1"/>
  <c r="H742" i="6"/>
  <c r="I742" i="6" s="1"/>
  <c r="H743" i="6"/>
  <c r="G743" i="6" s="1"/>
  <c r="H744" i="6"/>
  <c r="G744" i="6" s="1"/>
  <c r="H745" i="6"/>
  <c r="G745" i="6" s="1"/>
  <c r="H746" i="6"/>
  <c r="H747" i="6"/>
  <c r="G747" i="6" s="1"/>
  <c r="H748" i="6"/>
  <c r="H749" i="6"/>
  <c r="G749" i="6" s="1"/>
  <c r="H750" i="6"/>
  <c r="I750" i="6" s="1"/>
  <c r="H751" i="6"/>
  <c r="G751" i="6" s="1"/>
  <c r="H752" i="6"/>
  <c r="H753" i="6"/>
  <c r="G753" i="6" s="1"/>
  <c r="H754" i="6"/>
  <c r="H755" i="6"/>
  <c r="G755" i="6" s="1"/>
  <c r="H756" i="6"/>
  <c r="H757" i="6"/>
  <c r="H758" i="6"/>
  <c r="I758" i="6" s="1"/>
  <c r="H759" i="6"/>
  <c r="G759" i="6" s="1"/>
  <c r="H760" i="6"/>
  <c r="G760" i="6" s="1"/>
  <c r="H761" i="6"/>
  <c r="G761" i="6" s="1"/>
  <c r="H762" i="6"/>
  <c r="H763" i="6"/>
  <c r="G763" i="6" s="1"/>
  <c r="H764" i="6"/>
  <c r="H765" i="6"/>
  <c r="G765" i="6" s="1"/>
  <c r="H766" i="6"/>
  <c r="I766" i="6" s="1"/>
  <c r="H767" i="6"/>
  <c r="G767" i="6" s="1"/>
  <c r="H768" i="6"/>
  <c r="G768" i="6" s="1"/>
  <c r="H769" i="6"/>
  <c r="G769" i="6" s="1"/>
  <c r="H770" i="6"/>
  <c r="H771" i="6"/>
  <c r="G771" i="6" s="1"/>
  <c r="H772" i="6"/>
  <c r="H773" i="6"/>
  <c r="G773" i="6" s="1"/>
  <c r="H774" i="6"/>
  <c r="I774" i="6" s="1"/>
  <c r="H775" i="6"/>
  <c r="G775" i="6" s="1"/>
  <c r="H776" i="6"/>
  <c r="G776" i="6" s="1"/>
  <c r="H777" i="6"/>
  <c r="G777" i="6" s="1"/>
  <c r="H778" i="6"/>
  <c r="H779" i="6"/>
  <c r="G779" i="6" s="1"/>
  <c r="H780" i="6"/>
  <c r="H781" i="6"/>
  <c r="G781" i="6" s="1"/>
  <c r="H782" i="6"/>
  <c r="I782" i="6" s="1"/>
  <c r="H783" i="6"/>
  <c r="G783" i="6" s="1"/>
  <c r="H784" i="6"/>
  <c r="H785" i="6"/>
  <c r="G785" i="6" s="1"/>
  <c r="H786" i="6"/>
  <c r="H787" i="6"/>
  <c r="G787" i="6" s="1"/>
  <c r="H788" i="6"/>
  <c r="H789" i="6"/>
  <c r="H790" i="6"/>
  <c r="I790" i="6" s="1"/>
  <c r="H791" i="6"/>
  <c r="G791" i="6" s="1"/>
  <c r="H792" i="6"/>
  <c r="H793" i="6"/>
  <c r="G793" i="6" s="1"/>
  <c r="H794" i="6"/>
  <c r="H795" i="6"/>
  <c r="G795" i="6" s="1"/>
  <c r="H796" i="6"/>
  <c r="H797" i="6"/>
  <c r="G797" i="6" s="1"/>
  <c r="H798" i="6"/>
  <c r="I798" i="6" s="1"/>
  <c r="H799" i="6"/>
  <c r="G799" i="6" s="1"/>
  <c r="H800" i="6"/>
  <c r="G800" i="6" s="1"/>
  <c r="H801" i="6"/>
  <c r="G801" i="6" s="1"/>
  <c r="H802" i="6"/>
  <c r="H803" i="6"/>
  <c r="G803" i="6" s="1"/>
  <c r="H804" i="6"/>
  <c r="H805" i="6"/>
  <c r="G805" i="6" s="1"/>
  <c r="H806" i="6"/>
  <c r="I806" i="6" s="1"/>
  <c r="H807" i="6"/>
  <c r="G807" i="6" s="1"/>
  <c r="H808" i="6"/>
  <c r="G808" i="6" s="1"/>
  <c r="H809" i="6"/>
  <c r="G809" i="6" s="1"/>
  <c r="H810" i="6"/>
  <c r="H811" i="6"/>
  <c r="G811" i="6" s="1"/>
  <c r="H812" i="6"/>
  <c r="H813" i="6"/>
  <c r="G813" i="6" s="1"/>
  <c r="H814" i="6"/>
  <c r="I814" i="6" s="1"/>
  <c r="H815" i="6"/>
  <c r="G815" i="6" s="1"/>
  <c r="H816" i="6"/>
  <c r="H817" i="6"/>
  <c r="G817" i="6" s="1"/>
  <c r="H818" i="6"/>
  <c r="H819" i="6"/>
  <c r="G819" i="6" s="1"/>
  <c r="H820" i="6"/>
  <c r="H821" i="6"/>
  <c r="H822" i="6"/>
  <c r="I822" i="6" s="1"/>
  <c r="H823" i="6"/>
  <c r="G823" i="6" s="1"/>
  <c r="H824" i="6"/>
  <c r="G824" i="6" s="1"/>
  <c r="H825" i="6"/>
  <c r="G825" i="6" s="1"/>
  <c r="H826" i="6"/>
  <c r="H827" i="6"/>
  <c r="G827" i="6" s="1"/>
  <c r="H828" i="6"/>
  <c r="H829" i="6"/>
  <c r="G829" i="6" s="1"/>
  <c r="H830" i="6"/>
  <c r="I830" i="6" s="1"/>
  <c r="H831" i="6"/>
  <c r="G831" i="6" s="1"/>
  <c r="H832" i="6"/>
  <c r="G832" i="6" s="1"/>
  <c r="H833" i="6"/>
  <c r="G833" i="6" s="1"/>
  <c r="H834" i="6"/>
  <c r="H835" i="6"/>
  <c r="G835" i="6" s="1"/>
  <c r="H836" i="6"/>
  <c r="H837" i="6"/>
  <c r="G837" i="6" s="1"/>
  <c r="H838" i="6"/>
  <c r="I838" i="6" s="1"/>
  <c r="H839" i="6"/>
  <c r="G839" i="6" s="1"/>
  <c r="H840" i="6"/>
  <c r="G840" i="6" s="1"/>
  <c r="H841" i="6"/>
  <c r="G841" i="6" s="1"/>
  <c r="H842" i="6"/>
  <c r="H843" i="6"/>
  <c r="G843" i="6" s="1"/>
  <c r="H844" i="6"/>
  <c r="H845" i="6"/>
  <c r="G845" i="6" s="1"/>
  <c r="H846" i="6"/>
  <c r="I846" i="6" s="1"/>
  <c r="H847" i="6"/>
  <c r="G847" i="6" s="1"/>
  <c r="H848" i="6"/>
  <c r="H849" i="6"/>
  <c r="G849" i="6" s="1"/>
  <c r="H850" i="6"/>
  <c r="H851" i="6"/>
  <c r="G851" i="6" s="1"/>
  <c r="H852" i="6"/>
  <c r="H853" i="6"/>
  <c r="H854" i="6"/>
  <c r="I854" i="6" s="1"/>
  <c r="H855" i="6"/>
  <c r="G855" i="6" s="1"/>
  <c r="H856" i="6"/>
  <c r="H857" i="6"/>
  <c r="G857" i="6" s="1"/>
  <c r="H858" i="6"/>
  <c r="I858" i="6" s="1"/>
  <c r="H859" i="6"/>
  <c r="G859" i="6" s="1"/>
  <c r="H860" i="6"/>
  <c r="H861" i="6"/>
  <c r="G861" i="6" s="1"/>
  <c r="H862" i="6"/>
  <c r="I862" i="6" s="1"/>
  <c r="H863" i="6"/>
  <c r="G863" i="6" s="1"/>
  <c r="H864" i="6"/>
  <c r="G864" i="6" s="1"/>
  <c r="H865" i="6"/>
  <c r="G865" i="6" s="1"/>
  <c r="H866" i="6"/>
  <c r="I866" i="6" s="1"/>
  <c r="H867" i="6"/>
  <c r="G867" i="6" s="1"/>
  <c r="H868" i="6"/>
  <c r="H869" i="6"/>
  <c r="H870" i="6"/>
  <c r="I870" i="6" s="1"/>
  <c r="H871" i="6"/>
  <c r="G871" i="6" s="1"/>
  <c r="H872" i="6"/>
  <c r="G872" i="6" s="1"/>
  <c r="H873" i="6"/>
  <c r="G873" i="6" s="1"/>
  <c r="H874" i="6"/>
  <c r="I874" i="6" s="1"/>
  <c r="H875" i="6"/>
  <c r="G875" i="6" s="1"/>
  <c r="H876" i="6"/>
  <c r="H877" i="6"/>
  <c r="G877" i="6" s="1"/>
  <c r="H878" i="6"/>
  <c r="I878" i="6" s="1"/>
  <c r="H879" i="6"/>
  <c r="G879" i="6" s="1"/>
  <c r="H880" i="6"/>
  <c r="H881" i="6"/>
  <c r="G881" i="6" s="1"/>
  <c r="H882" i="6"/>
  <c r="I882" i="6" s="1"/>
  <c r="H883" i="6"/>
  <c r="G883" i="6" s="1"/>
  <c r="H884" i="6"/>
  <c r="H885" i="6"/>
  <c r="H886" i="6"/>
  <c r="G886" i="6" s="1"/>
  <c r="H887" i="6"/>
  <c r="G887" i="6" s="1"/>
  <c r="H888" i="6"/>
  <c r="G888" i="6" s="1"/>
  <c r="H889" i="6"/>
  <c r="G889" i="6" s="1"/>
  <c r="H890" i="6"/>
  <c r="I890" i="6" s="1"/>
  <c r="H891" i="6"/>
  <c r="G891" i="6" s="1"/>
  <c r="H892" i="6"/>
  <c r="H893" i="6"/>
  <c r="G893" i="6" s="1"/>
  <c r="H894" i="6"/>
  <c r="G894" i="6" s="1"/>
  <c r="H895" i="6"/>
  <c r="G895" i="6" s="1"/>
  <c r="H896" i="6"/>
  <c r="G896" i="6" s="1"/>
  <c r="H897" i="6"/>
  <c r="G897" i="6" s="1"/>
  <c r="H898" i="6"/>
  <c r="G898" i="6" s="1"/>
  <c r="H899" i="6"/>
  <c r="G899" i="6" s="1"/>
  <c r="H900" i="6"/>
  <c r="H901" i="6"/>
  <c r="H902" i="6"/>
  <c r="G902" i="6" s="1"/>
  <c r="H903" i="6"/>
  <c r="G903" i="6" s="1"/>
  <c r="H904" i="6"/>
  <c r="G904" i="6" s="1"/>
  <c r="H905" i="6"/>
  <c r="G905" i="6" s="1"/>
  <c r="H906" i="6"/>
  <c r="I906" i="6" s="1"/>
  <c r="H907" i="6"/>
  <c r="G907" i="6" s="1"/>
  <c r="H908" i="6"/>
  <c r="H909" i="6"/>
  <c r="G909" i="6" s="1"/>
  <c r="H910" i="6"/>
  <c r="G910" i="6" s="1"/>
  <c r="H911" i="6"/>
  <c r="G911" i="6" s="1"/>
  <c r="H912" i="6"/>
  <c r="G912" i="6" s="1"/>
  <c r="H913" i="6"/>
  <c r="G913" i="6" s="1"/>
  <c r="H914" i="6"/>
  <c r="G914" i="6" s="1"/>
  <c r="H915" i="6"/>
  <c r="G915" i="6" s="1"/>
  <c r="H916" i="6"/>
  <c r="H917" i="6"/>
  <c r="H918" i="6"/>
  <c r="G918" i="6" s="1"/>
  <c r="H919" i="6"/>
  <c r="G919" i="6" s="1"/>
  <c r="H920" i="6"/>
  <c r="G920" i="6" s="1"/>
  <c r="H921" i="6"/>
  <c r="G921" i="6" s="1"/>
  <c r="H922" i="6"/>
  <c r="I922" i="6" s="1"/>
  <c r="H923" i="6"/>
  <c r="G923" i="6" s="1"/>
  <c r="H924" i="6"/>
  <c r="H925" i="6"/>
  <c r="G925" i="6" s="1"/>
  <c r="H926" i="6"/>
  <c r="G926" i="6" s="1"/>
  <c r="H927" i="6"/>
  <c r="G927" i="6" s="1"/>
  <c r="H928" i="6"/>
  <c r="G928" i="6" s="1"/>
  <c r="H929" i="6"/>
  <c r="G929" i="6" s="1"/>
  <c r="H930" i="6"/>
  <c r="G930" i="6" s="1"/>
  <c r="H931" i="6"/>
  <c r="G931" i="6" s="1"/>
  <c r="H932" i="6"/>
  <c r="H933" i="6"/>
  <c r="H934" i="6"/>
  <c r="G934" i="6" s="1"/>
  <c r="H935" i="6"/>
  <c r="G935" i="6" s="1"/>
  <c r="H936" i="6"/>
  <c r="G936" i="6" s="1"/>
  <c r="H937" i="6"/>
  <c r="G937" i="6" s="1"/>
  <c r="H938" i="6"/>
  <c r="I938" i="6" s="1"/>
  <c r="H939" i="6"/>
  <c r="G939" i="6" s="1"/>
  <c r="H940" i="6"/>
  <c r="H941" i="6"/>
  <c r="G941" i="6" s="1"/>
  <c r="H942" i="6"/>
  <c r="G942" i="6" s="1"/>
  <c r="H943" i="6"/>
  <c r="G943" i="6" s="1"/>
  <c r="H944" i="6"/>
  <c r="G944" i="6" s="1"/>
  <c r="H945" i="6"/>
  <c r="G945" i="6" s="1"/>
  <c r="H946" i="6"/>
  <c r="G946" i="6" s="1"/>
  <c r="H947" i="6"/>
  <c r="G947" i="6" s="1"/>
  <c r="H948" i="6"/>
  <c r="H949" i="6"/>
  <c r="H950" i="6"/>
  <c r="G950" i="6" s="1"/>
  <c r="H951" i="6"/>
  <c r="G951" i="6" s="1"/>
  <c r="H952" i="6"/>
  <c r="G952" i="6" s="1"/>
  <c r="H953" i="6"/>
  <c r="G953" i="6" s="1"/>
  <c r="H954" i="6"/>
  <c r="I954" i="6" s="1"/>
  <c r="H955" i="6"/>
  <c r="G955" i="6" s="1"/>
  <c r="H956" i="6"/>
  <c r="H957" i="6"/>
  <c r="G957" i="6" s="1"/>
  <c r="H958" i="6"/>
  <c r="G958" i="6" s="1"/>
  <c r="H959" i="6"/>
  <c r="G959" i="6" s="1"/>
  <c r="H960" i="6"/>
  <c r="G960" i="6" s="1"/>
  <c r="H961" i="6"/>
  <c r="G961" i="6" s="1"/>
  <c r="H962" i="6"/>
  <c r="G962" i="6" s="1"/>
  <c r="H963" i="6"/>
  <c r="G963" i="6" s="1"/>
  <c r="H964" i="6"/>
  <c r="H965" i="6"/>
  <c r="H966" i="6"/>
  <c r="G966" i="6" s="1"/>
  <c r="H967" i="6"/>
  <c r="G967" i="6" s="1"/>
  <c r="H968" i="6"/>
  <c r="G968" i="6" s="1"/>
  <c r="H969" i="6"/>
  <c r="G969" i="6" s="1"/>
  <c r="H970" i="6"/>
  <c r="I970" i="6" s="1"/>
  <c r="H971" i="6"/>
  <c r="G971" i="6" s="1"/>
  <c r="H972" i="6"/>
  <c r="H973" i="6"/>
  <c r="G973" i="6" s="1"/>
  <c r="H974" i="6"/>
  <c r="G974" i="6" s="1"/>
  <c r="H975" i="6"/>
  <c r="G975" i="6" s="1"/>
  <c r="H976" i="6"/>
  <c r="G976" i="6" s="1"/>
  <c r="H977" i="6"/>
  <c r="G977" i="6" s="1"/>
  <c r="H978" i="6"/>
  <c r="G978" i="6" s="1"/>
  <c r="H979" i="6"/>
  <c r="G979" i="6" s="1"/>
  <c r="H980" i="6"/>
  <c r="H981" i="6"/>
  <c r="H982" i="6"/>
  <c r="G982" i="6" s="1"/>
  <c r="H983" i="6"/>
  <c r="G983" i="6" s="1"/>
  <c r="H984" i="6"/>
  <c r="G984" i="6" s="1"/>
  <c r="H985" i="6"/>
  <c r="G985" i="6" s="1"/>
  <c r="H986" i="6"/>
  <c r="I986" i="6" s="1"/>
  <c r="H987" i="6"/>
  <c r="G987" i="6" s="1"/>
  <c r="H988" i="6"/>
  <c r="H989" i="6"/>
  <c r="G989" i="6" s="1"/>
  <c r="H990" i="6"/>
  <c r="G990" i="6" s="1"/>
  <c r="H991" i="6"/>
  <c r="G991" i="6" s="1"/>
  <c r="H992" i="6"/>
  <c r="G992" i="6" s="1"/>
  <c r="H993" i="6"/>
  <c r="G993" i="6" s="1"/>
  <c r="H994" i="6"/>
  <c r="G994" i="6" s="1"/>
  <c r="H995" i="6"/>
  <c r="G995" i="6" s="1"/>
  <c r="H996" i="6"/>
  <c r="H997" i="6"/>
  <c r="H998" i="6"/>
  <c r="G998" i="6" s="1"/>
  <c r="H999" i="6"/>
  <c r="G999" i="6" s="1"/>
  <c r="I8" i="6"/>
  <c r="I9" i="6"/>
  <c r="I12" i="6"/>
  <c r="I13" i="6"/>
  <c r="I15" i="6"/>
  <c r="I17" i="6"/>
  <c r="I20" i="6"/>
  <c r="I21" i="6"/>
  <c r="I25" i="6"/>
  <c r="I28" i="6"/>
  <c r="I29" i="6"/>
  <c r="I31" i="6"/>
  <c r="I32" i="6"/>
  <c r="I33" i="6"/>
  <c r="I36" i="6"/>
  <c r="I37" i="6"/>
  <c r="I40" i="6"/>
  <c r="I41" i="6"/>
  <c r="I44" i="6"/>
  <c r="I45" i="6"/>
  <c r="I47" i="6"/>
  <c r="I48" i="6"/>
  <c r="I49" i="6"/>
  <c r="I53" i="6"/>
  <c r="I56" i="6"/>
  <c r="I57" i="6"/>
  <c r="I61" i="6"/>
  <c r="I63" i="6"/>
  <c r="I64" i="6"/>
  <c r="I65" i="6"/>
  <c r="I68" i="6"/>
  <c r="I69" i="6"/>
  <c r="I72" i="6"/>
  <c r="I73" i="6"/>
  <c r="I76" i="6"/>
  <c r="I77" i="6"/>
  <c r="I79" i="6"/>
  <c r="I81" i="6"/>
  <c r="I84" i="6"/>
  <c r="I85" i="6"/>
  <c r="I89" i="6"/>
  <c r="I92" i="6"/>
  <c r="I93" i="6"/>
  <c r="I95" i="6"/>
  <c r="I96" i="6"/>
  <c r="I97" i="6"/>
  <c r="I100" i="6"/>
  <c r="I101" i="6"/>
  <c r="I104" i="6"/>
  <c r="I105" i="6"/>
  <c r="I108" i="6"/>
  <c r="I109" i="6"/>
  <c r="I111" i="6"/>
  <c r="I112" i="6"/>
  <c r="I113" i="6"/>
  <c r="I117" i="6"/>
  <c r="I120" i="6"/>
  <c r="I121" i="6"/>
  <c r="I125" i="6"/>
  <c r="I127" i="6"/>
  <c r="I128" i="6"/>
  <c r="I129" i="6"/>
  <c r="I132" i="6"/>
  <c r="I133" i="6"/>
  <c r="I136" i="6"/>
  <c r="I137" i="6"/>
  <c r="I140" i="6"/>
  <c r="I141" i="6"/>
  <c r="I143" i="6"/>
  <c r="I145" i="6"/>
  <c r="I148" i="6"/>
  <c r="I149" i="6"/>
  <c r="I153" i="6"/>
  <c r="I156" i="6"/>
  <c r="I157" i="6"/>
  <c r="I159" i="6"/>
  <c r="I160" i="6"/>
  <c r="I161" i="6"/>
  <c r="I165" i="6"/>
  <c r="I168" i="6"/>
  <c r="I169" i="6"/>
  <c r="I173" i="6"/>
  <c r="I175" i="6"/>
  <c r="I176" i="6"/>
  <c r="I177" i="6"/>
  <c r="I181" i="6"/>
  <c r="I184" i="6"/>
  <c r="I185" i="6"/>
  <c r="I189" i="6"/>
  <c r="I191" i="6"/>
  <c r="I192" i="6"/>
  <c r="I193" i="6"/>
  <c r="I197" i="6"/>
  <c r="I200" i="6"/>
  <c r="I201" i="6"/>
  <c r="I205" i="6"/>
  <c r="I207" i="6"/>
  <c r="I209" i="6"/>
  <c r="I213" i="6"/>
  <c r="I217" i="6"/>
  <c r="I220" i="6"/>
  <c r="I221" i="6"/>
  <c r="I223" i="6"/>
  <c r="I224" i="6"/>
  <c r="I225" i="6"/>
  <c r="I229" i="6"/>
  <c r="I232" i="6"/>
  <c r="I233" i="6"/>
  <c r="I237" i="6"/>
  <c r="I239" i="6"/>
  <c r="I240" i="6"/>
  <c r="I241" i="6"/>
  <c r="I245" i="6"/>
  <c r="I248" i="6"/>
  <c r="I249" i="6"/>
  <c r="I253" i="6"/>
  <c r="I255" i="6"/>
  <c r="I256" i="6"/>
  <c r="I257" i="6"/>
  <c r="I261" i="6"/>
  <c r="I264" i="6"/>
  <c r="I265" i="6"/>
  <c r="I269" i="6"/>
  <c r="I271" i="6"/>
  <c r="I273" i="6"/>
  <c r="I277" i="6"/>
  <c r="I281" i="6"/>
  <c r="I284" i="6"/>
  <c r="I285" i="6"/>
  <c r="I287" i="6"/>
  <c r="I288" i="6"/>
  <c r="I289" i="6"/>
  <c r="I293" i="6"/>
  <c r="I296" i="6"/>
  <c r="I297" i="6"/>
  <c r="I301" i="6"/>
  <c r="I303" i="6"/>
  <c r="I305" i="6"/>
  <c r="I309" i="6"/>
  <c r="I312" i="6"/>
  <c r="I313" i="6"/>
  <c r="I317" i="6"/>
  <c r="I319" i="6"/>
  <c r="I320" i="6"/>
  <c r="I321" i="6"/>
  <c r="I325" i="6"/>
  <c r="I328" i="6"/>
  <c r="I329" i="6"/>
  <c r="I333" i="6"/>
  <c r="I335" i="6"/>
  <c r="I337" i="6"/>
  <c r="I341" i="6"/>
  <c r="I345" i="6"/>
  <c r="I349" i="6"/>
  <c r="I351" i="6"/>
  <c r="I352" i="6"/>
  <c r="I353" i="6"/>
  <c r="I357" i="6"/>
  <c r="I360" i="6"/>
  <c r="I361" i="6"/>
  <c r="I365" i="6"/>
  <c r="I367" i="6"/>
  <c r="I369" i="6"/>
  <c r="I373" i="6"/>
  <c r="I376" i="6"/>
  <c r="I377" i="6"/>
  <c r="I381" i="6"/>
  <c r="I383" i="6"/>
  <c r="I384" i="6"/>
  <c r="I385" i="6"/>
  <c r="I389" i="6"/>
  <c r="I392" i="6"/>
  <c r="I393" i="6"/>
  <c r="I397" i="6"/>
  <c r="I399" i="6"/>
  <c r="I401" i="6"/>
  <c r="I405" i="6"/>
  <c r="I409" i="6"/>
  <c r="I413" i="6"/>
  <c r="I415" i="6"/>
  <c r="I416" i="6"/>
  <c r="I417" i="6"/>
  <c r="I421" i="6"/>
  <c r="I424" i="6"/>
  <c r="I425" i="6"/>
  <c r="I429" i="6"/>
  <c r="I431" i="6"/>
  <c r="I433" i="6"/>
  <c r="I437" i="6"/>
  <c r="I440" i="6"/>
  <c r="I441" i="6"/>
  <c r="I445" i="6"/>
  <c r="I447" i="6"/>
  <c r="I448" i="6"/>
  <c r="I449" i="6"/>
  <c r="I453" i="6"/>
  <c r="I456" i="6"/>
  <c r="I457" i="6"/>
  <c r="I461" i="6"/>
  <c r="I463" i="6"/>
  <c r="I465" i="6"/>
  <c r="I469" i="6"/>
  <c r="I473" i="6"/>
  <c r="I477" i="6"/>
  <c r="I479" i="6"/>
  <c r="I480" i="6"/>
  <c r="I481" i="6"/>
  <c r="I485" i="6"/>
  <c r="I488" i="6"/>
  <c r="I489" i="6"/>
  <c r="I493" i="6"/>
  <c r="I495" i="6"/>
  <c r="I497" i="6"/>
  <c r="I501" i="6"/>
  <c r="I504" i="6"/>
  <c r="I505" i="6"/>
  <c r="I509" i="6"/>
  <c r="I511" i="6"/>
  <c r="I512" i="6"/>
  <c r="I513" i="6"/>
  <c r="I517" i="6"/>
  <c r="I520" i="6"/>
  <c r="I521" i="6"/>
  <c r="I525" i="6"/>
  <c r="I527" i="6"/>
  <c r="I529" i="6"/>
  <c r="I533" i="6"/>
  <c r="I537" i="6"/>
  <c r="I541" i="6"/>
  <c r="I543" i="6"/>
  <c r="I545" i="6"/>
  <c r="I549" i="6"/>
  <c r="I553" i="6"/>
  <c r="I557" i="6"/>
  <c r="I559" i="6"/>
  <c r="I561" i="6"/>
  <c r="I565" i="6"/>
  <c r="I568" i="6"/>
  <c r="I569" i="6"/>
  <c r="I573" i="6"/>
  <c r="I575" i="6"/>
  <c r="I576" i="6"/>
  <c r="I577" i="6"/>
  <c r="I581" i="6"/>
  <c r="I585" i="6"/>
  <c r="I589" i="6"/>
  <c r="I591" i="6"/>
  <c r="I593" i="6"/>
  <c r="I597" i="6"/>
  <c r="I601" i="6"/>
  <c r="I605" i="6"/>
  <c r="I607" i="6"/>
  <c r="I608" i="6"/>
  <c r="I609" i="6"/>
  <c r="I613" i="6"/>
  <c r="I617" i="6"/>
  <c r="I621" i="6"/>
  <c r="I623" i="6"/>
  <c r="I625" i="6"/>
  <c r="I629" i="6"/>
  <c r="I632" i="6"/>
  <c r="I633" i="6"/>
  <c r="I637" i="6"/>
  <c r="I639" i="6"/>
  <c r="I640" i="6"/>
  <c r="I641" i="6"/>
  <c r="I645" i="6"/>
  <c r="I648" i="6"/>
  <c r="I649" i="6"/>
  <c r="I653" i="6"/>
  <c r="I655" i="6"/>
  <c r="I657" i="6"/>
  <c r="I661" i="6"/>
  <c r="I665" i="6"/>
  <c r="I669" i="6"/>
  <c r="I671" i="6"/>
  <c r="I672" i="6"/>
  <c r="I673" i="6"/>
  <c r="I677" i="6"/>
  <c r="I680" i="6"/>
  <c r="I681" i="6"/>
  <c r="I685" i="6"/>
  <c r="I687" i="6"/>
  <c r="I689" i="6"/>
  <c r="I693" i="6"/>
  <c r="I697" i="6"/>
  <c r="I701" i="6"/>
  <c r="I703" i="6"/>
  <c r="I705" i="6"/>
  <c r="I709" i="6"/>
  <c r="I712" i="6"/>
  <c r="I713" i="6"/>
  <c r="I717" i="6"/>
  <c r="I719" i="6"/>
  <c r="I721" i="6"/>
  <c r="I725" i="6"/>
  <c r="I729" i="6"/>
  <c r="I733" i="6"/>
  <c r="I735" i="6"/>
  <c r="I737" i="6"/>
  <c r="I741" i="6"/>
  <c r="I744" i="6"/>
  <c r="I745" i="6"/>
  <c r="I749" i="6"/>
  <c r="I751" i="6"/>
  <c r="I753" i="6"/>
  <c r="I757" i="6"/>
  <c r="I761" i="6"/>
  <c r="I765" i="6"/>
  <c r="I767" i="6"/>
  <c r="I769" i="6"/>
  <c r="I773" i="6"/>
  <c r="I777" i="6"/>
  <c r="I781" i="6"/>
  <c r="I783" i="6"/>
  <c r="I785" i="6"/>
  <c r="I789" i="6"/>
  <c r="I793" i="6"/>
  <c r="I797" i="6"/>
  <c r="I799" i="6"/>
  <c r="I801" i="6"/>
  <c r="I805" i="6"/>
  <c r="I809" i="6"/>
  <c r="I813" i="6"/>
  <c r="I815" i="6"/>
  <c r="I817" i="6"/>
  <c r="I821" i="6"/>
  <c r="I824" i="6"/>
  <c r="I825" i="6"/>
  <c r="I829" i="6"/>
  <c r="I831" i="6"/>
  <c r="I832" i="6"/>
  <c r="I833" i="6"/>
  <c r="I837" i="6"/>
  <c r="I841" i="6"/>
  <c r="I845" i="6"/>
  <c r="I847" i="6"/>
  <c r="I849" i="6"/>
  <c r="I853" i="6"/>
  <c r="I857" i="6"/>
  <c r="I861" i="6"/>
  <c r="I863" i="6"/>
  <c r="I864" i="6"/>
  <c r="I865" i="6"/>
  <c r="I869" i="6"/>
  <c r="I873" i="6"/>
  <c r="I877" i="6"/>
  <c r="I879" i="6"/>
  <c r="I881" i="6"/>
  <c r="I885" i="6"/>
  <c r="I888" i="6"/>
  <c r="I889" i="6"/>
  <c r="I893" i="6"/>
  <c r="I896" i="6"/>
  <c r="I897" i="6"/>
  <c r="I901" i="6"/>
  <c r="I905" i="6"/>
  <c r="I909" i="6"/>
  <c r="I913" i="6"/>
  <c r="I917" i="6"/>
  <c r="I920" i="6"/>
  <c r="I921" i="6"/>
  <c r="I925" i="6"/>
  <c r="I928" i="6"/>
  <c r="I929" i="6"/>
  <c r="I933" i="6"/>
  <c r="I937" i="6"/>
  <c r="I941" i="6"/>
  <c r="I945" i="6"/>
  <c r="I949" i="6"/>
  <c r="I952" i="6"/>
  <c r="I953" i="6"/>
  <c r="I957" i="6"/>
  <c r="I960" i="6"/>
  <c r="I961" i="6"/>
  <c r="I965" i="6"/>
  <c r="I969" i="6"/>
  <c r="I973" i="6"/>
  <c r="I977" i="6"/>
  <c r="I981" i="6"/>
  <c r="I984" i="6"/>
  <c r="I985" i="6"/>
  <c r="I989" i="6"/>
  <c r="I992" i="6"/>
  <c r="I993" i="6"/>
  <c r="I997" i="6"/>
  <c r="H2" i="6"/>
  <c r="H3" i="6"/>
  <c r="I3" i="6" s="1"/>
  <c r="H4" i="6"/>
  <c r="G4" i="6" s="1"/>
  <c r="E4" i="1"/>
  <c r="F4" i="1" s="1"/>
  <c r="E11" i="1"/>
  <c r="F11" i="1" s="1"/>
  <c r="E19" i="1"/>
  <c r="F19" i="1" s="1"/>
  <c r="E25" i="1"/>
  <c r="F25" i="1" s="1"/>
  <c r="E35" i="1"/>
  <c r="F35" i="1" s="1"/>
  <c r="E37" i="1"/>
  <c r="F37" i="1" s="1"/>
  <c r="E51" i="1"/>
  <c r="F51" i="1" s="1"/>
  <c r="E53" i="1"/>
  <c r="F53" i="1" s="1"/>
  <c r="E64" i="1"/>
  <c r="F64" i="1" s="1"/>
  <c r="E65" i="1"/>
  <c r="F65" i="1" s="1"/>
  <c r="E69" i="1"/>
  <c r="F69" i="1" s="1"/>
  <c r="E71" i="1"/>
  <c r="F71" i="1" s="1"/>
  <c r="E77" i="1"/>
  <c r="F77" i="1" s="1"/>
  <c r="E80" i="1"/>
  <c r="F80" i="1" s="1"/>
  <c r="E85" i="1"/>
  <c r="F85" i="1" s="1"/>
  <c r="E87" i="1"/>
  <c r="F87" i="1" s="1"/>
  <c r="E92" i="1"/>
  <c r="F92" i="1" s="1"/>
  <c r="E96" i="1"/>
  <c r="F96" i="1" s="1"/>
  <c r="E100" i="1"/>
  <c r="F100" i="1" s="1"/>
  <c r="E101" i="1"/>
  <c r="F101" i="1" s="1"/>
  <c r="E108" i="1"/>
  <c r="F108" i="1" s="1"/>
  <c r="E109" i="1"/>
  <c r="F109" i="1" s="1"/>
  <c r="E115" i="1"/>
  <c r="F115" i="1" s="1"/>
  <c r="E116" i="1"/>
  <c r="F116" i="1" s="1"/>
  <c r="E123" i="1"/>
  <c r="F123" i="1" s="1"/>
  <c r="E124" i="1"/>
  <c r="F124" i="1" s="1"/>
  <c r="E128" i="1"/>
  <c r="F128" i="1" s="1"/>
  <c r="E131" i="1"/>
  <c r="F131" i="1" s="1"/>
  <c r="E132" i="1"/>
  <c r="F132" i="1" s="1"/>
  <c r="E133" i="1"/>
  <c r="F133" i="1" s="1"/>
  <c r="E136" i="1"/>
  <c r="F136" i="1" s="1"/>
  <c r="E140" i="1"/>
  <c r="F140" i="1" s="1"/>
  <c r="E141" i="1"/>
  <c r="F141" i="1" s="1"/>
  <c r="E144" i="1"/>
  <c r="F144" i="1" s="1"/>
  <c r="E145" i="1"/>
  <c r="F145" i="1" s="1"/>
  <c r="E148" i="1"/>
  <c r="F148" i="1" s="1"/>
  <c r="E149" i="1"/>
  <c r="F149" i="1" s="1"/>
  <c r="E151" i="1"/>
  <c r="F151" i="1" s="1"/>
  <c r="E152" i="1"/>
  <c r="F152" i="1" s="1"/>
  <c r="E155" i="1"/>
  <c r="F155" i="1" s="1"/>
  <c r="E156" i="1"/>
  <c r="F156" i="1" s="1"/>
  <c r="E160" i="1"/>
  <c r="F160" i="1" s="1"/>
  <c r="E161" i="1"/>
  <c r="F161" i="1" s="1"/>
  <c r="E163" i="1"/>
  <c r="F163" i="1" s="1"/>
  <c r="E164" i="1"/>
  <c r="F164" i="1" s="1"/>
  <c r="E165" i="1"/>
  <c r="F165" i="1" s="1"/>
  <c r="E167" i="1"/>
  <c r="F167" i="1" s="1"/>
  <c r="E168" i="1"/>
  <c r="F168" i="1" s="1"/>
  <c r="E172" i="1"/>
  <c r="F172" i="1" s="1"/>
  <c r="E173" i="1"/>
  <c r="F173" i="1" s="1"/>
  <c r="E176" i="1"/>
  <c r="F176" i="1" s="1"/>
  <c r="E177" i="1"/>
  <c r="F177" i="1" s="1"/>
  <c r="E179" i="1"/>
  <c r="F179" i="1" s="1"/>
  <c r="E180" i="1"/>
  <c r="F180" i="1" s="1"/>
  <c r="E183" i="1"/>
  <c r="F183" i="1" s="1"/>
  <c r="E184" i="1"/>
  <c r="F184" i="1" s="1"/>
  <c r="E187" i="1"/>
  <c r="F187" i="1" s="1"/>
  <c r="E188" i="1"/>
  <c r="F188" i="1" s="1"/>
  <c r="E192" i="1"/>
  <c r="F192" i="1" s="1"/>
  <c r="E193" i="1"/>
  <c r="F193" i="1" s="1"/>
  <c r="E195" i="1"/>
  <c r="F195" i="1" s="1"/>
  <c r="E196" i="1"/>
  <c r="F196" i="1" s="1"/>
  <c r="E197" i="1"/>
  <c r="F197" i="1" s="1"/>
  <c r="E199" i="1"/>
  <c r="F199" i="1" s="1"/>
  <c r="E200" i="1"/>
  <c r="F200" i="1" s="1"/>
  <c r="E204" i="1"/>
  <c r="F204" i="1" s="1"/>
  <c r="E205" i="1"/>
  <c r="F205" i="1" s="1"/>
  <c r="E208" i="1"/>
  <c r="F208" i="1" s="1"/>
  <c r="E209" i="1"/>
  <c r="F209" i="1" s="1"/>
  <c r="E212" i="1"/>
  <c r="F212" i="1" s="1"/>
  <c r="E213" i="1"/>
  <c r="F213" i="1" s="1"/>
  <c r="E215" i="1"/>
  <c r="F215" i="1" s="1"/>
  <c r="E216" i="1"/>
  <c r="F216" i="1" s="1"/>
  <c r="E219" i="1"/>
  <c r="F219" i="1" s="1"/>
  <c r="E220" i="1"/>
  <c r="F220" i="1" s="1"/>
  <c r="E224" i="1"/>
  <c r="F224" i="1" s="1"/>
  <c r="E225" i="1"/>
  <c r="F225" i="1" s="1"/>
  <c r="E227" i="1"/>
  <c r="F227" i="1" s="1"/>
  <c r="E228" i="1"/>
  <c r="F228" i="1" s="1"/>
  <c r="E229" i="1"/>
  <c r="F229" i="1" s="1"/>
  <c r="E231" i="1"/>
  <c r="F231" i="1" s="1"/>
  <c r="E232" i="1"/>
  <c r="F232" i="1" s="1"/>
  <c r="E236" i="1"/>
  <c r="F236" i="1" s="1"/>
  <c r="E237" i="1"/>
  <c r="F237" i="1" s="1"/>
  <c r="E240" i="1"/>
  <c r="F240" i="1" s="1"/>
  <c r="E241" i="1"/>
  <c r="F241" i="1" s="1"/>
  <c r="E243" i="1"/>
  <c r="F243" i="1" s="1"/>
  <c r="E244" i="1"/>
  <c r="F244" i="1" s="1"/>
  <c r="E247" i="1"/>
  <c r="F247" i="1" s="1"/>
  <c r="E248" i="1"/>
  <c r="F248" i="1" s="1"/>
  <c r="E251" i="1"/>
  <c r="F251" i="1" s="1"/>
  <c r="E252" i="1"/>
  <c r="F252" i="1" s="1"/>
  <c r="E256" i="1"/>
  <c r="F256" i="1" s="1"/>
  <c r="E257" i="1"/>
  <c r="F257" i="1" s="1"/>
  <c r="E259" i="1"/>
  <c r="F259" i="1" s="1"/>
  <c r="E260" i="1"/>
  <c r="F260" i="1" s="1"/>
  <c r="E261" i="1"/>
  <c r="F261" i="1" s="1"/>
  <c r="E263" i="1"/>
  <c r="F263" i="1" s="1"/>
  <c r="E264" i="1"/>
  <c r="F264" i="1" s="1"/>
  <c r="E268" i="1"/>
  <c r="F268" i="1" s="1"/>
  <c r="E269" i="1"/>
  <c r="F269" i="1" s="1"/>
  <c r="E272" i="1"/>
  <c r="F272" i="1" s="1"/>
  <c r="E273" i="1"/>
  <c r="F273" i="1" s="1"/>
  <c r="E276" i="1"/>
  <c r="F276" i="1" s="1"/>
  <c r="E277" i="1"/>
  <c r="F277" i="1" s="1"/>
  <c r="E279" i="1"/>
  <c r="F279" i="1" s="1"/>
  <c r="E280" i="1"/>
  <c r="F280" i="1" s="1"/>
  <c r="E283" i="1"/>
  <c r="F283" i="1" s="1"/>
  <c r="E284" i="1"/>
  <c r="F284" i="1" s="1"/>
  <c r="E288" i="1"/>
  <c r="F288" i="1" s="1"/>
  <c r="E289" i="1"/>
  <c r="F289" i="1" s="1"/>
  <c r="E291" i="1"/>
  <c r="F291" i="1" s="1"/>
  <c r="E292" i="1"/>
  <c r="F292" i="1" s="1"/>
  <c r="E293" i="1"/>
  <c r="F293" i="1" s="1"/>
  <c r="E295" i="1"/>
  <c r="F295" i="1" s="1"/>
  <c r="E296" i="1"/>
  <c r="F296" i="1" s="1"/>
  <c r="E300" i="1"/>
  <c r="F300" i="1" s="1"/>
  <c r="E301" i="1"/>
  <c r="F301" i="1" s="1"/>
  <c r="E304" i="1"/>
  <c r="F304" i="1" s="1"/>
  <c r="E305" i="1"/>
  <c r="F305" i="1" s="1"/>
  <c r="E307" i="1"/>
  <c r="F307" i="1" s="1"/>
  <c r="E308" i="1"/>
  <c r="F308" i="1" s="1"/>
  <c r="E311" i="1"/>
  <c r="F311" i="1" s="1"/>
  <c r="E312" i="1"/>
  <c r="F312" i="1" s="1"/>
  <c r="E315" i="1"/>
  <c r="F315" i="1" s="1"/>
  <c r="E316" i="1"/>
  <c r="F316" i="1" s="1"/>
  <c r="E320" i="1"/>
  <c r="F320" i="1" s="1"/>
  <c r="E321" i="1"/>
  <c r="F321" i="1" s="1"/>
  <c r="E323" i="1"/>
  <c r="F323" i="1" s="1"/>
  <c r="E324" i="1"/>
  <c r="F324" i="1" s="1"/>
  <c r="E325" i="1"/>
  <c r="F325" i="1" s="1"/>
  <c r="E327" i="1"/>
  <c r="F327" i="1" s="1"/>
  <c r="E328" i="1"/>
  <c r="F328" i="1" s="1"/>
  <c r="E332" i="1"/>
  <c r="F332" i="1" s="1"/>
  <c r="E333" i="1"/>
  <c r="F333" i="1" s="1"/>
  <c r="E336" i="1"/>
  <c r="F336" i="1" s="1"/>
  <c r="E337" i="1"/>
  <c r="F337" i="1" s="1"/>
  <c r="E340" i="1"/>
  <c r="F340" i="1" s="1"/>
  <c r="E341" i="1"/>
  <c r="F341" i="1" s="1"/>
  <c r="E343" i="1"/>
  <c r="F343" i="1" s="1"/>
  <c r="E344" i="1"/>
  <c r="F344" i="1" s="1"/>
  <c r="E346" i="1"/>
  <c r="F346" i="1" s="1"/>
  <c r="E347" i="1"/>
  <c r="F347" i="1" s="1"/>
  <c r="E348" i="1"/>
  <c r="F348" i="1" s="1"/>
  <c r="E351" i="1"/>
  <c r="F351" i="1" s="1"/>
  <c r="E352" i="1"/>
  <c r="F352" i="1" s="1"/>
  <c r="E355" i="1"/>
  <c r="F355" i="1" s="1"/>
  <c r="E356" i="1"/>
  <c r="F356" i="1" s="1"/>
  <c r="E358" i="1"/>
  <c r="F358" i="1" s="1"/>
  <c r="E359" i="1"/>
  <c r="F359" i="1" s="1"/>
  <c r="E360" i="1"/>
  <c r="F360" i="1" s="1"/>
  <c r="E362" i="1"/>
  <c r="F362" i="1" s="1"/>
  <c r="E363" i="1"/>
  <c r="F363" i="1" s="1"/>
  <c r="E364" i="1"/>
  <c r="F364" i="1" s="1"/>
  <c r="E366" i="1"/>
  <c r="F366" i="1" s="1"/>
  <c r="E367" i="1"/>
  <c r="F367" i="1" s="1"/>
  <c r="E368" i="1"/>
  <c r="F368" i="1" s="1"/>
  <c r="E371" i="1"/>
  <c r="F371" i="1" s="1"/>
  <c r="E372" i="1"/>
  <c r="F372" i="1" s="1"/>
  <c r="E375" i="1"/>
  <c r="F375" i="1" s="1"/>
  <c r="E376" i="1"/>
  <c r="F376" i="1" s="1"/>
  <c r="E378" i="1"/>
  <c r="F378" i="1" s="1"/>
  <c r="E379" i="1"/>
  <c r="F379" i="1" s="1"/>
  <c r="E380" i="1"/>
  <c r="F380" i="1" s="1"/>
  <c r="E382" i="1"/>
  <c r="F382" i="1" s="1"/>
  <c r="E383" i="1"/>
  <c r="F383" i="1" s="1"/>
  <c r="E384" i="1"/>
  <c r="F384" i="1" s="1"/>
  <c r="E387" i="1"/>
  <c r="F387" i="1" s="1"/>
  <c r="E388" i="1"/>
  <c r="F388" i="1" s="1"/>
  <c r="E390" i="1"/>
  <c r="F390" i="1" s="1"/>
  <c r="E391" i="1"/>
  <c r="F391" i="1" s="1"/>
  <c r="E392" i="1"/>
  <c r="F392" i="1" s="1"/>
  <c r="E394" i="1"/>
  <c r="F394" i="1" s="1"/>
  <c r="E395" i="1"/>
  <c r="F395" i="1" s="1"/>
  <c r="E396" i="1"/>
  <c r="F396" i="1" s="1"/>
  <c r="E398" i="1"/>
  <c r="F398" i="1" s="1"/>
  <c r="E399" i="1"/>
  <c r="F399" i="1" s="1"/>
  <c r="E400" i="1"/>
  <c r="F400" i="1" s="1"/>
  <c r="E403" i="1"/>
  <c r="F403" i="1" s="1"/>
  <c r="E404" i="1"/>
  <c r="F404" i="1" s="1"/>
  <c r="E406" i="1"/>
  <c r="F406" i="1" s="1"/>
  <c r="E407" i="1"/>
  <c r="F407" i="1" s="1"/>
  <c r="E408" i="1"/>
  <c r="F408" i="1" s="1"/>
  <c r="E410" i="1"/>
  <c r="F410" i="1" s="1"/>
  <c r="E411" i="1"/>
  <c r="F411" i="1" s="1"/>
  <c r="E412" i="1"/>
  <c r="F412" i="1" s="1"/>
  <c r="E415" i="1"/>
  <c r="F415" i="1" s="1"/>
  <c r="E416" i="1"/>
  <c r="F416" i="1" s="1"/>
  <c r="E419" i="1"/>
  <c r="F419" i="1" s="1"/>
  <c r="E420" i="1"/>
  <c r="F420" i="1" s="1"/>
  <c r="E422" i="1"/>
  <c r="F422" i="1" s="1"/>
  <c r="E423" i="1"/>
  <c r="F423" i="1" s="1"/>
  <c r="E424" i="1"/>
  <c r="F424" i="1" s="1"/>
  <c r="E426" i="1"/>
  <c r="F426" i="1" s="1"/>
  <c r="E427" i="1"/>
  <c r="F427" i="1" s="1"/>
  <c r="E428" i="1"/>
  <c r="F428" i="1" s="1"/>
  <c r="E430" i="1"/>
  <c r="F430" i="1" s="1"/>
  <c r="E431" i="1"/>
  <c r="F431" i="1" s="1"/>
  <c r="E432" i="1"/>
  <c r="F432" i="1" s="1"/>
  <c r="E435" i="1"/>
  <c r="F435" i="1" s="1"/>
  <c r="E436" i="1"/>
  <c r="F436" i="1" s="1"/>
  <c r="E439" i="1"/>
  <c r="F439" i="1" s="1"/>
  <c r="E440" i="1"/>
  <c r="F440" i="1" s="1"/>
  <c r="E442" i="1"/>
  <c r="F442" i="1" s="1"/>
  <c r="E443" i="1"/>
  <c r="F443" i="1" s="1"/>
  <c r="E444" i="1"/>
  <c r="F444" i="1" s="1"/>
  <c r="E446" i="1"/>
  <c r="F446" i="1" s="1"/>
  <c r="E447" i="1"/>
  <c r="F447" i="1" s="1"/>
  <c r="E448" i="1"/>
  <c r="F448" i="1" s="1"/>
  <c r="E451" i="1"/>
  <c r="F451" i="1" s="1"/>
  <c r="E452" i="1"/>
  <c r="F452" i="1" s="1"/>
  <c r="E454" i="1"/>
  <c r="F454" i="1" s="1"/>
  <c r="E455" i="1"/>
  <c r="F455" i="1" s="1"/>
  <c r="E456" i="1"/>
  <c r="F456" i="1" s="1"/>
  <c r="E458" i="1"/>
  <c r="F458" i="1" s="1"/>
  <c r="E459" i="1"/>
  <c r="F459" i="1" s="1"/>
  <c r="E460" i="1"/>
  <c r="F460" i="1" s="1"/>
  <c r="E462" i="1"/>
  <c r="F462" i="1" s="1"/>
  <c r="E463" i="1"/>
  <c r="F463" i="1" s="1"/>
  <c r="E464" i="1"/>
  <c r="F464" i="1" s="1"/>
  <c r="E467" i="1"/>
  <c r="F467" i="1" s="1"/>
  <c r="E468" i="1"/>
  <c r="F468" i="1" s="1"/>
  <c r="E470" i="1"/>
  <c r="F470" i="1" s="1"/>
  <c r="E471" i="1"/>
  <c r="F471" i="1" s="1"/>
  <c r="E472" i="1"/>
  <c r="F472" i="1" s="1"/>
  <c r="E474" i="1"/>
  <c r="F474" i="1" s="1"/>
  <c r="E475" i="1"/>
  <c r="F475" i="1" s="1"/>
  <c r="E476" i="1"/>
  <c r="F476" i="1" s="1"/>
  <c r="E479" i="1"/>
  <c r="F479" i="1" s="1"/>
  <c r="E480" i="1"/>
  <c r="F480" i="1" s="1"/>
  <c r="E483" i="1"/>
  <c r="F483" i="1" s="1"/>
  <c r="E484" i="1"/>
  <c r="F484" i="1" s="1"/>
  <c r="E486" i="1"/>
  <c r="F486" i="1" s="1"/>
  <c r="E487" i="1"/>
  <c r="F487" i="1" s="1"/>
  <c r="E488" i="1"/>
  <c r="F488" i="1" s="1"/>
  <c r="E490" i="1"/>
  <c r="F490" i="1" s="1"/>
  <c r="E491" i="1"/>
  <c r="F491" i="1" s="1"/>
  <c r="E492" i="1"/>
  <c r="F492" i="1" s="1"/>
  <c r="E494" i="1"/>
  <c r="F494" i="1" s="1"/>
  <c r="E495" i="1"/>
  <c r="F495" i="1" s="1"/>
  <c r="E496" i="1"/>
  <c r="F496" i="1" s="1"/>
  <c r="E499" i="1"/>
  <c r="F499" i="1" s="1"/>
  <c r="E500" i="1"/>
  <c r="F500" i="1" s="1"/>
  <c r="E503" i="1"/>
  <c r="F503" i="1" s="1"/>
  <c r="E504" i="1"/>
  <c r="F504" i="1" s="1"/>
  <c r="E506" i="1"/>
  <c r="F506" i="1" s="1"/>
  <c r="E507" i="1"/>
  <c r="F507" i="1" s="1"/>
  <c r="E508" i="1"/>
  <c r="F508" i="1" s="1"/>
  <c r="E510" i="1"/>
  <c r="F510" i="1" s="1"/>
  <c r="E511" i="1"/>
  <c r="F511" i="1" s="1"/>
  <c r="E512" i="1"/>
  <c r="F512" i="1" s="1"/>
  <c r="E515" i="1"/>
  <c r="F515" i="1" s="1"/>
  <c r="E516" i="1"/>
  <c r="F516" i="1" s="1"/>
  <c r="E518" i="1"/>
  <c r="F518" i="1" s="1"/>
  <c r="E519" i="1"/>
  <c r="F519" i="1" s="1"/>
  <c r="E520" i="1"/>
  <c r="F520" i="1" s="1"/>
  <c r="E522" i="1"/>
  <c r="F522" i="1" s="1"/>
  <c r="E523" i="1"/>
  <c r="F523" i="1" s="1"/>
  <c r="E524" i="1"/>
  <c r="F524" i="1" s="1"/>
  <c r="E526" i="1"/>
  <c r="F526" i="1" s="1"/>
  <c r="E527" i="1"/>
  <c r="F527" i="1" s="1"/>
  <c r="E528" i="1"/>
  <c r="F528" i="1" s="1"/>
  <c r="E531" i="1"/>
  <c r="F531" i="1" s="1"/>
  <c r="E532" i="1"/>
  <c r="F532" i="1" s="1"/>
  <c r="E534" i="1"/>
  <c r="F534" i="1" s="1"/>
  <c r="E535" i="1"/>
  <c r="F535" i="1" s="1"/>
  <c r="E536" i="1"/>
  <c r="F536" i="1" s="1"/>
  <c r="E538" i="1"/>
  <c r="F538" i="1" s="1"/>
  <c r="E539" i="1"/>
  <c r="F539" i="1" s="1"/>
  <c r="E540" i="1"/>
  <c r="F540" i="1" s="1"/>
  <c r="E543" i="1"/>
  <c r="F543" i="1" s="1"/>
  <c r="E544" i="1"/>
  <c r="F544" i="1" s="1"/>
  <c r="E547" i="1"/>
  <c r="F547" i="1" s="1"/>
  <c r="E548" i="1"/>
  <c r="F548" i="1" s="1"/>
  <c r="E550" i="1"/>
  <c r="F550" i="1" s="1"/>
  <c r="E551" i="1"/>
  <c r="F551" i="1" s="1"/>
  <c r="E552" i="1"/>
  <c r="F552" i="1" s="1"/>
  <c r="E554" i="1"/>
  <c r="F554" i="1" s="1"/>
  <c r="E555" i="1"/>
  <c r="F555" i="1" s="1"/>
  <c r="E556" i="1"/>
  <c r="F556" i="1" s="1"/>
  <c r="E558" i="1"/>
  <c r="F558" i="1" s="1"/>
  <c r="E559" i="1"/>
  <c r="F559" i="1" s="1"/>
  <c r="E560" i="1"/>
  <c r="F560" i="1" s="1"/>
  <c r="E563" i="1"/>
  <c r="F563" i="1" s="1"/>
  <c r="E564" i="1"/>
  <c r="F564" i="1" s="1"/>
  <c r="E567" i="1"/>
  <c r="F567" i="1" s="1"/>
  <c r="E568" i="1"/>
  <c r="F568" i="1" s="1"/>
  <c r="E570" i="1"/>
  <c r="F570" i="1" s="1"/>
  <c r="E571" i="1"/>
  <c r="F571" i="1" s="1"/>
  <c r="E572" i="1"/>
  <c r="F572" i="1" s="1"/>
  <c r="E574" i="1"/>
  <c r="F574" i="1" s="1"/>
  <c r="E575" i="1"/>
  <c r="F575" i="1" s="1"/>
  <c r="E576" i="1"/>
  <c r="F576" i="1" s="1"/>
  <c r="E579" i="1"/>
  <c r="F579" i="1" s="1"/>
  <c r="E580" i="1"/>
  <c r="F580" i="1" s="1"/>
  <c r="E582" i="1"/>
  <c r="F582" i="1" s="1"/>
  <c r="E583" i="1"/>
  <c r="F583" i="1" s="1"/>
  <c r="E584" i="1"/>
  <c r="F584" i="1" s="1"/>
  <c r="E586" i="1"/>
  <c r="F586" i="1" s="1"/>
  <c r="E587" i="1"/>
  <c r="F587" i="1" s="1"/>
  <c r="E588" i="1"/>
  <c r="F588" i="1" s="1"/>
  <c r="E590" i="1"/>
  <c r="F590" i="1" s="1"/>
  <c r="E591" i="1"/>
  <c r="F591" i="1" s="1"/>
  <c r="E592" i="1"/>
  <c r="F592" i="1" s="1"/>
  <c r="E596" i="1"/>
  <c r="F596" i="1" s="1"/>
  <c r="E598" i="1"/>
  <c r="F598" i="1" s="1"/>
  <c r="E600" i="1"/>
  <c r="F600" i="1" s="1"/>
  <c r="E602" i="1"/>
  <c r="F602" i="1" s="1"/>
  <c r="E603" i="1"/>
  <c r="F603" i="1" s="1"/>
  <c r="E604" i="1"/>
  <c r="F604" i="1" s="1"/>
  <c r="E606" i="1"/>
  <c r="F606" i="1" s="1"/>
  <c r="E607" i="1"/>
  <c r="F607" i="1" s="1"/>
  <c r="E608" i="1"/>
  <c r="F608" i="1" s="1"/>
  <c r="E611" i="1"/>
  <c r="F611" i="1" s="1"/>
  <c r="E612" i="1"/>
  <c r="F612" i="1" s="1"/>
  <c r="E616" i="1"/>
  <c r="F616" i="1" s="1"/>
  <c r="E618" i="1"/>
  <c r="F618" i="1" s="1"/>
  <c r="E619" i="1"/>
  <c r="F619" i="1" s="1"/>
  <c r="E620" i="1"/>
  <c r="F620" i="1" s="1"/>
  <c r="E622" i="1"/>
  <c r="F622" i="1" s="1"/>
  <c r="E623" i="1"/>
  <c r="F623" i="1" s="1"/>
  <c r="E624" i="1"/>
  <c r="F624" i="1" s="1"/>
  <c r="E628" i="1"/>
  <c r="F628" i="1" s="1"/>
  <c r="E630" i="1"/>
  <c r="F630" i="1" s="1"/>
  <c r="E632" i="1"/>
  <c r="F632" i="1" s="1"/>
  <c r="E634" i="1"/>
  <c r="F634" i="1" s="1"/>
  <c r="E635" i="1"/>
  <c r="F635" i="1" s="1"/>
  <c r="E636" i="1"/>
  <c r="F636" i="1" s="1"/>
  <c r="E638" i="1"/>
  <c r="F638" i="1" s="1"/>
  <c r="E639" i="1"/>
  <c r="F639" i="1" s="1"/>
  <c r="E640" i="1"/>
  <c r="F640" i="1" s="1"/>
  <c r="E643" i="1"/>
  <c r="F643" i="1" s="1"/>
  <c r="E644" i="1"/>
  <c r="F644" i="1" s="1"/>
  <c r="E648" i="1"/>
  <c r="F648" i="1" s="1"/>
  <c r="E650" i="1"/>
  <c r="F650" i="1" s="1"/>
  <c r="E651" i="1"/>
  <c r="F651" i="1" s="1"/>
  <c r="E652" i="1"/>
  <c r="F652" i="1" s="1"/>
  <c r="E654" i="1"/>
  <c r="F654" i="1" s="1"/>
  <c r="E655" i="1"/>
  <c r="F655" i="1" s="1"/>
  <c r="E656" i="1"/>
  <c r="F656" i="1" s="1"/>
  <c r="E660" i="1"/>
  <c r="F660" i="1" s="1"/>
  <c r="E662" i="1"/>
  <c r="F662" i="1" s="1"/>
  <c r="E664" i="1"/>
  <c r="F664" i="1" s="1"/>
  <c r="E666" i="1"/>
  <c r="F666" i="1" s="1"/>
  <c r="E667" i="1"/>
  <c r="F667" i="1" s="1"/>
  <c r="E668" i="1"/>
  <c r="F668" i="1" s="1"/>
  <c r="E670" i="1"/>
  <c r="F670" i="1" s="1"/>
  <c r="E671" i="1"/>
  <c r="F671" i="1" s="1"/>
  <c r="E672" i="1"/>
  <c r="F672" i="1" s="1"/>
  <c r="E675" i="1"/>
  <c r="F675" i="1" s="1"/>
  <c r="E676" i="1"/>
  <c r="F676" i="1" s="1"/>
  <c r="E680" i="1"/>
  <c r="F680" i="1" s="1"/>
  <c r="E682" i="1"/>
  <c r="F682" i="1" s="1"/>
  <c r="E683" i="1"/>
  <c r="F683" i="1" s="1"/>
  <c r="E684" i="1"/>
  <c r="F684" i="1" s="1"/>
  <c r="E686" i="1"/>
  <c r="F686" i="1" s="1"/>
  <c r="E687" i="1"/>
  <c r="F687" i="1" s="1"/>
  <c r="E688" i="1"/>
  <c r="F688" i="1" s="1"/>
  <c r="E692" i="1"/>
  <c r="F692" i="1" s="1"/>
  <c r="E694" i="1"/>
  <c r="F694" i="1" s="1"/>
  <c r="E696" i="1"/>
  <c r="F696" i="1" s="1"/>
  <c r="E698" i="1"/>
  <c r="F698" i="1" s="1"/>
  <c r="E699" i="1"/>
  <c r="F699" i="1" s="1"/>
  <c r="E700" i="1"/>
  <c r="F700" i="1" s="1"/>
  <c r="E702" i="1"/>
  <c r="F702" i="1" s="1"/>
  <c r="E703" i="1"/>
  <c r="F703" i="1" s="1"/>
  <c r="E704" i="1"/>
  <c r="F704" i="1" s="1"/>
  <c r="E707" i="1"/>
  <c r="F707" i="1" s="1"/>
  <c r="E708" i="1"/>
  <c r="F708" i="1" s="1"/>
  <c r="E712" i="1"/>
  <c r="F712" i="1" s="1"/>
  <c r="E714" i="1"/>
  <c r="F714" i="1" s="1"/>
  <c r="E715" i="1"/>
  <c r="F715" i="1" s="1"/>
  <c r="E716" i="1"/>
  <c r="F716" i="1" s="1"/>
  <c r="E718" i="1"/>
  <c r="F718" i="1" s="1"/>
  <c r="E719" i="1"/>
  <c r="F719" i="1" s="1"/>
  <c r="E720" i="1"/>
  <c r="F720" i="1" s="1"/>
  <c r="E724" i="1"/>
  <c r="F724" i="1" s="1"/>
  <c r="E726" i="1"/>
  <c r="F726" i="1" s="1"/>
  <c r="E728" i="1"/>
  <c r="F728" i="1" s="1"/>
  <c r="E730" i="1"/>
  <c r="F730" i="1" s="1"/>
  <c r="E731" i="1"/>
  <c r="F731" i="1" s="1"/>
  <c r="E732" i="1"/>
  <c r="F732" i="1" s="1"/>
  <c r="E734" i="1"/>
  <c r="F734" i="1" s="1"/>
  <c r="E735" i="1"/>
  <c r="F735" i="1" s="1"/>
  <c r="E736" i="1"/>
  <c r="F736" i="1" s="1"/>
  <c r="E739" i="1"/>
  <c r="F739" i="1" s="1"/>
  <c r="E740" i="1"/>
  <c r="F740" i="1" s="1"/>
  <c r="E744" i="1"/>
  <c r="F744" i="1" s="1"/>
  <c r="E746" i="1"/>
  <c r="F746" i="1" s="1"/>
  <c r="E747" i="1"/>
  <c r="F747" i="1" s="1"/>
  <c r="E748" i="1"/>
  <c r="F748" i="1" s="1"/>
  <c r="E750" i="1"/>
  <c r="F750" i="1" s="1"/>
  <c r="E751" i="1"/>
  <c r="F751" i="1" s="1"/>
  <c r="E752" i="1"/>
  <c r="F752" i="1" s="1"/>
  <c r="E756" i="1"/>
  <c r="F756" i="1" s="1"/>
  <c r="E758" i="1"/>
  <c r="F758" i="1" s="1"/>
  <c r="E760" i="1"/>
  <c r="F760" i="1" s="1"/>
  <c r="E762" i="1"/>
  <c r="F762" i="1" s="1"/>
  <c r="E763" i="1"/>
  <c r="F763" i="1" s="1"/>
  <c r="E764" i="1"/>
  <c r="F764" i="1" s="1"/>
  <c r="E766" i="1"/>
  <c r="F766" i="1" s="1"/>
  <c r="E767" i="1"/>
  <c r="F767" i="1" s="1"/>
  <c r="E768" i="1"/>
  <c r="F768" i="1" s="1"/>
  <c r="E771" i="1"/>
  <c r="F771" i="1" s="1"/>
  <c r="E772" i="1"/>
  <c r="F772" i="1" s="1"/>
  <c r="E776" i="1"/>
  <c r="F776" i="1" s="1"/>
  <c r="E778" i="1"/>
  <c r="F778" i="1" s="1"/>
  <c r="E779" i="1"/>
  <c r="F779" i="1" s="1"/>
  <c r="E780" i="1"/>
  <c r="F780" i="1" s="1"/>
  <c r="E782" i="1"/>
  <c r="F782" i="1" s="1"/>
  <c r="E783" i="1"/>
  <c r="F783" i="1" s="1"/>
  <c r="E784" i="1"/>
  <c r="F784" i="1" s="1"/>
  <c r="E788" i="1"/>
  <c r="F788" i="1" s="1"/>
  <c r="E790" i="1"/>
  <c r="F790" i="1" s="1"/>
  <c r="E792" i="1"/>
  <c r="F792" i="1" s="1"/>
  <c r="E794" i="1"/>
  <c r="F794" i="1" s="1"/>
  <c r="E795" i="1"/>
  <c r="F795" i="1" s="1"/>
  <c r="E796" i="1"/>
  <c r="F796" i="1" s="1"/>
  <c r="E798" i="1"/>
  <c r="F798" i="1" s="1"/>
  <c r="E799" i="1"/>
  <c r="F799" i="1" s="1"/>
  <c r="E800" i="1"/>
  <c r="F800" i="1" s="1"/>
  <c r="E803" i="1"/>
  <c r="F803" i="1" s="1"/>
  <c r="E804" i="1"/>
  <c r="F804" i="1" s="1"/>
  <c r="E808" i="1"/>
  <c r="F808" i="1" s="1"/>
  <c r="E810" i="1"/>
  <c r="F810" i="1" s="1"/>
  <c r="E811" i="1"/>
  <c r="F811" i="1" s="1"/>
  <c r="E812" i="1"/>
  <c r="F812" i="1" s="1"/>
  <c r="E814" i="1"/>
  <c r="F814" i="1" s="1"/>
  <c r="E815" i="1"/>
  <c r="F815" i="1" s="1"/>
  <c r="E816" i="1"/>
  <c r="F816" i="1" s="1"/>
  <c r="E820" i="1"/>
  <c r="F820" i="1" s="1"/>
  <c r="E822" i="1"/>
  <c r="F822" i="1" s="1"/>
  <c r="E824" i="1"/>
  <c r="F824" i="1" s="1"/>
  <c r="E826" i="1"/>
  <c r="F826" i="1" s="1"/>
  <c r="E827" i="1"/>
  <c r="F827" i="1" s="1"/>
  <c r="E828" i="1"/>
  <c r="F828" i="1" s="1"/>
  <c r="E830" i="1"/>
  <c r="F830" i="1" s="1"/>
  <c r="E831" i="1"/>
  <c r="F831" i="1" s="1"/>
  <c r="E832" i="1"/>
  <c r="F832" i="1" s="1"/>
  <c r="E835" i="1"/>
  <c r="F835" i="1" s="1"/>
  <c r="E836" i="1"/>
  <c r="F836" i="1" s="1"/>
  <c r="E840" i="1"/>
  <c r="F840" i="1" s="1"/>
  <c r="E842" i="1"/>
  <c r="F842" i="1" s="1"/>
  <c r="E843" i="1"/>
  <c r="F843" i="1" s="1"/>
  <c r="E844" i="1"/>
  <c r="F844" i="1" s="1"/>
  <c r="E846" i="1"/>
  <c r="F846" i="1" s="1"/>
  <c r="E847" i="1"/>
  <c r="F847" i="1" s="1"/>
  <c r="E848" i="1"/>
  <c r="F848" i="1" s="1"/>
  <c r="E852" i="1"/>
  <c r="F852" i="1" s="1"/>
  <c r="E854" i="1"/>
  <c r="F854" i="1" s="1"/>
  <c r="E856" i="1"/>
  <c r="F856" i="1" s="1"/>
  <c r="E857" i="1"/>
  <c r="F857" i="1" s="1"/>
  <c r="E858" i="1"/>
  <c r="F858" i="1" s="1"/>
  <c r="E860" i="1"/>
  <c r="F860" i="1" s="1"/>
  <c r="E861" i="1"/>
  <c r="F861" i="1" s="1"/>
  <c r="E864" i="1"/>
  <c r="F864" i="1" s="1"/>
  <c r="E865" i="1"/>
  <c r="F865" i="1" s="1"/>
  <c r="E866" i="1"/>
  <c r="F866" i="1" s="1"/>
  <c r="E868" i="1"/>
  <c r="F868" i="1" s="1"/>
  <c r="E869" i="1"/>
  <c r="F869" i="1" s="1"/>
  <c r="E870" i="1"/>
  <c r="F870" i="1" s="1"/>
  <c r="E872" i="1"/>
  <c r="F872" i="1" s="1"/>
  <c r="E873" i="1"/>
  <c r="F873" i="1" s="1"/>
  <c r="E874" i="1"/>
  <c r="F874" i="1" s="1"/>
  <c r="E876" i="1"/>
  <c r="F876" i="1" s="1"/>
  <c r="E877" i="1"/>
  <c r="F877" i="1" s="1"/>
  <c r="E880" i="1"/>
  <c r="F880" i="1" s="1"/>
  <c r="E881" i="1"/>
  <c r="F881" i="1" s="1"/>
  <c r="E882" i="1"/>
  <c r="F882" i="1" s="1"/>
  <c r="E884" i="1"/>
  <c r="F884" i="1" s="1"/>
  <c r="E885" i="1"/>
  <c r="F885" i="1" s="1"/>
  <c r="E886" i="1"/>
  <c r="F886" i="1" s="1"/>
  <c r="E888" i="1"/>
  <c r="F888" i="1" s="1"/>
  <c r="E889" i="1"/>
  <c r="F889" i="1" s="1"/>
  <c r="E890" i="1"/>
  <c r="F890" i="1" s="1"/>
  <c r="E892" i="1"/>
  <c r="F892" i="1" s="1"/>
  <c r="E893" i="1"/>
  <c r="F893" i="1" s="1"/>
  <c r="E896" i="1"/>
  <c r="F896" i="1" s="1"/>
  <c r="E897" i="1"/>
  <c r="F897" i="1" s="1"/>
  <c r="E898" i="1"/>
  <c r="F898" i="1" s="1"/>
  <c r="E900" i="1"/>
  <c r="F900" i="1" s="1"/>
  <c r="E901" i="1"/>
  <c r="F901" i="1" s="1"/>
  <c r="E902" i="1"/>
  <c r="F902" i="1" s="1"/>
  <c r="E904" i="1"/>
  <c r="F904" i="1" s="1"/>
  <c r="E905" i="1"/>
  <c r="F905" i="1" s="1"/>
  <c r="E906" i="1"/>
  <c r="F906" i="1" s="1"/>
  <c r="E908" i="1"/>
  <c r="F908" i="1" s="1"/>
  <c r="E909" i="1"/>
  <c r="F909" i="1" s="1"/>
  <c r="E912" i="1"/>
  <c r="F912" i="1" s="1"/>
  <c r="E913" i="1"/>
  <c r="F913" i="1" s="1"/>
  <c r="E914" i="1"/>
  <c r="F914" i="1" s="1"/>
  <c r="E916" i="1"/>
  <c r="F916" i="1" s="1"/>
  <c r="E917" i="1"/>
  <c r="F917" i="1" s="1"/>
  <c r="E918" i="1"/>
  <c r="F918" i="1" s="1"/>
  <c r="E920" i="1"/>
  <c r="F920" i="1" s="1"/>
  <c r="E921" i="1"/>
  <c r="F921" i="1" s="1"/>
  <c r="E922" i="1"/>
  <c r="F922" i="1" s="1"/>
  <c r="E924" i="1"/>
  <c r="F924" i="1" s="1"/>
  <c r="E925" i="1"/>
  <c r="F925" i="1" s="1"/>
  <c r="E928" i="1"/>
  <c r="F928" i="1" s="1"/>
  <c r="E929" i="1"/>
  <c r="F929" i="1" s="1"/>
  <c r="E930" i="1"/>
  <c r="F930" i="1" s="1"/>
  <c r="E932" i="1"/>
  <c r="F932" i="1" s="1"/>
  <c r="E933" i="1"/>
  <c r="F933" i="1" s="1"/>
  <c r="E934" i="1"/>
  <c r="F934" i="1" s="1"/>
  <c r="E936" i="1"/>
  <c r="F936" i="1" s="1"/>
  <c r="E937" i="1"/>
  <c r="F937" i="1" s="1"/>
  <c r="E938" i="1"/>
  <c r="F938" i="1" s="1"/>
  <c r="E940" i="1"/>
  <c r="F940" i="1" s="1"/>
  <c r="E941" i="1"/>
  <c r="F941" i="1" s="1"/>
  <c r="E944" i="1"/>
  <c r="F944" i="1" s="1"/>
  <c r="E945" i="1"/>
  <c r="F945" i="1" s="1"/>
  <c r="E946" i="1"/>
  <c r="F946" i="1" s="1"/>
  <c r="E948" i="1"/>
  <c r="F948" i="1" s="1"/>
  <c r="E949" i="1"/>
  <c r="F949" i="1" s="1"/>
  <c r="E950" i="1"/>
  <c r="F950" i="1" s="1"/>
  <c r="E952" i="1"/>
  <c r="F952" i="1" s="1"/>
  <c r="E953" i="1"/>
  <c r="F953" i="1" s="1"/>
  <c r="E954" i="1"/>
  <c r="F954" i="1" s="1"/>
  <c r="E956" i="1"/>
  <c r="F956" i="1" s="1"/>
  <c r="E957" i="1"/>
  <c r="F957" i="1" s="1"/>
  <c r="E960" i="1"/>
  <c r="F960" i="1" s="1"/>
  <c r="E961" i="1"/>
  <c r="F961" i="1" s="1"/>
  <c r="E962" i="1"/>
  <c r="F962" i="1" s="1"/>
  <c r="E964" i="1"/>
  <c r="F964" i="1" s="1"/>
  <c r="E965" i="1"/>
  <c r="F965" i="1" s="1"/>
  <c r="E966" i="1"/>
  <c r="F966" i="1" s="1"/>
  <c r="E968" i="1"/>
  <c r="F968" i="1" s="1"/>
  <c r="E969" i="1"/>
  <c r="F969" i="1" s="1"/>
  <c r="E970" i="1"/>
  <c r="F970" i="1" s="1"/>
  <c r="E972" i="1"/>
  <c r="F972" i="1" s="1"/>
  <c r="E973" i="1"/>
  <c r="F973" i="1" s="1"/>
  <c r="E976" i="1"/>
  <c r="F976" i="1" s="1"/>
  <c r="E977" i="1"/>
  <c r="F977" i="1" s="1"/>
  <c r="E978" i="1"/>
  <c r="F978" i="1" s="1"/>
  <c r="E980" i="1"/>
  <c r="F980" i="1" s="1"/>
  <c r="E981" i="1"/>
  <c r="F981" i="1" s="1"/>
  <c r="E982" i="1"/>
  <c r="F982" i="1" s="1"/>
  <c r="E984" i="1"/>
  <c r="F984" i="1" s="1"/>
  <c r="E985" i="1"/>
  <c r="F985" i="1" s="1"/>
  <c r="E986" i="1"/>
  <c r="F986" i="1" s="1"/>
  <c r="E988" i="1"/>
  <c r="F988" i="1" s="1"/>
  <c r="E989" i="1"/>
  <c r="F989" i="1" s="1"/>
  <c r="E992" i="1"/>
  <c r="F992" i="1" s="1"/>
  <c r="E993" i="1"/>
  <c r="F993" i="1" s="1"/>
  <c r="E994" i="1"/>
  <c r="F994" i="1" s="1"/>
  <c r="E996" i="1"/>
  <c r="F996" i="1" s="1"/>
  <c r="E997" i="1"/>
  <c r="F997" i="1" s="1"/>
  <c r="E998" i="1"/>
  <c r="F998" i="1" s="1"/>
  <c r="F14" i="3"/>
  <c r="E21" i="1" l="1"/>
  <c r="F21" i="1" s="1"/>
  <c r="E13" i="1"/>
  <c r="F13" i="1" s="1"/>
  <c r="E27" i="1"/>
  <c r="F27" i="1" s="1"/>
  <c r="E43" i="1"/>
  <c r="F43" i="1" s="1"/>
  <c r="E57" i="1"/>
  <c r="F57" i="1" s="1"/>
  <c r="E67" i="1"/>
  <c r="F67" i="1" s="1"/>
  <c r="E72" i="1"/>
  <c r="F72" i="1" s="1"/>
  <c r="E81" i="1"/>
  <c r="F81" i="1" s="1"/>
  <c r="O81" i="1" s="1"/>
  <c r="E88" i="1"/>
  <c r="F88" i="1" s="1"/>
  <c r="E97" i="1"/>
  <c r="F97" i="1" s="1"/>
  <c r="E103" i="1"/>
  <c r="F103" i="1" s="1"/>
  <c r="E112" i="1"/>
  <c r="F112" i="1" s="1"/>
  <c r="O112" i="1" s="1"/>
  <c r="E119" i="1"/>
  <c r="F119" i="1" s="1"/>
  <c r="E17" i="1"/>
  <c r="F17" i="1" s="1"/>
  <c r="E33" i="1"/>
  <c r="F33" i="1" s="1"/>
  <c r="E45" i="1"/>
  <c r="F45" i="1" s="1"/>
  <c r="O45" i="1" s="1"/>
  <c r="E59" i="1"/>
  <c r="F59" i="1" s="1"/>
  <c r="E68" i="1"/>
  <c r="F68" i="1" s="1"/>
  <c r="E76" i="1"/>
  <c r="F76" i="1" s="1"/>
  <c r="E84" i="1"/>
  <c r="F84" i="1" s="1"/>
  <c r="N84" i="1" s="1"/>
  <c r="E91" i="1"/>
  <c r="F91" i="1" s="1"/>
  <c r="E99" i="1"/>
  <c r="F99" i="1" s="1"/>
  <c r="E104" i="1"/>
  <c r="F104" i="1" s="1"/>
  <c r="E113" i="1"/>
  <c r="F113" i="1" s="1"/>
  <c r="P113" i="1" s="1"/>
  <c r="E120" i="1"/>
  <c r="F120" i="1" s="1"/>
  <c r="E129" i="1"/>
  <c r="F129" i="1" s="1"/>
  <c r="E135" i="1"/>
  <c r="F135" i="1" s="1"/>
  <c r="I968" i="6"/>
  <c r="I936" i="6"/>
  <c r="I904" i="6"/>
  <c r="I872" i="6"/>
  <c r="I840" i="6"/>
  <c r="I800" i="6"/>
  <c r="I768" i="6"/>
  <c r="I760" i="6"/>
  <c r="I616" i="6"/>
  <c r="I584" i="6"/>
  <c r="I544" i="6"/>
  <c r="I976" i="6"/>
  <c r="I944" i="6"/>
  <c r="I912" i="6"/>
  <c r="I808" i="6"/>
  <c r="I776" i="6"/>
  <c r="I736" i="6"/>
  <c r="I704" i="6"/>
  <c r="I696" i="6"/>
  <c r="I552" i="6"/>
  <c r="G996" i="6"/>
  <c r="I996" i="6"/>
  <c r="G988" i="6"/>
  <c r="I988" i="6"/>
  <c r="G980" i="6"/>
  <c r="I980" i="6"/>
  <c r="G972" i="6"/>
  <c r="I972" i="6"/>
  <c r="G964" i="6"/>
  <c r="I964" i="6"/>
  <c r="G956" i="6"/>
  <c r="I956" i="6"/>
  <c r="G948" i="6"/>
  <c r="I948" i="6"/>
  <c r="G940" i="6"/>
  <c r="I940" i="6"/>
  <c r="G932" i="6"/>
  <c r="I932" i="6"/>
  <c r="G924" i="6"/>
  <c r="I924" i="6"/>
  <c r="G916" i="6"/>
  <c r="I916" i="6"/>
  <c r="G908" i="6"/>
  <c r="I908" i="6"/>
  <c r="G900" i="6"/>
  <c r="I900" i="6"/>
  <c r="G892" i="6"/>
  <c r="I892" i="6"/>
  <c r="G884" i="6"/>
  <c r="I884" i="6"/>
  <c r="G880" i="6"/>
  <c r="I880" i="6"/>
  <c r="G876" i="6"/>
  <c r="I876" i="6"/>
  <c r="G868" i="6"/>
  <c r="I868" i="6"/>
  <c r="G860" i="6"/>
  <c r="I860" i="6"/>
  <c r="G856" i="6"/>
  <c r="I856" i="6"/>
  <c r="G852" i="6"/>
  <c r="I852" i="6"/>
  <c r="G848" i="6"/>
  <c r="I848" i="6"/>
  <c r="G844" i="6"/>
  <c r="I844" i="6"/>
  <c r="G836" i="6"/>
  <c r="I836" i="6"/>
  <c r="G828" i="6"/>
  <c r="I828" i="6"/>
  <c r="G820" i="6"/>
  <c r="I820" i="6"/>
  <c r="G816" i="6"/>
  <c r="I816" i="6"/>
  <c r="G812" i="6"/>
  <c r="I812" i="6"/>
  <c r="G804" i="6"/>
  <c r="I804" i="6"/>
  <c r="G796" i="6"/>
  <c r="I796" i="6"/>
  <c r="G792" i="6"/>
  <c r="I792" i="6"/>
  <c r="G788" i="6"/>
  <c r="I788" i="6"/>
  <c r="G784" i="6"/>
  <c r="I784" i="6"/>
  <c r="G780" i="6"/>
  <c r="I780" i="6"/>
  <c r="G772" i="6"/>
  <c r="I772" i="6"/>
  <c r="G764" i="6"/>
  <c r="I764" i="6"/>
  <c r="G756" i="6"/>
  <c r="I756" i="6"/>
  <c r="G752" i="6"/>
  <c r="I752" i="6"/>
  <c r="G748" i="6"/>
  <c r="I748" i="6"/>
  <c r="G740" i="6"/>
  <c r="I740" i="6"/>
  <c r="G732" i="6"/>
  <c r="I732" i="6"/>
  <c r="G728" i="6"/>
  <c r="I728" i="6"/>
  <c r="G724" i="6"/>
  <c r="I724" i="6"/>
  <c r="G720" i="6"/>
  <c r="I720" i="6"/>
  <c r="G716" i="6"/>
  <c r="I716" i="6"/>
  <c r="G708" i="6"/>
  <c r="I708" i="6"/>
  <c r="G700" i="6"/>
  <c r="I700" i="6"/>
  <c r="G692" i="6"/>
  <c r="I692" i="6"/>
  <c r="G688" i="6"/>
  <c r="I688" i="6"/>
  <c r="G684" i="6"/>
  <c r="I684" i="6"/>
  <c r="G676" i="6"/>
  <c r="I676" i="6"/>
  <c r="G668" i="6"/>
  <c r="I668" i="6"/>
  <c r="G664" i="6"/>
  <c r="I664" i="6"/>
  <c r="G660" i="6"/>
  <c r="I660" i="6"/>
  <c r="G656" i="6"/>
  <c r="I656" i="6"/>
  <c r="G652" i="6"/>
  <c r="I652" i="6"/>
  <c r="G644" i="6"/>
  <c r="I644" i="6"/>
  <c r="G636" i="6"/>
  <c r="I636" i="6"/>
  <c r="G628" i="6"/>
  <c r="I628" i="6"/>
  <c r="G624" i="6"/>
  <c r="I624" i="6"/>
  <c r="G620" i="6"/>
  <c r="I620" i="6"/>
  <c r="G612" i="6"/>
  <c r="I612" i="6"/>
  <c r="G604" i="6"/>
  <c r="I604" i="6"/>
  <c r="G600" i="6"/>
  <c r="I600" i="6"/>
  <c r="G596" i="6"/>
  <c r="I596" i="6"/>
  <c r="G592" i="6"/>
  <c r="I592" i="6"/>
  <c r="G588" i="6"/>
  <c r="I588" i="6"/>
  <c r="G580" i="6"/>
  <c r="I580" i="6"/>
  <c r="G572" i="6"/>
  <c r="I572" i="6"/>
  <c r="G564" i="6"/>
  <c r="I564" i="6"/>
  <c r="G560" i="6"/>
  <c r="I560" i="6"/>
  <c r="G556" i="6"/>
  <c r="I556" i="6"/>
  <c r="G548" i="6"/>
  <c r="I548" i="6"/>
  <c r="G540" i="6"/>
  <c r="I540" i="6"/>
  <c r="G536" i="6"/>
  <c r="I536" i="6"/>
  <c r="G532" i="6"/>
  <c r="I532" i="6"/>
  <c r="G528" i="6"/>
  <c r="I528" i="6"/>
  <c r="G524" i="6"/>
  <c r="I524" i="6"/>
  <c r="G516" i="6"/>
  <c r="I516" i="6"/>
  <c r="G508" i="6"/>
  <c r="I508" i="6"/>
  <c r="G500" i="6"/>
  <c r="I500" i="6"/>
  <c r="G496" i="6"/>
  <c r="I496" i="6"/>
  <c r="G492" i="6"/>
  <c r="I492" i="6"/>
  <c r="G484" i="6"/>
  <c r="I484" i="6"/>
  <c r="G476" i="6"/>
  <c r="I476" i="6"/>
  <c r="I468" i="6"/>
  <c r="I460" i="6"/>
  <c r="I452" i="6"/>
  <c r="I428" i="6"/>
  <c r="I420" i="6"/>
  <c r="I404" i="6"/>
  <c r="I396" i="6"/>
  <c r="I388" i="6"/>
  <c r="I364" i="6"/>
  <c r="I356" i="6"/>
  <c r="I340" i="6"/>
  <c r="I332" i="6"/>
  <c r="I324" i="6"/>
  <c r="I300" i="6"/>
  <c r="I292" i="6"/>
  <c r="I276" i="6"/>
  <c r="I268" i="6"/>
  <c r="I260" i="6"/>
  <c r="I236" i="6"/>
  <c r="I228" i="6"/>
  <c r="I212" i="6"/>
  <c r="I204" i="6"/>
  <c r="I196" i="6"/>
  <c r="I172" i="6"/>
  <c r="I164" i="6"/>
  <c r="I432" i="6"/>
  <c r="I412" i="6"/>
  <c r="I368" i="6"/>
  <c r="I348" i="6"/>
  <c r="I304" i="6"/>
  <c r="G472" i="6"/>
  <c r="I472" i="6"/>
  <c r="G464" i="6"/>
  <c r="I464" i="6"/>
  <c r="G444" i="6"/>
  <c r="I444" i="6"/>
  <c r="G436" i="6"/>
  <c r="I436" i="6"/>
  <c r="G408" i="6"/>
  <c r="I408" i="6"/>
  <c r="G400" i="6"/>
  <c r="I400" i="6"/>
  <c r="G380" i="6"/>
  <c r="I380" i="6"/>
  <c r="G372" i="6"/>
  <c r="I372" i="6"/>
  <c r="G344" i="6"/>
  <c r="I344" i="6"/>
  <c r="G336" i="6"/>
  <c r="I336" i="6"/>
  <c r="G316" i="6"/>
  <c r="I316" i="6"/>
  <c r="I308" i="6"/>
  <c r="G308" i="6"/>
  <c r="G280" i="6"/>
  <c r="I280" i="6"/>
  <c r="G272" i="6"/>
  <c r="I272" i="6"/>
  <c r="G252" i="6"/>
  <c r="I252" i="6"/>
  <c r="I244" i="6"/>
  <c r="G244" i="6"/>
  <c r="G216" i="6"/>
  <c r="I216" i="6"/>
  <c r="G208" i="6"/>
  <c r="I208" i="6"/>
  <c r="G188" i="6"/>
  <c r="I188" i="6"/>
  <c r="I180" i="6"/>
  <c r="G180" i="6"/>
  <c r="G152" i="6"/>
  <c r="I152" i="6"/>
  <c r="G144" i="6"/>
  <c r="I144" i="6"/>
  <c r="G116" i="6"/>
  <c r="G52" i="6"/>
  <c r="I124" i="6"/>
  <c r="I88" i="6"/>
  <c r="I80" i="6"/>
  <c r="I60" i="6"/>
  <c r="I24" i="6"/>
  <c r="I16" i="6"/>
  <c r="E3" i="1"/>
  <c r="E990" i="1"/>
  <c r="F990" i="1" s="1"/>
  <c r="E974" i="1"/>
  <c r="F974" i="1" s="1"/>
  <c r="E958" i="1"/>
  <c r="F958" i="1" s="1"/>
  <c r="E942" i="1"/>
  <c r="F942" i="1" s="1"/>
  <c r="O942" i="1" s="1"/>
  <c r="E926" i="1"/>
  <c r="F926" i="1" s="1"/>
  <c r="E910" i="1"/>
  <c r="F910" i="1" s="1"/>
  <c r="E894" i="1"/>
  <c r="F894" i="1" s="1"/>
  <c r="E878" i="1"/>
  <c r="F878" i="1" s="1"/>
  <c r="O878" i="1" s="1"/>
  <c r="E862" i="1"/>
  <c r="F862" i="1" s="1"/>
  <c r="E851" i="1"/>
  <c r="F851" i="1" s="1"/>
  <c r="E838" i="1"/>
  <c r="F838" i="1" s="1"/>
  <c r="E819" i="1"/>
  <c r="F819" i="1" s="1"/>
  <c r="E806" i="1"/>
  <c r="F806" i="1" s="1"/>
  <c r="E787" i="1"/>
  <c r="F787" i="1" s="1"/>
  <c r="E774" i="1"/>
  <c r="F774" i="1" s="1"/>
  <c r="E755" i="1"/>
  <c r="F755" i="1" s="1"/>
  <c r="E742" i="1"/>
  <c r="F742" i="1" s="1"/>
  <c r="E723" i="1"/>
  <c r="F723" i="1" s="1"/>
  <c r="E710" i="1"/>
  <c r="F710" i="1" s="1"/>
  <c r="E691" i="1"/>
  <c r="F691" i="1" s="1"/>
  <c r="N691" i="1" s="1"/>
  <c r="E678" i="1"/>
  <c r="F678" i="1" s="1"/>
  <c r="E659" i="1"/>
  <c r="F659" i="1" s="1"/>
  <c r="E646" i="1"/>
  <c r="F646" i="1" s="1"/>
  <c r="E627" i="1"/>
  <c r="F627" i="1" s="1"/>
  <c r="M627" i="1" s="1"/>
  <c r="E614" i="1"/>
  <c r="F614" i="1" s="1"/>
  <c r="E595" i="1"/>
  <c r="F595" i="1" s="1"/>
  <c r="E566" i="1"/>
  <c r="F566" i="1" s="1"/>
  <c r="E542" i="1"/>
  <c r="F542" i="1" s="1"/>
  <c r="O542" i="1" s="1"/>
  <c r="E502" i="1"/>
  <c r="F502" i="1" s="1"/>
  <c r="E478" i="1"/>
  <c r="F478" i="1" s="1"/>
  <c r="E438" i="1"/>
  <c r="F438" i="1" s="1"/>
  <c r="E414" i="1"/>
  <c r="F414" i="1" s="1"/>
  <c r="O414" i="1" s="1"/>
  <c r="E374" i="1"/>
  <c r="F374" i="1" s="1"/>
  <c r="E350" i="1"/>
  <c r="F350" i="1" s="1"/>
  <c r="E339" i="1"/>
  <c r="F339" i="1" s="1"/>
  <c r="E309" i="1"/>
  <c r="F309" i="1" s="1"/>
  <c r="E275" i="1"/>
  <c r="F275" i="1" s="1"/>
  <c r="E245" i="1"/>
  <c r="F245" i="1" s="1"/>
  <c r="E211" i="1"/>
  <c r="F211" i="1" s="1"/>
  <c r="E181" i="1"/>
  <c r="F181" i="1" s="1"/>
  <c r="E147" i="1"/>
  <c r="F147" i="1" s="1"/>
  <c r="E117" i="1"/>
  <c r="F117" i="1" s="1"/>
  <c r="E83" i="1"/>
  <c r="F83" i="1" s="1"/>
  <c r="E49" i="1"/>
  <c r="F49" i="1" s="1"/>
  <c r="I2" i="6"/>
  <c r="E8" i="1"/>
  <c r="F8" i="1" s="1"/>
  <c r="E12" i="1"/>
  <c r="F12" i="1" s="1"/>
  <c r="E16" i="1"/>
  <c r="F16" i="1" s="1"/>
  <c r="E20" i="1"/>
  <c r="F20" i="1" s="1"/>
  <c r="E24" i="1"/>
  <c r="F24" i="1" s="1"/>
  <c r="E28" i="1"/>
  <c r="F28" i="1" s="1"/>
  <c r="E32" i="1"/>
  <c r="F32" i="1" s="1"/>
  <c r="E36" i="1"/>
  <c r="F36" i="1" s="1"/>
  <c r="E40" i="1"/>
  <c r="F40" i="1" s="1"/>
  <c r="E44" i="1"/>
  <c r="F44" i="1" s="1"/>
  <c r="E48" i="1"/>
  <c r="F48" i="1" s="1"/>
  <c r="E52" i="1"/>
  <c r="F52" i="1" s="1"/>
  <c r="E56" i="1"/>
  <c r="F56" i="1" s="1"/>
  <c r="E60" i="1"/>
  <c r="F60" i="1" s="1"/>
  <c r="E6" i="1"/>
  <c r="F6" i="1" s="1"/>
  <c r="M6" i="1" s="1"/>
  <c r="E10" i="1"/>
  <c r="F10" i="1" s="1"/>
  <c r="E14" i="1"/>
  <c r="F14" i="1" s="1"/>
  <c r="E18" i="1"/>
  <c r="F18" i="1" s="1"/>
  <c r="E22" i="1"/>
  <c r="F22" i="1" s="1"/>
  <c r="M22" i="1" s="1"/>
  <c r="E26" i="1"/>
  <c r="F26" i="1" s="1"/>
  <c r="E30" i="1"/>
  <c r="F30" i="1" s="1"/>
  <c r="E34" i="1"/>
  <c r="F34" i="1" s="1"/>
  <c r="E38" i="1"/>
  <c r="F38" i="1" s="1"/>
  <c r="M38" i="1" s="1"/>
  <c r="E42" i="1"/>
  <c r="F42" i="1" s="1"/>
  <c r="E46" i="1"/>
  <c r="F46" i="1" s="1"/>
  <c r="E50" i="1"/>
  <c r="F50" i="1" s="1"/>
  <c r="E54" i="1"/>
  <c r="F54" i="1" s="1"/>
  <c r="M54" i="1" s="1"/>
  <c r="E58" i="1"/>
  <c r="F58" i="1" s="1"/>
  <c r="E62" i="1"/>
  <c r="F62" i="1" s="1"/>
  <c r="E66" i="1"/>
  <c r="F66" i="1" s="1"/>
  <c r="E70" i="1"/>
  <c r="F70" i="1" s="1"/>
  <c r="M70" i="1" s="1"/>
  <c r="E74" i="1"/>
  <c r="F74" i="1" s="1"/>
  <c r="E78" i="1"/>
  <c r="F78" i="1" s="1"/>
  <c r="E82" i="1"/>
  <c r="F82" i="1" s="1"/>
  <c r="E86" i="1"/>
  <c r="F86" i="1" s="1"/>
  <c r="M86" i="1" s="1"/>
  <c r="E90" i="1"/>
  <c r="F90" i="1" s="1"/>
  <c r="E94" i="1"/>
  <c r="F94" i="1" s="1"/>
  <c r="E98" i="1"/>
  <c r="F98" i="1" s="1"/>
  <c r="E102" i="1"/>
  <c r="F102" i="1" s="1"/>
  <c r="M102" i="1" s="1"/>
  <c r="E106" i="1"/>
  <c r="F106" i="1" s="1"/>
  <c r="E110" i="1"/>
  <c r="F110" i="1" s="1"/>
  <c r="E114" i="1"/>
  <c r="F114" i="1" s="1"/>
  <c r="E118" i="1"/>
  <c r="F118" i="1" s="1"/>
  <c r="M118" i="1" s="1"/>
  <c r="E122" i="1"/>
  <c r="F122" i="1" s="1"/>
  <c r="E126" i="1"/>
  <c r="F126" i="1" s="1"/>
  <c r="E130" i="1"/>
  <c r="F130" i="1" s="1"/>
  <c r="E134" i="1"/>
  <c r="F134" i="1" s="1"/>
  <c r="M134" i="1" s="1"/>
  <c r="E138" i="1"/>
  <c r="F138" i="1" s="1"/>
  <c r="E142" i="1"/>
  <c r="F142" i="1" s="1"/>
  <c r="E146" i="1"/>
  <c r="F146" i="1" s="1"/>
  <c r="E150" i="1"/>
  <c r="F150" i="1" s="1"/>
  <c r="M150" i="1" s="1"/>
  <c r="E154" i="1"/>
  <c r="F154" i="1" s="1"/>
  <c r="E158" i="1"/>
  <c r="F158" i="1" s="1"/>
  <c r="E162" i="1"/>
  <c r="F162" i="1" s="1"/>
  <c r="E166" i="1"/>
  <c r="F166" i="1" s="1"/>
  <c r="M166" i="1" s="1"/>
  <c r="E170" i="1"/>
  <c r="F170" i="1" s="1"/>
  <c r="E174" i="1"/>
  <c r="F174" i="1" s="1"/>
  <c r="E178" i="1"/>
  <c r="F178" i="1" s="1"/>
  <c r="E182" i="1"/>
  <c r="F182" i="1" s="1"/>
  <c r="M182" i="1" s="1"/>
  <c r="E186" i="1"/>
  <c r="F186" i="1" s="1"/>
  <c r="E190" i="1"/>
  <c r="F190" i="1" s="1"/>
  <c r="E194" i="1"/>
  <c r="F194" i="1" s="1"/>
  <c r="E198" i="1"/>
  <c r="F198" i="1" s="1"/>
  <c r="M198" i="1" s="1"/>
  <c r="E202" i="1"/>
  <c r="F202" i="1" s="1"/>
  <c r="E206" i="1"/>
  <c r="F206" i="1" s="1"/>
  <c r="E210" i="1"/>
  <c r="F210" i="1" s="1"/>
  <c r="E214" i="1"/>
  <c r="F214" i="1" s="1"/>
  <c r="M214" i="1" s="1"/>
  <c r="E218" i="1"/>
  <c r="F218" i="1" s="1"/>
  <c r="E222" i="1"/>
  <c r="F222" i="1" s="1"/>
  <c r="E226" i="1"/>
  <c r="F226" i="1" s="1"/>
  <c r="E230" i="1"/>
  <c r="F230" i="1" s="1"/>
  <c r="M230" i="1" s="1"/>
  <c r="E234" i="1"/>
  <c r="F234" i="1" s="1"/>
  <c r="E238" i="1"/>
  <c r="F238" i="1" s="1"/>
  <c r="E242" i="1"/>
  <c r="F242" i="1" s="1"/>
  <c r="E246" i="1"/>
  <c r="F246" i="1" s="1"/>
  <c r="M246" i="1" s="1"/>
  <c r="E250" i="1"/>
  <c r="F250" i="1" s="1"/>
  <c r="E254" i="1"/>
  <c r="F254" i="1" s="1"/>
  <c r="E258" i="1"/>
  <c r="F258" i="1" s="1"/>
  <c r="E262" i="1"/>
  <c r="F262" i="1" s="1"/>
  <c r="M262" i="1" s="1"/>
  <c r="E266" i="1"/>
  <c r="F266" i="1" s="1"/>
  <c r="E270" i="1"/>
  <c r="F270" i="1" s="1"/>
  <c r="E274" i="1"/>
  <c r="F274" i="1" s="1"/>
  <c r="E278" i="1"/>
  <c r="F278" i="1" s="1"/>
  <c r="M278" i="1" s="1"/>
  <c r="E282" i="1"/>
  <c r="F282" i="1" s="1"/>
  <c r="E286" i="1"/>
  <c r="F286" i="1" s="1"/>
  <c r="E290" i="1"/>
  <c r="F290" i="1" s="1"/>
  <c r="E294" i="1"/>
  <c r="F294" i="1" s="1"/>
  <c r="M294" i="1" s="1"/>
  <c r="E298" i="1"/>
  <c r="F298" i="1" s="1"/>
  <c r="E302" i="1"/>
  <c r="F302" i="1" s="1"/>
  <c r="E306" i="1"/>
  <c r="F306" i="1" s="1"/>
  <c r="E310" i="1"/>
  <c r="F310" i="1" s="1"/>
  <c r="M310" i="1" s="1"/>
  <c r="E314" i="1"/>
  <c r="F314" i="1" s="1"/>
  <c r="E318" i="1"/>
  <c r="F318" i="1" s="1"/>
  <c r="E322" i="1"/>
  <c r="F322" i="1" s="1"/>
  <c r="E326" i="1"/>
  <c r="F326" i="1" s="1"/>
  <c r="M326" i="1" s="1"/>
  <c r="E330" i="1"/>
  <c r="F330" i="1" s="1"/>
  <c r="E334" i="1"/>
  <c r="F334" i="1" s="1"/>
  <c r="E338" i="1"/>
  <c r="F338" i="1" s="1"/>
  <c r="E342" i="1"/>
  <c r="F342" i="1" s="1"/>
  <c r="M342" i="1" s="1"/>
  <c r="E7" i="1"/>
  <c r="F7" i="1" s="1"/>
  <c r="E15" i="1"/>
  <c r="F15" i="1" s="1"/>
  <c r="E23" i="1"/>
  <c r="F23" i="1" s="1"/>
  <c r="E31" i="1"/>
  <c r="F31" i="1" s="1"/>
  <c r="N31" i="1" s="1"/>
  <c r="E39" i="1"/>
  <c r="F39" i="1" s="1"/>
  <c r="E47" i="1"/>
  <c r="F47" i="1" s="1"/>
  <c r="E55" i="1"/>
  <c r="F55" i="1" s="1"/>
  <c r="E63" i="1"/>
  <c r="F63" i="1" s="1"/>
  <c r="N63" i="1" s="1"/>
  <c r="E73" i="1"/>
  <c r="F73" i="1" s="1"/>
  <c r="E79" i="1"/>
  <c r="F79" i="1" s="1"/>
  <c r="E89" i="1"/>
  <c r="F89" i="1" s="1"/>
  <c r="E95" i="1"/>
  <c r="F95" i="1" s="1"/>
  <c r="N95" i="1" s="1"/>
  <c r="E105" i="1"/>
  <c r="F105" i="1" s="1"/>
  <c r="E111" i="1"/>
  <c r="F111" i="1" s="1"/>
  <c r="E121" i="1"/>
  <c r="F121" i="1" s="1"/>
  <c r="E127" i="1"/>
  <c r="F127" i="1" s="1"/>
  <c r="N127" i="1" s="1"/>
  <c r="E137" i="1"/>
  <c r="F137" i="1" s="1"/>
  <c r="E143" i="1"/>
  <c r="F143" i="1" s="1"/>
  <c r="E153" i="1"/>
  <c r="F153" i="1" s="1"/>
  <c r="E159" i="1"/>
  <c r="F159" i="1" s="1"/>
  <c r="N159" i="1" s="1"/>
  <c r="E169" i="1"/>
  <c r="F169" i="1" s="1"/>
  <c r="E175" i="1"/>
  <c r="F175" i="1" s="1"/>
  <c r="E185" i="1"/>
  <c r="F185" i="1" s="1"/>
  <c r="E191" i="1"/>
  <c r="F191" i="1" s="1"/>
  <c r="N191" i="1" s="1"/>
  <c r="E201" i="1"/>
  <c r="F201" i="1" s="1"/>
  <c r="E207" i="1"/>
  <c r="F207" i="1" s="1"/>
  <c r="E217" i="1"/>
  <c r="F217" i="1" s="1"/>
  <c r="E223" i="1"/>
  <c r="F223" i="1" s="1"/>
  <c r="N223" i="1" s="1"/>
  <c r="E233" i="1"/>
  <c r="F233" i="1" s="1"/>
  <c r="E239" i="1"/>
  <c r="F239" i="1" s="1"/>
  <c r="E249" i="1"/>
  <c r="F249" i="1" s="1"/>
  <c r="E255" i="1"/>
  <c r="F255" i="1" s="1"/>
  <c r="N255" i="1" s="1"/>
  <c r="E265" i="1"/>
  <c r="F265" i="1" s="1"/>
  <c r="E271" i="1"/>
  <c r="F271" i="1" s="1"/>
  <c r="E281" i="1"/>
  <c r="F281" i="1" s="1"/>
  <c r="E287" i="1"/>
  <c r="F287" i="1" s="1"/>
  <c r="N287" i="1" s="1"/>
  <c r="E297" i="1"/>
  <c r="F297" i="1" s="1"/>
  <c r="E303" i="1"/>
  <c r="F303" i="1" s="1"/>
  <c r="E313" i="1"/>
  <c r="F313" i="1" s="1"/>
  <c r="E319" i="1"/>
  <c r="F319" i="1" s="1"/>
  <c r="N319" i="1" s="1"/>
  <c r="E329" i="1"/>
  <c r="F329" i="1" s="1"/>
  <c r="E335" i="1"/>
  <c r="F335" i="1" s="1"/>
  <c r="E345" i="1"/>
  <c r="F345" i="1" s="1"/>
  <c r="E349" i="1"/>
  <c r="F349" i="1" s="1"/>
  <c r="O349" i="1" s="1"/>
  <c r="E353" i="1"/>
  <c r="F353" i="1" s="1"/>
  <c r="E357" i="1"/>
  <c r="F357" i="1" s="1"/>
  <c r="E361" i="1"/>
  <c r="F361" i="1" s="1"/>
  <c r="E365" i="1"/>
  <c r="F365" i="1" s="1"/>
  <c r="O365" i="1" s="1"/>
  <c r="E369" i="1"/>
  <c r="F369" i="1" s="1"/>
  <c r="E373" i="1"/>
  <c r="F373" i="1" s="1"/>
  <c r="E377" i="1"/>
  <c r="F377" i="1" s="1"/>
  <c r="E381" i="1"/>
  <c r="F381" i="1" s="1"/>
  <c r="E385" i="1"/>
  <c r="F385" i="1" s="1"/>
  <c r="E389" i="1"/>
  <c r="F389" i="1" s="1"/>
  <c r="E393" i="1"/>
  <c r="F393" i="1" s="1"/>
  <c r="E397" i="1"/>
  <c r="F397" i="1" s="1"/>
  <c r="O397" i="1" s="1"/>
  <c r="E401" i="1"/>
  <c r="F401" i="1" s="1"/>
  <c r="E405" i="1"/>
  <c r="F405" i="1" s="1"/>
  <c r="E409" i="1"/>
  <c r="F409" i="1" s="1"/>
  <c r="E413" i="1"/>
  <c r="F413" i="1" s="1"/>
  <c r="O413" i="1" s="1"/>
  <c r="E417" i="1"/>
  <c r="F417" i="1" s="1"/>
  <c r="E421" i="1"/>
  <c r="F421" i="1" s="1"/>
  <c r="E425" i="1"/>
  <c r="F425" i="1" s="1"/>
  <c r="E429" i="1"/>
  <c r="F429" i="1" s="1"/>
  <c r="E433" i="1"/>
  <c r="F433" i="1" s="1"/>
  <c r="E437" i="1"/>
  <c r="F437" i="1" s="1"/>
  <c r="E441" i="1"/>
  <c r="F441" i="1" s="1"/>
  <c r="E445" i="1"/>
  <c r="F445" i="1" s="1"/>
  <c r="O445" i="1" s="1"/>
  <c r="E449" i="1"/>
  <c r="F449" i="1" s="1"/>
  <c r="E453" i="1"/>
  <c r="F453" i="1" s="1"/>
  <c r="E457" i="1"/>
  <c r="F457" i="1" s="1"/>
  <c r="E461" i="1"/>
  <c r="F461" i="1" s="1"/>
  <c r="E465" i="1"/>
  <c r="F465" i="1" s="1"/>
  <c r="E469" i="1"/>
  <c r="F469" i="1" s="1"/>
  <c r="E473" i="1"/>
  <c r="F473" i="1" s="1"/>
  <c r="E477" i="1"/>
  <c r="F477" i="1" s="1"/>
  <c r="O477" i="1" s="1"/>
  <c r="E481" i="1"/>
  <c r="F481" i="1" s="1"/>
  <c r="E485" i="1"/>
  <c r="F485" i="1" s="1"/>
  <c r="E489" i="1"/>
  <c r="F489" i="1" s="1"/>
  <c r="E493" i="1"/>
  <c r="F493" i="1" s="1"/>
  <c r="O493" i="1" s="1"/>
  <c r="E497" i="1"/>
  <c r="F497" i="1" s="1"/>
  <c r="E501" i="1"/>
  <c r="F501" i="1" s="1"/>
  <c r="E505" i="1"/>
  <c r="F505" i="1" s="1"/>
  <c r="E509" i="1"/>
  <c r="F509" i="1" s="1"/>
  <c r="E513" i="1"/>
  <c r="F513" i="1" s="1"/>
  <c r="E517" i="1"/>
  <c r="F517" i="1" s="1"/>
  <c r="E521" i="1"/>
  <c r="F521" i="1" s="1"/>
  <c r="E525" i="1"/>
  <c r="F525" i="1" s="1"/>
  <c r="O525" i="1" s="1"/>
  <c r="E529" i="1"/>
  <c r="F529" i="1" s="1"/>
  <c r="O529" i="1" s="1"/>
  <c r="E533" i="1"/>
  <c r="F533" i="1" s="1"/>
  <c r="E537" i="1"/>
  <c r="F537" i="1" s="1"/>
  <c r="E541" i="1"/>
  <c r="F541" i="1" s="1"/>
  <c r="O541" i="1" s="1"/>
  <c r="E545" i="1"/>
  <c r="F545" i="1" s="1"/>
  <c r="P545" i="1" s="1"/>
  <c r="E549" i="1"/>
  <c r="F549" i="1" s="1"/>
  <c r="E553" i="1"/>
  <c r="F553" i="1" s="1"/>
  <c r="E557" i="1"/>
  <c r="F557" i="1" s="1"/>
  <c r="E561" i="1"/>
  <c r="F561" i="1" s="1"/>
  <c r="M561" i="1" s="1"/>
  <c r="E565" i="1"/>
  <c r="F565" i="1" s="1"/>
  <c r="E569" i="1"/>
  <c r="F569" i="1" s="1"/>
  <c r="O569" i="1" s="1"/>
  <c r="E573" i="1"/>
  <c r="F573" i="1" s="1"/>
  <c r="O573" i="1" s="1"/>
  <c r="E577" i="1"/>
  <c r="F577" i="1" s="1"/>
  <c r="N577" i="1" s="1"/>
  <c r="E581" i="1"/>
  <c r="F581" i="1" s="1"/>
  <c r="E585" i="1"/>
  <c r="F585" i="1" s="1"/>
  <c r="E589" i="1"/>
  <c r="F589" i="1" s="1"/>
  <c r="E593" i="1"/>
  <c r="F593" i="1" s="1"/>
  <c r="O593" i="1" s="1"/>
  <c r="E597" i="1"/>
  <c r="F597" i="1" s="1"/>
  <c r="E601" i="1"/>
  <c r="F601" i="1" s="1"/>
  <c r="E605" i="1"/>
  <c r="F605" i="1" s="1"/>
  <c r="O605" i="1" s="1"/>
  <c r="E609" i="1"/>
  <c r="F609" i="1" s="1"/>
  <c r="P609" i="1" s="1"/>
  <c r="E613" i="1"/>
  <c r="F613" i="1" s="1"/>
  <c r="O613" i="1" s="1"/>
  <c r="E617" i="1"/>
  <c r="F617" i="1" s="1"/>
  <c r="E621" i="1"/>
  <c r="F621" i="1" s="1"/>
  <c r="O621" i="1" s="1"/>
  <c r="E625" i="1"/>
  <c r="F625" i="1" s="1"/>
  <c r="M625" i="1" s="1"/>
  <c r="E629" i="1"/>
  <c r="F629" i="1" s="1"/>
  <c r="P629" i="1" s="1"/>
  <c r="E633" i="1"/>
  <c r="F633" i="1" s="1"/>
  <c r="E637" i="1"/>
  <c r="F637" i="1" s="1"/>
  <c r="E641" i="1"/>
  <c r="F641" i="1" s="1"/>
  <c r="N641" i="1" s="1"/>
  <c r="E645" i="1"/>
  <c r="F645" i="1" s="1"/>
  <c r="N645" i="1" s="1"/>
  <c r="E649" i="1"/>
  <c r="F649" i="1" s="1"/>
  <c r="E653" i="1"/>
  <c r="F653" i="1" s="1"/>
  <c r="O653" i="1" s="1"/>
  <c r="E657" i="1"/>
  <c r="F657" i="1" s="1"/>
  <c r="O657" i="1" s="1"/>
  <c r="E661" i="1"/>
  <c r="F661" i="1" s="1"/>
  <c r="O661" i="1" s="1"/>
  <c r="E665" i="1"/>
  <c r="F665" i="1" s="1"/>
  <c r="E669" i="1"/>
  <c r="F669" i="1" s="1"/>
  <c r="O669" i="1" s="1"/>
  <c r="E673" i="1"/>
  <c r="F673" i="1" s="1"/>
  <c r="P673" i="1" s="1"/>
  <c r="E677" i="1"/>
  <c r="F677" i="1" s="1"/>
  <c r="M677" i="1" s="1"/>
  <c r="E681" i="1"/>
  <c r="F681" i="1" s="1"/>
  <c r="E685" i="1"/>
  <c r="F685" i="1" s="1"/>
  <c r="E689" i="1"/>
  <c r="F689" i="1" s="1"/>
  <c r="M689" i="1" s="1"/>
  <c r="E693" i="1"/>
  <c r="F693" i="1" s="1"/>
  <c r="O693" i="1" s="1"/>
  <c r="E697" i="1"/>
  <c r="F697" i="1" s="1"/>
  <c r="E701" i="1"/>
  <c r="F701" i="1" s="1"/>
  <c r="O701" i="1" s="1"/>
  <c r="E705" i="1"/>
  <c r="F705" i="1" s="1"/>
  <c r="N705" i="1" s="1"/>
  <c r="E709" i="1"/>
  <c r="F709" i="1" s="1"/>
  <c r="M709" i="1" s="1"/>
  <c r="E713" i="1"/>
  <c r="F713" i="1" s="1"/>
  <c r="N713" i="1" s="1"/>
  <c r="E717" i="1"/>
  <c r="F717" i="1" s="1"/>
  <c r="O717" i="1" s="1"/>
  <c r="E721" i="1"/>
  <c r="F721" i="1" s="1"/>
  <c r="O721" i="1" s="1"/>
  <c r="E725" i="1"/>
  <c r="F725" i="1" s="1"/>
  <c r="M725" i="1" s="1"/>
  <c r="E729" i="1"/>
  <c r="F729" i="1" s="1"/>
  <c r="N729" i="1" s="1"/>
  <c r="E733" i="1"/>
  <c r="F733" i="1" s="1"/>
  <c r="E737" i="1"/>
  <c r="F737" i="1" s="1"/>
  <c r="P737" i="1" s="1"/>
  <c r="E741" i="1"/>
  <c r="F741" i="1" s="1"/>
  <c r="N741" i="1" s="1"/>
  <c r="E745" i="1"/>
  <c r="F745" i="1" s="1"/>
  <c r="E749" i="1"/>
  <c r="F749" i="1" s="1"/>
  <c r="O749" i="1" s="1"/>
  <c r="E753" i="1"/>
  <c r="F753" i="1" s="1"/>
  <c r="M753" i="1" s="1"/>
  <c r="E757" i="1"/>
  <c r="F757" i="1" s="1"/>
  <c r="P757" i="1" s="1"/>
  <c r="E761" i="1"/>
  <c r="F761" i="1" s="1"/>
  <c r="E765" i="1"/>
  <c r="F765" i="1" s="1"/>
  <c r="O765" i="1" s="1"/>
  <c r="E769" i="1"/>
  <c r="F769" i="1" s="1"/>
  <c r="N769" i="1" s="1"/>
  <c r="E773" i="1"/>
  <c r="F773" i="1" s="1"/>
  <c r="N773" i="1" s="1"/>
  <c r="E777" i="1"/>
  <c r="F777" i="1" s="1"/>
  <c r="E781" i="1"/>
  <c r="F781" i="1" s="1"/>
  <c r="O781" i="1" s="1"/>
  <c r="E785" i="1"/>
  <c r="F785" i="1" s="1"/>
  <c r="O785" i="1" s="1"/>
  <c r="E789" i="1"/>
  <c r="F789" i="1" s="1"/>
  <c r="O789" i="1" s="1"/>
  <c r="E793" i="1"/>
  <c r="F793" i="1" s="1"/>
  <c r="E797" i="1"/>
  <c r="F797" i="1" s="1"/>
  <c r="E801" i="1"/>
  <c r="F801" i="1" s="1"/>
  <c r="P801" i="1" s="1"/>
  <c r="E805" i="1"/>
  <c r="F805" i="1" s="1"/>
  <c r="M805" i="1" s="1"/>
  <c r="E809" i="1"/>
  <c r="F809" i="1" s="1"/>
  <c r="E813" i="1"/>
  <c r="F813" i="1" s="1"/>
  <c r="O813" i="1" s="1"/>
  <c r="E817" i="1"/>
  <c r="F817" i="1" s="1"/>
  <c r="M817" i="1" s="1"/>
  <c r="E821" i="1"/>
  <c r="F821" i="1" s="1"/>
  <c r="P821" i="1" s="1"/>
  <c r="E825" i="1"/>
  <c r="F825" i="1" s="1"/>
  <c r="O825" i="1" s="1"/>
  <c r="E829" i="1"/>
  <c r="F829" i="1" s="1"/>
  <c r="E833" i="1"/>
  <c r="F833" i="1" s="1"/>
  <c r="N833" i="1" s="1"/>
  <c r="E837" i="1"/>
  <c r="F837" i="1" s="1"/>
  <c r="M837" i="1" s="1"/>
  <c r="E841" i="1"/>
  <c r="F841" i="1" s="1"/>
  <c r="E845" i="1"/>
  <c r="F845" i="1" s="1"/>
  <c r="O845" i="1" s="1"/>
  <c r="E849" i="1"/>
  <c r="F849" i="1" s="1"/>
  <c r="O849" i="1" s="1"/>
  <c r="E853" i="1"/>
  <c r="F853" i="1" s="1"/>
  <c r="M853" i="1" s="1"/>
  <c r="E9" i="1"/>
  <c r="F9" i="1" s="1"/>
  <c r="O9" i="1" s="1"/>
  <c r="E29" i="1"/>
  <c r="F29" i="1" s="1"/>
  <c r="O29" i="1" s="1"/>
  <c r="E41" i="1"/>
  <c r="F41" i="1" s="1"/>
  <c r="N41" i="1" s="1"/>
  <c r="E61" i="1"/>
  <c r="F61" i="1" s="1"/>
  <c r="E75" i="1"/>
  <c r="F75" i="1" s="1"/>
  <c r="E93" i="1"/>
  <c r="F93" i="1" s="1"/>
  <c r="E107" i="1"/>
  <c r="F107" i="1" s="1"/>
  <c r="E125" i="1"/>
  <c r="F125" i="1" s="1"/>
  <c r="E139" i="1"/>
  <c r="F139" i="1" s="1"/>
  <c r="E157" i="1"/>
  <c r="F157" i="1" s="1"/>
  <c r="O157" i="1" s="1"/>
  <c r="E171" i="1"/>
  <c r="F171" i="1" s="1"/>
  <c r="E189" i="1"/>
  <c r="F189" i="1" s="1"/>
  <c r="E203" i="1"/>
  <c r="F203" i="1" s="1"/>
  <c r="E221" i="1"/>
  <c r="F221" i="1" s="1"/>
  <c r="O221" i="1" s="1"/>
  <c r="E235" i="1"/>
  <c r="F235" i="1" s="1"/>
  <c r="E253" i="1"/>
  <c r="F253" i="1" s="1"/>
  <c r="E267" i="1"/>
  <c r="F267" i="1" s="1"/>
  <c r="E285" i="1"/>
  <c r="F285" i="1" s="1"/>
  <c r="E299" i="1"/>
  <c r="F299" i="1" s="1"/>
  <c r="E317" i="1"/>
  <c r="F317" i="1" s="1"/>
  <c r="E331" i="1"/>
  <c r="F331" i="1" s="1"/>
  <c r="E354" i="1"/>
  <c r="F354" i="1" s="1"/>
  <c r="N354" i="1" s="1"/>
  <c r="E370" i="1"/>
  <c r="F370" i="1" s="1"/>
  <c r="E386" i="1"/>
  <c r="F386" i="1" s="1"/>
  <c r="E402" i="1"/>
  <c r="F402" i="1" s="1"/>
  <c r="E418" i="1"/>
  <c r="F418" i="1" s="1"/>
  <c r="N418" i="1" s="1"/>
  <c r="E434" i="1"/>
  <c r="F434" i="1" s="1"/>
  <c r="E450" i="1"/>
  <c r="F450" i="1" s="1"/>
  <c r="E466" i="1"/>
  <c r="F466" i="1" s="1"/>
  <c r="E482" i="1"/>
  <c r="F482" i="1" s="1"/>
  <c r="N482" i="1" s="1"/>
  <c r="E498" i="1"/>
  <c r="F498" i="1" s="1"/>
  <c r="E514" i="1"/>
  <c r="F514" i="1" s="1"/>
  <c r="E530" i="1"/>
  <c r="F530" i="1" s="1"/>
  <c r="E546" i="1"/>
  <c r="F546" i="1" s="1"/>
  <c r="N546" i="1" s="1"/>
  <c r="E562" i="1"/>
  <c r="F562" i="1" s="1"/>
  <c r="E578" i="1"/>
  <c r="F578" i="1" s="1"/>
  <c r="E594" i="1"/>
  <c r="F594" i="1" s="1"/>
  <c r="E599" i="1"/>
  <c r="F599" i="1" s="1"/>
  <c r="P599" i="1" s="1"/>
  <c r="E610" i="1"/>
  <c r="F610" i="1" s="1"/>
  <c r="E615" i="1"/>
  <c r="F615" i="1" s="1"/>
  <c r="E626" i="1"/>
  <c r="F626" i="1" s="1"/>
  <c r="E631" i="1"/>
  <c r="F631" i="1" s="1"/>
  <c r="P631" i="1" s="1"/>
  <c r="E642" i="1"/>
  <c r="F642" i="1" s="1"/>
  <c r="E647" i="1"/>
  <c r="F647" i="1" s="1"/>
  <c r="E658" i="1"/>
  <c r="F658" i="1" s="1"/>
  <c r="E663" i="1"/>
  <c r="F663" i="1" s="1"/>
  <c r="P663" i="1" s="1"/>
  <c r="E674" i="1"/>
  <c r="F674" i="1" s="1"/>
  <c r="E679" i="1"/>
  <c r="F679" i="1" s="1"/>
  <c r="E690" i="1"/>
  <c r="F690" i="1" s="1"/>
  <c r="E695" i="1"/>
  <c r="F695" i="1" s="1"/>
  <c r="E706" i="1"/>
  <c r="F706" i="1" s="1"/>
  <c r="E711" i="1"/>
  <c r="F711" i="1" s="1"/>
  <c r="E722" i="1"/>
  <c r="F722" i="1" s="1"/>
  <c r="E727" i="1"/>
  <c r="F727" i="1" s="1"/>
  <c r="E738" i="1"/>
  <c r="F738" i="1" s="1"/>
  <c r="E743" i="1"/>
  <c r="F743" i="1" s="1"/>
  <c r="E754" i="1"/>
  <c r="F754" i="1" s="1"/>
  <c r="E759" i="1"/>
  <c r="F759" i="1" s="1"/>
  <c r="E770" i="1"/>
  <c r="F770" i="1" s="1"/>
  <c r="E775" i="1"/>
  <c r="F775" i="1" s="1"/>
  <c r="E786" i="1"/>
  <c r="F786" i="1" s="1"/>
  <c r="E791" i="1"/>
  <c r="F791" i="1" s="1"/>
  <c r="E802" i="1"/>
  <c r="F802" i="1" s="1"/>
  <c r="E807" i="1"/>
  <c r="F807" i="1" s="1"/>
  <c r="E818" i="1"/>
  <c r="F818" i="1" s="1"/>
  <c r="E823" i="1"/>
  <c r="F823" i="1" s="1"/>
  <c r="E834" i="1"/>
  <c r="F834" i="1" s="1"/>
  <c r="E839" i="1"/>
  <c r="F839" i="1" s="1"/>
  <c r="E850" i="1"/>
  <c r="F850" i="1" s="1"/>
  <c r="E855" i="1"/>
  <c r="F855" i="1" s="1"/>
  <c r="E859" i="1"/>
  <c r="F859" i="1" s="1"/>
  <c r="E863" i="1"/>
  <c r="F863" i="1" s="1"/>
  <c r="E867" i="1"/>
  <c r="F867" i="1" s="1"/>
  <c r="E871" i="1"/>
  <c r="F871" i="1" s="1"/>
  <c r="E875" i="1"/>
  <c r="F875" i="1" s="1"/>
  <c r="E879" i="1"/>
  <c r="F879" i="1" s="1"/>
  <c r="E883" i="1"/>
  <c r="F883" i="1" s="1"/>
  <c r="E887" i="1"/>
  <c r="F887" i="1" s="1"/>
  <c r="E891" i="1"/>
  <c r="F891" i="1" s="1"/>
  <c r="E895" i="1"/>
  <c r="F895" i="1" s="1"/>
  <c r="E899" i="1"/>
  <c r="F899" i="1" s="1"/>
  <c r="E903" i="1"/>
  <c r="F903" i="1" s="1"/>
  <c r="E907" i="1"/>
  <c r="F907" i="1" s="1"/>
  <c r="E911" i="1"/>
  <c r="F911" i="1" s="1"/>
  <c r="E915" i="1"/>
  <c r="F915" i="1" s="1"/>
  <c r="E919" i="1"/>
  <c r="F919" i="1" s="1"/>
  <c r="E923" i="1"/>
  <c r="F923" i="1" s="1"/>
  <c r="E927" i="1"/>
  <c r="F927" i="1" s="1"/>
  <c r="E931" i="1"/>
  <c r="F931" i="1" s="1"/>
  <c r="E935" i="1"/>
  <c r="F935" i="1" s="1"/>
  <c r="E939" i="1"/>
  <c r="F939" i="1" s="1"/>
  <c r="E943" i="1"/>
  <c r="F943" i="1" s="1"/>
  <c r="E947" i="1"/>
  <c r="F947" i="1" s="1"/>
  <c r="E951" i="1"/>
  <c r="F951" i="1" s="1"/>
  <c r="E955" i="1"/>
  <c r="F955" i="1" s="1"/>
  <c r="E959" i="1"/>
  <c r="F959" i="1" s="1"/>
  <c r="E963" i="1"/>
  <c r="F963" i="1" s="1"/>
  <c r="E967" i="1"/>
  <c r="F967" i="1" s="1"/>
  <c r="E971" i="1"/>
  <c r="F971" i="1" s="1"/>
  <c r="E975" i="1"/>
  <c r="F975" i="1" s="1"/>
  <c r="E979" i="1"/>
  <c r="F979" i="1" s="1"/>
  <c r="E983" i="1"/>
  <c r="F983" i="1" s="1"/>
  <c r="E987" i="1"/>
  <c r="F987" i="1" s="1"/>
  <c r="E991" i="1"/>
  <c r="F991" i="1" s="1"/>
  <c r="E995" i="1"/>
  <c r="F995" i="1" s="1"/>
  <c r="E999" i="1"/>
  <c r="F999" i="1" s="1"/>
  <c r="E105" i="10"/>
  <c r="F105" i="10" s="1"/>
  <c r="E89" i="10"/>
  <c r="F89" i="10" s="1"/>
  <c r="E73" i="10"/>
  <c r="F73" i="10" s="1"/>
  <c r="E96" i="10"/>
  <c r="F96" i="10" s="1"/>
  <c r="E116" i="10"/>
  <c r="F116" i="10" s="1"/>
  <c r="E84" i="10"/>
  <c r="F84" i="10" s="1"/>
  <c r="E111" i="10"/>
  <c r="F111" i="10" s="1"/>
  <c r="E95" i="10"/>
  <c r="F95" i="10" s="1"/>
  <c r="E79" i="10"/>
  <c r="F79" i="10" s="1"/>
  <c r="E101" i="10"/>
  <c r="F101" i="10" s="1"/>
  <c r="E85" i="10"/>
  <c r="F85" i="10" s="1"/>
  <c r="E88" i="10"/>
  <c r="F88" i="10" s="1"/>
  <c r="E108" i="10"/>
  <c r="F108" i="10" s="1"/>
  <c r="E76" i="10"/>
  <c r="F76" i="10" s="1"/>
  <c r="E107" i="10"/>
  <c r="F107" i="10" s="1"/>
  <c r="E91" i="10"/>
  <c r="F91" i="10" s="1"/>
  <c r="E75" i="10"/>
  <c r="F75" i="10" s="1"/>
  <c r="E113" i="10"/>
  <c r="F113" i="10" s="1"/>
  <c r="E97" i="10"/>
  <c r="F97" i="10" s="1"/>
  <c r="E81" i="10"/>
  <c r="F81" i="10" s="1"/>
  <c r="E112" i="10"/>
  <c r="F112" i="10" s="1"/>
  <c r="E80" i="10"/>
  <c r="F80" i="10" s="1"/>
  <c r="E100" i="10"/>
  <c r="F100" i="10" s="1"/>
  <c r="E72" i="10"/>
  <c r="F72" i="10" s="1"/>
  <c r="E103" i="10"/>
  <c r="F103" i="10" s="1"/>
  <c r="E87" i="10"/>
  <c r="F87" i="10" s="1"/>
  <c r="E109" i="10"/>
  <c r="F109" i="10" s="1"/>
  <c r="E93" i="10"/>
  <c r="F93" i="10" s="1"/>
  <c r="E77" i="10"/>
  <c r="F77" i="10" s="1"/>
  <c r="E104" i="10"/>
  <c r="F104" i="10" s="1"/>
  <c r="E68" i="10"/>
  <c r="E92" i="10"/>
  <c r="F92" i="10" s="1"/>
  <c r="E115" i="10"/>
  <c r="F115" i="10" s="1"/>
  <c r="E99" i="10"/>
  <c r="F99" i="10" s="1"/>
  <c r="E83" i="10"/>
  <c r="F83" i="10" s="1"/>
  <c r="K5" i="1"/>
  <c r="K3" i="1" a="1"/>
  <c r="K3" i="1" s="1"/>
  <c r="K13" i="1"/>
  <c r="K9" i="1"/>
  <c r="K993" i="1"/>
  <c r="K981" i="1"/>
  <c r="K969" i="1"/>
  <c r="K957" i="1"/>
  <c r="K941" i="1"/>
  <c r="K929" i="1"/>
  <c r="K917" i="1"/>
  <c r="K905" i="1"/>
  <c r="K897" i="1"/>
  <c r="K885" i="1"/>
  <c r="K873" i="1"/>
  <c r="K861" i="1"/>
  <c r="K849" i="1"/>
  <c r="K837" i="1"/>
  <c r="K817" i="1"/>
  <c r="K805" i="1"/>
  <c r="K793" i="1"/>
  <c r="K781" i="1"/>
  <c r="K773" i="1"/>
  <c r="K761" i="1"/>
  <c r="K749" i="1"/>
  <c r="K729" i="1"/>
  <c r="K717" i="1"/>
  <c r="K705" i="1"/>
  <c r="K693" i="1"/>
  <c r="K681" i="1"/>
  <c r="K669" i="1"/>
  <c r="K657" i="1"/>
  <c r="K641" i="1"/>
  <c r="K629" i="1"/>
  <c r="K617" i="1"/>
  <c r="K605" i="1"/>
  <c r="K593" i="1"/>
  <c r="K581" i="1"/>
  <c r="K569" i="1"/>
  <c r="K557" i="1"/>
  <c r="K541" i="1"/>
  <c r="K521" i="1"/>
  <c r="K513" i="1"/>
  <c r="K501" i="1"/>
  <c r="K489" i="1"/>
  <c r="K477" i="1"/>
  <c r="K465" i="1"/>
  <c r="K449" i="1"/>
  <c r="K437" i="1"/>
  <c r="K421" i="1"/>
  <c r="K409" i="1"/>
  <c r="K397" i="1"/>
  <c r="K385" i="1"/>
  <c r="K373" i="1"/>
  <c r="K361" i="1"/>
  <c r="K353" i="1"/>
  <c r="K341" i="1"/>
  <c r="K329" i="1"/>
  <c r="K317" i="1"/>
  <c r="K305" i="1"/>
  <c r="K293" i="1"/>
  <c r="K277" i="1"/>
  <c r="K265" i="1"/>
  <c r="K249" i="1"/>
  <c r="K237" i="1"/>
  <c r="K225" i="1"/>
  <c r="K217" i="1"/>
  <c r="K205" i="1"/>
  <c r="K193" i="1"/>
  <c r="K181" i="1"/>
  <c r="K169" i="1"/>
  <c r="K157" i="1"/>
  <c r="K145" i="1"/>
  <c r="K133" i="1"/>
  <c r="K121" i="1"/>
  <c r="K109" i="1"/>
  <c r="K97" i="1"/>
  <c r="K85" i="1"/>
  <c r="K73" i="1"/>
  <c r="K61" i="1"/>
  <c r="K49" i="1"/>
  <c r="K37" i="1"/>
  <c r="K25" i="1"/>
  <c r="K996" i="1"/>
  <c r="K992" i="1"/>
  <c r="K988" i="1"/>
  <c r="K984" i="1"/>
  <c r="K980" i="1"/>
  <c r="K976" i="1"/>
  <c r="K972" i="1"/>
  <c r="K968" i="1"/>
  <c r="K964" i="1"/>
  <c r="K960" i="1"/>
  <c r="K956" i="1"/>
  <c r="K952" i="1"/>
  <c r="K948" i="1"/>
  <c r="K944" i="1"/>
  <c r="K940" i="1"/>
  <c r="K936" i="1"/>
  <c r="K932" i="1"/>
  <c r="K928" i="1"/>
  <c r="K924" i="1"/>
  <c r="K920" i="1"/>
  <c r="K916" i="1"/>
  <c r="K912" i="1"/>
  <c r="K908" i="1"/>
  <c r="K904" i="1"/>
  <c r="K900" i="1"/>
  <c r="K896" i="1"/>
  <c r="K892" i="1"/>
  <c r="K888" i="1"/>
  <c r="K884" i="1"/>
  <c r="K880" i="1"/>
  <c r="K876" i="1"/>
  <c r="K872" i="1"/>
  <c r="K868" i="1"/>
  <c r="K864" i="1"/>
  <c r="K860" i="1"/>
  <c r="K856" i="1"/>
  <c r="K852" i="1"/>
  <c r="K848" i="1"/>
  <c r="K844" i="1"/>
  <c r="K840" i="1"/>
  <c r="K836" i="1"/>
  <c r="K832" i="1"/>
  <c r="K828" i="1"/>
  <c r="K824" i="1"/>
  <c r="K820" i="1"/>
  <c r="K816" i="1"/>
  <c r="K812" i="1"/>
  <c r="K808" i="1"/>
  <c r="K804" i="1"/>
  <c r="K800" i="1"/>
  <c r="K796" i="1"/>
  <c r="K792" i="1"/>
  <c r="K788" i="1"/>
  <c r="K784" i="1"/>
  <c r="K780" i="1"/>
  <c r="K776" i="1"/>
  <c r="K772" i="1"/>
  <c r="K768" i="1"/>
  <c r="K764" i="1"/>
  <c r="K760" i="1"/>
  <c r="K756" i="1"/>
  <c r="K752" i="1"/>
  <c r="K748" i="1"/>
  <c r="K744" i="1"/>
  <c r="K740" i="1"/>
  <c r="K736" i="1"/>
  <c r="K732" i="1"/>
  <c r="K728" i="1"/>
  <c r="K724" i="1"/>
  <c r="K720" i="1"/>
  <c r="K716" i="1"/>
  <c r="K712" i="1"/>
  <c r="K708" i="1"/>
  <c r="K704" i="1"/>
  <c r="K700" i="1"/>
  <c r="K696" i="1"/>
  <c r="K692" i="1"/>
  <c r="K688" i="1"/>
  <c r="K684" i="1"/>
  <c r="K680" i="1"/>
  <c r="K676" i="1"/>
  <c r="K672" i="1"/>
  <c r="K668" i="1"/>
  <c r="K664" i="1"/>
  <c r="K660" i="1"/>
  <c r="K656" i="1"/>
  <c r="K652" i="1"/>
  <c r="K648" i="1"/>
  <c r="K644" i="1"/>
  <c r="K640" i="1"/>
  <c r="K636" i="1"/>
  <c r="K632" i="1"/>
  <c r="K628" i="1"/>
  <c r="K624" i="1"/>
  <c r="K620" i="1"/>
  <c r="K616" i="1"/>
  <c r="K612" i="1"/>
  <c r="K608" i="1"/>
  <c r="K604" i="1"/>
  <c r="K600" i="1"/>
  <c r="K596" i="1"/>
  <c r="K592" i="1"/>
  <c r="K588" i="1"/>
  <c r="K584" i="1"/>
  <c r="K580" i="1"/>
  <c r="K576" i="1"/>
  <c r="K572" i="1"/>
  <c r="K568" i="1"/>
  <c r="K564" i="1"/>
  <c r="K560" i="1"/>
  <c r="K556" i="1"/>
  <c r="K552" i="1"/>
  <c r="K548" i="1"/>
  <c r="K544" i="1"/>
  <c r="K540" i="1"/>
  <c r="K536" i="1"/>
  <c r="K532" i="1"/>
  <c r="K528" i="1"/>
  <c r="K524" i="1"/>
  <c r="K520" i="1"/>
  <c r="K516" i="1"/>
  <c r="K512" i="1"/>
  <c r="K508" i="1"/>
  <c r="K504" i="1"/>
  <c r="K500" i="1"/>
  <c r="K496" i="1"/>
  <c r="K492" i="1"/>
  <c r="K488" i="1"/>
  <c r="K484" i="1"/>
  <c r="K480" i="1"/>
  <c r="K476" i="1"/>
  <c r="K472" i="1"/>
  <c r="K468" i="1"/>
  <c r="K464" i="1"/>
  <c r="K460" i="1"/>
  <c r="K456" i="1"/>
  <c r="K452" i="1"/>
  <c r="K448" i="1"/>
  <c r="K444" i="1"/>
  <c r="K440" i="1"/>
  <c r="K436" i="1"/>
  <c r="K432" i="1"/>
  <c r="K428" i="1"/>
  <c r="K424" i="1"/>
  <c r="K420" i="1"/>
  <c r="K416" i="1"/>
  <c r="K412" i="1"/>
  <c r="K408" i="1"/>
  <c r="K404" i="1"/>
  <c r="K400" i="1"/>
  <c r="K396" i="1"/>
  <c r="K392" i="1"/>
  <c r="K388" i="1"/>
  <c r="K384" i="1"/>
  <c r="K380" i="1"/>
  <c r="K376" i="1"/>
  <c r="K372" i="1"/>
  <c r="K368" i="1"/>
  <c r="K364" i="1"/>
  <c r="K360" i="1"/>
  <c r="K356" i="1"/>
  <c r="K352" i="1"/>
  <c r="K348" i="1"/>
  <c r="K344" i="1"/>
  <c r="K340" i="1"/>
  <c r="K336" i="1"/>
  <c r="K332" i="1"/>
  <c r="K328" i="1"/>
  <c r="K324" i="1"/>
  <c r="K320" i="1"/>
  <c r="K316" i="1"/>
  <c r="K312" i="1"/>
  <c r="K308" i="1"/>
  <c r="K304" i="1"/>
  <c r="K300" i="1"/>
  <c r="K296" i="1"/>
  <c r="K292" i="1"/>
  <c r="K288" i="1"/>
  <c r="K284" i="1"/>
  <c r="K280" i="1"/>
  <c r="K276" i="1"/>
  <c r="K272" i="1"/>
  <c r="K268" i="1"/>
  <c r="K264" i="1"/>
  <c r="K260" i="1"/>
  <c r="K256" i="1"/>
  <c r="K252" i="1"/>
  <c r="K248" i="1"/>
  <c r="K244" i="1"/>
  <c r="K240" i="1"/>
  <c r="K236" i="1"/>
  <c r="K232" i="1"/>
  <c r="K228" i="1"/>
  <c r="K224" i="1"/>
  <c r="K220" i="1"/>
  <c r="K216" i="1"/>
  <c r="K212" i="1"/>
  <c r="K208" i="1"/>
  <c r="K204" i="1"/>
  <c r="K200" i="1"/>
  <c r="K196" i="1"/>
  <c r="K192" i="1"/>
  <c r="K188" i="1"/>
  <c r="K184" i="1"/>
  <c r="K180" i="1"/>
  <c r="K176" i="1"/>
  <c r="K172" i="1"/>
  <c r="K168" i="1"/>
  <c r="K164" i="1"/>
  <c r="K160" i="1"/>
  <c r="K156" i="1"/>
  <c r="K152" i="1"/>
  <c r="K148" i="1"/>
  <c r="K144" i="1"/>
  <c r="K140" i="1"/>
  <c r="K136" i="1"/>
  <c r="K132" i="1"/>
  <c r="K128" i="1"/>
  <c r="K124" i="1"/>
  <c r="K120" i="1"/>
  <c r="K116" i="1"/>
  <c r="K112" i="1"/>
  <c r="K108" i="1"/>
  <c r="K104" i="1"/>
  <c r="K100" i="1"/>
  <c r="K96" i="1"/>
  <c r="K92" i="1"/>
  <c r="K88" i="1"/>
  <c r="K84" i="1"/>
  <c r="K80" i="1"/>
  <c r="K76" i="1"/>
  <c r="K72" i="1"/>
  <c r="K68" i="1"/>
  <c r="K64" i="1"/>
  <c r="K60" i="1"/>
  <c r="K56" i="1"/>
  <c r="K52" i="1"/>
  <c r="K48" i="1"/>
  <c r="K44" i="1"/>
  <c r="K40" i="1"/>
  <c r="K36" i="1"/>
  <c r="K32" i="1"/>
  <c r="K28" i="1"/>
  <c r="K24" i="1"/>
  <c r="K20" i="1"/>
  <c r="K16" i="1"/>
  <c r="K12" i="1"/>
  <c r="K8" i="1"/>
  <c r="K989" i="1"/>
  <c r="K977" i="1"/>
  <c r="K965" i="1"/>
  <c r="K953" i="1"/>
  <c r="K945" i="1"/>
  <c r="K933" i="1"/>
  <c r="K921" i="1"/>
  <c r="K909" i="1"/>
  <c r="K893" i="1"/>
  <c r="K877" i="1"/>
  <c r="K865" i="1"/>
  <c r="K853" i="1"/>
  <c r="K845" i="1"/>
  <c r="K833" i="1"/>
  <c r="K825" i="1"/>
  <c r="K813" i="1"/>
  <c r="K801" i="1"/>
  <c r="K789" i="1"/>
  <c r="K777" i="1"/>
  <c r="K765" i="1"/>
  <c r="K753" i="1"/>
  <c r="K741" i="1"/>
  <c r="K733" i="1"/>
  <c r="K725" i="1"/>
  <c r="K713" i="1"/>
  <c r="K701" i="1"/>
  <c r="K689" i="1"/>
  <c r="K677" i="1"/>
  <c r="K665" i="1"/>
  <c r="K653" i="1"/>
  <c r="K645" i="1"/>
  <c r="K633" i="1"/>
  <c r="K625" i="1"/>
  <c r="K613" i="1"/>
  <c r="K597" i="1"/>
  <c r="K585" i="1"/>
  <c r="K573" i="1"/>
  <c r="K561" i="1"/>
  <c r="K545" i="1"/>
  <c r="K533" i="1"/>
  <c r="K525" i="1"/>
  <c r="K509" i="1"/>
  <c r="K497" i="1"/>
  <c r="K481" i="1"/>
  <c r="K469" i="1"/>
  <c r="K457" i="1"/>
  <c r="K445" i="1"/>
  <c r="K441" i="1"/>
  <c r="K429" i="1"/>
  <c r="K417" i="1"/>
  <c r="K405" i="1"/>
  <c r="K393" i="1"/>
  <c r="K381" i="1"/>
  <c r="K369" i="1"/>
  <c r="K357" i="1"/>
  <c r="K345" i="1"/>
  <c r="K337" i="1"/>
  <c r="K325" i="1"/>
  <c r="K313" i="1"/>
  <c r="K297" i="1"/>
  <c r="K285" i="1"/>
  <c r="K273" i="1"/>
  <c r="K257" i="1"/>
  <c r="K245" i="1"/>
  <c r="K233" i="1"/>
  <c r="K221" i="1"/>
  <c r="K209" i="1"/>
  <c r="K197" i="1"/>
  <c r="K185" i="1"/>
  <c r="K173" i="1"/>
  <c r="K161" i="1"/>
  <c r="K149" i="1"/>
  <c r="K137" i="1"/>
  <c r="K129" i="1"/>
  <c r="K117" i="1"/>
  <c r="K105" i="1"/>
  <c r="K93" i="1"/>
  <c r="K81" i="1"/>
  <c r="K69" i="1"/>
  <c r="K57" i="1"/>
  <c r="K45" i="1"/>
  <c r="K29" i="1"/>
  <c r="K21" i="1"/>
  <c r="K999" i="1"/>
  <c r="K995" i="1"/>
  <c r="K991" i="1"/>
  <c r="K987" i="1"/>
  <c r="K983" i="1"/>
  <c r="K979" i="1"/>
  <c r="K975" i="1"/>
  <c r="K971" i="1"/>
  <c r="K967" i="1"/>
  <c r="K963" i="1"/>
  <c r="K959" i="1"/>
  <c r="K955" i="1"/>
  <c r="K951" i="1"/>
  <c r="K947" i="1"/>
  <c r="K943" i="1"/>
  <c r="K939" i="1"/>
  <c r="K935" i="1"/>
  <c r="K931" i="1"/>
  <c r="K927" i="1"/>
  <c r="K923" i="1"/>
  <c r="K919" i="1"/>
  <c r="K915" i="1"/>
  <c r="K911" i="1"/>
  <c r="K907" i="1"/>
  <c r="K903" i="1"/>
  <c r="K899" i="1"/>
  <c r="K895" i="1"/>
  <c r="K891" i="1"/>
  <c r="K887" i="1"/>
  <c r="K883" i="1"/>
  <c r="K879" i="1"/>
  <c r="K875" i="1"/>
  <c r="K871" i="1"/>
  <c r="K867" i="1"/>
  <c r="K863" i="1"/>
  <c r="K859" i="1"/>
  <c r="K855" i="1"/>
  <c r="K851" i="1"/>
  <c r="K847" i="1"/>
  <c r="K843" i="1"/>
  <c r="K839" i="1"/>
  <c r="K835" i="1"/>
  <c r="K831" i="1"/>
  <c r="K827" i="1"/>
  <c r="K823" i="1"/>
  <c r="K819" i="1"/>
  <c r="K815" i="1"/>
  <c r="K811" i="1"/>
  <c r="K807" i="1"/>
  <c r="K803" i="1"/>
  <c r="K799" i="1"/>
  <c r="K795" i="1"/>
  <c r="K791" i="1"/>
  <c r="K787" i="1"/>
  <c r="K783" i="1"/>
  <c r="K779" i="1"/>
  <c r="K775" i="1"/>
  <c r="K771" i="1"/>
  <c r="K767" i="1"/>
  <c r="K763" i="1"/>
  <c r="K759" i="1"/>
  <c r="K755" i="1"/>
  <c r="K751" i="1"/>
  <c r="K747" i="1"/>
  <c r="K743" i="1"/>
  <c r="K739" i="1"/>
  <c r="K735" i="1"/>
  <c r="K731" i="1"/>
  <c r="K727" i="1"/>
  <c r="K723" i="1"/>
  <c r="K719" i="1"/>
  <c r="K715" i="1"/>
  <c r="K711" i="1"/>
  <c r="K707" i="1"/>
  <c r="K703" i="1"/>
  <c r="K699" i="1"/>
  <c r="K695" i="1"/>
  <c r="K691" i="1"/>
  <c r="K687" i="1"/>
  <c r="K683" i="1"/>
  <c r="K679" i="1"/>
  <c r="K675" i="1"/>
  <c r="K671" i="1"/>
  <c r="K667" i="1"/>
  <c r="K663" i="1"/>
  <c r="K659" i="1"/>
  <c r="K655" i="1"/>
  <c r="K651" i="1"/>
  <c r="K647" i="1"/>
  <c r="K643" i="1"/>
  <c r="K639" i="1"/>
  <c r="K635" i="1"/>
  <c r="K631" i="1"/>
  <c r="K627" i="1"/>
  <c r="K623" i="1"/>
  <c r="K619" i="1"/>
  <c r="K615" i="1"/>
  <c r="K611" i="1"/>
  <c r="K607" i="1"/>
  <c r="K603" i="1"/>
  <c r="K599" i="1"/>
  <c r="K595" i="1"/>
  <c r="K591" i="1"/>
  <c r="K587" i="1"/>
  <c r="K583" i="1"/>
  <c r="K579" i="1"/>
  <c r="K575" i="1"/>
  <c r="K571" i="1"/>
  <c r="K567" i="1"/>
  <c r="K563" i="1"/>
  <c r="K559" i="1"/>
  <c r="K555" i="1"/>
  <c r="K551" i="1"/>
  <c r="K547" i="1"/>
  <c r="K543" i="1"/>
  <c r="K539" i="1"/>
  <c r="K535" i="1"/>
  <c r="K531" i="1"/>
  <c r="K527" i="1"/>
  <c r="K523" i="1"/>
  <c r="K519" i="1"/>
  <c r="K515" i="1"/>
  <c r="K511" i="1"/>
  <c r="K507" i="1"/>
  <c r="K503" i="1"/>
  <c r="K499" i="1"/>
  <c r="K495" i="1"/>
  <c r="K491" i="1"/>
  <c r="K487" i="1"/>
  <c r="K483" i="1"/>
  <c r="K479" i="1"/>
  <c r="K475" i="1"/>
  <c r="K471" i="1"/>
  <c r="K467" i="1"/>
  <c r="K463" i="1"/>
  <c r="K459" i="1"/>
  <c r="K455" i="1"/>
  <c r="K451" i="1"/>
  <c r="K447" i="1"/>
  <c r="K443" i="1"/>
  <c r="K439" i="1"/>
  <c r="K435" i="1"/>
  <c r="K431" i="1"/>
  <c r="K427" i="1"/>
  <c r="K423" i="1"/>
  <c r="K419" i="1"/>
  <c r="K415" i="1"/>
  <c r="K411" i="1"/>
  <c r="K407" i="1"/>
  <c r="K403" i="1"/>
  <c r="K399" i="1"/>
  <c r="K395" i="1"/>
  <c r="K391" i="1"/>
  <c r="K387" i="1"/>
  <c r="K383" i="1"/>
  <c r="K379" i="1"/>
  <c r="K375" i="1"/>
  <c r="K371" i="1"/>
  <c r="K367" i="1"/>
  <c r="K363" i="1"/>
  <c r="K359" i="1"/>
  <c r="K355" i="1"/>
  <c r="K351" i="1"/>
  <c r="K347" i="1"/>
  <c r="K343" i="1"/>
  <c r="K339" i="1"/>
  <c r="K335" i="1"/>
  <c r="K331" i="1"/>
  <c r="K327" i="1"/>
  <c r="K323" i="1"/>
  <c r="K319" i="1"/>
  <c r="K315" i="1"/>
  <c r="K311" i="1"/>
  <c r="K307" i="1"/>
  <c r="K303" i="1"/>
  <c r="K299" i="1"/>
  <c r="K295" i="1"/>
  <c r="K291" i="1"/>
  <c r="K287" i="1"/>
  <c r="K283" i="1"/>
  <c r="K279" i="1"/>
  <c r="K275" i="1"/>
  <c r="K271" i="1"/>
  <c r="K267" i="1"/>
  <c r="K263" i="1"/>
  <c r="K259" i="1"/>
  <c r="K255" i="1"/>
  <c r="K251" i="1"/>
  <c r="K247" i="1"/>
  <c r="K243" i="1"/>
  <c r="K239" i="1"/>
  <c r="K235" i="1"/>
  <c r="K231" i="1"/>
  <c r="K227" i="1"/>
  <c r="K223" i="1"/>
  <c r="K219" i="1"/>
  <c r="K215" i="1"/>
  <c r="K211" i="1"/>
  <c r="K207" i="1"/>
  <c r="K203" i="1"/>
  <c r="K199" i="1"/>
  <c r="K195" i="1"/>
  <c r="K191" i="1"/>
  <c r="K187" i="1"/>
  <c r="K183" i="1"/>
  <c r="K179" i="1"/>
  <c r="K175" i="1"/>
  <c r="K171" i="1"/>
  <c r="K167" i="1"/>
  <c r="K163" i="1"/>
  <c r="K159" i="1"/>
  <c r="K155" i="1"/>
  <c r="K151" i="1"/>
  <c r="K147" i="1"/>
  <c r="K143" i="1"/>
  <c r="K139" i="1"/>
  <c r="K135" i="1"/>
  <c r="K131" i="1"/>
  <c r="K127" i="1"/>
  <c r="K123" i="1"/>
  <c r="K119" i="1"/>
  <c r="K115" i="1"/>
  <c r="K111" i="1"/>
  <c r="K107" i="1"/>
  <c r="K103" i="1"/>
  <c r="K99" i="1"/>
  <c r="K95" i="1"/>
  <c r="K91" i="1"/>
  <c r="K87" i="1"/>
  <c r="K83" i="1"/>
  <c r="K79" i="1"/>
  <c r="K75" i="1"/>
  <c r="K71" i="1"/>
  <c r="K67" i="1"/>
  <c r="K63" i="1"/>
  <c r="K59" i="1"/>
  <c r="K55" i="1"/>
  <c r="K51" i="1"/>
  <c r="K47" i="1"/>
  <c r="K43" i="1"/>
  <c r="K39" i="1"/>
  <c r="K35" i="1"/>
  <c r="K31" i="1"/>
  <c r="K27" i="1"/>
  <c r="K23" i="1"/>
  <c r="K19" i="1"/>
  <c r="K15" i="1"/>
  <c r="K11" i="1"/>
  <c r="K7" i="1"/>
  <c r="K997" i="1"/>
  <c r="K985" i="1"/>
  <c r="K973" i="1"/>
  <c r="K961" i="1"/>
  <c r="K949" i="1"/>
  <c r="K937" i="1"/>
  <c r="K925" i="1"/>
  <c r="K913" i="1"/>
  <c r="K901" i="1"/>
  <c r="K889" i="1"/>
  <c r="K881" i="1"/>
  <c r="K869" i="1"/>
  <c r="K857" i="1"/>
  <c r="K841" i="1"/>
  <c r="K829" i="1"/>
  <c r="K821" i="1"/>
  <c r="K809" i="1"/>
  <c r="K797" i="1"/>
  <c r="K785" i="1"/>
  <c r="K769" i="1"/>
  <c r="K757" i="1"/>
  <c r="K745" i="1"/>
  <c r="K737" i="1"/>
  <c r="K721" i="1"/>
  <c r="K709" i="1"/>
  <c r="K697" i="1"/>
  <c r="K685" i="1"/>
  <c r="K673" i="1"/>
  <c r="K661" i="1"/>
  <c r="K649" i="1"/>
  <c r="K637" i="1"/>
  <c r="K621" i="1"/>
  <c r="K609" i="1"/>
  <c r="K601" i="1"/>
  <c r="K589" i="1"/>
  <c r="K577" i="1"/>
  <c r="K565" i="1"/>
  <c r="K553" i="1"/>
  <c r="K549" i="1"/>
  <c r="K537" i="1"/>
  <c r="K529" i="1"/>
  <c r="K517" i="1"/>
  <c r="K505" i="1"/>
  <c r="K493" i="1"/>
  <c r="K485" i="1"/>
  <c r="K473" i="1"/>
  <c r="K461" i="1"/>
  <c r="K453" i="1"/>
  <c r="K433" i="1"/>
  <c r="K425" i="1"/>
  <c r="K413" i="1"/>
  <c r="K401" i="1"/>
  <c r="K389" i="1"/>
  <c r="K377" i="1"/>
  <c r="K365" i="1"/>
  <c r="K349" i="1"/>
  <c r="K333" i="1"/>
  <c r="K321" i="1"/>
  <c r="K309" i="1"/>
  <c r="K301" i="1"/>
  <c r="K289" i="1"/>
  <c r="K281" i="1"/>
  <c r="K269" i="1"/>
  <c r="K261" i="1"/>
  <c r="K253" i="1"/>
  <c r="K241" i="1"/>
  <c r="K229" i="1"/>
  <c r="K213" i="1"/>
  <c r="K201" i="1"/>
  <c r="K189" i="1"/>
  <c r="K177" i="1"/>
  <c r="K165" i="1"/>
  <c r="K153" i="1"/>
  <c r="K141" i="1"/>
  <c r="K125" i="1"/>
  <c r="K113" i="1"/>
  <c r="K101" i="1"/>
  <c r="K89" i="1"/>
  <c r="K77" i="1"/>
  <c r="K65" i="1"/>
  <c r="K53" i="1"/>
  <c r="K41" i="1"/>
  <c r="K33" i="1"/>
  <c r="K17" i="1"/>
  <c r="K998" i="1"/>
  <c r="K994" i="1"/>
  <c r="K990" i="1"/>
  <c r="K986" i="1"/>
  <c r="K982" i="1"/>
  <c r="K978" i="1"/>
  <c r="K974" i="1"/>
  <c r="K970" i="1"/>
  <c r="K966" i="1"/>
  <c r="K962" i="1"/>
  <c r="K958" i="1"/>
  <c r="K954" i="1"/>
  <c r="K950" i="1"/>
  <c r="K946" i="1"/>
  <c r="K942" i="1"/>
  <c r="K938" i="1"/>
  <c r="K934" i="1"/>
  <c r="K930" i="1"/>
  <c r="K926" i="1"/>
  <c r="K922" i="1"/>
  <c r="K918" i="1"/>
  <c r="K914" i="1"/>
  <c r="K910" i="1"/>
  <c r="K906" i="1"/>
  <c r="K902" i="1"/>
  <c r="K898" i="1"/>
  <c r="K894" i="1"/>
  <c r="K890" i="1"/>
  <c r="K886" i="1"/>
  <c r="K882" i="1"/>
  <c r="K878" i="1"/>
  <c r="K874" i="1"/>
  <c r="K870" i="1"/>
  <c r="K866" i="1"/>
  <c r="K862" i="1"/>
  <c r="K858" i="1"/>
  <c r="K854" i="1"/>
  <c r="K850" i="1"/>
  <c r="K846" i="1"/>
  <c r="K842" i="1"/>
  <c r="K838" i="1"/>
  <c r="K834" i="1"/>
  <c r="K830" i="1"/>
  <c r="K826" i="1"/>
  <c r="K822" i="1"/>
  <c r="K818" i="1"/>
  <c r="K814" i="1"/>
  <c r="K810" i="1"/>
  <c r="K806" i="1"/>
  <c r="K802" i="1"/>
  <c r="K798" i="1"/>
  <c r="K794" i="1"/>
  <c r="K790" i="1"/>
  <c r="K786" i="1"/>
  <c r="K782" i="1"/>
  <c r="K778" i="1"/>
  <c r="K774" i="1"/>
  <c r="K770" i="1"/>
  <c r="K766" i="1"/>
  <c r="K762" i="1"/>
  <c r="K758" i="1"/>
  <c r="K754" i="1"/>
  <c r="K750" i="1"/>
  <c r="K746" i="1"/>
  <c r="K742" i="1"/>
  <c r="K738" i="1"/>
  <c r="K734" i="1"/>
  <c r="K730" i="1"/>
  <c r="K726" i="1"/>
  <c r="K722" i="1"/>
  <c r="K718" i="1"/>
  <c r="K714" i="1"/>
  <c r="K710" i="1"/>
  <c r="K706" i="1"/>
  <c r="K702" i="1"/>
  <c r="K698" i="1"/>
  <c r="K694" i="1"/>
  <c r="K690" i="1"/>
  <c r="K686" i="1"/>
  <c r="K682" i="1"/>
  <c r="K678" i="1"/>
  <c r="K674" i="1"/>
  <c r="K670" i="1"/>
  <c r="K666" i="1"/>
  <c r="K662" i="1"/>
  <c r="K658" i="1"/>
  <c r="K654" i="1"/>
  <c r="K650" i="1"/>
  <c r="K646" i="1"/>
  <c r="K642" i="1"/>
  <c r="K638" i="1"/>
  <c r="K634" i="1"/>
  <c r="K630" i="1"/>
  <c r="K626" i="1"/>
  <c r="K622" i="1"/>
  <c r="K618" i="1"/>
  <c r="K614" i="1"/>
  <c r="K610" i="1"/>
  <c r="K606" i="1"/>
  <c r="K602" i="1"/>
  <c r="K598" i="1"/>
  <c r="K594" i="1"/>
  <c r="K590" i="1"/>
  <c r="K586" i="1"/>
  <c r="K582" i="1"/>
  <c r="K578" i="1"/>
  <c r="K574" i="1"/>
  <c r="K570" i="1"/>
  <c r="K566" i="1"/>
  <c r="K562" i="1"/>
  <c r="K558" i="1"/>
  <c r="K554" i="1"/>
  <c r="K550" i="1"/>
  <c r="K546" i="1"/>
  <c r="K542" i="1"/>
  <c r="K538" i="1"/>
  <c r="K534" i="1"/>
  <c r="K530" i="1"/>
  <c r="K526" i="1"/>
  <c r="K522" i="1"/>
  <c r="K518" i="1"/>
  <c r="K514" i="1"/>
  <c r="K510" i="1"/>
  <c r="K506" i="1"/>
  <c r="K502" i="1"/>
  <c r="K498" i="1"/>
  <c r="K494" i="1"/>
  <c r="K490" i="1"/>
  <c r="K486" i="1"/>
  <c r="K482" i="1"/>
  <c r="K478" i="1"/>
  <c r="K474" i="1"/>
  <c r="K470" i="1"/>
  <c r="K466" i="1"/>
  <c r="K462" i="1"/>
  <c r="K458" i="1"/>
  <c r="K454" i="1"/>
  <c r="K450" i="1"/>
  <c r="K446" i="1"/>
  <c r="K442" i="1"/>
  <c r="K438" i="1"/>
  <c r="K434" i="1"/>
  <c r="K430" i="1"/>
  <c r="K426" i="1"/>
  <c r="K422" i="1"/>
  <c r="K418" i="1"/>
  <c r="K414" i="1"/>
  <c r="K410" i="1"/>
  <c r="K406" i="1"/>
  <c r="K402" i="1"/>
  <c r="K398" i="1"/>
  <c r="K394" i="1"/>
  <c r="K390" i="1"/>
  <c r="K386" i="1"/>
  <c r="K382" i="1"/>
  <c r="K378" i="1"/>
  <c r="K374" i="1"/>
  <c r="K370" i="1"/>
  <c r="K366" i="1"/>
  <c r="K362" i="1"/>
  <c r="K358" i="1"/>
  <c r="K354" i="1"/>
  <c r="K350" i="1"/>
  <c r="K346" i="1"/>
  <c r="K342" i="1"/>
  <c r="K338" i="1"/>
  <c r="K334" i="1"/>
  <c r="K330" i="1"/>
  <c r="K326" i="1"/>
  <c r="K322" i="1"/>
  <c r="K318" i="1"/>
  <c r="K314" i="1"/>
  <c r="K310" i="1"/>
  <c r="K306" i="1"/>
  <c r="K302" i="1"/>
  <c r="K298" i="1"/>
  <c r="K294" i="1"/>
  <c r="K290" i="1"/>
  <c r="K286" i="1"/>
  <c r="K282" i="1"/>
  <c r="K278" i="1"/>
  <c r="K274" i="1"/>
  <c r="K270" i="1"/>
  <c r="K266" i="1"/>
  <c r="K262" i="1"/>
  <c r="K258" i="1"/>
  <c r="K254" i="1"/>
  <c r="K250" i="1"/>
  <c r="K246" i="1"/>
  <c r="K242" i="1"/>
  <c r="K238" i="1"/>
  <c r="K234" i="1"/>
  <c r="K230" i="1"/>
  <c r="K226" i="1"/>
  <c r="K222" i="1"/>
  <c r="K218" i="1"/>
  <c r="K214" i="1"/>
  <c r="K210" i="1"/>
  <c r="K206" i="1"/>
  <c r="K202" i="1"/>
  <c r="K198" i="1"/>
  <c r="K194" i="1"/>
  <c r="K190" i="1"/>
  <c r="K186" i="1"/>
  <c r="K182" i="1"/>
  <c r="K178" i="1"/>
  <c r="K174" i="1"/>
  <c r="K170" i="1"/>
  <c r="K166" i="1"/>
  <c r="K162" i="1"/>
  <c r="K158" i="1"/>
  <c r="K154" i="1"/>
  <c r="K150" i="1"/>
  <c r="K146" i="1"/>
  <c r="K142" i="1"/>
  <c r="K138" i="1"/>
  <c r="K134" i="1"/>
  <c r="K130" i="1"/>
  <c r="K126" i="1"/>
  <c r="K122" i="1"/>
  <c r="K118" i="1"/>
  <c r="K114" i="1"/>
  <c r="K110" i="1"/>
  <c r="K106" i="1"/>
  <c r="K102" i="1"/>
  <c r="K98" i="1"/>
  <c r="K94" i="1"/>
  <c r="K90" i="1"/>
  <c r="K86" i="1"/>
  <c r="K82" i="1"/>
  <c r="K78" i="1"/>
  <c r="K74" i="1"/>
  <c r="K70" i="1"/>
  <c r="K66" i="1"/>
  <c r="K62" i="1"/>
  <c r="K58" i="1"/>
  <c r="K54" i="1"/>
  <c r="K50" i="1"/>
  <c r="K46" i="1"/>
  <c r="K42" i="1"/>
  <c r="K38" i="1"/>
  <c r="K34" i="1"/>
  <c r="K30" i="1"/>
  <c r="K26" i="1"/>
  <c r="K22" i="1"/>
  <c r="K18" i="1"/>
  <c r="K14" i="1"/>
  <c r="K10" i="1"/>
  <c r="K6" i="1"/>
  <c r="P997" i="1"/>
  <c r="O997" i="1"/>
  <c r="N997" i="1"/>
  <c r="M997" i="1"/>
  <c r="L997" i="1"/>
  <c r="P993" i="1"/>
  <c r="O993" i="1"/>
  <c r="N993" i="1"/>
  <c r="M993" i="1"/>
  <c r="L993" i="1"/>
  <c r="P989" i="1"/>
  <c r="O989" i="1"/>
  <c r="N989" i="1"/>
  <c r="M989" i="1"/>
  <c r="L989" i="1"/>
  <c r="P985" i="1"/>
  <c r="O985" i="1"/>
  <c r="N985" i="1"/>
  <c r="M985" i="1"/>
  <c r="L985" i="1"/>
  <c r="P981" i="1"/>
  <c r="O981" i="1"/>
  <c r="N981" i="1"/>
  <c r="M981" i="1"/>
  <c r="L981" i="1"/>
  <c r="P977" i="1"/>
  <c r="O977" i="1"/>
  <c r="N977" i="1"/>
  <c r="M977" i="1"/>
  <c r="L977" i="1"/>
  <c r="P973" i="1"/>
  <c r="O973" i="1"/>
  <c r="N973" i="1"/>
  <c r="M973" i="1"/>
  <c r="L973" i="1"/>
  <c r="P969" i="1"/>
  <c r="O969" i="1"/>
  <c r="N969" i="1"/>
  <c r="M969" i="1"/>
  <c r="L969" i="1"/>
  <c r="P965" i="1"/>
  <c r="O965" i="1"/>
  <c r="N965" i="1"/>
  <c r="M965" i="1"/>
  <c r="L965" i="1"/>
  <c r="P961" i="1"/>
  <c r="O961" i="1"/>
  <c r="N961" i="1"/>
  <c r="M961" i="1"/>
  <c r="L961" i="1"/>
  <c r="P957" i="1"/>
  <c r="O957" i="1"/>
  <c r="N957" i="1"/>
  <c r="M957" i="1"/>
  <c r="L957" i="1"/>
  <c r="P953" i="1"/>
  <c r="O953" i="1"/>
  <c r="N953" i="1"/>
  <c r="M953" i="1"/>
  <c r="L953" i="1"/>
  <c r="P949" i="1"/>
  <c r="O949" i="1"/>
  <c r="N949" i="1"/>
  <c r="M949" i="1"/>
  <c r="L949" i="1"/>
  <c r="P945" i="1"/>
  <c r="O945" i="1"/>
  <c r="N945" i="1"/>
  <c r="M945" i="1"/>
  <c r="L945" i="1"/>
  <c r="P941" i="1"/>
  <c r="O941" i="1"/>
  <c r="N941" i="1"/>
  <c r="M941" i="1"/>
  <c r="L941" i="1"/>
  <c r="P937" i="1"/>
  <c r="O937" i="1"/>
  <c r="N937" i="1"/>
  <c r="M937" i="1"/>
  <c r="L937" i="1"/>
  <c r="P933" i="1"/>
  <c r="O933" i="1"/>
  <c r="N933" i="1"/>
  <c r="M933" i="1"/>
  <c r="L933" i="1"/>
  <c r="P929" i="1"/>
  <c r="O929" i="1"/>
  <c r="N929" i="1"/>
  <c r="M929" i="1"/>
  <c r="L929" i="1"/>
  <c r="P925" i="1"/>
  <c r="O925" i="1"/>
  <c r="N925" i="1"/>
  <c r="M925" i="1"/>
  <c r="L925" i="1"/>
  <c r="P921" i="1"/>
  <c r="O921" i="1"/>
  <c r="N921" i="1"/>
  <c r="M921" i="1"/>
  <c r="L921" i="1"/>
  <c r="P917" i="1"/>
  <c r="O917" i="1"/>
  <c r="N917" i="1"/>
  <c r="M917" i="1"/>
  <c r="L917" i="1"/>
  <c r="P913" i="1"/>
  <c r="O913" i="1"/>
  <c r="N913" i="1"/>
  <c r="M913" i="1"/>
  <c r="L913" i="1"/>
  <c r="P909" i="1"/>
  <c r="O909" i="1"/>
  <c r="N909" i="1"/>
  <c r="M909" i="1"/>
  <c r="L909" i="1"/>
  <c r="P905" i="1"/>
  <c r="O905" i="1"/>
  <c r="N905" i="1"/>
  <c r="M905" i="1"/>
  <c r="L905" i="1"/>
  <c r="P901" i="1"/>
  <c r="O901" i="1"/>
  <c r="N901" i="1"/>
  <c r="M901" i="1"/>
  <c r="L901" i="1"/>
  <c r="P897" i="1"/>
  <c r="O897" i="1"/>
  <c r="N897" i="1"/>
  <c r="M897" i="1"/>
  <c r="L897" i="1"/>
  <c r="P893" i="1"/>
  <c r="O893" i="1"/>
  <c r="N893" i="1"/>
  <c r="M893" i="1"/>
  <c r="L893" i="1"/>
  <c r="P889" i="1"/>
  <c r="O889" i="1"/>
  <c r="N889" i="1"/>
  <c r="M889" i="1"/>
  <c r="L889" i="1"/>
  <c r="P885" i="1"/>
  <c r="O885" i="1"/>
  <c r="N885" i="1"/>
  <c r="M885" i="1"/>
  <c r="L885" i="1"/>
  <c r="P881" i="1"/>
  <c r="O881" i="1"/>
  <c r="N881" i="1"/>
  <c r="M881" i="1"/>
  <c r="L881" i="1"/>
  <c r="P877" i="1"/>
  <c r="O877" i="1"/>
  <c r="N877" i="1"/>
  <c r="M877" i="1"/>
  <c r="L877" i="1"/>
  <c r="P873" i="1"/>
  <c r="O873" i="1"/>
  <c r="N873" i="1"/>
  <c r="M873" i="1"/>
  <c r="L873" i="1"/>
  <c r="P869" i="1"/>
  <c r="O869" i="1"/>
  <c r="N869" i="1"/>
  <c r="M869" i="1"/>
  <c r="L869" i="1"/>
  <c r="P865" i="1"/>
  <c r="O865" i="1"/>
  <c r="N865" i="1"/>
  <c r="M865" i="1"/>
  <c r="L865" i="1"/>
  <c r="P861" i="1"/>
  <c r="O861" i="1"/>
  <c r="N861" i="1"/>
  <c r="M861" i="1"/>
  <c r="L861" i="1"/>
  <c r="P857" i="1"/>
  <c r="O857" i="1"/>
  <c r="N857" i="1"/>
  <c r="M857" i="1"/>
  <c r="L857" i="1"/>
  <c r="N853" i="1"/>
  <c r="L853" i="1"/>
  <c r="P849" i="1"/>
  <c r="L849" i="1"/>
  <c r="P841" i="1"/>
  <c r="P837" i="1"/>
  <c r="L837" i="1"/>
  <c r="O833" i="1"/>
  <c r="O821" i="1"/>
  <c r="N821" i="1"/>
  <c r="P805" i="1"/>
  <c r="O805" i="1"/>
  <c r="L805" i="1"/>
  <c r="M801" i="1"/>
  <c r="N789" i="1"/>
  <c r="M789" i="1"/>
  <c r="P785" i="1"/>
  <c r="L785" i="1"/>
  <c r="P773" i="1"/>
  <c r="M773" i="1"/>
  <c r="L773" i="1"/>
  <c r="O769" i="1"/>
  <c r="O757" i="1"/>
  <c r="N757" i="1"/>
  <c r="N753" i="1"/>
  <c r="P741" i="1"/>
  <c r="M741" i="1"/>
  <c r="L741" i="1"/>
  <c r="M737" i="1"/>
  <c r="P725" i="1"/>
  <c r="O725" i="1"/>
  <c r="L725" i="1"/>
  <c r="P721" i="1"/>
  <c r="L721" i="1"/>
  <c r="P709" i="1"/>
  <c r="O709" i="1"/>
  <c r="L709" i="1"/>
  <c r="O705" i="1"/>
  <c r="N693" i="1"/>
  <c r="M693" i="1"/>
  <c r="N689" i="1"/>
  <c r="P677" i="1"/>
  <c r="O677" i="1"/>
  <c r="L677" i="1"/>
  <c r="M673" i="1"/>
  <c r="N661" i="1"/>
  <c r="M661" i="1"/>
  <c r="P657" i="1"/>
  <c r="L657" i="1"/>
  <c r="P645" i="1"/>
  <c r="M645" i="1"/>
  <c r="L645" i="1"/>
  <c r="O641" i="1"/>
  <c r="O629" i="1"/>
  <c r="N629" i="1"/>
  <c r="N625" i="1"/>
  <c r="M617" i="1"/>
  <c r="N613" i="1"/>
  <c r="M613" i="1"/>
  <c r="L613" i="1"/>
  <c r="M609" i="1"/>
  <c r="L601" i="1"/>
  <c r="P597" i="1"/>
  <c r="O597" i="1"/>
  <c r="N597" i="1"/>
  <c r="M597" i="1"/>
  <c r="L597" i="1"/>
  <c r="P593" i="1"/>
  <c r="L593" i="1"/>
  <c r="P585" i="1"/>
  <c r="P581" i="1"/>
  <c r="O581" i="1"/>
  <c r="N581" i="1"/>
  <c r="M581" i="1"/>
  <c r="L581" i="1"/>
  <c r="O577" i="1"/>
  <c r="P565" i="1"/>
  <c r="O565" i="1"/>
  <c r="N565" i="1"/>
  <c r="M565" i="1"/>
  <c r="L565" i="1"/>
  <c r="N561" i="1"/>
  <c r="P549" i="1"/>
  <c r="O549" i="1"/>
  <c r="N549" i="1"/>
  <c r="M549" i="1"/>
  <c r="L549" i="1"/>
  <c r="M545" i="1"/>
  <c r="P533" i="1"/>
  <c r="O533" i="1"/>
  <c r="N533" i="1"/>
  <c r="M533" i="1"/>
  <c r="L533" i="1"/>
  <c r="P529" i="1"/>
  <c r="L529" i="1"/>
  <c r="P517" i="1"/>
  <c r="O517" i="1"/>
  <c r="N517" i="1"/>
  <c r="M517" i="1"/>
  <c r="L517" i="1"/>
  <c r="P513" i="1"/>
  <c r="O513" i="1"/>
  <c r="N513" i="1"/>
  <c r="M513" i="1"/>
  <c r="L513" i="1"/>
  <c r="P501" i="1"/>
  <c r="O501" i="1"/>
  <c r="N501" i="1"/>
  <c r="M501" i="1"/>
  <c r="L501" i="1"/>
  <c r="P497" i="1"/>
  <c r="O497" i="1"/>
  <c r="N497" i="1"/>
  <c r="M497" i="1"/>
  <c r="L497" i="1"/>
  <c r="P485" i="1"/>
  <c r="O485" i="1"/>
  <c r="N485" i="1"/>
  <c r="M485" i="1"/>
  <c r="L485" i="1"/>
  <c r="P481" i="1"/>
  <c r="O481" i="1"/>
  <c r="N481" i="1"/>
  <c r="M481" i="1"/>
  <c r="L481" i="1"/>
  <c r="N473" i="1"/>
  <c r="P469" i="1"/>
  <c r="O469" i="1"/>
  <c r="N469" i="1"/>
  <c r="M469" i="1"/>
  <c r="L469" i="1"/>
  <c r="P465" i="1"/>
  <c r="O465" i="1"/>
  <c r="N465" i="1"/>
  <c r="M465" i="1"/>
  <c r="L465" i="1"/>
  <c r="P453" i="1"/>
  <c r="O453" i="1"/>
  <c r="N453" i="1"/>
  <c r="M453" i="1"/>
  <c r="L453" i="1"/>
  <c r="P449" i="1"/>
  <c r="O449" i="1"/>
  <c r="N449" i="1"/>
  <c r="M449" i="1"/>
  <c r="L449" i="1"/>
  <c r="P437" i="1"/>
  <c r="O437" i="1"/>
  <c r="N437" i="1"/>
  <c r="M437" i="1"/>
  <c r="L437" i="1"/>
  <c r="P433" i="1"/>
  <c r="O433" i="1"/>
  <c r="N433" i="1"/>
  <c r="M433" i="1"/>
  <c r="L433" i="1"/>
  <c r="P421" i="1"/>
  <c r="O421" i="1"/>
  <c r="N421" i="1"/>
  <c r="M421" i="1"/>
  <c r="L421" i="1"/>
  <c r="P417" i="1"/>
  <c r="O417" i="1"/>
  <c r="N417" i="1"/>
  <c r="M417" i="1"/>
  <c r="L417" i="1"/>
  <c r="P405" i="1"/>
  <c r="O405" i="1"/>
  <c r="N405" i="1"/>
  <c r="M405" i="1"/>
  <c r="L405" i="1"/>
  <c r="P401" i="1"/>
  <c r="O401" i="1"/>
  <c r="N401" i="1"/>
  <c r="M401" i="1"/>
  <c r="L401" i="1"/>
  <c r="M393" i="1"/>
  <c r="P389" i="1"/>
  <c r="O389" i="1"/>
  <c r="N389" i="1"/>
  <c r="M389" i="1"/>
  <c r="L389" i="1"/>
  <c r="P385" i="1"/>
  <c r="O385" i="1"/>
  <c r="N385" i="1"/>
  <c r="M385" i="1"/>
  <c r="L385" i="1"/>
  <c r="L377" i="1"/>
  <c r="P373" i="1"/>
  <c r="O373" i="1"/>
  <c r="N373" i="1"/>
  <c r="M373" i="1"/>
  <c r="L373" i="1"/>
  <c r="P369" i="1"/>
  <c r="O369" i="1"/>
  <c r="N369" i="1"/>
  <c r="M369" i="1"/>
  <c r="L369" i="1"/>
  <c r="P357" i="1"/>
  <c r="O357" i="1"/>
  <c r="N357" i="1"/>
  <c r="M357" i="1"/>
  <c r="L357" i="1"/>
  <c r="P353" i="1"/>
  <c r="O353" i="1"/>
  <c r="N353" i="1"/>
  <c r="M353" i="1"/>
  <c r="L353" i="1"/>
  <c r="P341" i="1"/>
  <c r="O341" i="1"/>
  <c r="N341" i="1"/>
  <c r="M341" i="1"/>
  <c r="L341" i="1"/>
  <c r="P337" i="1"/>
  <c r="O337" i="1"/>
  <c r="N337" i="1"/>
  <c r="M337" i="1"/>
  <c r="L337" i="1"/>
  <c r="P333" i="1"/>
  <c r="O333" i="1"/>
  <c r="N333" i="1"/>
  <c r="M333" i="1"/>
  <c r="L333" i="1"/>
  <c r="P329" i="1"/>
  <c r="O329" i="1"/>
  <c r="N329" i="1"/>
  <c r="M329" i="1"/>
  <c r="L329" i="1"/>
  <c r="P325" i="1"/>
  <c r="O325" i="1"/>
  <c r="N325" i="1"/>
  <c r="M325" i="1"/>
  <c r="L325" i="1"/>
  <c r="P321" i="1"/>
  <c r="O321" i="1"/>
  <c r="N321" i="1"/>
  <c r="M321" i="1"/>
  <c r="L321" i="1"/>
  <c r="P317" i="1"/>
  <c r="O317" i="1"/>
  <c r="N317" i="1"/>
  <c r="M317" i="1"/>
  <c r="L317" i="1"/>
  <c r="P305" i="1"/>
  <c r="O305" i="1"/>
  <c r="N305" i="1"/>
  <c r="M305" i="1"/>
  <c r="L305" i="1"/>
  <c r="P301" i="1"/>
  <c r="O301" i="1"/>
  <c r="N301" i="1"/>
  <c r="M301" i="1"/>
  <c r="L301" i="1"/>
  <c r="P297" i="1"/>
  <c r="O297" i="1"/>
  <c r="N297" i="1"/>
  <c r="M297" i="1"/>
  <c r="L297" i="1"/>
  <c r="P293" i="1"/>
  <c r="O293" i="1"/>
  <c r="N293" i="1"/>
  <c r="M293" i="1"/>
  <c r="L293" i="1"/>
  <c r="P289" i="1"/>
  <c r="O289" i="1"/>
  <c r="N289" i="1"/>
  <c r="M289" i="1"/>
  <c r="L289" i="1"/>
  <c r="P281" i="1"/>
  <c r="P277" i="1"/>
  <c r="O277" i="1"/>
  <c r="N277" i="1"/>
  <c r="M277" i="1"/>
  <c r="L277" i="1"/>
  <c r="P273" i="1"/>
  <c r="O273" i="1"/>
  <c r="N273" i="1"/>
  <c r="M273" i="1"/>
  <c r="L273" i="1"/>
  <c r="P269" i="1"/>
  <c r="O269" i="1"/>
  <c r="N269" i="1"/>
  <c r="M269" i="1"/>
  <c r="L269" i="1"/>
  <c r="P265" i="1"/>
  <c r="O265" i="1"/>
  <c r="N265" i="1"/>
  <c r="M265" i="1"/>
  <c r="L265" i="1"/>
  <c r="P261" i="1"/>
  <c r="O261" i="1"/>
  <c r="N261" i="1"/>
  <c r="M261" i="1"/>
  <c r="L261" i="1"/>
  <c r="P257" i="1"/>
  <c r="O257" i="1"/>
  <c r="N257" i="1"/>
  <c r="M257" i="1"/>
  <c r="L257" i="1"/>
  <c r="P253" i="1"/>
  <c r="O253" i="1"/>
  <c r="N253" i="1"/>
  <c r="M253" i="1"/>
  <c r="L253" i="1"/>
  <c r="P245" i="1"/>
  <c r="O245" i="1"/>
  <c r="N245" i="1"/>
  <c r="M245" i="1"/>
  <c r="L245" i="1"/>
  <c r="P241" i="1"/>
  <c r="O241" i="1"/>
  <c r="N241" i="1"/>
  <c r="M241" i="1"/>
  <c r="L241" i="1"/>
  <c r="P237" i="1"/>
  <c r="O237" i="1"/>
  <c r="N237" i="1"/>
  <c r="M237" i="1"/>
  <c r="L237" i="1"/>
  <c r="P233" i="1"/>
  <c r="O233" i="1"/>
  <c r="N233" i="1"/>
  <c r="M233" i="1"/>
  <c r="L233" i="1"/>
  <c r="P229" i="1"/>
  <c r="O229" i="1"/>
  <c r="N229" i="1"/>
  <c r="M229" i="1"/>
  <c r="L229" i="1"/>
  <c r="P225" i="1"/>
  <c r="O225" i="1"/>
  <c r="N225" i="1"/>
  <c r="M225" i="1"/>
  <c r="L225" i="1"/>
  <c r="P213" i="1"/>
  <c r="O213" i="1"/>
  <c r="N213" i="1"/>
  <c r="M213" i="1"/>
  <c r="L213" i="1"/>
  <c r="P209" i="1"/>
  <c r="O209" i="1"/>
  <c r="N209" i="1"/>
  <c r="M209" i="1"/>
  <c r="L209" i="1"/>
  <c r="P205" i="1"/>
  <c r="O205" i="1"/>
  <c r="N205" i="1"/>
  <c r="M205" i="1"/>
  <c r="L205" i="1"/>
  <c r="P201" i="1"/>
  <c r="O201" i="1"/>
  <c r="N201" i="1"/>
  <c r="M201" i="1"/>
  <c r="L201" i="1"/>
  <c r="P197" i="1"/>
  <c r="O197" i="1"/>
  <c r="N197" i="1"/>
  <c r="M197" i="1"/>
  <c r="L197" i="1"/>
  <c r="P193" i="1"/>
  <c r="O193" i="1"/>
  <c r="N193" i="1"/>
  <c r="M193" i="1"/>
  <c r="L193" i="1"/>
  <c r="P189" i="1"/>
  <c r="O189" i="1"/>
  <c r="N189" i="1"/>
  <c r="M189" i="1"/>
  <c r="L189" i="1"/>
  <c r="P177" i="1"/>
  <c r="O177" i="1"/>
  <c r="N177" i="1"/>
  <c r="M177" i="1"/>
  <c r="L177" i="1"/>
  <c r="P173" i="1"/>
  <c r="O173" i="1"/>
  <c r="N173" i="1"/>
  <c r="M173" i="1"/>
  <c r="L173" i="1"/>
  <c r="P169" i="1"/>
  <c r="O169" i="1"/>
  <c r="N169" i="1"/>
  <c r="M169" i="1"/>
  <c r="L169" i="1"/>
  <c r="P165" i="1"/>
  <c r="O165" i="1"/>
  <c r="N165" i="1"/>
  <c r="M165" i="1"/>
  <c r="L165" i="1"/>
  <c r="P161" i="1"/>
  <c r="O161" i="1"/>
  <c r="N161" i="1"/>
  <c r="M161" i="1"/>
  <c r="L161" i="1"/>
  <c r="P149" i="1"/>
  <c r="O149" i="1"/>
  <c r="N149" i="1"/>
  <c r="L149" i="1"/>
  <c r="M149" i="1"/>
  <c r="P145" i="1"/>
  <c r="O145" i="1"/>
  <c r="N145" i="1"/>
  <c r="M145" i="1"/>
  <c r="L145" i="1"/>
  <c r="P141" i="1"/>
  <c r="O141" i="1"/>
  <c r="N141" i="1"/>
  <c r="L141" i="1"/>
  <c r="M141" i="1"/>
  <c r="P137" i="1"/>
  <c r="O137" i="1"/>
  <c r="N137" i="1"/>
  <c r="M137" i="1"/>
  <c r="L137" i="1"/>
  <c r="P133" i="1"/>
  <c r="O133" i="1"/>
  <c r="N133" i="1"/>
  <c r="L133" i="1"/>
  <c r="M133" i="1"/>
  <c r="P129" i="1"/>
  <c r="O129" i="1"/>
  <c r="N129" i="1"/>
  <c r="M129" i="1"/>
  <c r="L129" i="1"/>
  <c r="P125" i="1"/>
  <c r="O125" i="1"/>
  <c r="N125" i="1"/>
  <c r="L125" i="1"/>
  <c r="M125" i="1"/>
  <c r="P117" i="1"/>
  <c r="O117" i="1"/>
  <c r="N117" i="1"/>
  <c r="L117" i="1"/>
  <c r="M117" i="1"/>
  <c r="P109" i="1"/>
  <c r="O109" i="1"/>
  <c r="N109" i="1"/>
  <c r="L109" i="1"/>
  <c r="M109" i="1"/>
  <c r="P105" i="1"/>
  <c r="O105" i="1"/>
  <c r="N105" i="1"/>
  <c r="M105" i="1"/>
  <c r="L105" i="1"/>
  <c r="P101" i="1"/>
  <c r="O101" i="1"/>
  <c r="N101" i="1"/>
  <c r="L101" i="1"/>
  <c r="M101" i="1"/>
  <c r="P97" i="1"/>
  <c r="O97" i="1"/>
  <c r="N97" i="1"/>
  <c r="M97" i="1"/>
  <c r="L97" i="1"/>
  <c r="P89" i="1"/>
  <c r="P85" i="1"/>
  <c r="O85" i="1"/>
  <c r="N85" i="1"/>
  <c r="L85" i="1"/>
  <c r="M85" i="1"/>
  <c r="P81" i="1"/>
  <c r="P77" i="1"/>
  <c r="O77" i="1"/>
  <c r="N77" i="1"/>
  <c r="L77" i="1"/>
  <c r="M77" i="1"/>
  <c r="P73" i="1"/>
  <c r="O73" i="1"/>
  <c r="N73" i="1"/>
  <c r="M73" i="1"/>
  <c r="L73" i="1"/>
  <c r="P69" i="1"/>
  <c r="O69" i="1"/>
  <c r="N69" i="1"/>
  <c r="L69" i="1"/>
  <c r="M69" i="1"/>
  <c r="P65" i="1"/>
  <c r="O65" i="1"/>
  <c r="N65" i="1"/>
  <c r="M65" i="1"/>
  <c r="L65" i="1"/>
  <c r="P61" i="1"/>
  <c r="O61" i="1"/>
  <c r="N61" i="1"/>
  <c r="L61" i="1"/>
  <c r="M61" i="1"/>
  <c r="P57" i="1"/>
  <c r="O57" i="1"/>
  <c r="N57" i="1"/>
  <c r="M57" i="1"/>
  <c r="L57" i="1"/>
  <c r="P53" i="1"/>
  <c r="O53" i="1"/>
  <c r="N53" i="1"/>
  <c r="L53" i="1"/>
  <c r="M53" i="1"/>
  <c r="O41" i="1"/>
  <c r="P37" i="1"/>
  <c r="O37" i="1"/>
  <c r="N37" i="1"/>
  <c r="L37" i="1"/>
  <c r="M37" i="1"/>
  <c r="P33" i="1"/>
  <c r="O33" i="1"/>
  <c r="N33" i="1"/>
  <c r="M33" i="1"/>
  <c r="L33" i="1"/>
  <c r="P25" i="1"/>
  <c r="O25" i="1"/>
  <c r="N25" i="1"/>
  <c r="M25" i="1"/>
  <c r="L25" i="1"/>
  <c r="P21" i="1"/>
  <c r="O21" i="1"/>
  <c r="N21" i="1"/>
  <c r="M21" i="1"/>
  <c r="L21" i="1"/>
  <c r="P17" i="1"/>
  <c r="O17" i="1"/>
  <c r="N17" i="1"/>
  <c r="M17" i="1"/>
  <c r="L17" i="1"/>
  <c r="P13" i="1"/>
  <c r="O13" i="1"/>
  <c r="N13" i="1"/>
  <c r="M13" i="1"/>
  <c r="L13" i="1"/>
  <c r="P996" i="1"/>
  <c r="O996" i="1"/>
  <c r="N996" i="1"/>
  <c r="M996" i="1"/>
  <c r="L996" i="1"/>
  <c r="P992" i="1"/>
  <c r="O992" i="1"/>
  <c r="N992" i="1"/>
  <c r="M992" i="1"/>
  <c r="L992" i="1"/>
  <c r="P988" i="1"/>
  <c r="O988" i="1"/>
  <c r="N988" i="1"/>
  <c r="M988" i="1"/>
  <c r="L988" i="1"/>
  <c r="P984" i="1"/>
  <c r="O984" i="1"/>
  <c r="N984" i="1"/>
  <c r="M984" i="1"/>
  <c r="L984" i="1"/>
  <c r="P980" i="1"/>
  <c r="O980" i="1"/>
  <c r="N980" i="1"/>
  <c r="M980" i="1"/>
  <c r="L980" i="1"/>
  <c r="P976" i="1"/>
  <c r="O976" i="1"/>
  <c r="N976" i="1"/>
  <c r="M976" i="1"/>
  <c r="L976" i="1"/>
  <c r="P972" i="1"/>
  <c r="O972" i="1"/>
  <c r="N972" i="1"/>
  <c r="M972" i="1"/>
  <c r="L972" i="1"/>
  <c r="P968" i="1"/>
  <c r="O968" i="1"/>
  <c r="N968" i="1"/>
  <c r="M968" i="1"/>
  <c r="L968" i="1"/>
  <c r="P964" i="1"/>
  <c r="O964" i="1"/>
  <c r="N964" i="1"/>
  <c r="M964" i="1"/>
  <c r="L964" i="1"/>
  <c r="P960" i="1"/>
  <c r="O960" i="1"/>
  <c r="N960" i="1"/>
  <c r="M960" i="1"/>
  <c r="L960" i="1"/>
  <c r="P956" i="1"/>
  <c r="O956" i="1"/>
  <c r="N956" i="1"/>
  <c r="M956" i="1"/>
  <c r="L956" i="1"/>
  <c r="P952" i="1"/>
  <c r="O952" i="1"/>
  <c r="N952" i="1"/>
  <c r="M952" i="1"/>
  <c r="L952" i="1"/>
  <c r="P948" i="1"/>
  <c r="O948" i="1"/>
  <c r="N948" i="1"/>
  <c r="M948" i="1"/>
  <c r="L948" i="1"/>
  <c r="P944" i="1"/>
  <c r="O944" i="1"/>
  <c r="N944" i="1"/>
  <c r="M944" i="1"/>
  <c r="L944" i="1"/>
  <c r="P940" i="1"/>
  <c r="O940" i="1"/>
  <c r="N940" i="1"/>
  <c r="M940" i="1"/>
  <c r="L940" i="1"/>
  <c r="P936" i="1"/>
  <c r="O936" i="1"/>
  <c r="N936" i="1"/>
  <c r="M936" i="1"/>
  <c r="L936" i="1"/>
  <c r="P932" i="1"/>
  <c r="O932" i="1"/>
  <c r="N932" i="1"/>
  <c r="M932" i="1"/>
  <c r="L932" i="1"/>
  <c r="P928" i="1"/>
  <c r="O928" i="1"/>
  <c r="N928" i="1"/>
  <c r="M928" i="1"/>
  <c r="L928" i="1"/>
  <c r="P924" i="1"/>
  <c r="O924" i="1"/>
  <c r="N924" i="1"/>
  <c r="M924" i="1"/>
  <c r="L924" i="1"/>
  <c r="P920" i="1"/>
  <c r="O920" i="1"/>
  <c r="N920" i="1"/>
  <c r="M920" i="1"/>
  <c r="L920" i="1"/>
  <c r="P916" i="1"/>
  <c r="O916" i="1"/>
  <c r="N916" i="1"/>
  <c r="M916" i="1"/>
  <c r="L916" i="1"/>
  <c r="P912" i="1"/>
  <c r="O912" i="1"/>
  <c r="N912" i="1"/>
  <c r="M912" i="1"/>
  <c r="L912" i="1"/>
  <c r="P908" i="1"/>
  <c r="O908" i="1"/>
  <c r="N908" i="1"/>
  <c r="M908" i="1"/>
  <c r="L908" i="1"/>
  <c r="P904" i="1"/>
  <c r="O904" i="1"/>
  <c r="N904" i="1"/>
  <c r="M904" i="1"/>
  <c r="L904" i="1"/>
  <c r="P900" i="1"/>
  <c r="O900" i="1"/>
  <c r="N900" i="1"/>
  <c r="M900" i="1"/>
  <c r="L900" i="1"/>
  <c r="P896" i="1"/>
  <c r="O896" i="1"/>
  <c r="N896" i="1"/>
  <c r="M896" i="1"/>
  <c r="L896" i="1"/>
  <c r="P892" i="1"/>
  <c r="O892" i="1"/>
  <c r="N892" i="1"/>
  <c r="M892" i="1"/>
  <c r="L892" i="1"/>
  <c r="P888" i="1"/>
  <c r="O888" i="1"/>
  <c r="N888" i="1"/>
  <c r="M888" i="1"/>
  <c r="L888" i="1"/>
  <c r="P884" i="1"/>
  <c r="O884" i="1"/>
  <c r="N884" i="1"/>
  <c r="M884" i="1"/>
  <c r="L884" i="1"/>
  <c r="P880" i="1"/>
  <c r="O880" i="1"/>
  <c r="N880" i="1"/>
  <c r="M880" i="1"/>
  <c r="L880" i="1"/>
  <c r="P876" i="1"/>
  <c r="O876" i="1"/>
  <c r="N876" i="1"/>
  <c r="M876" i="1"/>
  <c r="L876" i="1"/>
  <c r="P872" i="1"/>
  <c r="O872" i="1"/>
  <c r="N872" i="1"/>
  <c r="M872" i="1"/>
  <c r="L872" i="1"/>
  <c r="P868" i="1"/>
  <c r="O868" i="1"/>
  <c r="N868" i="1"/>
  <c r="M868" i="1"/>
  <c r="L868" i="1"/>
  <c r="P864" i="1"/>
  <c r="O864" i="1"/>
  <c r="N864" i="1"/>
  <c r="M864" i="1"/>
  <c r="L864" i="1"/>
  <c r="P860" i="1"/>
  <c r="O860" i="1"/>
  <c r="N860" i="1"/>
  <c r="M860" i="1"/>
  <c r="L860" i="1"/>
  <c r="P856" i="1"/>
  <c r="O856" i="1"/>
  <c r="N856" i="1"/>
  <c r="M856" i="1"/>
  <c r="L856" i="1"/>
  <c r="P852" i="1"/>
  <c r="O852" i="1"/>
  <c r="N852" i="1"/>
  <c r="M852" i="1"/>
  <c r="L852" i="1"/>
  <c r="P848" i="1"/>
  <c r="O848" i="1"/>
  <c r="N848" i="1"/>
  <c r="M848" i="1"/>
  <c r="L848" i="1"/>
  <c r="P844" i="1"/>
  <c r="O844" i="1"/>
  <c r="N844" i="1"/>
  <c r="M844" i="1"/>
  <c r="L844" i="1"/>
  <c r="P840" i="1"/>
  <c r="O840" i="1"/>
  <c r="N840" i="1"/>
  <c r="M840" i="1"/>
  <c r="L840" i="1"/>
  <c r="P836" i="1"/>
  <c r="O836" i="1"/>
  <c r="N836" i="1"/>
  <c r="M836" i="1"/>
  <c r="L836" i="1"/>
  <c r="P832" i="1"/>
  <c r="O832" i="1"/>
  <c r="N832" i="1"/>
  <c r="M832" i="1"/>
  <c r="L832" i="1"/>
  <c r="P828" i="1"/>
  <c r="O828" i="1"/>
  <c r="N828" i="1"/>
  <c r="M828" i="1"/>
  <c r="L828" i="1"/>
  <c r="P824" i="1"/>
  <c r="O824" i="1"/>
  <c r="N824" i="1"/>
  <c r="M824" i="1"/>
  <c r="L824" i="1"/>
  <c r="P820" i="1"/>
  <c r="O820" i="1"/>
  <c r="N820" i="1"/>
  <c r="M820" i="1"/>
  <c r="L820" i="1"/>
  <c r="P816" i="1"/>
  <c r="O816" i="1"/>
  <c r="N816" i="1"/>
  <c r="M816" i="1"/>
  <c r="L816" i="1"/>
  <c r="P812" i="1"/>
  <c r="O812" i="1"/>
  <c r="N812" i="1"/>
  <c r="M812" i="1"/>
  <c r="L812" i="1"/>
  <c r="P808" i="1"/>
  <c r="O808" i="1"/>
  <c r="N808" i="1"/>
  <c r="M808" i="1"/>
  <c r="L808" i="1"/>
  <c r="P804" i="1"/>
  <c r="O804" i="1"/>
  <c r="N804" i="1"/>
  <c r="M804" i="1"/>
  <c r="L804" i="1"/>
  <c r="P800" i="1"/>
  <c r="O800" i="1"/>
  <c r="N800" i="1"/>
  <c r="M800" i="1"/>
  <c r="L800" i="1"/>
  <c r="P796" i="1"/>
  <c r="O796" i="1"/>
  <c r="N796" i="1"/>
  <c r="M796" i="1"/>
  <c r="L796" i="1"/>
  <c r="P792" i="1"/>
  <c r="O792" i="1"/>
  <c r="N792" i="1"/>
  <c r="M792" i="1"/>
  <c r="L792" i="1"/>
  <c r="P788" i="1"/>
  <c r="O788" i="1"/>
  <c r="N788" i="1"/>
  <c r="M788" i="1"/>
  <c r="L788" i="1"/>
  <c r="P784" i="1"/>
  <c r="O784" i="1"/>
  <c r="N784" i="1"/>
  <c r="M784" i="1"/>
  <c r="L784" i="1"/>
  <c r="P780" i="1"/>
  <c r="O780" i="1"/>
  <c r="N780" i="1"/>
  <c r="M780" i="1"/>
  <c r="L780" i="1"/>
  <c r="P776" i="1"/>
  <c r="O776" i="1"/>
  <c r="N776" i="1"/>
  <c r="M776" i="1"/>
  <c r="L776" i="1"/>
  <c r="P772" i="1"/>
  <c r="O772" i="1"/>
  <c r="N772" i="1"/>
  <c r="M772" i="1"/>
  <c r="L772" i="1"/>
  <c r="P768" i="1"/>
  <c r="O768" i="1"/>
  <c r="N768" i="1"/>
  <c r="M768" i="1"/>
  <c r="L768" i="1"/>
  <c r="P764" i="1"/>
  <c r="O764" i="1"/>
  <c r="N764" i="1"/>
  <c r="M764" i="1"/>
  <c r="L764" i="1"/>
  <c r="P760" i="1"/>
  <c r="O760" i="1"/>
  <c r="N760" i="1"/>
  <c r="M760" i="1"/>
  <c r="L760" i="1"/>
  <c r="P756" i="1"/>
  <c r="O756" i="1"/>
  <c r="N756" i="1"/>
  <c r="M756" i="1"/>
  <c r="L756" i="1"/>
  <c r="P752" i="1"/>
  <c r="O752" i="1"/>
  <c r="N752" i="1"/>
  <c r="M752" i="1"/>
  <c r="L752" i="1"/>
  <c r="P748" i="1"/>
  <c r="O748" i="1"/>
  <c r="N748" i="1"/>
  <c r="M748" i="1"/>
  <c r="L748" i="1"/>
  <c r="P744" i="1"/>
  <c r="O744" i="1"/>
  <c r="N744" i="1"/>
  <c r="M744" i="1"/>
  <c r="L744" i="1"/>
  <c r="P740" i="1"/>
  <c r="O740" i="1"/>
  <c r="N740" i="1"/>
  <c r="M740" i="1"/>
  <c r="L740" i="1"/>
  <c r="P736" i="1"/>
  <c r="O736" i="1"/>
  <c r="N736" i="1"/>
  <c r="M736" i="1"/>
  <c r="L736" i="1"/>
  <c r="P732" i="1"/>
  <c r="O732" i="1"/>
  <c r="N732" i="1"/>
  <c r="M732" i="1"/>
  <c r="L732" i="1"/>
  <c r="P728" i="1"/>
  <c r="O728" i="1"/>
  <c r="N728" i="1"/>
  <c r="M728" i="1"/>
  <c r="L728" i="1"/>
  <c r="P724" i="1"/>
  <c r="O724" i="1"/>
  <c r="N724" i="1"/>
  <c r="M724" i="1"/>
  <c r="L724" i="1"/>
  <c r="P720" i="1"/>
  <c r="O720" i="1"/>
  <c r="N720" i="1"/>
  <c r="M720" i="1"/>
  <c r="L720" i="1"/>
  <c r="P716" i="1"/>
  <c r="O716" i="1"/>
  <c r="N716" i="1"/>
  <c r="M716" i="1"/>
  <c r="L716" i="1"/>
  <c r="P712" i="1"/>
  <c r="O712" i="1"/>
  <c r="N712" i="1"/>
  <c r="M712" i="1"/>
  <c r="L712" i="1"/>
  <c r="P708" i="1"/>
  <c r="O708" i="1"/>
  <c r="N708" i="1"/>
  <c r="M708" i="1"/>
  <c r="L708" i="1"/>
  <c r="P704" i="1"/>
  <c r="O704" i="1"/>
  <c r="N704" i="1"/>
  <c r="M704" i="1"/>
  <c r="L704" i="1"/>
  <c r="P700" i="1"/>
  <c r="O700" i="1"/>
  <c r="N700" i="1"/>
  <c r="M700" i="1"/>
  <c r="L700" i="1"/>
  <c r="P696" i="1"/>
  <c r="O696" i="1"/>
  <c r="N696" i="1"/>
  <c r="M696" i="1"/>
  <c r="L696" i="1"/>
  <c r="P692" i="1"/>
  <c r="O692" i="1"/>
  <c r="N692" i="1"/>
  <c r="M692" i="1"/>
  <c r="L692" i="1"/>
  <c r="P688" i="1"/>
  <c r="O688" i="1"/>
  <c r="N688" i="1"/>
  <c r="M688" i="1"/>
  <c r="L688" i="1"/>
  <c r="P684" i="1"/>
  <c r="O684" i="1"/>
  <c r="N684" i="1"/>
  <c r="M684" i="1"/>
  <c r="L684" i="1"/>
  <c r="P680" i="1"/>
  <c r="O680" i="1"/>
  <c r="N680" i="1"/>
  <c r="M680" i="1"/>
  <c r="L680" i="1"/>
  <c r="P676" i="1"/>
  <c r="O676" i="1"/>
  <c r="N676" i="1"/>
  <c r="M676" i="1"/>
  <c r="L676" i="1"/>
  <c r="P672" i="1"/>
  <c r="O672" i="1"/>
  <c r="N672" i="1"/>
  <c r="M672" i="1"/>
  <c r="L672" i="1"/>
  <c r="P668" i="1"/>
  <c r="O668" i="1"/>
  <c r="N668" i="1"/>
  <c r="M668" i="1"/>
  <c r="L668" i="1"/>
  <c r="P664" i="1"/>
  <c r="O664" i="1"/>
  <c r="N664" i="1"/>
  <c r="M664" i="1"/>
  <c r="L664" i="1"/>
  <c r="P660" i="1"/>
  <c r="O660" i="1"/>
  <c r="N660" i="1"/>
  <c r="M660" i="1"/>
  <c r="L660" i="1"/>
  <c r="P656" i="1"/>
  <c r="O656" i="1"/>
  <c r="N656" i="1"/>
  <c r="M656" i="1"/>
  <c r="L656" i="1"/>
  <c r="P652" i="1"/>
  <c r="O652" i="1"/>
  <c r="N652" i="1"/>
  <c r="M652" i="1"/>
  <c r="L652" i="1"/>
  <c r="P648" i="1"/>
  <c r="O648" i="1"/>
  <c r="N648" i="1"/>
  <c r="M648" i="1"/>
  <c r="L648" i="1"/>
  <c r="P644" i="1"/>
  <c r="O644" i="1"/>
  <c r="N644" i="1"/>
  <c r="M644" i="1"/>
  <c r="L644" i="1"/>
  <c r="P640" i="1"/>
  <c r="O640" i="1"/>
  <c r="N640" i="1"/>
  <c r="M640" i="1"/>
  <c r="L640" i="1"/>
  <c r="P636" i="1"/>
  <c r="O636" i="1"/>
  <c r="N636" i="1"/>
  <c r="M636" i="1"/>
  <c r="L636" i="1"/>
  <c r="P632" i="1"/>
  <c r="O632" i="1"/>
  <c r="N632" i="1"/>
  <c r="M632" i="1"/>
  <c r="L632" i="1"/>
  <c r="P628" i="1"/>
  <c r="O628" i="1"/>
  <c r="N628" i="1"/>
  <c r="M628" i="1"/>
  <c r="L628" i="1"/>
  <c r="P624" i="1"/>
  <c r="O624" i="1"/>
  <c r="N624" i="1"/>
  <c r="M624" i="1"/>
  <c r="L624" i="1"/>
  <c r="P620" i="1"/>
  <c r="O620" i="1"/>
  <c r="N620" i="1"/>
  <c r="M620" i="1"/>
  <c r="L620" i="1"/>
  <c r="P616" i="1"/>
  <c r="O616" i="1"/>
  <c r="N616" i="1"/>
  <c r="M616" i="1"/>
  <c r="L616" i="1"/>
  <c r="P612" i="1"/>
  <c r="O612" i="1"/>
  <c r="N612" i="1"/>
  <c r="M612" i="1"/>
  <c r="L612" i="1"/>
  <c r="P608" i="1"/>
  <c r="O608" i="1"/>
  <c r="N608" i="1"/>
  <c r="M608" i="1"/>
  <c r="L608" i="1"/>
  <c r="P604" i="1"/>
  <c r="O604" i="1"/>
  <c r="N604" i="1"/>
  <c r="M604" i="1"/>
  <c r="L604" i="1"/>
  <c r="P600" i="1"/>
  <c r="O600" i="1"/>
  <c r="N600" i="1"/>
  <c r="M600" i="1"/>
  <c r="L600" i="1"/>
  <c r="P596" i="1"/>
  <c r="O596" i="1"/>
  <c r="N596" i="1"/>
  <c r="M596" i="1"/>
  <c r="L596" i="1"/>
  <c r="P592" i="1"/>
  <c r="O592" i="1"/>
  <c r="N592" i="1"/>
  <c r="M592" i="1"/>
  <c r="L592" i="1"/>
  <c r="P588" i="1"/>
  <c r="O588" i="1"/>
  <c r="N588" i="1"/>
  <c r="M588" i="1"/>
  <c r="L588" i="1"/>
  <c r="P584" i="1"/>
  <c r="O584" i="1"/>
  <c r="N584" i="1"/>
  <c r="M584" i="1"/>
  <c r="L584" i="1"/>
  <c r="P580" i="1"/>
  <c r="O580" i="1"/>
  <c r="N580" i="1"/>
  <c r="M580" i="1"/>
  <c r="L580" i="1"/>
  <c r="P576" i="1"/>
  <c r="O576" i="1"/>
  <c r="N576" i="1"/>
  <c r="M576" i="1"/>
  <c r="L576" i="1"/>
  <c r="P572" i="1"/>
  <c r="O572" i="1"/>
  <c r="N572" i="1"/>
  <c r="M572" i="1"/>
  <c r="L572" i="1"/>
  <c r="P568" i="1"/>
  <c r="O568" i="1"/>
  <c r="N568" i="1"/>
  <c r="M568" i="1"/>
  <c r="L568" i="1"/>
  <c r="P564" i="1"/>
  <c r="O564" i="1"/>
  <c r="N564" i="1"/>
  <c r="M564" i="1"/>
  <c r="L564" i="1"/>
  <c r="P560" i="1"/>
  <c r="O560" i="1"/>
  <c r="N560" i="1"/>
  <c r="M560" i="1"/>
  <c r="L560" i="1"/>
  <c r="P556" i="1"/>
  <c r="O556" i="1"/>
  <c r="N556" i="1"/>
  <c r="M556" i="1"/>
  <c r="L556" i="1"/>
  <c r="P552" i="1"/>
  <c r="O552" i="1"/>
  <c r="N552" i="1"/>
  <c r="M552" i="1"/>
  <c r="L552" i="1"/>
  <c r="P548" i="1"/>
  <c r="O548" i="1"/>
  <c r="N548" i="1"/>
  <c r="M548" i="1"/>
  <c r="L548" i="1"/>
  <c r="P544" i="1"/>
  <c r="O544" i="1"/>
  <c r="N544" i="1"/>
  <c r="M544" i="1"/>
  <c r="L544" i="1"/>
  <c r="P540" i="1"/>
  <c r="O540" i="1"/>
  <c r="N540" i="1"/>
  <c r="M540" i="1"/>
  <c r="L540" i="1"/>
  <c r="P536" i="1"/>
  <c r="O536" i="1"/>
  <c r="N536" i="1"/>
  <c r="M536" i="1"/>
  <c r="L536" i="1"/>
  <c r="P532" i="1"/>
  <c r="O532" i="1"/>
  <c r="N532" i="1"/>
  <c r="M532" i="1"/>
  <c r="L532" i="1"/>
  <c r="P528" i="1"/>
  <c r="O528" i="1"/>
  <c r="N528" i="1"/>
  <c r="M528" i="1"/>
  <c r="L528" i="1"/>
  <c r="P524" i="1"/>
  <c r="O524" i="1"/>
  <c r="N524" i="1"/>
  <c r="M524" i="1"/>
  <c r="L524" i="1"/>
  <c r="P520" i="1"/>
  <c r="O520" i="1"/>
  <c r="N520" i="1"/>
  <c r="M520" i="1"/>
  <c r="L520" i="1"/>
  <c r="P516" i="1"/>
  <c r="O516" i="1"/>
  <c r="N516" i="1"/>
  <c r="M516" i="1"/>
  <c r="L516" i="1"/>
  <c r="P512" i="1"/>
  <c r="O512" i="1"/>
  <c r="N512" i="1"/>
  <c r="M512" i="1"/>
  <c r="L512" i="1"/>
  <c r="P508" i="1"/>
  <c r="O508" i="1"/>
  <c r="N508" i="1"/>
  <c r="M508" i="1"/>
  <c r="L508" i="1"/>
  <c r="P504" i="1"/>
  <c r="O504" i="1"/>
  <c r="N504" i="1"/>
  <c r="M504" i="1"/>
  <c r="L504" i="1"/>
  <c r="P500" i="1"/>
  <c r="O500" i="1"/>
  <c r="N500" i="1"/>
  <c r="M500" i="1"/>
  <c r="L500" i="1"/>
  <c r="P496" i="1"/>
  <c r="O496" i="1"/>
  <c r="N496" i="1"/>
  <c r="M496" i="1"/>
  <c r="L496" i="1"/>
  <c r="P492" i="1"/>
  <c r="O492" i="1"/>
  <c r="N492" i="1"/>
  <c r="M492" i="1"/>
  <c r="L492" i="1"/>
  <c r="P488" i="1"/>
  <c r="O488" i="1"/>
  <c r="N488" i="1"/>
  <c r="M488" i="1"/>
  <c r="L488" i="1"/>
  <c r="P484" i="1"/>
  <c r="O484" i="1"/>
  <c r="N484" i="1"/>
  <c r="M484" i="1"/>
  <c r="L484" i="1"/>
  <c r="P480" i="1"/>
  <c r="O480" i="1"/>
  <c r="N480" i="1"/>
  <c r="M480" i="1"/>
  <c r="L480" i="1"/>
  <c r="P476" i="1"/>
  <c r="O476" i="1"/>
  <c r="N476" i="1"/>
  <c r="M476" i="1"/>
  <c r="L476" i="1"/>
  <c r="P472" i="1"/>
  <c r="O472" i="1"/>
  <c r="N472" i="1"/>
  <c r="M472" i="1"/>
  <c r="L472" i="1"/>
  <c r="P468" i="1"/>
  <c r="O468" i="1"/>
  <c r="N468" i="1"/>
  <c r="M468" i="1"/>
  <c r="L468" i="1"/>
  <c r="P464" i="1"/>
  <c r="O464" i="1"/>
  <c r="N464" i="1"/>
  <c r="M464" i="1"/>
  <c r="L464" i="1"/>
  <c r="P460" i="1"/>
  <c r="O460" i="1"/>
  <c r="N460" i="1"/>
  <c r="M460" i="1"/>
  <c r="L460" i="1"/>
  <c r="P456" i="1"/>
  <c r="O456" i="1"/>
  <c r="N456" i="1"/>
  <c r="M456" i="1"/>
  <c r="L456" i="1"/>
  <c r="P452" i="1"/>
  <c r="O452" i="1"/>
  <c r="N452" i="1"/>
  <c r="M452" i="1"/>
  <c r="L452" i="1"/>
  <c r="P448" i="1"/>
  <c r="O448" i="1"/>
  <c r="N448" i="1"/>
  <c r="M448" i="1"/>
  <c r="L448" i="1"/>
  <c r="P444" i="1"/>
  <c r="O444" i="1"/>
  <c r="N444" i="1"/>
  <c r="M444" i="1"/>
  <c r="L444" i="1"/>
  <c r="P440" i="1"/>
  <c r="O440" i="1"/>
  <c r="N440" i="1"/>
  <c r="M440" i="1"/>
  <c r="L440" i="1"/>
  <c r="P436" i="1"/>
  <c r="O436" i="1"/>
  <c r="N436" i="1"/>
  <c r="M436" i="1"/>
  <c r="L436" i="1"/>
  <c r="P432" i="1"/>
  <c r="O432" i="1"/>
  <c r="N432" i="1"/>
  <c r="M432" i="1"/>
  <c r="L432" i="1"/>
  <c r="P428" i="1"/>
  <c r="O428" i="1"/>
  <c r="N428" i="1"/>
  <c r="M428" i="1"/>
  <c r="L428" i="1"/>
  <c r="P424" i="1"/>
  <c r="O424" i="1"/>
  <c r="N424" i="1"/>
  <c r="M424" i="1"/>
  <c r="L424" i="1"/>
  <c r="P420" i="1"/>
  <c r="O420" i="1"/>
  <c r="N420" i="1"/>
  <c r="M420" i="1"/>
  <c r="L420" i="1"/>
  <c r="P416" i="1"/>
  <c r="O416" i="1"/>
  <c r="N416" i="1"/>
  <c r="M416" i="1"/>
  <c r="L416" i="1"/>
  <c r="P412" i="1"/>
  <c r="O412" i="1"/>
  <c r="N412" i="1"/>
  <c r="M412" i="1"/>
  <c r="L412" i="1"/>
  <c r="P408" i="1"/>
  <c r="O408" i="1"/>
  <c r="N408" i="1"/>
  <c r="M408" i="1"/>
  <c r="L408" i="1"/>
  <c r="P404" i="1"/>
  <c r="O404" i="1"/>
  <c r="N404" i="1"/>
  <c r="M404" i="1"/>
  <c r="L404" i="1"/>
  <c r="P400" i="1"/>
  <c r="O400" i="1"/>
  <c r="N400" i="1"/>
  <c r="M400" i="1"/>
  <c r="L400" i="1"/>
  <c r="P396" i="1"/>
  <c r="O396" i="1"/>
  <c r="N396" i="1"/>
  <c r="M396" i="1"/>
  <c r="L396" i="1"/>
  <c r="P392" i="1"/>
  <c r="O392" i="1"/>
  <c r="N392" i="1"/>
  <c r="M392" i="1"/>
  <c r="L392" i="1"/>
  <c r="P388" i="1"/>
  <c r="O388" i="1"/>
  <c r="N388" i="1"/>
  <c r="M388" i="1"/>
  <c r="L388" i="1"/>
  <c r="P384" i="1"/>
  <c r="O384" i="1"/>
  <c r="N384" i="1"/>
  <c r="M384" i="1"/>
  <c r="L384" i="1"/>
  <c r="P380" i="1"/>
  <c r="O380" i="1"/>
  <c r="N380" i="1"/>
  <c r="M380" i="1"/>
  <c r="L380" i="1"/>
  <c r="P376" i="1"/>
  <c r="O376" i="1"/>
  <c r="N376" i="1"/>
  <c r="M376" i="1"/>
  <c r="L376" i="1"/>
  <c r="P372" i="1"/>
  <c r="O372" i="1"/>
  <c r="N372" i="1"/>
  <c r="M372" i="1"/>
  <c r="L372" i="1"/>
  <c r="P368" i="1"/>
  <c r="O368" i="1"/>
  <c r="N368" i="1"/>
  <c r="M368" i="1"/>
  <c r="L368" i="1"/>
  <c r="P364" i="1"/>
  <c r="O364" i="1"/>
  <c r="N364" i="1"/>
  <c r="M364" i="1"/>
  <c r="L364" i="1"/>
  <c r="P360" i="1"/>
  <c r="O360" i="1"/>
  <c r="N360" i="1"/>
  <c r="M360" i="1"/>
  <c r="L360" i="1"/>
  <c r="P356" i="1"/>
  <c r="O356" i="1"/>
  <c r="N356" i="1"/>
  <c r="M356" i="1"/>
  <c r="L356" i="1"/>
  <c r="P352" i="1"/>
  <c r="O352" i="1"/>
  <c r="N352" i="1"/>
  <c r="M352" i="1"/>
  <c r="L352" i="1"/>
  <c r="P348" i="1"/>
  <c r="O348" i="1"/>
  <c r="N348" i="1"/>
  <c r="M348" i="1"/>
  <c r="L348" i="1"/>
  <c r="P344" i="1"/>
  <c r="O344" i="1"/>
  <c r="N344" i="1"/>
  <c r="M344" i="1"/>
  <c r="L344" i="1"/>
  <c r="P340" i="1"/>
  <c r="O340" i="1"/>
  <c r="N340" i="1"/>
  <c r="M340" i="1"/>
  <c r="L340" i="1"/>
  <c r="P336" i="1"/>
  <c r="O336" i="1"/>
  <c r="N336" i="1"/>
  <c r="M336" i="1"/>
  <c r="L336" i="1"/>
  <c r="P332" i="1"/>
  <c r="O332" i="1"/>
  <c r="N332" i="1"/>
  <c r="M332" i="1"/>
  <c r="L332" i="1"/>
  <c r="P328" i="1"/>
  <c r="O328" i="1"/>
  <c r="N328" i="1"/>
  <c r="M328" i="1"/>
  <c r="L328" i="1"/>
  <c r="P324" i="1"/>
  <c r="O324" i="1"/>
  <c r="N324" i="1"/>
  <c r="M324" i="1"/>
  <c r="L324" i="1"/>
  <c r="P320" i="1"/>
  <c r="O320" i="1"/>
  <c r="N320" i="1"/>
  <c r="M320" i="1"/>
  <c r="L320" i="1"/>
  <c r="P316" i="1"/>
  <c r="O316" i="1"/>
  <c r="N316" i="1"/>
  <c r="M316" i="1"/>
  <c r="L316" i="1"/>
  <c r="P312" i="1"/>
  <c r="O312" i="1"/>
  <c r="N312" i="1"/>
  <c r="M312" i="1"/>
  <c r="L312" i="1"/>
  <c r="P308" i="1"/>
  <c r="O308" i="1"/>
  <c r="N308" i="1"/>
  <c r="M308" i="1"/>
  <c r="L308" i="1"/>
  <c r="P304" i="1"/>
  <c r="O304" i="1"/>
  <c r="N304" i="1"/>
  <c r="M304" i="1"/>
  <c r="L304" i="1"/>
  <c r="P300" i="1"/>
  <c r="O300" i="1"/>
  <c r="N300" i="1"/>
  <c r="M300" i="1"/>
  <c r="L300" i="1"/>
  <c r="P296" i="1"/>
  <c r="O296" i="1"/>
  <c r="N296" i="1"/>
  <c r="M296" i="1"/>
  <c r="L296" i="1"/>
  <c r="P292" i="1"/>
  <c r="O292" i="1"/>
  <c r="N292" i="1"/>
  <c r="M292" i="1"/>
  <c r="L292" i="1"/>
  <c r="P288" i="1"/>
  <c r="O288" i="1"/>
  <c r="N288" i="1"/>
  <c r="M288" i="1"/>
  <c r="L288" i="1"/>
  <c r="P284" i="1"/>
  <c r="O284" i="1"/>
  <c r="N284" i="1"/>
  <c r="M284" i="1"/>
  <c r="L284" i="1"/>
  <c r="P280" i="1"/>
  <c r="O280" i="1"/>
  <c r="N280" i="1"/>
  <c r="M280" i="1"/>
  <c r="L280" i="1"/>
  <c r="P276" i="1"/>
  <c r="O276" i="1"/>
  <c r="N276" i="1"/>
  <c r="M276" i="1"/>
  <c r="L276" i="1"/>
  <c r="P272" i="1"/>
  <c r="O272" i="1"/>
  <c r="N272" i="1"/>
  <c r="M272" i="1"/>
  <c r="L272" i="1"/>
  <c r="P268" i="1"/>
  <c r="O268" i="1"/>
  <c r="N268" i="1"/>
  <c r="M268" i="1"/>
  <c r="L268" i="1"/>
  <c r="P264" i="1"/>
  <c r="O264" i="1"/>
  <c r="N264" i="1"/>
  <c r="M264" i="1"/>
  <c r="L264" i="1"/>
  <c r="P260" i="1"/>
  <c r="O260" i="1"/>
  <c r="N260" i="1"/>
  <c r="M260" i="1"/>
  <c r="L260" i="1"/>
  <c r="P256" i="1"/>
  <c r="O256" i="1"/>
  <c r="N256" i="1"/>
  <c r="M256" i="1"/>
  <c r="L256" i="1"/>
  <c r="P252" i="1"/>
  <c r="O252" i="1"/>
  <c r="N252" i="1"/>
  <c r="M252" i="1"/>
  <c r="L252" i="1"/>
  <c r="P248" i="1"/>
  <c r="O248" i="1"/>
  <c r="N248" i="1"/>
  <c r="M248" i="1"/>
  <c r="L248" i="1"/>
  <c r="P244" i="1"/>
  <c r="O244" i="1"/>
  <c r="N244" i="1"/>
  <c r="M244" i="1"/>
  <c r="L244" i="1"/>
  <c r="P240" i="1"/>
  <c r="O240" i="1"/>
  <c r="N240" i="1"/>
  <c r="M240" i="1"/>
  <c r="L240" i="1"/>
  <c r="P236" i="1"/>
  <c r="O236" i="1"/>
  <c r="N236" i="1"/>
  <c r="M236" i="1"/>
  <c r="L236" i="1"/>
  <c r="P232" i="1"/>
  <c r="O232" i="1"/>
  <c r="N232" i="1"/>
  <c r="M232" i="1"/>
  <c r="L232" i="1"/>
  <c r="P228" i="1"/>
  <c r="O228" i="1"/>
  <c r="N228" i="1"/>
  <c r="M228" i="1"/>
  <c r="L228" i="1"/>
  <c r="P224" i="1"/>
  <c r="O224" i="1"/>
  <c r="N224" i="1"/>
  <c r="M224" i="1"/>
  <c r="L224" i="1"/>
  <c r="P220" i="1"/>
  <c r="O220" i="1"/>
  <c r="N220" i="1"/>
  <c r="M220" i="1"/>
  <c r="L220" i="1"/>
  <c r="P216" i="1"/>
  <c r="O216" i="1"/>
  <c r="N216" i="1"/>
  <c r="M216" i="1"/>
  <c r="L216" i="1"/>
  <c r="P212" i="1"/>
  <c r="O212" i="1"/>
  <c r="N212" i="1"/>
  <c r="M212" i="1"/>
  <c r="L212" i="1"/>
  <c r="P208" i="1"/>
  <c r="O208" i="1"/>
  <c r="N208" i="1"/>
  <c r="M208" i="1"/>
  <c r="L208" i="1"/>
  <c r="P204" i="1"/>
  <c r="O204" i="1"/>
  <c r="N204" i="1"/>
  <c r="M204" i="1"/>
  <c r="L204" i="1"/>
  <c r="P200" i="1"/>
  <c r="O200" i="1"/>
  <c r="N200" i="1"/>
  <c r="M200" i="1"/>
  <c r="L200" i="1"/>
  <c r="P196" i="1"/>
  <c r="O196" i="1"/>
  <c r="N196" i="1"/>
  <c r="M196" i="1"/>
  <c r="L196" i="1"/>
  <c r="P192" i="1"/>
  <c r="O192" i="1"/>
  <c r="N192" i="1"/>
  <c r="M192" i="1"/>
  <c r="L192" i="1"/>
  <c r="P188" i="1"/>
  <c r="O188" i="1"/>
  <c r="N188" i="1"/>
  <c r="M188" i="1"/>
  <c r="L188" i="1"/>
  <c r="P184" i="1"/>
  <c r="O184" i="1"/>
  <c r="N184" i="1"/>
  <c r="M184" i="1"/>
  <c r="L184" i="1"/>
  <c r="P180" i="1"/>
  <c r="O180" i="1"/>
  <c r="N180" i="1"/>
  <c r="M180" i="1"/>
  <c r="L180" i="1"/>
  <c r="P176" i="1"/>
  <c r="O176" i="1"/>
  <c r="N176" i="1"/>
  <c r="M176" i="1"/>
  <c r="L176" i="1"/>
  <c r="P172" i="1"/>
  <c r="O172" i="1"/>
  <c r="N172" i="1"/>
  <c r="M172" i="1"/>
  <c r="L172" i="1"/>
  <c r="P168" i="1"/>
  <c r="O168" i="1"/>
  <c r="N168" i="1"/>
  <c r="M168" i="1"/>
  <c r="L168" i="1"/>
  <c r="P164" i="1"/>
  <c r="O164" i="1"/>
  <c r="N164" i="1"/>
  <c r="M164" i="1"/>
  <c r="L164" i="1"/>
  <c r="P160" i="1"/>
  <c r="O160" i="1"/>
  <c r="N160" i="1"/>
  <c r="M160" i="1"/>
  <c r="L160" i="1"/>
  <c r="P156" i="1"/>
  <c r="O156" i="1"/>
  <c r="N156" i="1"/>
  <c r="M156" i="1"/>
  <c r="L156" i="1"/>
  <c r="P152" i="1"/>
  <c r="O152" i="1"/>
  <c r="N152" i="1"/>
  <c r="M152" i="1"/>
  <c r="L152" i="1"/>
  <c r="P148" i="1"/>
  <c r="O148" i="1"/>
  <c r="N148" i="1"/>
  <c r="L148" i="1"/>
  <c r="M148" i="1"/>
  <c r="P144" i="1"/>
  <c r="O144" i="1"/>
  <c r="N144" i="1"/>
  <c r="M144" i="1"/>
  <c r="L144" i="1"/>
  <c r="P140" i="1"/>
  <c r="O140" i="1"/>
  <c r="N140" i="1"/>
  <c r="L140" i="1"/>
  <c r="M140" i="1"/>
  <c r="P136" i="1"/>
  <c r="O136" i="1"/>
  <c r="N136" i="1"/>
  <c r="M136" i="1"/>
  <c r="L136" i="1"/>
  <c r="P132" i="1"/>
  <c r="O132" i="1"/>
  <c r="N132" i="1"/>
  <c r="L132" i="1"/>
  <c r="M132" i="1"/>
  <c r="P128" i="1"/>
  <c r="O128" i="1"/>
  <c r="N128" i="1"/>
  <c r="M128" i="1"/>
  <c r="L128" i="1"/>
  <c r="P124" i="1"/>
  <c r="O124" i="1"/>
  <c r="N124" i="1"/>
  <c r="L124" i="1"/>
  <c r="M124" i="1"/>
  <c r="P120" i="1"/>
  <c r="O120" i="1"/>
  <c r="N120" i="1"/>
  <c r="M120" i="1"/>
  <c r="L120" i="1"/>
  <c r="P116" i="1"/>
  <c r="O116" i="1"/>
  <c r="N116" i="1"/>
  <c r="L116" i="1"/>
  <c r="M116" i="1"/>
  <c r="P112" i="1"/>
  <c r="L112" i="1"/>
  <c r="P108" i="1"/>
  <c r="O108" i="1"/>
  <c r="N108" i="1"/>
  <c r="L108" i="1"/>
  <c r="M108" i="1"/>
  <c r="P104" i="1"/>
  <c r="O104" i="1"/>
  <c r="N104" i="1"/>
  <c r="M104" i="1"/>
  <c r="L104" i="1"/>
  <c r="P100" i="1"/>
  <c r="O100" i="1"/>
  <c r="N100" i="1"/>
  <c r="L100" i="1"/>
  <c r="M100" i="1"/>
  <c r="P96" i="1"/>
  <c r="O96" i="1"/>
  <c r="N96" i="1"/>
  <c r="M96" i="1"/>
  <c r="L96" i="1"/>
  <c r="P92" i="1"/>
  <c r="O92" i="1"/>
  <c r="N92" i="1"/>
  <c r="L92" i="1"/>
  <c r="M92" i="1"/>
  <c r="P88" i="1"/>
  <c r="O88" i="1"/>
  <c r="N88" i="1"/>
  <c r="M88" i="1"/>
  <c r="L88" i="1"/>
  <c r="O84" i="1"/>
  <c r="P80" i="1"/>
  <c r="O80" i="1"/>
  <c r="N80" i="1"/>
  <c r="M80" i="1"/>
  <c r="L80" i="1"/>
  <c r="P76" i="1"/>
  <c r="O76" i="1"/>
  <c r="N76" i="1"/>
  <c r="L76" i="1"/>
  <c r="M76" i="1"/>
  <c r="P72" i="1"/>
  <c r="O72" i="1"/>
  <c r="N72" i="1"/>
  <c r="M72" i="1"/>
  <c r="L72" i="1"/>
  <c r="P68" i="1"/>
  <c r="O68" i="1"/>
  <c r="N68" i="1"/>
  <c r="L68" i="1"/>
  <c r="M68" i="1"/>
  <c r="P64" i="1"/>
  <c r="O64" i="1"/>
  <c r="N64" i="1"/>
  <c r="M64" i="1"/>
  <c r="L64" i="1"/>
  <c r="P60" i="1"/>
  <c r="N60" i="1"/>
  <c r="M60" i="1"/>
  <c r="P56" i="1"/>
  <c r="O56" i="1"/>
  <c r="N56" i="1"/>
  <c r="M56" i="1"/>
  <c r="L56" i="1"/>
  <c r="P52" i="1"/>
  <c r="O52" i="1"/>
  <c r="N52" i="1"/>
  <c r="L52" i="1"/>
  <c r="M52" i="1"/>
  <c r="O44" i="1"/>
  <c r="L44" i="1"/>
  <c r="P40" i="1"/>
  <c r="O40" i="1"/>
  <c r="N40" i="1"/>
  <c r="M40" i="1"/>
  <c r="L40" i="1"/>
  <c r="P36" i="1"/>
  <c r="O36" i="1"/>
  <c r="N36" i="1"/>
  <c r="L36" i="1"/>
  <c r="M36" i="1"/>
  <c r="P28" i="1"/>
  <c r="N28" i="1"/>
  <c r="L28" i="1"/>
  <c r="P24" i="1"/>
  <c r="O24" i="1"/>
  <c r="N24" i="1"/>
  <c r="M24" i="1"/>
  <c r="L24" i="1"/>
  <c r="P20" i="1"/>
  <c r="O20" i="1"/>
  <c r="N20" i="1"/>
  <c r="M20" i="1"/>
  <c r="L20" i="1"/>
  <c r="O12" i="1"/>
  <c r="M12" i="1"/>
  <c r="P8" i="1"/>
  <c r="O8" i="1"/>
  <c r="N8" i="1"/>
  <c r="M8" i="1"/>
  <c r="L8" i="1"/>
  <c r="P4" i="1"/>
  <c r="O4" i="1"/>
  <c r="N4" i="1"/>
  <c r="M4" i="1"/>
  <c r="L4" i="1"/>
  <c r="L995" i="1"/>
  <c r="P991" i="1"/>
  <c r="O991" i="1"/>
  <c r="N991" i="1"/>
  <c r="M991" i="1"/>
  <c r="L991" i="1"/>
  <c r="P987" i="1"/>
  <c r="O987" i="1"/>
  <c r="N987" i="1"/>
  <c r="M987" i="1"/>
  <c r="L987" i="1"/>
  <c r="M979" i="1"/>
  <c r="P975" i="1"/>
  <c r="O975" i="1"/>
  <c r="N975" i="1"/>
  <c r="M975" i="1"/>
  <c r="L975" i="1"/>
  <c r="P971" i="1"/>
  <c r="O971" i="1"/>
  <c r="N971" i="1"/>
  <c r="M971" i="1"/>
  <c r="L971" i="1"/>
  <c r="N963" i="1"/>
  <c r="L963" i="1"/>
  <c r="P959" i="1"/>
  <c r="O959" i="1"/>
  <c r="N959" i="1"/>
  <c r="M959" i="1"/>
  <c r="L959" i="1"/>
  <c r="P955" i="1"/>
  <c r="O955" i="1"/>
  <c r="N955" i="1"/>
  <c r="M955" i="1"/>
  <c r="L955" i="1"/>
  <c r="O947" i="1"/>
  <c r="M947" i="1"/>
  <c r="P943" i="1"/>
  <c r="O943" i="1"/>
  <c r="N943" i="1"/>
  <c r="M943" i="1"/>
  <c r="L943" i="1"/>
  <c r="P939" i="1"/>
  <c r="O939" i="1"/>
  <c r="N939" i="1"/>
  <c r="M939" i="1"/>
  <c r="L939" i="1"/>
  <c r="P931" i="1"/>
  <c r="N931" i="1"/>
  <c r="P927" i="1"/>
  <c r="O927" i="1"/>
  <c r="N927" i="1"/>
  <c r="M927" i="1"/>
  <c r="L927" i="1"/>
  <c r="P923" i="1"/>
  <c r="O923" i="1"/>
  <c r="N923" i="1"/>
  <c r="M923" i="1"/>
  <c r="L923" i="1"/>
  <c r="O915" i="1"/>
  <c r="P911" i="1"/>
  <c r="O911" i="1"/>
  <c r="N911" i="1"/>
  <c r="M911" i="1"/>
  <c r="L911" i="1"/>
  <c r="P907" i="1"/>
  <c r="O907" i="1"/>
  <c r="N907" i="1"/>
  <c r="M907" i="1"/>
  <c r="L907" i="1"/>
  <c r="P899" i="1"/>
  <c r="P895" i="1"/>
  <c r="O895" i="1"/>
  <c r="N895" i="1"/>
  <c r="M895" i="1"/>
  <c r="L895" i="1"/>
  <c r="P891" i="1"/>
  <c r="O891" i="1"/>
  <c r="N891" i="1"/>
  <c r="M891" i="1"/>
  <c r="L891" i="1"/>
  <c r="P879" i="1"/>
  <c r="O879" i="1"/>
  <c r="N879" i="1"/>
  <c r="M879" i="1"/>
  <c r="L879" i="1"/>
  <c r="P875" i="1"/>
  <c r="O875" i="1"/>
  <c r="N875" i="1"/>
  <c r="M875" i="1"/>
  <c r="L875" i="1"/>
  <c r="L867" i="1"/>
  <c r="P863" i="1"/>
  <c r="O863" i="1"/>
  <c r="N863" i="1"/>
  <c r="M863" i="1"/>
  <c r="L863" i="1"/>
  <c r="P859" i="1"/>
  <c r="O859" i="1"/>
  <c r="N859" i="1"/>
  <c r="M859" i="1"/>
  <c r="L859" i="1"/>
  <c r="P851" i="1"/>
  <c r="O851" i="1"/>
  <c r="N851" i="1"/>
  <c r="M851" i="1"/>
  <c r="L851" i="1"/>
  <c r="P847" i="1"/>
  <c r="O847" i="1"/>
  <c r="N847" i="1"/>
  <c r="M847" i="1"/>
  <c r="L847" i="1"/>
  <c r="P843" i="1"/>
  <c r="O843" i="1"/>
  <c r="N843" i="1"/>
  <c r="M843" i="1"/>
  <c r="L843" i="1"/>
  <c r="P839" i="1"/>
  <c r="O839" i="1"/>
  <c r="N839" i="1"/>
  <c r="M839" i="1"/>
  <c r="L839" i="1"/>
  <c r="P835" i="1"/>
  <c r="O835" i="1"/>
  <c r="N835" i="1"/>
  <c r="M835" i="1"/>
  <c r="L835" i="1"/>
  <c r="P831" i="1"/>
  <c r="O831" i="1"/>
  <c r="N831" i="1"/>
  <c r="M831" i="1"/>
  <c r="L831" i="1"/>
  <c r="P827" i="1"/>
  <c r="O827" i="1"/>
  <c r="N827" i="1"/>
  <c r="M827" i="1"/>
  <c r="L827" i="1"/>
  <c r="P815" i="1"/>
  <c r="O815" i="1"/>
  <c r="N815" i="1"/>
  <c r="M815" i="1"/>
  <c r="L815" i="1"/>
  <c r="P811" i="1"/>
  <c r="O811" i="1"/>
  <c r="N811" i="1"/>
  <c r="M811" i="1"/>
  <c r="L811" i="1"/>
  <c r="P807" i="1"/>
  <c r="O807" i="1"/>
  <c r="N807" i="1"/>
  <c r="M807" i="1"/>
  <c r="L807" i="1"/>
  <c r="P803" i="1"/>
  <c r="O803" i="1"/>
  <c r="N803" i="1"/>
  <c r="M803" i="1"/>
  <c r="L803" i="1"/>
  <c r="P799" i="1"/>
  <c r="O799" i="1"/>
  <c r="N799" i="1"/>
  <c r="M799" i="1"/>
  <c r="L799" i="1"/>
  <c r="P795" i="1"/>
  <c r="O795" i="1"/>
  <c r="N795" i="1"/>
  <c r="M795" i="1"/>
  <c r="L795" i="1"/>
  <c r="P787" i="1"/>
  <c r="O787" i="1"/>
  <c r="N787" i="1"/>
  <c r="M787" i="1"/>
  <c r="L787" i="1"/>
  <c r="P783" i="1"/>
  <c r="O783" i="1"/>
  <c r="N783" i="1"/>
  <c r="M783" i="1"/>
  <c r="L783" i="1"/>
  <c r="P779" i="1"/>
  <c r="O779" i="1"/>
  <c r="N779" i="1"/>
  <c r="M779" i="1"/>
  <c r="L779" i="1"/>
  <c r="P775" i="1"/>
  <c r="O775" i="1"/>
  <c r="N775" i="1"/>
  <c r="M775" i="1"/>
  <c r="L775" i="1"/>
  <c r="P771" i="1"/>
  <c r="O771" i="1"/>
  <c r="N771" i="1"/>
  <c r="M771" i="1"/>
  <c r="L771" i="1"/>
  <c r="P767" i="1"/>
  <c r="O767" i="1"/>
  <c r="N767" i="1"/>
  <c r="M767" i="1"/>
  <c r="L767" i="1"/>
  <c r="P763" i="1"/>
  <c r="O763" i="1"/>
  <c r="N763" i="1"/>
  <c r="M763" i="1"/>
  <c r="L763" i="1"/>
  <c r="P751" i="1"/>
  <c r="O751" i="1"/>
  <c r="N751" i="1"/>
  <c r="M751" i="1"/>
  <c r="L751" i="1"/>
  <c r="P747" i="1"/>
  <c r="O747" i="1"/>
  <c r="N747" i="1"/>
  <c r="M747" i="1"/>
  <c r="L747" i="1"/>
  <c r="P743" i="1"/>
  <c r="O743" i="1"/>
  <c r="N743" i="1"/>
  <c r="M743" i="1"/>
  <c r="L743" i="1"/>
  <c r="P739" i="1"/>
  <c r="O739" i="1"/>
  <c r="N739" i="1"/>
  <c r="M739" i="1"/>
  <c r="L739" i="1"/>
  <c r="P735" i="1"/>
  <c r="O735" i="1"/>
  <c r="N735" i="1"/>
  <c r="M735" i="1"/>
  <c r="L735" i="1"/>
  <c r="P731" i="1"/>
  <c r="O731" i="1"/>
  <c r="N731" i="1"/>
  <c r="M731" i="1"/>
  <c r="L731" i="1"/>
  <c r="P723" i="1"/>
  <c r="O723" i="1"/>
  <c r="N723" i="1"/>
  <c r="M723" i="1"/>
  <c r="L723" i="1"/>
  <c r="P719" i="1"/>
  <c r="O719" i="1"/>
  <c r="N719" i="1"/>
  <c r="M719" i="1"/>
  <c r="L719" i="1"/>
  <c r="P715" i="1"/>
  <c r="O715" i="1"/>
  <c r="N715" i="1"/>
  <c r="M715" i="1"/>
  <c r="L715" i="1"/>
  <c r="P711" i="1"/>
  <c r="O711" i="1"/>
  <c r="N711" i="1"/>
  <c r="M711" i="1"/>
  <c r="L711" i="1"/>
  <c r="P707" i="1"/>
  <c r="O707" i="1"/>
  <c r="N707" i="1"/>
  <c r="M707" i="1"/>
  <c r="L707" i="1"/>
  <c r="P703" i="1"/>
  <c r="O703" i="1"/>
  <c r="N703" i="1"/>
  <c r="M703" i="1"/>
  <c r="L703" i="1"/>
  <c r="P699" i="1"/>
  <c r="O699" i="1"/>
  <c r="N699" i="1"/>
  <c r="M699" i="1"/>
  <c r="L699" i="1"/>
  <c r="P687" i="1"/>
  <c r="O687" i="1"/>
  <c r="N687" i="1"/>
  <c r="M687" i="1"/>
  <c r="L687" i="1"/>
  <c r="P683" i="1"/>
  <c r="O683" i="1"/>
  <c r="N683" i="1"/>
  <c r="M683" i="1"/>
  <c r="L683" i="1"/>
  <c r="P679" i="1"/>
  <c r="O679" i="1"/>
  <c r="N679" i="1"/>
  <c r="M679" i="1"/>
  <c r="L679" i="1"/>
  <c r="P675" i="1"/>
  <c r="O675" i="1"/>
  <c r="N675" i="1"/>
  <c r="M675" i="1"/>
  <c r="L675" i="1"/>
  <c r="P671" i="1"/>
  <c r="O671" i="1"/>
  <c r="N671" i="1"/>
  <c r="M671" i="1"/>
  <c r="L671" i="1"/>
  <c r="P667" i="1"/>
  <c r="O667" i="1"/>
  <c r="N667" i="1"/>
  <c r="M667" i="1"/>
  <c r="L667" i="1"/>
  <c r="P659" i="1"/>
  <c r="O659" i="1"/>
  <c r="N659" i="1"/>
  <c r="M659" i="1"/>
  <c r="L659" i="1"/>
  <c r="P655" i="1"/>
  <c r="O655" i="1"/>
  <c r="N655" i="1"/>
  <c r="M655" i="1"/>
  <c r="L655" i="1"/>
  <c r="P651" i="1"/>
  <c r="O651" i="1"/>
  <c r="N651" i="1"/>
  <c r="M651" i="1"/>
  <c r="L651" i="1"/>
  <c r="P647" i="1"/>
  <c r="O647" i="1"/>
  <c r="N647" i="1"/>
  <c r="M647" i="1"/>
  <c r="L647" i="1"/>
  <c r="P643" i="1"/>
  <c r="O643" i="1"/>
  <c r="N643" i="1"/>
  <c r="M643" i="1"/>
  <c r="L643" i="1"/>
  <c r="P639" i="1"/>
  <c r="O639" i="1"/>
  <c r="N639" i="1"/>
  <c r="M639" i="1"/>
  <c r="L639" i="1"/>
  <c r="P635" i="1"/>
  <c r="O635" i="1"/>
  <c r="N635" i="1"/>
  <c r="M635" i="1"/>
  <c r="L635" i="1"/>
  <c r="P623" i="1"/>
  <c r="O623" i="1"/>
  <c r="N623" i="1"/>
  <c r="M623" i="1"/>
  <c r="L623" i="1"/>
  <c r="P619" i="1"/>
  <c r="O619" i="1"/>
  <c r="N619" i="1"/>
  <c r="M619" i="1"/>
  <c r="L619" i="1"/>
  <c r="P615" i="1"/>
  <c r="O615" i="1"/>
  <c r="N615" i="1"/>
  <c r="M615" i="1"/>
  <c r="L615" i="1"/>
  <c r="P611" i="1"/>
  <c r="O611" i="1"/>
  <c r="N611" i="1"/>
  <c r="M611" i="1"/>
  <c r="L611" i="1"/>
  <c r="P607" i="1"/>
  <c r="O607" i="1"/>
  <c r="N607" i="1"/>
  <c r="M607" i="1"/>
  <c r="L607" i="1"/>
  <c r="P603" i="1"/>
  <c r="O603" i="1"/>
  <c r="N603" i="1"/>
  <c r="M603" i="1"/>
  <c r="L603" i="1"/>
  <c r="P595" i="1"/>
  <c r="O595" i="1"/>
  <c r="N595" i="1"/>
  <c r="M595" i="1"/>
  <c r="L595" i="1"/>
  <c r="P591" i="1"/>
  <c r="O591" i="1"/>
  <c r="N591" i="1"/>
  <c r="M591" i="1"/>
  <c r="L591" i="1"/>
  <c r="P587" i="1"/>
  <c r="O587" i="1"/>
  <c r="N587" i="1"/>
  <c r="M587" i="1"/>
  <c r="L587" i="1"/>
  <c r="P583" i="1"/>
  <c r="O583" i="1"/>
  <c r="N583" i="1"/>
  <c r="M583" i="1"/>
  <c r="L583" i="1"/>
  <c r="P579" i="1"/>
  <c r="O579" i="1"/>
  <c r="N579" i="1"/>
  <c r="M579" i="1"/>
  <c r="L579" i="1"/>
  <c r="P575" i="1"/>
  <c r="O575" i="1"/>
  <c r="N575" i="1"/>
  <c r="M575" i="1"/>
  <c r="L575" i="1"/>
  <c r="P571" i="1"/>
  <c r="O571" i="1"/>
  <c r="N571" i="1"/>
  <c r="M571" i="1"/>
  <c r="L571" i="1"/>
  <c r="P567" i="1"/>
  <c r="O567" i="1"/>
  <c r="N567" i="1"/>
  <c r="M567" i="1"/>
  <c r="L567" i="1"/>
  <c r="P563" i="1"/>
  <c r="O563" i="1"/>
  <c r="N563" i="1"/>
  <c r="M563" i="1"/>
  <c r="L563" i="1"/>
  <c r="P559" i="1"/>
  <c r="O559" i="1"/>
  <c r="N559" i="1"/>
  <c r="M559" i="1"/>
  <c r="L559" i="1"/>
  <c r="P555" i="1"/>
  <c r="O555" i="1"/>
  <c r="N555" i="1"/>
  <c r="M555" i="1"/>
  <c r="L555" i="1"/>
  <c r="P551" i="1"/>
  <c r="O551" i="1"/>
  <c r="N551" i="1"/>
  <c r="M551" i="1"/>
  <c r="L551" i="1"/>
  <c r="P547" i="1"/>
  <c r="O547" i="1"/>
  <c r="N547" i="1"/>
  <c r="M547" i="1"/>
  <c r="L547" i="1"/>
  <c r="P543" i="1"/>
  <c r="O543" i="1"/>
  <c r="N543" i="1"/>
  <c r="M543" i="1"/>
  <c r="L543" i="1"/>
  <c r="P539" i="1"/>
  <c r="O539" i="1"/>
  <c r="N539" i="1"/>
  <c r="M539" i="1"/>
  <c r="L539" i="1"/>
  <c r="P535" i="1"/>
  <c r="O535" i="1"/>
  <c r="N535" i="1"/>
  <c r="M535" i="1"/>
  <c r="L535" i="1"/>
  <c r="P531" i="1"/>
  <c r="O531" i="1"/>
  <c r="N531" i="1"/>
  <c r="M531" i="1"/>
  <c r="L531" i="1"/>
  <c r="P527" i="1"/>
  <c r="O527" i="1"/>
  <c r="N527" i="1"/>
  <c r="M527" i="1"/>
  <c r="L527" i="1"/>
  <c r="P523" i="1"/>
  <c r="O523" i="1"/>
  <c r="N523" i="1"/>
  <c r="M523" i="1"/>
  <c r="L523" i="1"/>
  <c r="P519" i="1"/>
  <c r="O519" i="1"/>
  <c r="N519" i="1"/>
  <c r="M519" i="1"/>
  <c r="L519" i="1"/>
  <c r="P515" i="1"/>
  <c r="O515" i="1"/>
  <c r="N515" i="1"/>
  <c r="M515" i="1"/>
  <c r="L515" i="1"/>
  <c r="P511" i="1"/>
  <c r="O511" i="1"/>
  <c r="N511" i="1"/>
  <c r="M511" i="1"/>
  <c r="L511" i="1"/>
  <c r="P507" i="1"/>
  <c r="O507" i="1"/>
  <c r="N507" i="1"/>
  <c r="M507" i="1"/>
  <c r="L507" i="1"/>
  <c r="P503" i="1"/>
  <c r="O503" i="1"/>
  <c r="N503" i="1"/>
  <c r="M503" i="1"/>
  <c r="L503" i="1"/>
  <c r="P499" i="1"/>
  <c r="O499" i="1"/>
  <c r="N499" i="1"/>
  <c r="M499" i="1"/>
  <c r="L499" i="1"/>
  <c r="P495" i="1"/>
  <c r="O495" i="1"/>
  <c r="N495" i="1"/>
  <c r="M495" i="1"/>
  <c r="L495" i="1"/>
  <c r="P491" i="1"/>
  <c r="O491" i="1"/>
  <c r="N491" i="1"/>
  <c r="M491" i="1"/>
  <c r="L491" i="1"/>
  <c r="P487" i="1"/>
  <c r="O487" i="1"/>
  <c r="N487" i="1"/>
  <c r="M487" i="1"/>
  <c r="L487" i="1"/>
  <c r="P483" i="1"/>
  <c r="O483" i="1"/>
  <c r="N483" i="1"/>
  <c r="M483" i="1"/>
  <c r="L483" i="1"/>
  <c r="P479" i="1"/>
  <c r="O479" i="1"/>
  <c r="N479" i="1"/>
  <c r="M479" i="1"/>
  <c r="L479" i="1"/>
  <c r="P475" i="1"/>
  <c r="O475" i="1"/>
  <c r="N475" i="1"/>
  <c r="M475" i="1"/>
  <c r="L475" i="1"/>
  <c r="P471" i="1"/>
  <c r="O471" i="1"/>
  <c r="N471" i="1"/>
  <c r="M471" i="1"/>
  <c r="L471" i="1"/>
  <c r="P467" i="1"/>
  <c r="O467" i="1"/>
  <c r="N467" i="1"/>
  <c r="M467" i="1"/>
  <c r="L467" i="1"/>
  <c r="P463" i="1"/>
  <c r="O463" i="1"/>
  <c r="N463" i="1"/>
  <c r="M463" i="1"/>
  <c r="L463" i="1"/>
  <c r="P459" i="1"/>
  <c r="O459" i="1"/>
  <c r="N459" i="1"/>
  <c r="M459" i="1"/>
  <c r="L459" i="1"/>
  <c r="P455" i="1"/>
  <c r="O455" i="1"/>
  <c r="N455" i="1"/>
  <c r="M455" i="1"/>
  <c r="L455" i="1"/>
  <c r="P451" i="1"/>
  <c r="O451" i="1"/>
  <c r="N451" i="1"/>
  <c r="M451" i="1"/>
  <c r="L451" i="1"/>
  <c r="P447" i="1"/>
  <c r="O447" i="1"/>
  <c r="N447" i="1"/>
  <c r="M447" i="1"/>
  <c r="L447" i="1"/>
  <c r="P443" i="1"/>
  <c r="O443" i="1"/>
  <c r="N443" i="1"/>
  <c r="M443" i="1"/>
  <c r="L443" i="1"/>
  <c r="P439" i="1"/>
  <c r="O439" i="1"/>
  <c r="N439" i="1"/>
  <c r="M439" i="1"/>
  <c r="L439" i="1"/>
  <c r="P435" i="1"/>
  <c r="O435" i="1"/>
  <c r="N435" i="1"/>
  <c r="M435" i="1"/>
  <c r="L435" i="1"/>
  <c r="P431" i="1"/>
  <c r="O431" i="1"/>
  <c r="N431" i="1"/>
  <c r="M431" i="1"/>
  <c r="L431" i="1"/>
  <c r="P427" i="1"/>
  <c r="O427" i="1"/>
  <c r="N427" i="1"/>
  <c r="M427" i="1"/>
  <c r="L427" i="1"/>
  <c r="P423" i="1"/>
  <c r="O423" i="1"/>
  <c r="N423" i="1"/>
  <c r="M423" i="1"/>
  <c r="L423" i="1"/>
  <c r="P419" i="1"/>
  <c r="O419" i="1"/>
  <c r="N419" i="1"/>
  <c r="M419" i="1"/>
  <c r="L419" i="1"/>
  <c r="P415" i="1"/>
  <c r="O415" i="1"/>
  <c r="N415" i="1"/>
  <c r="M415" i="1"/>
  <c r="L415" i="1"/>
  <c r="P411" i="1"/>
  <c r="O411" i="1"/>
  <c r="N411" i="1"/>
  <c r="M411" i="1"/>
  <c r="L411" i="1"/>
  <c r="P407" i="1"/>
  <c r="O407" i="1"/>
  <c r="N407" i="1"/>
  <c r="M407" i="1"/>
  <c r="L407" i="1"/>
  <c r="P403" i="1"/>
  <c r="O403" i="1"/>
  <c r="N403" i="1"/>
  <c r="M403" i="1"/>
  <c r="L403" i="1"/>
  <c r="P399" i="1"/>
  <c r="O399" i="1"/>
  <c r="N399" i="1"/>
  <c r="M399" i="1"/>
  <c r="L399" i="1"/>
  <c r="P395" i="1"/>
  <c r="O395" i="1"/>
  <c r="N395" i="1"/>
  <c r="M395" i="1"/>
  <c r="L395" i="1"/>
  <c r="P391" i="1"/>
  <c r="O391" i="1"/>
  <c r="N391" i="1"/>
  <c r="M391" i="1"/>
  <c r="L391" i="1"/>
  <c r="P387" i="1"/>
  <c r="O387" i="1"/>
  <c r="N387" i="1"/>
  <c r="M387" i="1"/>
  <c r="L387" i="1"/>
  <c r="P383" i="1"/>
  <c r="O383" i="1"/>
  <c r="N383" i="1"/>
  <c r="M383" i="1"/>
  <c r="L383" i="1"/>
  <c r="P379" i="1"/>
  <c r="O379" i="1"/>
  <c r="N379" i="1"/>
  <c r="M379" i="1"/>
  <c r="L379" i="1"/>
  <c r="P375" i="1"/>
  <c r="O375" i="1"/>
  <c r="N375" i="1"/>
  <c r="M375" i="1"/>
  <c r="L375" i="1"/>
  <c r="P371" i="1"/>
  <c r="O371" i="1"/>
  <c r="N371" i="1"/>
  <c r="M371" i="1"/>
  <c r="L371" i="1"/>
  <c r="P367" i="1"/>
  <c r="O367" i="1"/>
  <c r="N367" i="1"/>
  <c r="M367" i="1"/>
  <c r="L367" i="1"/>
  <c r="P363" i="1"/>
  <c r="O363" i="1"/>
  <c r="N363" i="1"/>
  <c r="M363" i="1"/>
  <c r="L363" i="1"/>
  <c r="P359" i="1"/>
  <c r="O359" i="1"/>
  <c r="N359" i="1"/>
  <c r="M359" i="1"/>
  <c r="L359" i="1"/>
  <c r="P355" i="1"/>
  <c r="O355" i="1"/>
  <c r="N355" i="1"/>
  <c r="M355" i="1"/>
  <c r="L355" i="1"/>
  <c r="P351" i="1"/>
  <c r="O351" i="1"/>
  <c r="N351" i="1"/>
  <c r="M351" i="1"/>
  <c r="L351" i="1"/>
  <c r="P347" i="1"/>
  <c r="O347" i="1"/>
  <c r="N347" i="1"/>
  <c r="M347" i="1"/>
  <c r="L347" i="1"/>
  <c r="P343" i="1"/>
  <c r="O343" i="1"/>
  <c r="N343" i="1"/>
  <c r="M343" i="1"/>
  <c r="L343" i="1"/>
  <c r="O339" i="1"/>
  <c r="M339" i="1"/>
  <c r="P335" i="1"/>
  <c r="O335" i="1"/>
  <c r="N335" i="1"/>
  <c r="M335" i="1"/>
  <c r="L335" i="1"/>
  <c r="O331" i="1"/>
  <c r="M331" i="1"/>
  <c r="P327" i="1"/>
  <c r="O327" i="1"/>
  <c r="N327" i="1"/>
  <c r="M327" i="1"/>
  <c r="L327" i="1"/>
  <c r="P323" i="1"/>
  <c r="O323" i="1"/>
  <c r="N323" i="1"/>
  <c r="M323" i="1"/>
  <c r="L323" i="1"/>
  <c r="O319" i="1"/>
  <c r="P315" i="1"/>
  <c r="O315" i="1"/>
  <c r="N315" i="1"/>
  <c r="M315" i="1"/>
  <c r="L315" i="1"/>
  <c r="P311" i="1"/>
  <c r="O311" i="1"/>
  <c r="N311" i="1"/>
  <c r="M311" i="1"/>
  <c r="L311" i="1"/>
  <c r="P307" i="1"/>
  <c r="O307" i="1"/>
  <c r="N307" i="1"/>
  <c r="M307" i="1"/>
  <c r="L307" i="1"/>
  <c r="P303" i="1"/>
  <c r="O303" i="1"/>
  <c r="N303" i="1"/>
  <c r="M303" i="1"/>
  <c r="L303" i="1"/>
  <c r="P299" i="1"/>
  <c r="O299" i="1"/>
  <c r="N299" i="1"/>
  <c r="M299" i="1"/>
  <c r="L299" i="1"/>
  <c r="P295" i="1"/>
  <c r="O295" i="1"/>
  <c r="N295" i="1"/>
  <c r="M295" i="1"/>
  <c r="L295" i="1"/>
  <c r="P291" i="1"/>
  <c r="O291" i="1"/>
  <c r="N291" i="1"/>
  <c r="M291" i="1"/>
  <c r="L291" i="1"/>
  <c r="O287" i="1"/>
  <c r="P283" i="1"/>
  <c r="O283" i="1"/>
  <c r="N283" i="1"/>
  <c r="M283" i="1"/>
  <c r="L283" i="1"/>
  <c r="P279" i="1"/>
  <c r="O279" i="1"/>
  <c r="N279" i="1"/>
  <c r="M279" i="1"/>
  <c r="L279" i="1"/>
  <c r="P275" i="1"/>
  <c r="O275" i="1"/>
  <c r="N275" i="1"/>
  <c r="M275" i="1"/>
  <c r="L275" i="1"/>
  <c r="P271" i="1"/>
  <c r="O271" i="1"/>
  <c r="N271" i="1"/>
  <c r="M271" i="1"/>
  <c r="L271" i="1"/>
  <c r="O267" i="1"/>
  <c r="M267" i="1"/>
  <c r="P263" i="1"/>
  <c r="O263" i="1"/>
  <c r="N263" i="1"/>
  <c r="M263" i="1"/>
  <c r="L263" i="1"/>
  <c r="P259" i="1"/>
  <c r="O259" i="1"/>
  <c r="N259" i="1"/>
  <c r="M259" i="1"/>
  <c r="L259" i="1"/>
  <c r="P251" i="1"/>
  <c r="O251" i="1"/>
  <c r="N251" i="1"/>
  <c r="M251" i="1"/>
  <c r="L251" i="1"/>
  <c r="P247" i="1"/>
  <c r="O247" i="1"/>
  <c r="N247" i="1"/>
  <c r="M247" i="1"/>
  <c r="L247" i="1"/>
  <c r="P243" i="1"/>
  <c r="O243" i="1"/>
  <c r="N243" i="1"/>
  <c r="M243" i="1"/>
  <c r="L243" i="1"/>
  <c r="P239" i="1"/>
  <c r="O239" i="1"/>
  <c r="N239" i="1"/>
  <c r="M239" i="1"/>
  <c r="L239" i="1"/>
  <c r="P235" i="1"/>
  <c r="O235" i="1"/>
  <c r="N235" i="1"/>
  <c r="M235" i="1"/>
  <c r="L235" i="1"/>
  <c r="P231" i="1"/>
  <c r="O231" i="1"/>
  <c r="N231" i="1"/>
  <c r="M231" i="1"/>
  <c r="L231" i="1"/>
  <c r="P227" i="1"/>
  <c r="O227" i="1"/>
  <c r="N227" i="1"/>
  <c r="M227" i="1"/>
  <c r="L227" i="1"/>
  <c r="P219" i="1"/>
  <c r="O219" i="1"/>
  <c r="N219" i="1"/>
  <c r="M219" i="1"/>
  <c r="L219" i="1"/>
  <c r="P215" i="1"/>
  <c r="O215" i="1"/>
  <c r="N215" i="1"/>
  <c r="M215" i="1"/>
  <c r="L215" i="1"/>
  <c r="O211" i="1"/>
  <c r="M211" i="1"/>
  <c r="P207" i="1"/>
  <c r="O207" i="1"/>
  <c r="N207" i="1"/>
  <c r="M207" i="1"/>
  <c r="L207" i="1"/>
  <c r="O203" i="1"/>
  <c r="M203" i="1"/>
  <c r="P199" i="1"/>
  <c r="O199" i="1"/>
  <c r="N199" i="1"/>
  <c r="M199" i="1"/>
  <c r="L199" i="1"/>
  <c r="P195" i="1"/>
  <c r="O195" i="1"/>
  <c r="N195" i="1"/>
  <c r="M195" i="1"/>
  <c r="L195" i="1"/>
  <c r="P187" i="1"/>
  <c r="O187" i="1"/>
  <c r="N187" i="1"/>
  <c r="M187" i="1"/>
  <c r="L187" i="1"/>
  <c r="P183" i="1"/>
  <c r="O183" i="1"/>
  <c r="N183" i="1"/>
  <c r="M183" i="1"/>
  <c r="L183" i="1"/>
  <c r="P179" i="1"/>
  <c r="O179" i="1"/>
  <c r="N179" i="1"/>
  <c r="M179" i="1"/>
  <c r="L179" i="1"/>
  <c r="P175" i="1"/>
  <c r="O175" i="1"/>
  <c r="N175" i="1"/>
  <c r="M175" i="1"/>
  <c r="L175" i="1"/>
  <c r="P171" i="1"/>
  <c r="O171" i="1"/>
  <c r="N171" i="1"/>
  <c r="M171" i="1"/>
  <c r="L171" i="1"/>
  <c r="P167" i="1"/>
  <c r="O167" i="1"/>
  <c r="N167" i="1"/>
  <c r="M167" i="1"/>
  <c r="L167" i="1"/>
  <c r="P163" i="1"/>
  <c r="O163" i="1"/>
  <c r="N163" i="1"/>
  <c r="M163" i="1"/>
  <c r="L163" i="1"/>
  <c r="P155" i="1"/>
  <c r="O155" i="1"/>
  <c r="N155" i="1"/>
  <c r="M155" i="1"/>
  <c r="L155" i="1"/>
  <c r="P151" i="1"/>
  <c r="O151" i="1"/>
  <c r="N151" i="1"/>
  <c r="M151" i="1"/>
  <c r="L151" i="1"/>
  <c r="P147" i="1"/>
  <c r="O147" i="1"/>
  <c r="N147" i="1"/>
  <c r="M147" i="1"/>
  <c r="L147" i="1"/>
  <c r="P143" i="1"/>
  <c r="O143" i="1"/>
  <c r="N143" i="1"/>
  <c r="M143" i="1"/>
  <c r="L143" i="1"/>
  <c r="O139" i="1"/>
  <c r="M139" i="1"/>
  <c r="P135" i="1"/>
  <c r="O135" i="1"/>
  <c r="N135" i="1"/>
  <c r="M135" i="1"/>
  <c r="L135" i="1"/>
  <c r="P131" i="1"/>
  <c r="O131" i="1"/>
  <c r="N131" i="1"/>
  <c r="M131" i="1"/>
  <c r="L131" i="1"/>
  <c r="O127" i="1"/>
  <c r="P123" i="1"/>
  <c r="O123" i="1"/>
  <c r="N123" i="1"/>
  <c r="M123" i="1"/>
  <c r="L123" i="1"/>
  <c r="P119" i="1"/>
  <c r="O119" i="1"/>
  <c r="N119" i="1"/>
  <c r="M119" i="1"/>
  <c r="L119" i="1"/>
  <c r="P115" i="1"/>
  <c r="O115" i="1"/>
  <c r="N115" i="1"/>
  <c r="M115" i="1"/>
  <c r="L115" i="1"/>
  <c r="P111" i="1"/>
  <c r="O111" i="1"/>
  <c r="N111" i="1"/>
  <c r="M111" i="1"/>
  <c r="L111" i="1"/>
  <c r="P107" i="1"/>
  <c r="O107" i="1"/>
  <c r="N107" i="1"/>
  <c r="M107" i="1"/>
  <c r="L107" i="1"/>
  <c r="P103" i="1"/>
  <c r="O103" i="1"/>
  <c r="N103" i="1"/>
  <c r="M103" i="1"/>
  <c r="L103" i="1"/>
  <c r="P99" i="1"/>
  <c r="O99" i="1"/>
  <c r="N99" i="1"/>
  <c r="M99" i="1"/>
  <c r="L99" i="1"/>
  <c r="O95" i="1"/>
  <c r="P91" i="1"/>
  <c r="O91" i="1"/>
  <c r="N91" i="1"/>
  <c r="M91" i="1"/>
  <c r="L91" i="1"/>
  <c r="P87" i="1"/>
  <c r="O87" i="1"/>
  <c r="N87" i="1"/>
  <c r="M87" i="1"/>
  <c r="L87" i="1"/>
  <c r="O83" i="1"/>
  <c r="M83" i="1"/>
  <c r="P79" i="1"/>
  <c r="O79" i="1"/>
  <c r="N79" i="1"/>
  <c r="M79" i="1"/>
  <c r="L79" i="1"/>
  <c r="O75" i="1"/>
  <c r="M75" i="1"/>
  <c r="P71" i="1"/>
  <c r="O71" i="1"/>
  <c r="N71" i="1"/>
  <c r="M71" i="1"/>
  <c r="L71" i="1"/>
  <c r="P67" i="1"/>
  <c r="O67" i="1"/>
  <c r="N67" i="1"/>
  <c r="M67" i="1"/>
  <c r="L67" i="1"/>
  <c r="O63" i="1"/>
  <c r="P59" i="1"/>
  <c r="O59" i="1"/>
  <c r="N59" i="1"/>
  <c r="M59" i="1"/>
  <c r="L59" i="1"/>
  <c r="P55" i="1"/>
  <c r="N55" i="1"/>
  <c r="L55" i="1"/>
  <c r="P51" i="1"/>
  <c r="O51" i="1"/>
  <c r="N51" i="1"/>
  <c r="M51" i="1"/>
  <c r="L51" i="1"/>
  <c r="P47" i="1"/>
  <c r="O47" i="1"/>
  <c r="N47" i="1"/>
  <c r="M47" i="1"/>
  <c r="L47" i="1"/>
  <c r="P43" i="1"/>
  <c r="O43" i="1"/>
  <c r="N43" i="1"/>
  <c r="M43" i="1"/>
  <c r="L43" i="1"/>
  <c r="P39" i="1"/>
  <c r="O39" i="1"/>
  <c r="N39" i="1"/>
  <c r="M39" i="1"/>
  <c r="L39" i="1"/>
  <c r="P35" i="1"/>
  <c r="O35" i="1"/>
  <c r="N35" i="1"/>
  <c r="M35" i="1"/>
  <c r="L35" i="1"/>
  <c r="O31" i="1"/>
  <c r="P27" i="1"/>
  <c r="O27" i="1"/>
  <c r="N27" i="1"/>
  <c r="M27" i="1"/>
  <c r="L27" i="1"/>
  <c r="P23" i="1"/>
  <c r="N23" i="1"/>
  <c r="L23" i="1"/>
  <c r="P19" i="1"/>
  <c r="O19" i="1"/>
  <c r="N19" i="1"/>
  <c r="M19" i="1"/>
  <c r="L19" i="1"/>
  <c r="P15" i="1"/>
  <c r="O15" i="1"/>
  <c r="N15" i="1"/>
  <c r="M15" i="1"/>
  <c r="L15" i="1"/>
  <c r="P11" i="1"/>
  <c r="O11" i="1"/>
  <c r="N11" i="1"/>
  <c r="M11" i="1"/>
  <c r="L11" i="1"/>
  <c r="P7" i="1"/>
  <c r="O7" i="1"/>
  <c r="N7" i="1"/>
  <c r="M7" i="1"/>
  <c r="L7" i="1"/>
  <c r="P998" i="1"/>
  <c r="O998" i="1"/>
  <c r="N998" i="1"/>
  <c r="M998" i="1"/>
  <c r="L998" i="1"/>
  <c r="P994" i="1"/>
  <c r="O994" i="1"/>
  <c r="N994" i="1"/>
  <c r="M994" i="1"/>
  <c r="L994" i="1"/>
  <c r="P990" i="1"/>
  <c r="O990" i="1"/>
  <c r="N990" i="1"/>
  <c r="M990" i="1"/>
  <c r="L990" i="1"/>
  <c r="P986" i="1"/>
  <c r="O986" i="1"/>
  <c r="N986" i="1"/>
  <c r="M986" i="1"/>
  <c r="L986" i="1"/>
  <c r="P982" i="1"/>
  <c r="O982" i="1"/>
  <c r="N982" i="1"/>
  <c r="M982" i="1"/>
  <c r="L982" i="1"/>
  <c r="P978" i="1"/>
  <c r="O978" i="1"/>
  <c r="N978" i="1"/>
  <c r="M978" i="1"/>
  <c r="L978" i="1"/>
  <c r="P974" i="1"/>
  <c r="O974" i="1"/>
  <c r="N974" i="1"/>
  <c r="M974" i="1"/>
  <c r="L974" i="1"/>
  <c r="P970" i="1"/>
  <c r="O970" i="1"/>
  <c r="N970" i="1"/>
  <c r="M970" i="1"/>
  <c r="L970" i="1"/>
  <c r="P966" i="1"/>
  <c r="O966" i="1"/>
  <c r="N966" i="1"/>
  <c r="M966" i="1"/>
  <c r="L966" i="1"/>
  <c r="P962" i="1"/>
  <c r="O962" i="1"/>
  <c r="N962" i="1"/>
  <c r="M962" i="1"/>
  <c r="L962" i="1"/>
  <c r="O958" i="1"/>
  <c r="M958" i="1"/>
  <c r="P954" i="1"/>
  <c r="O954" i="1"/>
  <c r="N954" i="1"/>
  <c r="M954" i="1"/>
  <c r="L954" i="1"/>
  <c r="P950" i="1"/>
  <c r="O950" i="1"/>
  <c r="N950" i="1"/>
  <c r="M950" i="1"/>
  <c r="L950" i="1"/>
  <c r="P946" i="1"/>
  <c r="O946" i="1"/>
  <c r="N946" i="1"/>
  <c r="M946" i="1"/>
  <c r="L946" i="1"/>
  <c r="P942" i="1"/>
  <c r="L942" i="1"/>
  <c r="P938" i="1"/>
  <c r="O938" i="1"/>
  <c r="N938" i="1"/>
  <c r="M938" i="1"/>
  <c r="L938" i="1"/>
  <c r="P934" i="1"/>
  <c r="O934" i="1"/>
  <c r="N934" i="1"/>
  <c r="M934" i="1"/>
  <c r="L934" i="1"/>
  <c r="P930" i="1"/>
  <c r="O930" i="1"/>
  <c r="N930" i="1"/>
  <c r="M930" i="1"/>
  <c r="L930" i="1"/>
  <c r="P926" i="1"/>
  <c r="O926" i="1"/>
  <c r="N926" i="1"/>
  <c r="M926" i="1"/>
  <c r="L926" i="1"/>
  <c r="P922" i="1"/>
  <c r="O922" i="1"/>
  <c r="N922" i="1"/>
  <c r="M922" i="1"/>
  <c r="L922" i="1"/>
  <c r="P918" i="1"/>
  <c r="O918" i="1"/>
  <c r="N918" i="1"/>
  <c r="M918" i="1"/>
  <c r="L918" i="1"/>
  <c r="P914" i="1"/>
  <c r="O914" i="1"/>
  <c r="N914" i="1"/>
  <c r="M914" i="1"/>
  <c r="L914" i="1"/>
  <c r="P910" i="1"/>
  <c r="O910" i="1"/>
  <c r="N910" i="1"/>
  <c r="M910" i="1"/>
  <c r="L910" i="1"/>
  <c r="P906" i="1"/>
  <c r="O906" i="1"/>
  <c r="N906" i="1"/>
  <c r="M906" i="1"/>
  <c r="L906" i="1"/>
  <c r="P902" i="1"/>
  <c r="O902" i="1"/>
  <c r="N902" i="1"/>
  <c r="M902" i="1"/>
  <c r="L902" i="1"/>
  <c r="P898" i="1"/>
  <c r="O898" i="1"/>
  <c r="N898" i="1"/>
  <c r="M898" i="1"/>
  <c r="L898" i="1"/>
  <c r="P894" i="1"/>
  <c r="N894" i="1"/>
  <c r="L894" i="1"/>
  <c r="P890" i="1"/>
  <c r="O890" i="1"/>
  <c r="N890" i="1"/>
  <c r="M890" i="1"/>
  <c r="L890" i="1"/>
  <c r="P886" i="1"/>
  <c r="O886" i="1"/>
  <c r="N886" i="1"/>
  <c r="M886" i="1"/>
  <c r="L886" i="1"/>
  <c r="P882" i="1"/>
  <c r="O882" i="1"/>
  <c r="N882" i="1"/>
  <c r="M882" i="1"/>
  <c r="L882" i="1"/>
  <c r="P878" i="1"/>
  <c r="L878" i="1"/>
  <c r="P874" i="1"/>
  <c r="O874" i="1"/>
  <c r="N874" i="1"/>
  <c r="M874" i="1"/>
  <c r="L874" i="1"/>
  <c r="P870" i="1"/>
  <c r="O870" i="1"/>
  <c r="N870" i="1"/>
  <c r="M870" i="1"/>
  <c r="L870" i="1"/>
  <c r="P866" i="1"/>
  <c r="O866" i="1"/>
  <c r="N866" i="1"/>
  <c r="M866" i="1"/>
  <c r="L866" i="1"/>
  <c r="P862" i="1"/>
  <c r="O862" i="1"/>
  <c r="N862" i="1"/>
  <c r="M862" i="1"/>
  <c r="L862" i="1"/>
  <c r="P858" i="1"/>
  <c r="O858" i="1"/>
  <c r="N858" i="1"/>
  <c r="M858" i="1"/>
  <c r="L858" i="1"/>
  <c r="P854" i="1"/>
  <c r="O854" i="1"/>
  <c r="N854" i="1"/>
  <c r="M854" i="1"/>
  <c r="L854" i="1"/>
  <c r="P850" i="1"/>
  <c r="N850" i="1"/>
  <c r="L850" i="1"/>
  <c r="P846" i="1"/>
  <c r="O846" i="1"/>
  <c r="N846" i="1"/>
  <c r="M846" i="1"/>
  <c r="L846" i="1"/>
  <c r="P842" i="1"/>
  <c r="O842" i="1"/>
  <c r="N842" i="1"/>
  <c r="M842" i="1"/>
  <c r="L842" i="1"/>
  <c r="P838" i="1"/>
  <c r="O838" i="1"/>
  <c r="N838" i="1"/>
  <c r="M838" i="1"/>
  <c r="L838" i="1"/>
  <c r="P834" i="1"/>
  <c r="O834" i="1"/>
  <c r="N834" i="1"/>
  <c r="M834" i="1"/>
  <c r="L834" i="1"/>
  <c r="P830" i="1"/>
  <c r="O830" i="1"/>
  <c r="N830" i="1"/>
  <c r="M830" i="1"/>
  <c r="L830" i="1"/>
  <c r="P826" i="1"/>
  <c r="O826" i="1"/>
  <c r="N826" i="1"/>
  <c r="M826" i="1"/>
  <c r="L826" i="1"/>
  <c r="P822" i="1"/>
  <c r="O822" i="1"/>
  <c r="N822" i="1"/>
  <c r="M822" i="1"/>
  <c r="L822" i="1"/>
  <c r="P818" i="1"/>
  <c r="O818" i="1"/>
  <c r="N818" i="1"/>
  <c r="M818" i="1"/>
  <c r="L818" i="1"/>
  <c r="P814" i="1"/>
  <c r="O814" i="1"/>
  <c r="N814" i="1"/>
  <c r="M814" i="1"/>
  <c r="L814" i="1"/>
  <c r="P810" i="1"/>
  <c r="O810" i="1"/>
  <c r="N810" i="1"/>
  <c r="M810" i="1"/>
  <c r="L810" i="1"/>
  <c r="P806" i="1"/>
  <c r="O806" i="1"/>
  <c r="N806" i="1"/>
  <c r="M806" i="1"/>
  <c r="L806" i="1"/>
  <c r="P802" i="1"/>
  <c r="O802" i="1"/>
  <c r="N802" i="1"/>
  <c r="M802" i="1"/>
  <c r="L802" i="1"/>
  <c r="P798" i="1"/>
  <c r="O798" i="1"/>
  <c r="N798" i="1"/>
  <c r="M798" i="1"/>
  <c r="L798" i="1"/>
  <c r="P794" i="1"/>
  <c r="O794" i="1"/>
  <c r="N794" i="1"/>
  <c r="M794" i="1"/>
  <c r="L794" i="1"/>
  <c r="P790" i="1"/>
  <c r="O790" i="1"/>
  <c r="N790" i="1"/>
  <c r="M790" i="1"/>
  <c r="L790" i="1"/>
  <c r="P786" i="1"/>
  <c r="O786" i="1"/>
  <c r="N786" i="1"/>
  <c r="M786" i="1"/>
  <c r="L786" i="1"/>
  <c r="P782" i="1"/>
  <c r="O782" i="1"/>
  <c r="N782" i="1"/>
  <c r="M782" i="1"/>
  <c r="L782" i="1"/>
  <c r="P778" i="1"/>
  <c r="O778" i="1"/>
  <c r="N778" i="1"/>
  <c r="M778" i="1"/>
  <c r="L778" i="1"/>
  <c r="P774" i="1"/>
  <c r="O774" i="1"/>
  <c r="N774" i="1"/>
  <c r="M774" i="1"/>
  <c r="L774" i="1"/>
  <c r="P770" i="1"/>
  <c r="O770" i="1"/>
  <c r="N770" i="1"/>
  <c r="M770" i="1"/>
  <c r="L770" i="1"/>
  <c r="P766" i="1"/>
  <c r="O766" i="1"/>
  <c r="N766" i="1"/>
  <c r="M766" i="1"/>
  <c r="L766" i="1"/>
  <c r="P762" i="1"/>
  <c r="O762" i="1"/>
  <c r="N762" i="1"/>
  <c r="M762" i="1"/>
  <c r="L762" i="1"/>
  <c r="P758" i="1"/>
  <c r="O758" i="1"/>
  <c r="N758" i="1"/>
  <c r="M758" i="1"/>
  <c r="L758" i="1"/>
  <c r="P754" i="1"/>
  <c r="O754" i="1"/>
  <c r="N754" i="1"/>
  <c r="M754" i="1"/>
  <c r="L754" i="1"/>
  <c r="P750" i="1"/>
  <c r="O750" i="1"/>
  <c r="N750" i="1"/>
  <c r="M750" i="1"/>
  <c r="L750" i="1"/>
  <c r="P746" i="1"/>
  <c r="O746" i="1"/>
  <c r="N746" i="1"/>
  <c r="M746" i="1"/>
  <c r="L746" i="1"/>
  <c r="P742" i="1"/>
  <c r="O742" i="1"/>
  <c r="N742" i="1"/>
  <c r="M742" i="1"/>
  <c r="L742" i="1"/>
  <c r="P738" i="1"/>
  <c r="O738" i="1"/>
  <c r="N738" i="1"/>
  <c r="M738" i="1"/>
  <c r="L738" i="1"/>
  <c r="P734" i="1"/>
  <c r="O734" i="1"/>
  <c r="N734" i="1"/>
  <c r="M734" i="1"/>
  <c r="L734" i="1"/>
  <c r="P730" i="1"/>
  <c r="O730" i="1"/>
  <c r="N730" i="1"/>
  <c r="M730" i="1"/>
  <c r="L730" i="1"/>
  <c r="P726" i="1"/>
  <c r="O726" i="1"/>
  <c r="N726" i="1"/>
  <c r="M726" i="1"/>
  <c r="L726" i="1"/>
  <c r="P722" i="1"/>
  <c r="O722" i="1"/>
  <c r="N722" i="1"/>
  <c r="M722" i="1"/>
  <c r="L722" i="1"/>
  <c r="P718" i="1"/>
  <c r="O718" i="1"/>
  <c r="N718" i="1"/>
  <c r="M718" i="1"/>
  <c r="L718" i="1"/>
  <c r="P714" i="1"/>
  <c r="O714" i="1"/>
  <c r="N714" i="1"/>
  <c r="M714" i="1"/>
  <c r="L714" i="1"/>
  <c r="P710" i="1"/>
  <c r="O710" i="1"/>
  <c r="N710" i="1"/>
  <c r="M710" i="1"/>
  <c r="L710" i="1"/>
  <c r="P706" i="1"/>
  <c r="O706" i="1"/>
  <c r="N706" i="1"/>
  <c r="M706" i="1"/>
  <c r="L706" i="1"/>
  <c r="P702" i="1"/>
  <c r="O702" i="1"/>
  <c r="N702" i="1"/>
  <c r="M702" i="1"/>
  <c r="L702" i="1"/>
  <c r="P698" i="1"/>
  <c r="O698" i="1"/>
  <c r="N698" i="1"/>
  <c r="M698" i="1"/>
  <c r="L698" i="1"/>
  <c r="P694" i="1"/>
  <c r="O694" i="1"/>
  <c r="N694" i="1"/>
  <c r="M694" i="1"/>
  <c r="L694" i="1"/>
  <c r="P690" i="1"/>
  <c r="O690" i="1"/>
  <c r="N690" i="1"/>
  <c r="M690" i="1"/>
  <c r="L690" i="1"/>
  <c r="P686" i="1"/>
  <c r="O686" i="1"/>
  <c r="N686" i="1"/>
  <c r="M686" i="1"/>
  <c r="L686" i="1"/>
  <c r="P682" i="1"/>
  <c r="O682" i="1"/>
  <c r="N682" i="1"/>
  <c r="M682" i="1"/>
  <c r="L682" i="1"/>
  <c r="P678" i="1"/>
  <c r="O678" i="1"/>
  <c r="N678" i="1"/>
  <c r="M678" i="1"/>
  <c r="L678" i="1"/>
  <c r="P674" i="1"/>
  <c r="O674" i="1"/>
  <c r="N674" i="1"/>
  <c r="M674" i="1"/>
  <c r="L674" i="1"/>
  <c r="P670" i="1"/>
  <c r="O670" i="1"/>
  <c r="N670" i="1"/>
  <c r="M670" i="1"/>
  <c r="L670" i="1"/>
  <c r="P666" i="1"/>
  <c r="O666" i="1"/>
  <c r="N666" i="1"/>
  <c r="M666" i="1"/>
  <c r="L666" i="1"/>
  <c r="P662" i="1"/>
  <c r="O662" i="1"/>
  <c r="N662" i="1"/>
  <c r="M662" i="1"/>
  <c r="L662" i="1"/>
  <c r="P658" i="1"/>
  <c r="O658" i="1"/>
  <c r="N658" i="1"/>
  <c r="M658" i="1"/>
  <c r="L658" i="1"/>
  <c r="P654" i="1"/>
  <c r="O654" i="1"/>
  <c r="N654" i="1"/>
  <c r="M654" i="1"/>
  <c r="L654" i="1"/>
  <c r="P650" i="1"/>
  <c r="O650" i="1"/>
  <c r="N650" i="1"/>
  <c r="M650" i="1"/>
  <c r="L650" i="1"/>
  <c r="P646" i="1"/>
  <c r="O646" i="1"/>
  <c r="N646" i="1"/>
  <c r="M646" i="1"/>
  <c r="L646" i="1"/>
  <c r="P642" i="1"/>
  <c r="O642" i="1"/>
  <c r="N642" i="1"/>
  <c r="M642" i="1"/>
  <c r="L642" i="1"/>
  <c r="P638" i="1"/>
  <c r="O638" i="1"/>
  <c r="N638" i="1"/>
  <c r="M638" i="1"/>
  <c r="L638" i="1"/>
  <c r="P634" i="1"/>
  <c r="O634" i="1"/>
  <c r="N634" i="1"/>
  <c r="M634" i="1"/>
  <c r="L634" i="1"/>
  <c r="P630" i="1"/>
  <c r="O630" i="1"/>
  <c r="N630" i="1"/>
  <c r="M630" i="1"/>
  <c r="L630" i="1"/>
  <c r="P626" i="1"/>
  <c r="O626" i="1"/>
  <c r="N626" i="1"/>
  <c r="M626" i="1"/>
  <c r="L626" i="1"/>
  <c r="P622" i="1"/>
  <c r="O622" i="1"/>
  <c r="N622" i="1"/>
  <c r="M622" i="1"/>
  <c r="L622" i="1"/>
  <c r="P618" i="1"/>
  <c r="O618" i="1"/>
  <c r="N618" i="1"/>
  <c r="M618" i="1"/>
  <c r="L618" i="1"/>
  <c r="P614" i="1"/>
  <c r="O614" i="1"/>
  <c r="N614" i="1"/>
  <c r="M614" i="1"/>
  <c r="L614" i="1"/>
  <c r="P610" i="1"/>
  <c r="O610" i="1"/>
  <c r="N610" i="1"/>
  <c r="M610" i="1"/>
  <c r="L610" i="1"/>
  <c r="P606" i="1"/>
  <c r="O606" i="1"/>
  <c r="N606" i="1"/>
  <c r="M606" i="1"/>
  <c r="L606" i="1"/>
  <c r="P602" i="1"/>
  <c r="O602" i="1"/>
  <c r="N602" i="1"/>
  <c r="M602" i="1"/>
  <c r="L602" i="1"/>
  <c r="P598" i="1"/>
  <c r="O598" i="1"/>
  <c r="N598" i="1"/>
  <c r="M598" i="1"/>
  <c r="L598" i="1"/>
  <c r="P594" i="1"/>
  <c r="O594" i="1"/>
  <c r="N594" i="1"/>
  <c r="M594" i="1"/>
  <c r="L594" i="1"/>
  <c r="P590" i="1"/>
  <c r="O590" i="1"/>
  <c r="N590" i="1"/>
  <c r="M590" i="1"/>
  <c r="L590" i="1"/>
  <c r="P586" i="1"/>
  <c r="O586" i="1"/>
  <c r="N586" i="1"/>
  <c r="M586" i="1"/>
  <c r="L586" i="1"/>
  <c r="P582" i="1"/>
  <c r="O582" i="1"/>
  <c r="N582" i="1"/>
  <c r="M582" i="1"/>
  <c r="L582" i="1"/>
  <c r="P578" i="1"/>
  <c r="O578" i="1"/>
  <c r="N578" i="1"/>
  <c r="M578" i="1"/>
  <c r="L578" i="1"/>
  <c r="P574" i="1"/>
  <c r="O574" i="1"/>
  <c r="N574" i="1"/>
  <c r="M574" i="1"/>
  <c r="L574" i="1"/>
  <c r="P570" i="1"/>
  <c r="O570" i="1"/>
  <c r="N570" i="1"/>
  <c r="M570" i="1"/>
  <c r="L570" i="1"/>
  <c r="P566" i="1"/>
  <c r="O566" i="1"/>
  <c r="N566" i="1"/>
  <c r="M566" i="1"/>
  <c r="L566" i="1"/>
  <c r="P562" i="1"/>
  <c r="O562" i="1"/>
  <c r="N562" i="1"/>
  <c r="M562" i="1"/>
  <c r="L562" i="1"/>
  <c r="P558" i="1"/>
  <c r="O558" i="1"/>
  <c r="N558" i="1"/>
  <c r="M558" i="1"/>
  <c r="L558" i="1"/>
  <c r="P554" i="1"/>
  <c r="O554" i="1"/>
  <c r="N554" i="1"/>
  <c r="M554" i="1"/>
  <c r="L554" i="1"/>
  <c r="P550" i="1"/>
  <c r="O550" i="1"/>
  <c r="N550" i="1"/>
  <c r="M550" i="1"/>
  <c r="L550" i="1"/>
  <c r="P542" i="1"/>
  <c r="L542" i="1"/>
  <c r="P538" i="1"/>
  <c r="O538" i="1"/>
  <c r="N538" i="1"/>
  <c r="M538" i="1"/>
  <c r="L538" i="1"/>
  <c r="P534" i="1"/>
  <c r="O534" i="1"/>
  <c r="N534" i="1"/>
  <c r="M534" i="1"/>
  <c r="L534" i="1"/>
  <c r="P530" i="1"/>
  <c r="O530" i="1"/>
  <c r="N530" i="1"/>
  <c r="M530" i="1"/>
  <c r="L530" i="1"/>
  <c r="P526" i="1"/>
  <c r="O526" i="1"/>
  <c r="N526" i="1"/>
  <c r="M526" i="1"/>
  <c r="L526" i="1"/>
  <c r="P522" i="1"/>
  <c r="O522" i="1"/>
  <c r="N522" i="1"/>
  <c r="M522" i="1"/>
  <c r="L522" i="1"/>
  <c r="P518" i="1"/>
  <c r="O518" i="1"/>
  <c r="N518" i="1"/>
  <c r="M518" i="1"/>
  <c r="L518" i="1"/>
  <c r="P514" i="1"/>
  <c r="O514" i="1"/>
  <c r="N514" i="1"/>
  <c r="M514" i="1"/>
  <c r="L514" i="1"/>
  <c r="P510" i="1"/>
  <c r="O510" i="1"/>
  <c r="N510" i="1"/>
  <c r="M510" i="1"/>
  <c r="L510" i="1"/>
  <c r="P506" i="1"/>
  <c r="O506" i="1"/>
  <c r="N506" i="1"/>
  <c r="M506" i="1"/>
  <c r="L506" i="1"/>
  <c r="P502" i="1"/>
  <c r="O502" i="1"/>
  <c r="N502" i="1"/>
  <c r="M502" i="1"/>
  <c r="L502" i="1"/>
  <c r="P498" i="1"/>
  <c r="O498" i="1"/>
  <c r="N498" i="1"/>
  <c r="M498" i="1"/>
  <c r="L498" i="1"/>
  <c r="P494" i="1"/>
  <c r="O494" i="1"/>
  <c r="N494" i="1"/>
  <c r="M494" i="1"/>
  <c r="L494" i="1"/>
  <c r="P490" i="1"/>
  <c r="O490" i="1"/>
  <c r="N490" i="1"/>
  <c r="M490" i="1"/>
  <c r="L490" i="1"/>
  <c r="P486" i="1"/>
  <c r="O486" i="1"/>
  <c r="N486" i="1"/>
  <c r="M486" i="1"/>
  <c r="L486" i="1"/>
  <c r="O482" i="1"/>
  <c r="P478" i="1"/>
  <c r="O478" i="1"/>
  <c r="N478" i="1"/>
  <c r="M478" i="1"/>
  <c r="L478" i="1"/>
  <c r="P474" i="1"/>
  <c r="O474" i="1"/>
  <c r="N474" i="1"/>
  <c r="M474" i="1"/>
  <c r="L474" i="1"/>
  <c r="P470" i="1"/>
  <c r="O470" i="1"/>
  <c r="N470" i="1"/>
  <c r="M470" i="1"/>
  <c r="L470" i="1"/>
  <c r="P466" i="1"/>
  <c r="O466" i="1"/>
  <c r="N466" i="1"/>
  <c r="M466" i="1"/>
  <c r="L466" i="1"/>
  <c r="P462" i="1"/>
  <c r="O462" i="1"/>
  <c r="N462" i="1"/>
  <c r="M462" i="1"/>
  <c r="L462" i="1"/>
  <c r="P458" i="1"/>
  <c r="O458" i="1"/>
  <c r="N458" i="1"/>
  <c r="M458" i="1"/>
  <c r="L458" i="1"/>
  <c r="P454" i="1"/>
  <c r="O454" i="1"/>
  <c r="N454" i="1"/>
  <c r="M454" i="1"/>
  <c r="L454" i="1"/>
  <c r="P450" i="1"/>
  <c r="O450" i="1"/>
  <c r="N450" i="1"/>
  <c r="M450" i="1"/>
  <c r="L450" i="1"/>
  <c r="P446" i="1"/>
  <c r="O446" i="1"/>
  <c r="N446" i="1"/>
  <c r="M446" i="1"/>
  <c r="L446" i="1"/>
  <c r="P442" i="1"/>
  <c r="O442" i="1"/>
  <c r="N442" i="1"/>
  <c r="M442" i="1"/>
  <c r="L442" i="1"/>
  <c r="P438" i="1"/>
  <c r="O438" i="1"/>
  <c r="N438" i="1"/>
  <c r="M438" i="1"/>
  <c r="L438" i="1"/>
  <c r="P434" i="1"/>
  <c r="O434" i="1"/>
  <c r="N434" i="1"/>
  <c r="M434" i="1"/>
  <c r="L434" i="1"/>
  <c r="P430" i="1"/>
  <c r="O430" i="1"/>
  <c r="N430" i="1"/>
  <c r="M430" i="1"/>
  <c r="L430" i="1"/>
  <c r="P426" i="1"/>
  <c r="O426" i="1"/>
  <c r="N426" i="1"/>
  <c r="M426" i="1"/>
  <c r="L426" i="1"/>
  <c r="P422" i="1"/>
  <c r="O422" i="1"/>
  <c r="N422" i="1"/>
  <c r="M422" i="1"/>
  <c r="L422" i="1"/>
  <c r="O418" i="1"/>
  <c r="P414" i="1"/>
  <c r="L414" i="1"/>
  <c r="P410" i="1"/>
  <c r="O410" i="1"/>
  <c r="N410" i="1"/>
  <c r="M410" i="1"/>
  <c r="L410" i="1"/>
  <c r="P406" i="1"/>
  <c r="O406" i="1"/>
  <c r="N406" i="1"/>
  <c r="M406" i="1"/>
  <c r="L406" i="1"/>
  <c r="P402" i="1"/>
  <c r="O402" i="1"/>
  <c r="N402" i="1"/>
  <c r="M402" i="1"/>
  <c r="L402" i="1"/>
  <c r="P398" i="1"/>
  <c r="O398" i="1"/>
  <c r="N398" i="1"/>
  <c r="M398" i="1"/>
  <c r="L398" i="1"/>
  <c r="P394" i="1"/>
  <c r="O394" i="1"/>
  <c r="N394" i="1"/>
  <c r="M394" i="1"/>
  <c r="L394" i="1"/>
  <c r="P390" i="1"/>
  <c r="O390" i="1"/>
  <c r="N390" i="1"/>
  <c r="M390" i="1"/>
  <c r="L390" i="1"/>
  <c r="P386" i="1"/>
  <c r="O386" i="1"/>
  <c r="N386" i="1"/>
  <c r="M386" i="1"/>
  <c r="L386" i="1"/>
  <c r="P382" i="1"/>
  <c r="O382" i="1"/>
  <c r="N382" i="1"/>
  <c r="M382" i="1"/>
  <c r="L382" i="1"/>
  <c r="P378" i="1"/>
  <c r="O378" i="1"/>
  <c r="N378" i="1"/>
  <c r="M378" i="1"/>
  <c r="L378" i="1"/>
  <c r="P374" i="1"/>
  <c r="O374" i="1"/>
  <c r="N374" i="1"/>
  <c r="M374" i="1"/>
  <c r="L374" i="1"/>
  <c r="P370" i="1"/>
  <c r="O370" i="1"/>
  <c r="N370" i="1"/>
  <c r="M370" i="1"/>
  <c r="L370" i="1"/>
  <c r="P366" i="1"/>
  <c r="O366" i="1"/>
  <c r="N366" i="1"/>
  <c r="M366" i="1"/>
  <c r="L366" i="1"/>
  <c r="P362" i="1"/>
  <c r="O362" i="1"/>
  <c r="N362" i="1"/>
  <c r="M362" i="1"/>
  <c r="L362" i="1"/>
  <c r="P358" i="1"/>
  <c r="O358" i="1"/>
  <c r="N358" i="1"/>
  <c r="M358" i="1"/>
  <c r="L358" i="1"/>
  <c r="P350" i="1"/>
  <c r="O350" i="1"/>
  <c r="N350" i="1"/>
  <c r="M350" i="1"/>
  <c r="L350" i="1"/>
  <c r="P346" i="1"/>
  <c r="O346" i="1"/>
  <c r="N346" i="1"/>
  <c r="M346" i="1"/>
  <c r="L346" i="1"/>
  <c r="N342" i="1"/>
  <c r="P338" i="1"/>
  <c r="O338" i="1"/>
  <c r="N338" i="1"/>
  <c r="M338" i="1"/>
  <c r="L338" i="1"/>
  <c r="P334" i="1"/>
  <c r="O334" i="1"/>
  <c r="N334" i="1"/>
  <c r="M334" i="1"/>
  <c r="L334" i="1"/>
  <c r="P330" i="1"/>
  <c r="O330" i="1"/>
  <c r="N330" i="1"/>
  <c r="M330" i="1"/>
  <c r="L330" i="1"/>
  <c r="N326" i="1"/>
  <c r="P322" i="1"/>
  <c r="O322" i="1"/>
  <c r="N322" i="1"/>
  <c r="M322" i="1"/>
  <c r="L322" i="1"/>
  <c r="P318" i="1"/>
  <c r="O318" i="1"/>
  <c r="N318" i="1"/>
  <c r="M318" i="1"/>
  <c r="L318" i="1"/>
  <c r="P314" i="1"/>
  <c r="O314" i="1"/>
  <c r="N314" i="1"/>
  <c r="M314" i="1"/>
  <c r="L314" i="1"/>
  <c r="N310" i="1"/>
  <c r="P306" i="1"/>
  <c r="O306" i="1"/>
  <c r="N306" i="1"/>
  <c r="M306" i="1"/>
  <c r="L306" i="1"/>
  <c r="P302" i="1"/>
  <c r="O302" i="1"/>
  <c r="N302" i="1"/>
  <c r="M302" i="1"/>
  <c r="L302" i="1"/>
  <c r="P298" i="1"/>
  <c r="O298" i="1"/>
  <c r="N298" i="1"/>
  <c r="M298" i="1"/>
  <c r="L298" i="1"/>
  <c r="N294" i="1"/>
  <c r="P290" i="1"/>
  <c r="O290" i="1"/>
  <c r="N290" i="1"/>
  <c r="M290" i="1"/>
  <c r="L290" i="1"/>
  <c r="P286" i="1"/>
  <c r="O286" i="1"/>
  <c r="N286" i="1"/>
  <c r="M286" i="1"/>
  <c r="L286" i="1"/>
  <c r="P282" i="1"/>
  <c r="O282" i="1"/>
  <c r="N282" i="1"/>
  <c r="M282" i="1"/>
  <c r="L282" i="1"/>
  <c r="N278" i="1"/>
  <c r="P274" i="1"/>
  <c r="O274" i="1"/>
  <c r="N274" i="1"/>
  <c r="M274" i="1"/>
  <c r="L274" i="1"/>
  <c r="P270" i="1"/>
  <c r="O270" i="1"/>
  <c r="N270" i="1"/>
  <c r="M270" i="1"/>
  <c r="L270" i="1"/>
  <c r="P266" i="1"/>
  <c r="O266" i="1"/>
  <c r="N266" i="1"/>
  <c r="M266" i="1"/>
  <c r="L266" i="1"/>
  <c r="N262" i="1"/>
  <c r="P258" i="1"/>
  <c r="O258" i="1"/>
  <c r="N258" i="1"/>
  <c r="M258" i="1"/>
  <c r="L258" i="1"/>
  <c r="P254" i="1"/>
  <c r="O254" i="1"/>
  <c r="N254" i="1"/>
  <c r="M254" i="1"/>
  <c r="L254" i="1"/>
  <c r="P250" i="1"/>
  <c r="O250" i="1"/>
  <c r="N250" i="1"/>
  <c r="M250" i="1"/>
  <c r="L250" i="1"/>
  <c r="N246" i="1"/>
  <c r="P242" i="1"/>
  <c r="O242" i="1"/>
  <c r="N242" i="1"/>
  <c r="M242" i="1"/>
  <c r="L242" i="1"/>
  <c r="P238" i="1"/>
  <c r="O238" i="1"/>
  <c r="N238" i="1"/>
  <c r="M238" i="1"/>
  <c r="L238" i="1"/>
  <c r="P234" i="1"/>
  <c r="O234" i="1"/>
  <c r="N234" i="1"/>
  <c r="M234" i="1"/>
  <c r="L234" i="1"/>
  <c r="N230" i="1"/>
  <c r="P226" i="1"/>
  <c r="O226" i="1"/>
  <c r="N226" i="1"/>
  <c r="M226" i="1"/>
  <c r="L226" i="1"/>
  <c r="P222" i="1"/>
  <c r="O222" i="1"/>
  <c r="N222" i="1"/>
  <c r="M222" i="1"/>
  <c r="L222" i="1"/>
  <c r="P218" i="1"/>
  <c r="O218" i="1"/>
  <c r="N218" i="1"/>
  <c r="M218" i="1"/>
  <c r="L218" i="1"/>
  <c r="N214" i="1"/>
  <c r="P210" i="1"/>
  <c r="O210" i="1"/>
  <c r="N210" i="1"/>
  <c r="M210" i="1"/>
  <c r="L210" i="1"/>
  <c r="P206" i="1"/>
  <c r="O206" i="1"/>
  <c r="N206" i="1"/>
  <c r="M206" i="1"/>
  <c r="L206" i="1"/>
  <c r="P202" i="1"/>
  <c r="O202" i="1"/>
  <c r="N202" i="1"/>
  <c r="M202" i="1"/>
  <c r="L202" i="1"/>
  <c r="N198" i="1"/>
  <c r="P194" i="1"/>
  <c r="O194" i="1"/>
  <c r="N194" i="1"/>
  <c r="M194" i="1"/>
  <c r="L194" i="1"/>
  <c r="P190" i="1"/>
  <c r="O190" i="1"/>
  <c r="N190" i="1"/>
  <c r="M190" i="1"/>
  <c r="L190" i="1"/>
  <c r="P186" i="1"/>
  <c r="O186" i="1"/>
  <c r="N186" i="1"/>
  <c r="M186" i="1"/>
  <c r="L186" i="1"/>
  <c r="N182" i="1"/>
  <c r="P178" i="1"/>
  <c r="O178" i="1"/>
  <c r="N178" i="1"/>
  <c r="M178" i="1"/>
  <c r="L178" i="1"/>
  <c r="P174" i="1"/>
  <c r="O174" i="1"/>
  <c r="N174" i="1"/>
  <c r="M174" i="1"/>
  <c r="L174" i="1"/>
  <c r="P170" i="1"/>
  <c r="O170" i="1"/>
  <c r="N170" i="1"/>
  <c r="M170" i="1"/>
  <c r="L170" i="1"/>
  <c r="N166" i="1"/>
  <c r="P162" i="1"/>
  <c r="O162" i="1"/>
  <c r="N162" i="1"/>
  <c r="M162" i="1"/>
  <c r="L162" i="1"/>
  <c r="P158" i="1"/>
  <c r="O158" i="1"/>
  <c r="N158" i="1"/>
  <c r="M158" i="1"/>
  <c r="L158" i="1"/>
  <c r="P154" i="1"/>
  <c r="O154" i="1"/>
  <c r="N154" i="1"/>
  <c r="M154" i="1"/>
  <c r="L154" i="1"/>
  <c r="N150" i="1"/>
  <c r="P146" i="1"/>
  <c r="O146" i="1"/>
  <c r="N146" i="1"/>
  <c r="M146" i="1"/>
  <c r="L146" i="1"/>
  <c r="P142" i="1"/>
  <c r="O142" i="1"/>
  <c r="N142" i="1"/>
  <c r="M142" i="1"/>
  <c r="L142" i="1"/>
  <c r="P138" i="1"/>
  <c r="O138" i="1"/>
  <c r="N138" i="1"/>
  <c r="M138" i="1"/>
  <c r="L138" i="1"/>
  <c r="N134" i="1"/>
  <c r="P130" i="1"/>
  <c r="O130" i="1"/>
  <c r="N130" i="1"/>
  <c r="M130" i="1"/>
  <c r="L130" i="1"/>
  <c r="P126" i="1"/>
  <c r="O126" i="1"/>
  <c r="N126" i="1"/>
  <c r="M126" i="1"/>
  <c r="L126" i="1"/>
  <c r="P122" i="1"/>
  <c r="O122" i="1"/>
  <c r="N122" i="1"/>
  <c r="M122" i="1"/>
  <c r="L122" i="1"/>
  <c r="N118" i="1"/>
  <c r="P114" i="1"/>
  <c r="O114" i="1"/>
  <c r="N114" i="1"/>
  <c r="M114" i="1"/>
  <c r="L114" i="1"/>
  <c r="P110" i="1"/>
  <c r="O110" i="1"/>
  <c r="N110" i="1"/>
  <c r="M110" i="1"/>
  <c r="L110" i="1"/>
  <c r="P106" i="1"/>
  <c r="O106" i="1"/>
  <c r="N106" i="1"/>
  <c r="M106" i="1"/>
  <c r="L106" i="1"/>
  <c r="N102" i="1"/>
  <c r="P98" i="1"/>
  <c r="O98" i="1"/>
  <c r="N98" i="1"/>
  <c r="M98" i="1"/>
  <c r="L98" i="1"/>
  <c r="P94" i="1"/>
  <c r="O94" i="1"/>
  <c r="N94" i="1"/>
  <c r="M94" i="1"/>
  <c r="L94" i="1"/>
  <c r="P90" i="1"/>
  <c r="O90" i="1"/>
  <c r="N90" i="1"/>
  <c r="M90" i="1"/>
  <c r="L90" i="1"/>
  <c r="N86" i="1"/>
  <c r="P82" i="1"/>
  <c r="O82" i="1"/>
  <c r="N82" i="1"/>
  <c r="M82" i="1"/>
  <c r="L82" i="1"/>
  <c r="P78" i="1"/>
  <c r="O78" i="1"/>
  <c r="N78" i="1"/>
  <c r="M78" i="1"/>
  <c r="L78" i="1"/>
  <c r="P74" i="1"/>
  <c r="O74" i="1"/>
  <c r="N74" i="1"/>
  <c r="M74" i="1"/>
  <c r="L74" i="1"/>
  <c r="N70" i="1"/>
  <c r="P66" i="1"/>
  <c r="O66" i="1"/>
  <c r="N66" i="1"/>
  <c r="M66" i="1"/>
  <c r="L66" i="1"/>
  <c r="P62" i="1"/>
  <c r="O62" i="1"/>
  <c r="N62" i="1"/>
  <c r="M62" i="1"/>
  <c r="L62" i="1"/>
  <c r="P58" i="1"/>
  <c r="O58" i="1"/>
  <c r="N58" i="1"/>
  <c r="M58" i="1"/>
  <c r="L58" i="1"/>
  <c r="N54" i="1"/>
  <c r="P50" i="1"/>
  <c r="O50" i="1"/>
  <c r="N50" i="1"/>
  <c r="M50" i="1"/>
  <c r="L50" i="1"/>
  <c r="P46" i="1"/>
  <c r="O46" i="1"/>
  <c r="N46" i="1"/>
  <c r="M46" i="1"/>
  <c r="L46" i="1"/>
  <c r="P42" i="1"/>
  <c r="O42" i="1"/>
  <c r="N42" i="1"/>
  <c r="M42" i="1"/>
  <c r="L42" i="1"/>
  <c r="N38" i="1"/>
  <c r="P34" i="1"/>
  <c r="O34" i="1"/>
  <c r="N34" i="1"/>
  <c r="M34" i="1"/>
  <c r="L34" i="1"/>
  <c r="P30" i="1"/>
  <c r="O30" i="1"/>
  <c r="N30" i="1"/>
  <c r="M30" i="1"/>
  <c r="L30" i="1"/>
  <c r="P26" i="1"/>
  <c r="O26" i="1"/>
  <c r="N26" i="1"/>
  <c r="M26" i="1"/>
  <c r="L26" i="1"/>
  <c r="N22" i="1"/>
  <c r="P18" i="1"/>
  <c r="O18" i="1"/>
  <c r="N18" i="1"/>
  <c r="M18" i="1"/>
  <c r="L18" i="1"/>
  <c r="P14" i="1"/>
  <c r="O14" i="1"/>
  <c r="N14" i="1"/>
  <c r="M14" i="1"/>
  <c r="L14" i="1"/>
  <c r="P10" i="1"/>
  <c r="O10" i="1"/>
  <c r="N10" i="1"/>
  <c r="M10" i="1"/>
  <c r="L10" i="1"/>
  <c r="N6" i="1"/>
  <c r="P9" i="1"/>
  <c r="M9" i="1"/>
  <c r="E5" i="1"/>
  <c r="I5" i="6"/>
  <c r="G339" i="6"/>
  <c r="G275" i="6"/>
  <c r="G179" i="6"/>
  <c r="G83" i="6"/>
  <c r="I999" i="6"/>
  <c r="I991" i="6"/>
  <c r="I987" i="6"/>
  <c r="I979" i="6"/>
  <c r="I967" i="6"/>
  <c r="I963" i="6"/>
  <c r="I955" i="6"/>
  <c r="I947" i="6"/>
  <c r="I939" i="6"/>
  <c r="I931" i="6"/>
  <c r="I919" i="6"/>
  <c r="I915" i="6"/>
  <c r="I907" i="6"/>
  <c r="I899" i="6"/>
  <c r="I891" i="6"/>
  <c r="I883" i="6"/>
  <c r="I787" i="6"/>
  <c r="I771" i="6"/>
  <c r="I755" i="6"/>
  <c r="I627" i="6"/>
  <c r="I611" i="6"/>
  <c r="I595" i="6"/>
  <c r="I563" i="6"/>
  <c r="I547" i="6"/>
  <c r="I403" i="6"/>
  <c r="I387" i="6"/>
  <c r="I195" i="6"/>
  <c r="I131" i="6"/>
  <c r="I115" i="6"/>
  <c r="I99" i="6"/>
  <c r="I67" i="6"/>
  <c r="G850" i="6"/>
  <c r="I850" i="6"/>
  <c r="G826" i="6"/>
  <c r="I826" i="6"/>
  <c r="G810" i="6"/>
  <c r="I810" i="6"/>
  <c r="G802" i="6"/>
  <c r="I802" i="6"/>
  <c r="G778" i="6"/>
  <c r="I778" i="6"/>
  <c r="G754" i="6"/>
  <c r="I754" i="6"/>
  <c r="G746" i="6"/>
  <c r="I746" i="6"/>
  <c r="G722" i="6"/>
  <c r="I722" i="6"/>
  <c r="G706" i="6"/>
  <c r="I706" i="6"/>
  <c r="G690" i="6"/>
  <c r="I690" i="6"/>
  <c r="G674" i="6"/>
  <c r="I674" i="6"/>
  <c r="G658" i="6"/>
  <c r="I658" i="6"/>
  <c r="G650" i="6"/>
  <c r="I650" i="6"/>
  <c r="G642" i="6"/>
  <c r="I642" i="6"/>
  <c r="G626" i="6"/>
  <c r="I626" i="6"/>
  <c r="G602" i="6"/>
  <c r="I602" i="6"/>
  <c r="G594" i="6"/>
  <c r="I594" i="6"/>
  <c r="G570" i="6"/>
  <c r="I570" i="6"/>
  <c r="G554" i="6"/>
  <c r="I554" i="6"/>
  <c r="G546" i="6"/>
  <c r="I546" i="6"/>
  <c r="G530" i="6"/>
  <c r="I530" i="6"/>
  <c r="G514" i="6"/>
  <c r="I514" i="6"/>
  <c r="G490" i="6"/>
  <c r="I490" i="6"/>
  <c r="G458" i="6"/>
  <c r="I458" i="6"/>
  <c r="G450" i="6"/>
  <c r="I450" i="6"/>
  <c r="G434" i="6"/>
  <c r="I434" i="6"/>
  <c r="G418" i="6"/>
  <c r="I418" i="6"/>
  <c r="G402" i="6"/>
  <c r="I402" i="6"/>
  <c r="G386" i="6"/>
  <c r="I386" i="6"/>
  <c r="G362" i="6"/>
  <c r="I362" i="6"/>
  <c r="G354" i="6"/>
  <c r="I354" i="6"/>
  <c r="G346" i="6"/>
  <c r="I346" i="6"/>
  <c r="G338" i="6"/>
  <c r="I338" i="6"/>
  <c r="G330" i="6"/>
  <c r="I330" i="6"/>
  <c r="G322" i="6"/>
  <c r="I322" i="6"/>
  <c r="G314" i="6"/>
  <c r="I314" i="6"/>
  <c r="G310" i="6"/>
  <c r="I310" i="6"/>
  <c r="G302" i="6"/>
  <c r="I302" i="6"/>
  <c r="G290" i="6"/>
  <c r="I290" i="6"/>
  <c r="G286" i="6"/>
  <c r="I286" i="6"/>
  <c r="G278" i="6"/>
  <c r="I278" i="6"/>
  <c r="G270" i="6"/>
  <c r="I270" i="6"/>
  <c r="G262" i="6"/>
  <c r="I262" i="6"/>
  <c r="G254" i="6"/>
  <c r="I254" i="6"/>
  <c r="G246" i="6"/>
  <c r="I246" i="6"/>
  <c r="G238" i="6"/>
  <c r="I238" i="6"/>
  <c r="G234" i="6"/>
  <c r="I234" i="6"/>
  <c r="G222" i="6"/>
  <c r="I222" i="6"/>
  <c r="G218" i="6"/>
  <c r="I218" i="6"/>
  <c r="G210" i="6"/>
  <c r="I210" i="6"/>
  <c r="G202" i="6"/>
  <c r="I202" i="6"/>
  <c r="G194" i="6"/>
  <c r="I194" i="6"/>
  <c r="G186" i="6"/>
  <c r="I186" i="6"/>
  <c r="G178" i="6"/>
  <c r="I178" i="6"/>
  <c r="G166" i="6"/>
  <c r="I166" i="6"/>
  <c r="G158" i="6"/>
  <c r="I158" i="6"/>
  <c r="G150" i="6"/>
  <c r="I150" i="6"/>
  <c r="G142" i="6"/>
  <c r="I142" i="6"/>
  <c r="G134" i="6"/>
  <c r="I134" i="6"/>
  <c r="G126" i="6"/>
  <c r="I126" i="6"/>
  <c r="G118" i="6"/>
  <c r="I118" i="6"/>
  <c r="G110" i="6"/>
  <c r="I110" i="6"/>
  <c r="G106" i="6"/>
  <c r="I106" i="6"/>
  <c r="G98" i="6"/>
  <c r="I98" i="6"/>
  <c r="G86" i="6"/>
  <c r="I86" i="6"/>
  <c r="G78" i="6"/>
  <c r="I78" i="6"/>
  <c r="G70" i="6"/>
  <c r="I70" i="6"/>
  <c r="G62" i="6"/>
  <c r="I62" i="6"/>
  <c r="G54" i="6"/>
  <c r="I54" i="6"/>
  <c r="G46" i="6"/>
  <c r="I46" i="6"/>
  <c r="G38" i="6"/>
  <c r="I38" i="6"/>
  <c r="G30" i="6"/>
  <c r="I30" i="6"/>
  <c r="G22" i="6"/>
  <c r="I22" i="6"/>
  <c r="G14" i="6"/>
  <c r="I14" i="6"/>
  <c r="G6" i="6"/>
  <c r="I6" i="6"/>
  <c r="G986" i="6"/>
  <c r="G970" i="6"/>
  <c r="G954" i="6"/>
  <c r="G938" i="6"/>
  <c r="G922" i="6"/>
  <c r="G906" i="6"/>
  <c r="G890" i="6"/>
  <c r="G874" i="6"/>
  <c r="G858" i="6"/>
  <c r="G830" i="6"/>
  <c r="G814" i="6"/>
  <c r="G782" i="6"/>
  <c r="G750" i="6"/>
  <c r="G718" i="6"/>
  <c r="G686" i="6"/>
  <c r="G654" i="6"/>
  <c r="G622" i="6"/>
  <c r="G590" i="6"/>
  <c r="G558" i="6"/>
  <c r="G526" i="6"/>
  <c r="G494" i="6"/>
  <c r="G446" i="6"/>
  <c r="G414" i="6"/>
  <c r="G382" i="6"/>
  <c r="G350" i="6"/>
  <c r="I998" i="6"/>
  <c r="I994" i="6"/>
  <c r="I990" i="6"/>
  <c r="I982" i="6"/>
  <c r="I978" i="6"/>
  <c r="I974" i="6"/>
  <c r="I966" i="6"/>
  <c r="I962" i="6"/>
  <c r="I958" i="6"/>
  <c r="I950" i="6"/>
  <c r="I946" i="6"/>
  <c r="I942" i="6"/>
  <c r="I934" i="6"/>
  <c r="I930" i="6"/>
  <c r="I926" i="6"/>
  <c r="I918" i="6"/>
  <c r="I914" i="6"/>
  <c r="I910" i="6"/>
  <c r="I902" i="6"/>
  <c r="I898" i="6"/>
  <c r="I894" i="6"/>
  <c r="I886" i="6"/>
  <c r="I871" i="6"/>
  <c r="I855" i="6"/>
  <c r="I839" i="6"/>
  <c r="I823" i="6"/>
  <c r="I807" i="6"/>
  <c r="I791" i="6"/>
  <c r="I775" i="6"/>
  <c r="I759" i="6"/>
  <c r="I743" i="6"/>
  <c r="I727" i="6"/>
  <c r="I711" i="6"/>
  <c r="I695" i="6"/>
  <c r="I679" i="6"/>
  <c r="I663" i="6"/>
  <c r="I647" i="6"/>
  <c r="I631" i="6"/>
  <c r="I615" i="6"/>
  <c r="I599" i="6"/>
  <c r="I583" i="6"/>
  <c r="I567" i="6"/>
  <c r="I551" i="6"/>
  <c r="I535" i="6"/>
  <c r="I519" i="6"/>
  <c r="I503" i="6"/>
  <c r="I487" i="6"/>
  <c r="I471" i="6"/>
  <c r="I455" i="6"/>
  <c r="I439" i="6"/>
  <c r="I423" i="6"/>
  <c r="I407" i="6"/>
  <c r="I391" i="6"/>
  <c r="I375" i="6"/>
  <c r="I359" i="6"/>
  <c r="I343" i="6"/>
  <c r="I327" i="6"/>
  <c r="I311" i="6"/>
  <c r="I295" i="6"/>
  <c r="I279" i="6"/>
  <c r="I263" i="6"/>
  <c r="I247" i="6"/>
  <c r="I231" i="6"/>
  <c r="I215" i="6"/>
  <c r="I199" i="6"/>
  <c r="I183" i="6"/>
  <c r="I167" i="6"/>
  <c r="I151" i="6"/>
  <c r="I135" i="6"/>
  <c r="I119" i="6"/>
  <c r="I103" i="6"/>
  <c r="I87" i="6"/>
  <c r="I71" i="6"/>
  <c r="I55" i="6"/>
  <c r="I39" i="6"/>
  <c r="I23" i="6"/>
  <c r="I7" i="6"/>
  <c r="G323" i="6"/>
  <c r="G291" i="6"/>
  <c r="G259" i="6"/>
  <c r="G227" i="6"/>
  <c r="G163" i="6"/>
  <c r="G35" i="6"/>
  <c r="G307" i="6"/>
  <c r="G243" i="6"/>
  <c r="G211" i="6"/>
  <c r="G147" i="6"/>
  <c r="G51" i="6"/>
  <c r="I995" i="6"/>
  <c r="I983" i="6"/>
  <c r="I975" i="6"/>
  <c r="I971" i="6"/>
  <c r="I959" i="6"/>
  <c r="I951" i="6"/>
  <c r="I943" i="6"/>
  <c r="I935" i="6"/>
  <c r="I927" i="6"/>
  <c r="I923" i="6"/>
  <c r="I911" i="6"/>
  <c r="I903" i="6"/>
  <c r="I895" i="6"/>
  <c r="I887" i="6"/>
  <c r="I867" i="6"/>
  <c r="I851" i="6"/>
  <c r="I835" i="6"/>
  <c r="I819" i="6"/>
  <c r="I803" i="6"/>
  <c r="I739" i="6"/>
  <c r="I723" i="6"/>
  <c r="I707" i="6"/>
  <c r="I691" i="6"/>
  <c r="I675" i="6"/>
  <c r="I659" i="6"/>
  <c r="I643" i="6"/>
  <c r="I579" i="6"/>
  <c r="I531" i="6"/>
  <c r="I515" i="6"/>
  <c r="I499" i="6"/>
  <c r="I483" i="6"/>
  <c r="I467" i="6"/>
  <c r="I451" i="6"/>
  <c r="I435" i="6"/>
  <c r="I419" i="6"/>
  <c r="I371" i="6"/>
  <c r="I355" i="6"/>
  <c r="I19" i="6"/>
  <c r="G842" i="6"/>
  <c r="I842" i="6"/>
  <c r="G834" i="6"/>
  <c r="I834" i="6"/>
  <c r="G818" i="6"/>
  <c r="I818" i="6"/>
  <c r="G794" i="6"/>
  <c r="I794" i="6"/>
  <c r="G786" i="6"/>
  <c r="I786" i="6"/>
  <c r="G770" i="6"/>
  <c r="I770" i="6"/>
  <c r="G762" i="6"/>
  <c r="I762" i="6"/>
  <c r="G738" i="6"/>
  <c r="I738" i="6"/>
  <c r="G730" i="6"/>
  <c r="I730" i="6"/>
  <c r="G714" i="6"/>
  <c r="I714" i="6"/>
  <c r="G698" i="6"/>
  <c r="I698" i="6"/>
  <c r="G682" i="6"/>
  <c r="I682" i="6"/>
  <c r="G666" i="6"/>
  <c r="I666" i="6"/>
  <c r="G634" i="6"/>
  <c r="I634" i="6"/>
  <c r="G618" i="6"/>
  <c r="I618" i="6"/>
  <c r="G610" i="6"/>
  <c r="I610" i="6"/>
  <c r="G586" i="6"/>
  <c r="I586" i="6"/>
  <c r="G578" i="6"/>
  <c r="I578" i="6"/>
  <c r="G562" i="6"/>
  <c r="I562" i="6"/>
  <c r="G538" i="6"/>
  <c r="I538" i="6"/>
  <c r="G522" i="6"/>
  <c r="I522" i="6"/>
  <c r="G506" i="6"/>
  <c r="I506" i="6"/>
  <c r="G498" i="6"/>
  <c r="I498" i="6"/>
  <c r="G482" i="6"/>
  <c r="I482" i="6"/>
  <c r="G474" i="6"/>
  <c r="I474" i="6"/>
  <c r="G466" i="6"/>
  <c r="I466" i="6"/>
  <c r="G442" i="6"/>
  <c r="I442" i="6"/>
  <c r="G426" i="6"/>
  <c r="I426" i="6"/>
  <c r="G410" i="6"/>
  <c r="I410" i="6"/>
  <c r="G394" i="6"/>
  <c r="I394" i="6"/>
  <c r="G378" i="6"/>
  <c r="I378" i="6"/>
  <c r="G370" i="6"/>
  <c r="I370" i="6"/>
  <c r="G342" i="6"/>
  <c r="I342" i="6"/>
  <c r="G334" i="6"/>
  <c r="I334" i="6"/>
  <c r="G326" i="6"/>
  <c r="I326" i="6"/>
  <c r="G318" i="6"/>
  <c r="I318" i="6"/>
  <c r="G306" i="6"/>
  <c r="I306" i="6"/>
  <c r="G298" i="6"/>
  <c r="I298" i="6"/>
  <c r="G294" i="6"/>
  <c r="I294" i="6"/>
  <c r="G282" i="6"/>
  <c r="I282" i="6"/>
  <c r="G274" i="6"/>
  <c r="I274" i="6"/>
  <c r="G266" i="6"/>
  <c r="I266" i="6"/>
  <c r="G258" i="6"/>
  <c r="I258" i="6"/>
  <c r="G250" i="6"/>
  <c r="I250" i="6"/>
  <c r="G242" i="6"/>
  <c r="I242" i="6"/>
  <c r="G230" i="6"/>
  <c r="I230" i="6"/>
  <c r="G226" i="6"/>
  <c r="I226" i="6"/>
  <c r="G214" i="6"/>
  <c r="I214" i="6"/>
  <c r="G206" i="6"/>
  <c r="I206" i="6"/>
  <c r="G198" i="6"/>
  <c r="I198" i="6"/>
  <c r="G190" i="6"/>
  <c r="I190" i="6"/>
  <c r="G182" i="6"/>
  <c r="I182" i="6"/>
  <c r="G174" i="6"/>
  <c r="I174" i="6"/>
  <c r="G170" i="6"/>
  <c r="I170" i="6"/>
  <c r="G162" i="6"/>
  <c r="I162" i="6"/>
  <c r="G154" i="6"/>
  <c r="I154" i="6"/>
  <c r="G146" i="6"/>
  <c r="I146" i="6"/>
  <c r="G138" i="6"/>
  <c r="I138" i="6"/>
  <c r="G130" i="6"/>
  <c r="I130" i="6"/>
  <c r="G122" i="6"/>
  <c r="I122" i="6"/>
  <c r="G114" i="6"/>
  <c r="I114" i="6"/>
  <c r="G102" i="6"/>
  <c r="I102" i="6"/>
  <c r="G94" i="6"/>
  <c r="I94" i="6"/>
  <c r="G90" i="6"/>
  <c r="I90" i="6"/>
  <c r="G82" i="6"/>
  <c r="I82" i="6"/>
  <c r="G74" i="6"/>
  <c r="I74" i="6"/>
  <c r="G66" i="6"/>
  <c r="I66" i="6"/>
  <c r="G58" i="6"/>
  <c r="I58" i="6"/>
  <c r="G50" i="6"/>
  <c r="I50" i="6"/>
  <c r="G42" i="6"/>
  <c r="I42" i="6"/>
  <c r="G34" i="6"/>
  <c r="I34" i="6"/>
  <c r="G26" i="6"/>
  <c r="I26" i="6"/>
  <c r="G18" i="6"/>
  <c r="I18" i="6"/>
  <c r="G10" i="6"/>
  <c r="I10" i="6"/>
  <c r="G882" i="6"/>
  <c r="G866" i="6"/>
  <c r="G846" i="6"/>
  <c r="G798" i="6"/>
  <c r="G766" i="6"/>
  <c r="G734" i="6"/>
  <c r="G702" i="6"/>
  <c r="G670" i="6"/>
  <c r="G638" i="6"/>
  <c r="G606" i="6"/>
  <c r="G574" i="6"/>
  <c r="G542" i="6"/>
  <c r="G510" i="6"/>
  <c r="G478" i="6"/>
  <c r="G462" i="6"/>
  <c r="G430" i="6"/>
  <c r="G398" i="6"/>
  <c r="G366" i="6"/>
  <c r="I875" i="6"/>
  <c r="I859" i="6"/>
  <c r="I843" i="6"/>
  <c r="I827" i="6"/>
  <c r="I811" i="6"/>
  <c r="I795" i="6"/>
  <c r="I779" i="6"/>
  <c r="I763" i="6"/>
  <c r="I747" i="6"/>
  <c r="I731" i="6"/>
  <c r="I715" i="6"/>
  <c r="I699" i="6"/>
  <c r="I683" i="6"/>
  <c r="I667" i="6"/>
  <c r="I651" i="6"/>
  <c r="I635" i="6"/>
  <c r="I619" i="6"/>
  <c r="I603" i="6"/>
  <c r="I587" i="6"/>
  <c r="I571" i="6"/>
  <c r="I555" i="6"/>
  <c r="I539" i="6"/>
  <c r="I523" i="6"/>
  <c r="I507" i="6"/>
  <c r="I491" i="6"/>
  <c r="I475" i="6"/>
  <c r="I459" i="6"/>
  <c r="I443" i="6"/>
  <c r="I427" i="6"/>
  <c r="I411" i="6"/>
  <c r="I395" i="6"/>
  <c r="I379" i="6"/>
  <c r="I363" i="6"/>
  <c r="I347" i="6"/>
  <c r="I331" i="6"/>
  <c r="I315" i="6"/>
  <c r="I299" i="6"/>
  <c r="I283" i="6"/>
  <c r="I267" i="6"/>
  <c r="I251" i="6"/>
  <c r="I235" i="6"/>
  <c r="I219" i="6"/>
  <c r="I203" i="6"/>
  <c r="I187" i="6"/>
  <c r="I171" i="6"/>
  <c r="I155" i="6"/>
  <c r="I139" i="6"/>
  <c r="I123" i="6"/>
  <c r="I107" i="6"/>
  <c r="I91" i="6"/>
  <c r="I75" i="6"/>
  <c r="I59" i="6"/>
  <c r="I43" i="6"/>
  <c r="I27" i="6"/>
  <c r="I11" i="6"/>
  <c r="G878" i="6"/>
  <c r="G870" i="6"/>
  <c r="G862" i="6"/>
  <c r="G854" i="6"/>
  <c r="G838" i="6"/>
  <c r="G822" i="6"/>
  <c r="G806" i="6"/>
  <c r="G790" i="6"/>
  <c r="G774" i="6"/>
  <c r="G758" i="6"/>
  <c r="G742" i="6"/>
  <c r="G726" i="6"/>
  <c r="G710" i="6"/>
  <c r="G694" i="6"/>
  <c r="G678" i="6"/>
  <c r="G662" i="6"/>
  <c r="G646" i="6"/>
  <c r="G630" i="6"/>
  <c r="G614" i="6"/>
  <c r="G598" i="6"/>
  <c r="G582" i="6"/>
  <c r="G566" i="6"/>
  <c r="G550" i="6"/>
  <c r="G534" i="6"/>
  <c r="G518" i="6"/>
  <c r="G502" i="6"/>
  <c r="G486" i="6"/>
  <c r="G470" i="6"/>
  <c r="G454" i="6"/>
  <c r="G438" i="6"/>
  <c r="G422" i="6"/>
  <c r="G406" i="6"/>
  <c r="G390" i="6"/>
  <c r="G374" i="6"/>
  <c r="G358" i="6"/>
  <c r="I4" i="6"/>
  <c r="G3" i="6"/>
  <c r="G2" i="6"/>
  <c r="D13" i="3"/>
  <c r="N9" i="1" l="1"/>
  <c r="L9" i="1"/>
  <c r="O354" i="1"/>
  <c r="O159" i="1"/>
  <c r="O191" i="1"/>
  <c r="M84" i="1"/>
  <c r="P84" i="1"/>
  <c r="M112" i="1"/>
  <c r="N627" i="1"/>
  <c r="L84" i="1"/>
  <c r="N112" i="1"/>
  <c r="O546" i="1"/>
  <c r="O223" i="1"/>
  <c r="O255" i="1"/>
  <c r="P613" i="1"/>
  <c r="M629" i="1"/>
  <c r="O645" i="1"/>
  <c r="L661" i="1"/>
  <c r="P661" i="1"/>
  <c r="N677" i="1"/>
  <c r="L693" i="1"/>
  <c r="P693" i="1"/>
  <c r="N709" i="1"/>
  <c r="N725" i="1"/>
  <c r="O741" i="1"/>
  <c r="M757" i="1"/>
  <c r="O773" i="1"/>
  <c r="L789" i="1"/>
  <c r="P789" i="1"/>
  <c r="N805" i="1"/>
  <c r="M821" i="1"/>
  <c r="O837" i="1"/>
  <c r="P853" i="1"/>
  <c r="L629" i="1"/>
  <c r="L757" i="1"/>
  <c r="L821" i="1"/>
  <c r="N837" i="1"/>
  <c r="O853" i="1"/>
  <c r="N817" i="1"/>
  <c r="M599" i="1"/>
  <c r="M631" i="1"/>
  <c r="M663" i="1"/>
  <c r="M45" i="1"/>
  <c r="P45" i="1"/>
  <c r="L81" i="1"/>
  <c r="M113" i="1"/>
  <c r="L45" i="1"/>
  <c r="M81" i="1"/>
  <c r="N113" i="1"/>
  <c r="N45" i="1"/>
  <c r="N81" i="1"/>
  <c r="O113" i="1"/>
  <c r="L113" i="1"/>
  <c r="D3" i="1"/>
  <c r="D8" i="1"/>
  <c r="D16" i="1"/>
  <c r="D23" i="1"/>
  <c r="D29" i="1"/>
  <c r="D35" i="1"/>
  <c r="D43" i="1"/>
  <c r="D49" i="1"/>
  <c r="D56" i="1"/>
  <c r="D63" i="1"/>
  <c r="D68" i="1"/>
  <c r="D75" i="1"/>
  <c r="D81" i="1"/>
  <c r="D88" i="1"/>
  <c r="D95" i="1"/>
  <c r="D100" i="1"/>
  <c r="D108" i="1"/>
  <c r="D115" i="1"/>
  <c r="D120" i="1"/>
  <c r="D127" i="1"/>
  <c r="D132" i="1"/>
  <c r="D140" i="1"/>
  <c r="D147" i="1"/>
  <c r="D155" i="1"/>
  <c r="D160" i="1"/>
  <c r="D167" i="1"/>
  <c r="D175" i="1"/>
  <c r="D180" i="1"/>
  <c r="D187" i="1"/>
  <c r="D192" i="1"/>
  <c r="D199" i="1"/>
  <c r="D207" i="1"/>
  <c r="D212" i="1"/>
  <c r="D220" i="1"/>
  <c r="D225" i="1"/>
  <c r="D231" i="1"/>
  <c r="D239" i="1"/>
  <c r="D244" i="1"/>
  <c r="D252" i="1"/>
  <c r="D257" i="1"/>
  <c r="D264" i="1"/>
  <c r="D272" i="1"/>
  <c r="D277" i="1"/>
  <c r="D284" i="1"/>
  <c r="D289" i="1"/>
  <c r="D296" i="1"/>
  <c r="D304" i="1"/>
  <c r="D309" i="1"/>
  <c r="D316" i="1"/>
  <c r="D321" i="1"/>
  <c r="D328" i="1"/>
  <c r="D336" i="1"/>
  <c r="D343" i="1"/>
  <c r="D349" i="1"/>
  <c r="D355" i="1"/>
  <c r="D363" i="1"/>
  <c r="D369" i="1"/>
  <c r="D375" i="1"/>
  <c r="D11" i="1"/>
  <c r="D17" i="1"/>
  <c r="D24" i="1"/>
  <c r="D31" i="1"/>
  <c r="D36" i="1"/>
  <c r="D44" i="1"/>
  <c r="D51" i="1"/>
  <c r="D59" i="1"/>
  <c r="D64" i="1"/>
  <c r="D69" i="1"/>
  <c r="D76" i="1"/>
  <c r="D83" i="1"/>
  <c r="D91" i="1"/>
  <c r="D96" i="1"/>
  <c r="D103" i="1"/>
  <c r="D111" i="1"/>
  <c r="D116" i="1"/>
  <c r="D123" i="1"/>
  <c r="D128" i="1"/>
  <c r="D135" i="1"/>
  <c r="D143" i="1"/>
  <c r="D148" i="1"/>
  <c r="D156" i="1"/>
  <c r="D161" i="1"/>
  <c r="D168" i="1"/>
  <c r="D176" i="1"/>
  <c r="D181" i="1"/>
  <c r="D188" i="1"/>
  <c r="D193" i="1"/>
  <c r="D200" i="1"/>
  <c r="D208" i="1"/>
  <c r="D215" i="1"/>
  <c r="D221" i="1"/>
  <c r="D227" i="1"/>
  <c r="D232" i="1"/>
  <c r="D240" i="1"/>
  <c r="D247" i="1"/>
  <c r="D253" i="1"/>
  <c r="D259" i="1"/>
  <c r="D267" i="1"/>
  <c r="D273" i="1"/>
  <c r="D279" i="1"/>
  <c r="D285" i="1"/>
  <c r="D291" i="1"/>
  <c r="D299" i="1"/>
  <c r="D305" i="1"/>
  <c r="D311" i="1"/>
  <c r="D317" i="1"/>
  <c r="D323" i="1"/>
  <c r="D331" i="1"/>
  <c r="D337" i="1"/>
  <c r="D344" i="1"/>
  <c r="D351" i="1"/>
  <c r="D356" i="1"/>
  <c r="D364" i="1"/>
  <c r="D371" i="1"/>
  <c r="D376" i="1"/>
  <c r="D383" i="1"/>
  <c r="D388" i="1"/>
  <c r="D396" i="1"/>
  <c r="D403" i="1"/>
  <c r="D408" i="1"/>
  <c r="D415" i="1"/>
  <c r="D420" i="1"/>
  <c r="D428" i="1"/>
  <c r="D435" i="1"/>
  <c r="D443" i="1"/>
  <c r="D448" i="1"/>
  <c r="D455" i="1"/>
  <c r="D463" i="1"/>
  <c r="D468" i="1"/>
  <c r="D476" i="1"/>
  <c r="D481" i="1"/>
  <c r="D487" i="1"/>
  <c r="D495" i="1"/>
  <c r="D500" i="1"/>
  <c r="D508" i="1"/>
  <c r="D513" i="1"/>
  <c r="D520" i="1"/>
  <c r="D529" i="1"/>
  <c r="D536" i="1"/>
  <c r="D547" i="1"/>
  <c r="D552" i="1"/>
  <c r="D563" i="1"/>
  <c r="D572" i="1"/>
  <c r="D583" i="1"/>
  <c r="D589" i="1"/>
  <c r="D599" i="1"/>
  <c r="D608" i="1"/>
  <c r="D616" i="1"/>
  <c r="D625" i="1"/>
  <c r="D4" i="1"/>
  <c r="D12" i="1"/>
  <c r="D19" i="1"/>
  <c r="D27" i="1"/>
  <c r="D32" i="1"/>
  <c r="D39" i="1"/>
  <c r="D47" i="1"/>
  <c r="D52" i="1"/>
  <c r="D60" i="1"/>
  <c r="D65" i="1"/>
  <c r="D71" i="1"/>
  <c r="D79" i="1"/>
  <c r="D84" i="1"/>
  <c r="D92" i="1"/>
  <c r="D97" i="1"/>
  <c r="D104" i="1"/>
  <c r="D112" i="1"/>
  <c r="D117" i="1"/>
  <c r="D124" i="1"/>
  <c r="D129" i="1"/>
  <c r="D136" i="1"/>
  <c r="D144" i="1"/>
  <c r="D151" i="1"/>
  <c r="D157" i="1"/>
  <c r="D163" i="1"/>
  <c r="D171" i="1"/>
  <c r="D177" i="1"/>
  <c r="D183" i="1"/>
  <c r="D189" i="1"/>
  <c r="D195" i="1"/>
  <c r="D203" i="1"/>
  <c r="D209" i="1"/>
  <c r="D216" i="1"/>
  <c r="D223" i="1"/>
  <c r="D228" i="1"/>
  <c r="D235" i="1"/>
  <c r="D241" i="1"/>
  <c r="D248" i="1"/>
  <c r="D255" i="1"/>
  <c r="D260" i="1"/>
  <c r="D268" i="1"/>
  <c r="D275" i="1"/>
  <c r="D280" i="1"/>
  <c r="D287" i="1"/>
  <c r="D292" i="1"/>
  <c r="D300" i="1"/>
  <c r="D307" i="1"/>
  <c r="D312" i="1"/>
  <c r="D319" i="1"/>
  <c r="D324" i="1"/>
  <c r="D332" i="1"/>
  <c r="D339" i="1"/>
  <c r="D347" i="1"/>
  <c r="D352" i="1"/>
  <c r="D359" i="1"/>
  <c r="D367" i="1"/>
  <c r="D372" i="1"/>
  <c r="D379" i="1"/>
  <c r="D384" i="1"/>
  <c r="D391" i="1"/>
  <c r="D399" i="1"/>
  <c r="D404" i="1"/>
  <c r="D411" i="1"/>
  <c r="D416" i="1"/>
  <c r="D20" i="1"/>
  <c r="D48" i="1"/>
  <c r="D72" i="1"/>
  <c r="D99" i="1"/>
  <c r="D125" i="1"/>
  <c r="D152" i="1"/>
  <c r="D179" i="1"/>
  <c r="D204" i="1"/>
  <c r="D229" i="1"/>
  <c r="D256" i="1"/>
  <c r="D283" i="1"/>
  <c r="D308" i="1"/>
  <c r="D335" i="1"/>
  <c r="D360" i="1"/>
  <c r="D381" i="1"/>
  <c r="D395" i="1"/>
  <c r="D407" i="1"/>
  <c r="D419" i="1"/>
  <c r="D431" i="1"/>
  <c r="D439" i="1"/>
  <c r="D447" i="1"/>
  <c r="D456" i="1"/>
  <c r="D465" i="1"/>
  <c r="D475" i="1"/>
  <c r="D483" i="1"/>
  <c r="D491" i="1"/>
  <c r="D499" i="1"/>
  <c r="D509" i="1"/>
  <c r="D516" i="1"/>
  <c r="D528" i="1"/>
  <c r="D540" i="1"/>
  <c r="D549" i="1"/>
  <c r="D561" i="1"/>
  <c r="D28" i="1"/>
  <c r="D55" i="1"/>
  <c r="D80" i="1"/>
  <c r="D107" i="1"/>
  <c r="D131" i="1"/>
  <c r="D159" i="1"/>
  <c r="D184" i="1"/>
  <c r="D211" i="1"/>
  <c r="D236" i="1"/>
  <c r="D263" i="1"/>
  <c r="D288" i="1"/>
  <c r="D315" i="1"/>
  <c r="D340" i="1"/>
  <c r="D368" i="1"/>
  <c r="D385" i="1"/>
  <c r="D400" i="1"/>
  <c r="D412" i="1"/>
  <c r="D423" i="1"/>
  <c r="D432" i="1"/>
  <c r="D440" i="1"/>
  <c r="D449" i="1"/>
  <c r="D459" i="1"/>
  <c r="D467" i="1"/>
  <c r="D477" i="1"/>
  <c r="D484" i="1"/>
  <c r="D492" i="1"/>
  <c r="D503" i="1"/>
  <c r="D511" i="1"/>
  <c r="D519" i="1"/>
  <c r="D531" i="1"/>
  <c r="D544" i="1"/>
  <c r="D551" i="1"/>
  <c r="D564" i="1"/>
  <c r="D577" i="1"/>
  <c r="D588" i="1"/>
  <c r="D600" i="1"/>
  <c r="D612" i="1"/>
  <c r="D624" i="1"/>
  <c r="D640" i="1"/>
  <c r="D652" i="1"/>
  <c r="D663" i="1"/>
  <c r="D677" i="1"/>
  <c r="D688" i="1"/>
  <c r="D700" i="1"/>
  <c r="D711" i="1"/>
  <c r="D721" i="1"/>
  <c r="D732" i="1"/>
  <c r="D741" i="1"/>
  <c r="D753" i="1"/>
  <c r="D760" i="1"/>
  <c r="D775" i="1"/>
  <c r="D785" i="1"/>
  <c r="D796" i="1"/>
  <c r="D807" i="1"/>
  <c r="D821" i="1"/>
  <c r="D828" i="1"/>
  <c r="D843" i="1"/>
  <c r="D851" i="1"/>
  <c r="D861" i="1"/>
  <c r="D872" i="1"/>
  <c r="D883" i="1"/>
  <c r="D893" i="1"/>
  <c r="D904" i="1"/>
  <c r="D917" i="1"/>
  <c r="D928" i="1"/>
  <c r="D939" i="1"/>
  <c r="D945" i="1"/>
  <c r="D956" i="1"/>
  <c r="D964" i="1"/>
  <c r="D970" i="1"/>
  <c r="D978" i="1"/>
  <c r="D986" i="1"/>
  <c r="D994" i="1"/>
  <c r="D679" i="1"/>
  <c r="D723" i="1"/>
  <c r="D743" i="1"/>
  <c r="D755" i="1"/>
  <c r="D787" i="1"/>
  <c r="D808" i="1"/>
  <c r="D823" i="1"/>
  <c r="D844" i="1"/>
  <c r="D865" i="1"/>
  <c r="D885" i="1"/>
  <c r="D908" i="1"/>
  <c r="D919" i="1"/>
  <c r="D940" i="1"/>
  <c r="D957" i="1"/>
  <c r="D973" i="1"/>
  <c r="D988" i="1"/>
  <c r="D40" i="1"/>
  <c r="D119" i="1"/>
  <c r="D196" i="1"/>
  <c r="D276" i="1"/>
  <c r="D353" i="1"/>
  <c r="D392" i="1"/>
  <c r="D427" i="1"/>
  <c r="D464" i="1"/>
  <c r="D488" i="1"/>
  <c r="D524" i="1"/>
  <c r="D560" i="1"/>
  <c r="D593" i="1"/>
  <c r="D620" i="1"/>
  <c r="D657" i="1"/>
  <c r="D680" i="1"/>
  <c r="D715" i="1"/>
  <c r="D744" i="1"/>
  <c r="D780" i="1"/>
  <c r="D824" i="1"/>
  <c r="D855" i="1"/>
  <c r="D887" i="1"/>
  <c r="D920" i="1"/>
  <c r="D950" i="1"/>
  <c r="D966" i="1"/>
  <c r="D989" i="1"/>
  <c r="D587" i="1"/>
  <c r="D621" i="1"/>
  <c r="D661" i="1"/>
  <c r="D695" i="1"/>
  <c r="D705" i="1"/>
  <c r="D727" i="1"/>
  <c r="D759" i="1"/>
  <c r="D791" i="1"/>
  <c r="D849" i="1"/>
  <c r="D871" i="1"/>
  <c r="D913" i="1"/>
  <c r="D935" i="1"/>
  <c r="D961" i="1"/>
  <c r="D977" i="1"/>
  <c r="D993" i="1"/>
  <c r="D7" i="1"/>
  <c r="D33" i="1"/>
  <c r="D61" i="1"/>
  <c r="D87" i="1"/>
  <c r="D113" i="1"/>
  <c r="D139" i="1"/>
  <c r="D164" i="1"/>
  <c r="D191" i="1"/>
  <c r="D219" i="1"/>
  <c r="D243" i="1"/>
  <c r="D271" i="1"/>
  <c r="D295" i="1"/>
  <c r="D320" i="1"/>
  <c r="D348" i="1"/>
  <c r="D373" i="1"/>
  <c r="D387" i="1"/>
  <c r="D401" i="1"/>
  <c r="D413" i="1"/>
  <c r="D424" i="1"/>
  <c r="D433" i="1"/>
  <c r="D444" i="1"/>
  <c r="D451" i="1"/>
  <c r="D460" i="1"/>
  <c r="D471" i="1"/>
  <c r="D479" i="1"/>
  <c r="D485" i="1"/>
  <c r="D496" i="1"/>
  <c r="D504" i="1"/>
  <c r="D512" i="1"/>
  <c r="D523" i="1"/>
  <c r="D532" i="1"/>
  <c r="D545" i="1"/>
  <c r="D556" i="1"/>
  <c r="D567" i="1"/>
  <c r="D580" i="1"/>
  <c r="D592" i="1"/>
  <c r="D604" i="1"/>
  <c r="D615" i="1"/>
  <c r="D631" i="1"/>
  <c r="D641" i="1"/>
  <c r="D653" i="1"/>
  <c r="D664" i="1"/>
  <c r="D689" i="1"/>
  <c r="D701" i="1"/>
  <c r="D712" i="1"/>
  <c r="D733" i="1"/>
  <c r="D763" i="1"/>
  <c r="D776" i="1"/>
  <c r="D797" i="1"/>
  <c r="D833" i="1"/>
  <c r="D853" i="1"/>
  <c r="D875" i="1"/>
  <c r="D896" i="1"/>
  <c r="D929" i="1"/>
  <c r="D949" i="1"/>
  <c r="D965" i="1"/>
  <c r="D981" i="1"/>
  <c r="D997" i="1"/>
  <c r="D15" i="1"/>
  <c r="D93" i="1"/>
  <c r="D172" i="1"/>
  <c r="D251" i="1"/>
  <c r="D327" i="1"/>
  <c r="D405" i="1"/>
  <c r="D436" i="1"/>
  <c r="D452" i="1"/>
  <c r="D480" i="1"/>
  <c r="D507" i="1"/>
  <c r="D535" i="1"/>
  <c r="D584" i="1"/>
  <c r="D632" i="1"/>
  <c r="D668" i="1"/>
  <c r="D704" i="1"/>
  <c r="D736" i="1"/>
  <c r="D764" i="1"/>
  <c r="D800" i="1"/>
  <c r="D835" i="1"/>
  <c r="D869" i="1"/>
  <c r="D897" i="1"/>
  <c r="D931" i="1"/>
  <c r="D958" i="1"/>
  <c r="D984" i="1"/>
  <c r="D596" i="1"/>
  <c r="D636" i="1"/>
  <c r="D673" i="1"/>
  <c r="D737" i="1"/>
  <c r="D784" i="1"/>
  <c r="D817" i="1"/>
  <c r="D839" i="1"/>
  <c r="D892" i="1"/>
  <c r="D924" i="1"/>
  <c r="D969" i="1"/>
  <c r="D67" i="1"/>
  <c r="D145" i="1"/>
  <c r="D224" i="1"/>
  <c r="D303" i="1"/>
  <c r="D380" i="1"/>
  <c r="D417" i="1"/>
  <c r="D445" i="1"/>
  <c r="D472" i="1"/>
  <c r="D497" i="1"/>
  <c r="D515" i="1"/>
  <c r="D548" i="1"/>
  <c r="D568" i="1"/>
  <c r="D605" i="1"/>
  <c r="D643" i="1"/>
  <c r="D691" i="1"/>
  <c r="D725" i="1"/>
  <c r="D757" i="1"/>
  <c r="D789" i="1"/>
  <c r="D812" i="1"/>
  <c r="D845" i="1"/>
  <c r="D876" i="1"/>
  <c r="D909" i="1"/>
  <c r="D941" i="1"/>
  <c r="D976" i="1"/>
  <c r="D576" i="1"/>
  <c r="D609" i="1"/>
  <c r="D647" i="1"/>
  <c r="D684" i="1"/>
  <c r="D716" i="1"/>
  <c r="D748" i="1"/>
  <c r="D769" i="1"/>
  <c r="D801" i="1"/>
  <c r="D827" i="1"/>
  <c r="D860" i="1"/>
  <c r="D881" i="1"/>
  <c r="D903" i="1"/>
  <c r="D944" i="1"/>
  <c r="D953" i="1"/>
  <c r="D985" i="1"/>
  <c r="O995" i="1"/>
  <c r="M995" i="1"/>
  <c r="N979" i="1"/>
  <c r="P979" i="1"/>
  <c r="L979" i="1"/>
  <c r="M963" i="1"/>
  <c r="O963" i="1"/>
  <c r="P947" i="1"/>
  <c r="L947" i="1"/>
  <c r="N947" i="1"/>
  <c r="O931" i="1"/>
  <c r="M931" i="1"/>
  <c r="N915" i="1"/>
  <c r="P915" i="1"/>
  <c r="L915" i="1"/>
  <c r="M899" i="1"/>
  <c r="O899" i="1"/>
  <c r="P883" i="1"/>
  <c r="L883" i="1"/>
  <c r="N883" i="1"/>
  <c r="O867" i="1"/>
  <c r="M867" i="1"/>
  <c r="M850" i="1"/>
  <c r="O850" i="1"/>
  <c r="P331" i="1"/>
  <c r="L331" i="1"/>
  <c r="N331" i="1"/>
  <c r="P267" i="1"/>
  <c r="L267" i="1"/>
  <c r="N267" i="1"/>
  <c r="P203" i="1"/>
  <c r="L203" i="1"/>
  <c r="N203" i="1"/>
  <c r="P139" i="1"/>
  <c r="L139" i="1"/>
  <c r="N139" i="1"/>
  <c r="P75" i="1"/>
  <c r="L75" i="1"/>
  <c r="N75" i="1"/>
  <c r="O841" i="1"/>
  <c r="N841" i="1"/>
  <c r="M841" i="1"/>
  <c r="N825" i="1"/>
  <c r="M825" i="1"/>
  <c r="P825" i="1"/>
  <c r="L825" i="1"/>
  <c r="M809" i="1"/>
  <c r="P809" i="1"/>
  <c r="L809" i="1"/>
  <c r="O809" i="1"/>
  <c r="P793" i="1"/>
  <c r="L793" i="1"/>
  <c r="O793" i="1"/>
  <c r="N793" i="1"/>
  <c r="P777" i="1"/>
  <c r="L777" i="1"/>
  <c r="O777" i="1"/>
  <c r="N777" i="1"/>
  <c r="O761" i="1"/>
  <c r="N761" i="1"/>
  <c r="M761" i="1"/>
  <c r="N745" i="1"/>
  <c r="M745" i="1"/>
  <c r="P745" i="1"/>
  <c r="L745" i="1"/>
  <c r="M729" i="1"/>
  <c r="P729" i="1"/>
  <c r="L729" i="1"/>
  <c r="O729" i="1"/>
  <c r="M713" i="1"/>
  <c r="P713" i="1"/>
  <c r="L713" i="1"/>
  <c r="O713" i="1"/>
  <c r="P697" i="1"/>
  <c r="L697" i="1"/>
  <c r="O697" i="1"/>
  <c r="N697" i="1"/>
  <c r="O681" i="1"/>
  <c r="N681" i="1"/>
  <c r="M681" i="1"/>
  <c r="N665" i="1"/>
  <c r="M665" i="1"/>
  <c r="P665" i="1"/>
  <c r="L665" i="1"/>
  <c r="N649" i="1"/>
  <c r="M649" i="1"/>
  <c r="P649" i="1"/>
  <c r="L649" i="1"/>
  <c r="M633" i="1"/>
  <c r="P633" i="1"/>
  <c r="L633" i="1"/>
  <c r="O633" i="1"/>
  <c r="P617" i="1"/>
  <c r="L617" i="1"/>
  <c r="O617" i="1"/>
  <c r="N617" i="1"/>
  <c r="O601" i="1"/>
  <c r="N601" i="1"/>
  <c r="M601" i="1"/>
  <c r="O585" i="1"/>
  <c r="N585" i="1"/>
  <c r="M585" i="1"/>
  <c r="N569" i="1"/>
  <c r="M569" i="1"/>
  <c r="P569" i="1"/>
  <c r="L569" i="1"/>
  <c r="M553" i="1"/>
  <c r="P553" i="1"/>
  <c r="L553" i="1"/>
  <c r="O553" i="1"/>
  <c r="P537" i="1"/>
  <c r="L537" i="1"/>
  <c r="O537" i="1"/>
  <c r="N537" i="1"/>
  <c r="P521" i="1"/>
  <c r="L521" i="1"/>
  <c r="O521" i="1"/>
  <c r="N521" i="1"/>
  <c r="O505" i="1"/>
  <c r="N505" i="1"/>
  <c r="M505" i="1"/>
  <c r="N489" i="1"/>
  <c r="M489" i="1"/>
  <c r="P489" i="1"/>
  <c r="L489" i="1"/>
  <c r="M473" i="1"/>
  <c r="P473" i="1"/>
  <c r="L473" i="1"/>
  <c r="O473" i="1"/>
  <c r="P457" i="1"/>
  <c r="L457" i="1"/>
  <c r="O457" i="1"/>
  <c r="N457" i="1"/>
  <c r="O441" i="1"/>
  <c r="N441" i="1"/>
  <c r="M441" i="1"/>
  <c r="N425" i="1"/>
  <c r="M425" i="1"/>
  <c r="P425" i="1"/>
  <c r="L425" i="1"/>
  <c r="M409" i="1"/>
  <c r="P409" i="1"/>
  <c r="L409" i="1"/>
  <c r="O409" i="1"/>
  <c r="P393" i="1"/>
  <c r="L393" i="1"/>
  <c r="O393" i="1"/>
  <c r="N393" i="1"/>
  <c r="O377" i="1"/>
  <c r="N377" i="1"/>
  <c r="M377" i="1"/>
  <c r="N361" i="1"/>
  <c r="M361" i="1"/>
  <c r="P361" i="1"/>
  <c r="L361" i="1"/>
  <c r="M345" i="1"/>
  <c r="P345" i="1"/>
  <c r="L345" i="1"/>
  <c r="O345" i="1"/>
  <c r="M313" i="1"/>
  <c r="P313" i="1"/>
  <c r="L313" i="1"/>
  <c r="O313" i="1"/>
  <c r="O281" i="1"/>
  <c r="N281" i="1"/>
  <c r="M281" i="1"/>
  <c r="O249" i="1"/>
  <c r="N249" i="1"/>
  <c r="M249" i="1"/>
  <c r="N217" i="1"/>
  <c r="M217" i="1"/>
  <c r="P217" i="1"/>
  <c r="L217" i="1"/>
  <c r="N185" i="1"/>
  <c r="M185" i="1"/>
  <c r="P185" i="1"/>
  <c r="L185" i="1"/>
  <c r="P153" i="1"/>
  <c r="L153" i="1"/>
  <c r="O153" i="1"/>
  <c r="N153" i="1"/>
  <c r="P121" i="1"/>
  <c r="L121" i="1"/>
  <c r="O121" i="1"/>
  <c r="N121" i="1"/>
  <c r="O89" i="1"/>
  <c r="N89" i="1"/>
  <c r="M89" i="1"/>
  <c r="M55" i="1"/>
  <c r="O55" i="1"/>
  <c r="M23" i="1"/>
  <c r="O23" i="1"/>
  <c r="O60" i="1"/>
  <c r="L60" i="1"/>
  <c r="N44" i="1"/>
  <c r="P44" i="1"/>
  <c r="M44" i="1"/>
  <c r="M28" i="1"/>
  <c r="O28" i="1"/>
  <c r="P12" i="1"/>
  <c r="L12" i="1"/>
  <c r="N12" i="1"/>
  <c r="N83" i="1"/>
  <c r="P83" i="1"/>
  <c r="L83" i="1"/>
  <c r="N211" i="1"/>
  <c r="P211" i="1"/>
  <c r="L211" i="1"/>
  <c r="N339" i="1"/>
  <c r="P339" i="1"/>
  <c r="L339" i="1"/>
  <c r="M894" i="1"/>
  <c r="O894" i="1"/>
  <c r="P958" i="1"/>
  <c r="L958" i="1"/>
  <c r="N958" i="1"/>
  <c r="L89" i="1"/>
  <c r="M121" i="1"/>
  <c r="M153" i="1"/>
  <c r="O361" i="1"/>
  <c r="P377" i="1"/>
  <c r="L441" i="1"/>
  <c r="M457" i="1"/>
  <c r="N553" i="1"/>
  <c r="P601" i="1"/>
  <c r="L681" i="1"/>
  <c r="M697" i="1"/>
  <c r="N809" i="1"/>
  <c r="N867" i="1"/>
  <c r="M883" i="1"/>
  <c r="L899" i="1"/>
  <c r="P963" i="1"/>
  <c r="O979" i="1"/>
  <c r="N995" i="1"/>
  <c r="L249" i="1"/>
  <c r="N313" i="1"/>
  <c r="N345" i="1"/>
  <c r="O425" i="1"/>
  <c r="P441" i="1"/>
  <c r="L505" i="1"/>
  <c r="M521" i="1"/>
  <c r="M537" i="1"/>
  <c r="O649" i="1"/>
  <c r="O665" i="1"/>
  <c r="P681" i="1"/>
  <c r="L761" i="1"/>
  <c r="M777" i="1"/>
  <c r="M793" i="1"/>
  <c r="P867" i="1"/>
  <c r="O883" i="1"/>
  <c r="N899" i="1"/>
  <c r="M915" i="1"/>
  <c r="L931" i="1"/>
  <c r="P995" i="1"/>
  <c r="O185" i="1"/>
  <c r="O217" i="1"/>
  <c r="P249" i="1"/>
  <c r="L281" i="1"/>
  <c r="N409" i="1"/>
  <c r="O489" i="1"/>
  <c r="P505" i="1"/>
  <c r="L585" i="1"/>
  <c r="N633" i="1"/>
  <c r="O745" i="1"/>
  <c r="P761" i="1"/>
  <c r="L841" i="1"/>
  <c r="F68" i="10"/>
  <c r="J4" i="1" a="1"/>
  <c r="J4" i="1" s="1"/>
  <c r="J8" i="1" a="1"/>
  <c r="J8" i="1" s="1"/>
  <c r="J12" i="1" a="1"/>
  <c r="J12" i="1" s="1"/>
  <c r="J5" i="1" a="1"/>
  <c r="J5" i="1" s="1"/>
  <c r="J9" i="1" a="1"/>
  <c r="J9" i="1" s="1"/>
  <c r="J6" i="1" a="1"/>
  <c r="J6" i="1" s="1"/>
  <c r="J10" i="1" a="1"/>
  <c r="J10" i="1" s="1"/>
  <c r="J7" i="1" a="1"/>
  <c r="J7" i="1" s="1"/>
  <c r="J11" i="1" a="1"/>
  <c r="J11" i="1" s="1"/>
  <c r="J13" i="1" a="1"/>
  <c r="J13" i="1" s="1"/>
  <c r="J17" i="1" a="1"/>
  <c r="J17" i="1" s="1"/>
  <c r="J21" i="1" a="1"/>
  <c r="J21" i="1" s="1"/>
  <c r="J25" i="1" a="1"/>
  <c r="J25" i="1" s="1"/>
  <c r="J29" i="1" a="1"/>
  <c r="J29" i="1" s="1"/>
  <c r="J33" i="1" a="1"/>
  <c r="J33" i="1" s="1"/>
  <c r="J37" i="1" a="1"/>
  <c r="J37" i="1" s="1"/>
  <c r="J41" i="1" a="1"/>
  <c r="J41" i="1" s="1"/>
  <c r="J45" i="1" a="1"/>
  <c r="J45" i="1" s="1"/>
  <c r="J49" i="1" a="1"/>
  <c r="J49" i="1" s="1"/>
  <c r="J53" i="1" a="1"/>
  <c r="J53" i="1" s="1"/>
  <c r="J57" i="1" a="1"/>
  <c r="J57" i="1" s="1"/>
  <c r="J61" i="1" a="1"/>
  <c r="J61" i="1" s="1"/>
  <c r="J65" i="1" a="1"/>
  <c r="J65" i="1" s="1"/>
  <c r="J69" i="1" a="1"/>
  <c r="J69" i="1" s="1"/>
  <c r="J73" i="1" a="1"/>
  <c r="J73" i="1" s="1"/>
  <c r="J77" i="1" a="1"/>
  <c r="J77" i="1" s="1"/>
  <c r="J81" i="1" a="1"/>
  <c r="J81" i="1" s="1"/>
  <c r="J85" i="1" a="1"/>
  <c r="J85" i="1" s="1"/>
  <c r="J89" i="1" a="1"/>
  <c r="J89" i="1" s="1"/>
  <c r="J93" i="1" a="1"/>
  <c r="J93" i="1" s="1"/>
  <c r="J97" i="1" a="1"/>
  <c r="J97" i="1" s="1"/>
  <c r="J101" i="1" a="1"/>
  <c r="J101" i="1" s="1"/>
  <c r="J105" i="1" a="1"/>
  <c r="J105" i="1" s="1"/>
  <c r="J109" i="1" a="1"/>
  <c r="J109" i="1" s="1"/>
  <c r="J113" i="1" a="1"/>
  <c r="J113" i="1" s="1"/>
  <c r="J117" i="1" a="1"/>
  <c r="J117" i="1" s="1"/>
  <c r="J121" i="1" a="1"/>
  <c r="J121" i="1" s="1"/>
  <c r="J125" i="1" a="1"/>
  <c r="J125" i="1" s="1"/>
  <c r="J129" i="1" a="1"/>
  <c r="J129" i="1" s="1"/>
  <c r="J133" i="1" a="1"/>
  <c r="J133" i="1" s="1"/>
  <c r="J137" i="1" a="1"/>
  <c r="J137" i="1" s="1"/>
  <c r="J141" i="1" a="1"/>
  <c r="J141" i="1" s="1"/>
  <c r="J145" i="1" a="1"/>
  <c r="J145" i="1" s="1"/>
  <c r="J149" i="1" a="1"/>
  <c r="J149" i="1" s="1"/>
  <c r="J153" i="1" a="1"/>
  <c r="J153" i="1" s="1"/>
  <c r="J157" i="1" a="1"/>
  <c r="J157" i="1" s="1"/>
  <c r="J161" i="1" a="1"/>
  <c r="J161" i="1" s="1"/>
  <c r="J165" i="1" a="1"/>
  <c r="J165" i="1" s="1"/>
  <c r="J169" i="1" a="1"/>
  <c r="J169" i="1" s="1"/>
  <c r="J173" i="1" a="1"/>
  <c r="J173" i="1" s="1"/>
  <c r="J177" i="1" a="1"/>
  <c r="J177" i="1" s="1"/>
  <c r="J181" i="1" a="1"/>
  <c r="J181" i="1" s="1"/>
  <c r="J185" i="1" a="1"/>
  <c r="J185" i="1" s="1"/>
  <c r="J189" i="1" a="1"/>
  <c r="J189" i="1" s="1"/>
  <c r="J193" i="1" a="1"/>
  <c r="J193" i="1" s="1"/>
  <c r="J197" i="1" a="1"/>
  <c r="J197" i="1" s="1"/>
  <c r="J201" i="1" a="1"/>
  <c r="J201" i="1" s="1"/>
  <c r="J205" i="1" a="1"/>
  <c r="J205" i="1" s="1"/>
  <c r="J209" i="1" a="1"/>
  <c r="J209" i="1" s="1"/>
  <c r="J213" i="1" a="1"/>
  <c r="J213" i="1" s="1"/>
  <c r="J217" i="1" a="1"/>
  <c r="J217" i="1" s="1"/>
  <c r="J221" i="1" a="1"/>
  <c r="J221" i="1" s="1"/>
  <c r="J225" i="1" a="1"/>
  <c r="J225" i="1" s="1"/>
  <c r="J229" i="1" a="1"/>
  <c r="J229" i="1" s="1"/>
  <c r="J233" i="1" a="1"/>
  <c r="J233" i="1" s="1"/>
  <c r="J237" i="1" a="1"/>
  <c r="J237" i="1" s="1"/>
  <c r="J241" i="1" a="1"/>
  <c r="J241" i="1" s="1"/>
  <c r="J245" i="1" a="1"/>
  <c r="J245" i="1" s="1"/>
  <c r="J249" i="1" a="1"/>
  <c r="J249" i="1" s="1"/>
  <c r="J253" i="1" a="1"/>
  <c r="J253" i="1" s="1"/>
  <c r="J257" i="1" a="1"/>
  <c r="J257" i="1" s="1"/>
  <c r="J261" i="1" a="1"/>
  <c r="J261" i="1" s="1"/>
  <c r="J265" i="1" a="1"/>
  <c r="J265" i="1" s="1"/>
  <c r="J269" i="1" a="1"/>
  <c r="J269" i="1" s="1"/>
  <c r="J273" i="1" a="1"/>
  <c r="J273" i="1" s="1"/>
  <c r="J277" i="1" a="1"/>
  <c r="J277" i="1" s="1"/>
  <c r="J281" i="1" a="1"/>
  <c r="J281" i="1" s="1"/>
  <c r="J285" i="1" a="1"/>
  <c r="J285" i="1" s="1"/>
  <c r="J289" i="1" a="1"/>
  <c r="J289" i="1" s="1"/>
  <c r="J293" i="1" a="1"/>
  <c r="J293" i="1" s="1"/>
  <c r="J297" i="1" a="1"/>
  <c r="J297" i="1" s="1"/>
  <c r="J301" i="1" a="1"/>
  <c r="J301" i="1" s="1"/>
  <c r="J305" i="1" a="1"/>
  <c r="J305" i="1" s="1"/>
  <c r="J309" i="1" a="1"/>
  <c r="J309" i="1" s="1"/>
  <c r="J313" i="1" a="1"/>
  <c r="J313" i="1" s="1"/>
  <c r="J317" i="1" a="1"/>
  <c r="J317" i="1" s="1"/>
  <c r="J321" i="1" a="1"/>
  <c r="J321" i="1" s="1"/>
  <c r="J325" i="1" a="1"/>
  <c r="J325" i="1" s="1"/>
  <c r="J329" i="1" a="1"/>
  <c r="J329" i="1" s="1"/>
  <c r="J333" i="1" a="1"/>
  <c r="J333" i="1" s="1"/>
  <c r="J337" i="1" a="1"/>
  <c r="J337" i="1" s="1"/>
  <c r="J341" i="1" a="1"/>
  <c r="J341" i="1" s="1"/>
  <c r="J345" i="1" a="1"/>
  <c r="J345" i="1" s="1"/>
  <c r="J349" i="1" a="1"/>
  <c r="J349" i="1" s="1"/>
  <c r="J14" i="1" a="1"/>
  <c r="J14" i="1" s="1"/>
  <c r="J18" i="1" a="1"/>
  <c r="J18" i="1" s="1"/>
  <c r="J22" i="1" a="1"/>
  <c r="J22" i="1" s="1"/>
  <c r="J26" i="1" a="1"/>
  <c r="J26" i="1" s="1"/>
  <c r="J30" i="1" a="1"/>
  <c r="J30" i="1" s="1"/>
  <c r="J34" i="1" a="1"/>
  <c r="J34" i="1" s="1"/>
  <c r="J38" i="1" a="1"/>
  <c r="J38" i="1" s="1"/>
  <c r="J42" i="1" a="1"/>
  <c r="J42" i="1" s="1"/>
  <c r="J46" i="1" a="1"/>
  <c r="J46" i="1" s="1"/>
  <c r="J50" i="1" a="1"/>
  <c r="J50" i="1" s="1"/>
  <c r="J54" i="1" a="1"/>
  <c r="J54" i="1" s="1"/>
  <c r="J58" i="1" a="1"/>
  <c r="J58" i="1" s="1"/>
  <c r="J62" i="1" a="1"/>
  <c r="J62" i="1" s="1"/>
  <c r="J66" i="1" a="1"/>
  <c r="J66" i="1" s="1"/>
  <c r="J70" i="1" a="1"/>
  <c r="J70" i="1" s="1"/>
  <c r="J74" i="1" a="1"/>
  <c r="J74" i="1" s="1"/>
  <c r="J78" i="1" a="1"/>
  <c r="J78" i="1" s="1"/>
  <c r="J82" i="1" a="1"/>
  <c r="J82" i="1" s="1"/>
  <c r="J86" i="1" a="1"/>
  <c r="J86" i="1" s="1"/>
  <c r="J90" i="1" a="1"/>
  <c r="J90" i="1" s="1"/>
  <c r="J94" i="1" a="1"/>
  <c r="J94" i="1" s="1"/>
  <c r="J98" i="1" a="1"/>
  <c r="J98" i="1" s="1"/>
  <c r="J102" i="1" a="1"/>
  <c r="J102" i="1" s="1"/>
  <c r="J106" i="1" a="1"/>
  <c r="J106" i="1" s="1"/>
  <c r="J110" i="1" a="1"/>
  <c r="J110" i="1" s="1"/>
  <c r="J114" i="1" a="1"/>
  <c r="J114" i="1" s="1"/>
  <c r="J118" i="1" a="1"/>
  <c r="J118" i="1" s="1"/>
  <c r="J122" i="1" a="1"/>
  <c r="J122" i="1" s="1"/>
  <c r="J126" i="1" a="1"/>
  <c r="J126" i="1" s="1"/>
  <c r="J130" i="1" a="1"/>
  <c r="J130" i="1" s="1"/>
  <c r="J134" i="1" a="1"/>
  <c r="J134" i="1" s="1"/>
  <c r="J138" i="1" a="1"/>
  <c r="J138" i="1" s="1"/>
  <c r="J142" i="1" a="1"/>
  <c r="J142" i="1" s="1"/>
  <c r="J146" i="1" a="1"/>
  <c r="J146" i="1" s="1"/>
  <c r="J150" i="1" a="1"/>
  <c r="J150" i="1" s="1"/>
  <c r="J154" i="1" a="1"/>
  <c r="J154" i="1" s="1"/>
  <c r="J158" i="1" a="1"/>
  <c r="J158" i="1" s="1"/>
  <c r="J162" i="1" a="1"/>
  <c r="J162" i="1" s="1"/>
  <c r="J166" i="1" a="1"/>
  <c r="J166" i="1" s="1"/>
  <c r="J170" i="1" a="1"/>
  <c r="J170" i="1" s="1"/>
  <c r="J174" i="1" a="1"/>
  <c r="J174" i="1" s="1"/>
  <c r="J178" i="1" a="1"/>
  <c r="J178" i="1" s="1"/>
  <c r="J182" i="1" a="1"/>
  <c r="J182" i="1" s="1"/>
  <c r="J186" i="1" a="1"/>
  <c r="J186" i="1" s="1"/>
  <c r="J190" i="1" a="1"/>
  <c r="J190" i="1" s="1"/>
  <c r="J194" i="1" a="1"/>
  <c r="J194" i="1" s="1"/>
  <c r="J198" i="1" a="1"/>
  <c r="J198" i="1" s="1"/>
  <c r="J202" i="1" a="1"/>
  <c r="J202" i="1" s="1"/>
  <c r="J206" i="1" a="1"/>
  <c r="J206" i="1" s="1"/>
  <c r="J210" i="1" a="1"/>
  <c r="J210" i="1" s="1"/>
  <c r="J214" i="1" a="1"/>
  <c r="J214" i="1" s="1"/>
  <c r="J218" i="1" a="1"/>
  <c r="J218" i="1" s="1"/>
  <c r="J222" i="1" a="1"/>
  <c r="J222" i="1" s="1"/>
  <c r="J15" i="1" a="1"/>
  <c r="J15" i="1" s="1"/>
  <c r="J23" i="1" a="1"/>
  <c r="J23" i="1" s="1"/>
  <c r="J31" i="1" a="1"/>
  <c r="J31" i="1" s="1"/>
  <c r="J39" i="1" a="1"/>
  <c r="J39" i="1" s="1"/>
  <c r="J47" i="1" a="1"/>
  <c r="J47" i="1" s="1"/>
  <c r="J55" i="1" a="1"/>
  <c r="J55" i="1" s="1"/>
  <c r="J63" i="1" a="1"/>
  <c r="J63" i="1" s="1"/>
  <c r="J71" i="1" a="1"/>
  <c r="J71" i="1" s="1"/>
  <c r="J79" i="1" a="1"/>
  <c r="J79" i="1" s="1"/>
  <c r="J87" i="1" a="1"/>
  <c r="J87" i="1" s="1"/>
  <c r="J95" i="1" a="1"/>
  <c r="J95" i="1" s="1"/>
  <c r="J103" i="1" a="1"/>
  <c r="J103" i="1" s="1"/>
  <c r="J111" i="1" a="1"/>
  <c r="J111" i="1" s="1"/>
  <c r="J119" i="1" a="1"/>
  <c r="J119" i="1" s="1"/>
  <c r="J127" i="1" a="1"/>
  <c r="J127" i="1" s="1"/>
  <c r="J135" i="1" a="1"/>
  <c r="J135" i="1" s="1"/>
  <c r="J143" i="1" a="1"/>
  <c r="J143" i="1" s="1"/>
  <c r="J151" i="1" a="1"/>
  <c r="J151" i="1" s="1"/>
  <c r="J159" i="1" a="1"/>
  <c r="J159" i="1" s="1"/>
  <c r="J167" i="1" a="1"/>
  <c r="J167" i="1" s="1"/>
  <c r="J175" i="1" a="1"/>
  <c r="J175" i="1" s="1"/>
  <c r="J183" i="1" a="1"/>
  <c r="J183" i="1" s="1"/>
  <c r="J191" i="1" a="1"/>
  <c r="J191" i="1" s="1"/>
  <c r="J199" i="1" a="1"/>
  <c r="J199" i="1" s="1"/>
  <c r="J207" i="1" a="1"/>
  <c r="J207" i="1" s="1"/>
  <c r="J215" i="1" a="1"/>
  <c r="J215" i="1" s="1"/>
  <c r="J223" i="1" a="1"/>
  <c r="J223" i="1" s="1"/>
  <c r="J228" i="1" a="1"/>
  <c r="J228" i="1" s="1"/>
  <c r="J234" i="1" a="1"/>
  <c r="J234" i="1" s="1"/>
  <c r="J239" i="1" a="1"/>
  <c r="J239" i="1" s="1"/>
  <c r="J244" i="1" a="1"/>
  <c r="J244" i="1" s="1"/>
  <c r="J250" i="1" a="1"/>
  <c r="J250" i="1" s="1"/>
  <c r="J255" i="1" a="1"/>
  <c r="J255" i="1" s="1"/>
  <c r="J260" i="1" a="1"/>
  <c r="J260" i="1" s="1"/>
  <c r="J266" i="1" a="1"/>
  <c r="J266" i="1" s="1"/>
  <c r="J271" i="1" a="1"/>
  <c r="J271" i="1" s="1"/>
  <c r="J276" i="1" a="1"/>
  <c r="J276" i="1" s="1"/>
  <c r="J282" i="1" a="1"/>
  <c r="J282" i="1" s="1"/>
  <c r="J287" i="1" a="1"/>
  <c r="J287" i="1" s="1"/>
  <c r="J292" i="1" a="1"/>
  <c r="J292" i="1" s="1"/>
  <c r="J298" i="1" a="1"/>
  <c r="J298" i="1" s="1"/>
  <c r="J303" i="1" a="1"/>
  <c r="J303" i="1" s="1"/>
  <c r="J308" i="1" a="1"/>
  <c r="J308" i="1" s="1"/>
  <c r="J314" i="1" a="1"/>
  <c r="J314" i="1" s="1"/>
  <c r="J319" i="1" a="1"/>
  <c r="J319" i="1" s="1"/>
  <c r="J324" i="1" a="1"/>
  <c r="J324" i="1" s="1"/>
  <c r="J330" i="1" a="1"/>
  <c r="J330" i="1" s="1"/>
  <c r="J335" i="1" a="1"/>
  <c r="J335" i="1" s="1"/>
  <c r="J340" i="1" a="1"/>
  <c r="J340" i="1" s="1"/>
  <c r="J346" i="1" a="1"/>
  <c r="J346" i="1" s="1"/>
  <c r="J351" i="1" a="1"/>
  <c r="J351" i="1" s="1"/>
  <c r="J355" i="1" a="1"/>
  <c r="J355" i="1" s="1"/>
  <c r="J359" i="1" a="1"/>
  <c r="J359" i="1" s="1"/>
  <c r="J363" i="1" a="1"/>
  <c r="J363" i="1" s="1"/>
  <c r="J367" i="1" a="1"/>
  <c r="J367" i="1" s="1"/>
  <c r="J371" i="1" a="1"/>
  <c r="J371" i="1" s="1"/>
  <c r="J375" i="1" a="1"/>
  <c r="J375" i="1" s="1"/>
  <c r="J379" i="1" a="1"/>
  <c r="J379" i="1" s="1"/>
  <c r="J383" i="1" a="1"/>
  <c r="J383" i="1" s="1"/>
  <c r="J387" i="1" a="1"/>
  <c r="J387" i="1" s="1"/>
  <c r="J391" i="1" a="1"/>
  <c r="J391" i="1" s="1"/>
  <c r="J395" i="1" a="1"/>
  <c r="J395" i="1" s="1"/>
  <c r="J399" i="1" a="1"/>
  <c r="J399" i="1" s="1"/>
  <c r="J403" i="1" a="1"/>
  <c r="J403" i="1" s="1"/>
  <c r="J407" i="1" a="1"/>
  <c r="J407" i="1" s="1"/>
  <c r="J411" i="1" a="1"/>
  <c r="J411" i="1" s="1"/>
  <c r="J415" i="1" a="1"/>
  <c r="J415" i="1" s="1"/>
  <c r="J419" i="1" a="1"/>
  <c r="J419" i="1" s="1"/>
  <c r="J423" i="1" a="1"/>
  <c r="J423" i="1" s="1"/>
  <c r="J427" i="1" a="1"/>
  <c r="J427" i="1" s="1"/>
  <c r="J431" i="1" a="1"/>
  <c r="J431" i="1" s="1"/>
  <c r="J435" i="1" a="1"/>
  <c r="J435" i="1" s="1"/>
  <c r="J439" i="1" a="1"/>
  <c r="J439" i="1" s="1"/>
  <c r="J443" i="1" a="1"/>
  <c r="J443" i="1" s="1"/>
  <c r="J447" i="1" a="1"/>
  <c r="J447" i="1" s="1"/>
  <c r="J451" i="1" a="1"/>
  <c r="J451" i="1" s="1"/>
  <c r="J455" i="1" a="1"/>
  <c r="J455" i="1" s="1"/>
  <c r="J459" i="1" a="1"/>
  <c r="J459" i="1" s="1"/>
  <c r="J463" i="1" a="1"/>
  <c r="J463" i="1" s="1"/>
  <c r="J467" i="1" a="1"/>
  <c r="J467" i="1" s="1"/>
  <c r="J471" i="1" a="1"/>
  <c r="J471" i="1" s="1"/>
  <c r="J475" i="1" a="1"/>
  <c r="J475" i="1" s="1"/>
  <c r="J479" i="1" a="1"/>
  <c r="J479" i="1" s="1"/>
  <c r="J483" i="1" a="1"/>
  <c r="J483" i="1" s="1"/>
  <c r="J487" i="1" a="1"/>
  <c r="J487" i="1" s="1"/>
  <c r="J491" i="1" a="1"/>
  <c r="J491" i="1" s="1"/>
  <c r="J495" i="1" a="1"/>
  <c r="J495" i="1" s="1"/>
  <c r="J499" i="1" a="1"/>
  <c r="J499" i="1" s="1"/>
  <c r="J503" i="1" a="1"/>
  <c r="J503" i="1" s="1"/>
  <c r="J507" i="1" a="1"/>
  <c r="J507" i="1" s="1"/>
  <c r="J511" i="1" a="1"/>
  <c r="J511" i="1" s="1"/>
  <c r="J515" i="1" a="1"/>
  <c r="J515" i="1" s="1"/>
  <c r="J519" i="1" a="1"/>
  <c r="J519" i="1" s="1"/>
  <c r="J523" i="1" a="1"/>
  <c r="J523" i="1" s="1"/>
  <c r="J527" i="1" a="1"/>
  <c r="J527" i="1" s="1"/>
  <c r="J531" i="1" a="1"/>
  <c r="J531" i="1" s="1"/>
  <c r="J535" i="1" a="1"/>
  <c r="J535" i="1" s="1"/>
  <c r="J539" i="1" a="1"/>
  <c r="J539" i="1" s="1"/>
  <c r="J16" i="1" a="1"/>
  <c r="J16" i="1" s="1"/>
  <c r="J24" i="1" a="1"/>
  <c r="J24" i="1" s="1"/>
  <c r="J32" i="1" a="1"/>
  <c r="J32" i="1" s="1"/>
  <c r="J40" i="1" a="1"/>
  <c r="J40" i="1" s="1"/>
  <c r="J48" i="1" a="1"/>
  <c r="J48" i="1" s="1"/>
  <c r="J56" i="1" a="1"/>
  <c r="J56" i="1" s="1"/>
  <c r="J64" i="1" a="1"/>
  <c r="J64" i="1" s="1"/>
  <c r="J72" i="1" a="1"/>
  <c r="J72" i="1" s="1"/>
  <c r="J80" i="1" a="1"/>
  <c r="J80" i="1" s="1"/>
  <c r="J88" i="1" a="1"/>
  <c r="J88" i="1" s="1"/>
  <c r="J96" i="1" a="1"/>
  <c r="J96" i="1" s="1"/>
  <c r="J104" i="1" a="1"/>
  <c r="J104" i="1" s="1"/>
  <c r="J112" i="1" a="1"/>
  <c r="J112" i="1" s="1"/>
  <c r="J120" i="1" a="1"/>
  <c r="J120" i="1" s="1"/>
  <c r="J128" i="1" a="1"/>
  <c r="J128" i="1" s="1"/>
  <c r="J136" i="1" a="1"/>
  <c r="J136" i="1" s="1"/>
  <c r="J144" i="1" a="1"/>
  <c r="J144" i="1" s="1"/>
  <c r="J152" i="1" a="1"/>
  <c r="J152" i="1" s="1"/>
  <c r="J160" i="1" a="1"/>
  <c r="J160" i="1" s="1"/>
  <c r="J168" i="1" a="1"/>
  <c r="J168" i="1" s="1"/>
  <c r="J176" i="1" a="1"/>
  <c r="J176" i="1" s="1"/>
  <c r="J184" i="1" a="1"/>
  <c r="J184" i="1" s="1"/>
  <c r="J192" i="1" a="1"/>
  <c r="J192" i="1" s="1"/>
  <c r="J200" i="1" a="1"/>
  <c r="J200" i="1" s="1"/>
  <c r="J208" i="1" a="1"/>
  <c r="J208" i="1" s="1"/>
  <c r="J216" i="1" a="1"/>
  <c r="J216" i="1" s="1"/>
  <c r="J224" i="1" a="1"/>
  <c r="J224" i="1" s="1"/>
  <c r="J230" i="1" a="1"/>
  <c r="J230" i="1" s="1"/>
  <c r="J235" i="1" a="1"/>
  <c r="J235" i="1" s="1"/>
  <c r="J240" i="1" a="1"/>
  <c r="J240" i="1" s="1"/>
  <c r="J246" i="1" a="1"/>
  <c r="J246" i="1" s="1"/>
  <c r="J251" i="1" a="1"/>
  <c r="J251" i="1" s="1"/>
  <c r="J256" i="1" a="1"/>
  <c r="J256" i="1" s="1"/>
  <c r="J262" i="1" a="1"/>
  <c r="J262" i="1" s="1"/>
  <c r="J267" i="1" a="1"/>
  <c r="J267" i="1" s="1"/>
  <c r="J272" i="1" a="1"/>
  <c r="J272" i="1" s="1"/>
  <c r="J278" i="1" a="1"/>
  <c r="J278" i="1" s="1"/>
  <c r="J283" i="1" a="1"/>
  <c r="J283" i="1" s="1"/>
  <c r="J288" i="1" a="1"/>
  <c r="J288" i="1" s="1"/>
  <c r="J294" i="1" a="1"/>
  <c r="J294" i="1" s="1"/>
  <c r="J299" i="1" a="1"/>
  <c r="J299" i="1" s="1"/>
  <c r="J304" i="1" a="1"/>
  <c r="J304" i="1" s="1"/>
  <c r="J310" i="1" a="1"/>
  <c r="J310" i="1" s="1"/>
  <c r="J315" i="1" a="1"/>
  <c r="J315" i="1" s="1"/>
  <c r="J320" i="1" a="1"/>
  <c r="J320" i="1" s="1"/>
  <c r="J326" i="1" a="1"/>
  <c r="J326" i="1" s="1"/>
  <c r="J331" i="1" a="1"/>
  <c r="J331" i="1" s="1"/>
  <c r="J336" i="1" a="1"/>
  <c r="J336" i="1" s="1"/>
  <c r="J342" i="1" a="1"/>
  <c r="J342" i="1" s="1"/>
  <c r="J347" i="1" a="1"/>
  <c r="J347" i="1" s="1"/>
  <c r="J352" i="1" a="1"/>
  <c r="J352" i="1" s="1"/>
  <c r="J356" i="1" a="1"/>
  <c r="J356" i="1" s="1"/>
  <c r="J360" i="1" a="1"/>
  <c r="J360" i="1" s="1"/>
  <c r="J364" i="1" a="1"/>
  <c r="J364" i="1" s="1"/>
  <c r="J368" i="1" a="1"/>
  <c r="J368" i="1" s="1"/>
  <c r="J372" i="1" a="1"/>
  <c r="J372" i="1" s="1"/>
  <c r="J376" i="1" a="1"/>
  <c r="J376" i="1" s="1"/>
  <c r="J380" i="1" a="1"/>
  <c r="J380" i="1" s="1"/>
  <c r="J384" i="1" a="1"/>
  <c r="J384" i="1" s="1"/>
  <c r="J388" i="1" a="1"/>
  <c r="J388" i="1" s="1"/>
  <c r="J392" i="1" a="1"/>
  <c r="J392" i="1" s="1"/>
  <c r="J396" i="1" a="1"/>
  <c r="J396" i="1" s="1"/>
  <c r="J400" i="1" a="1"/>
  <c r="J400" i="1" s="1"/>
  <c r="J404" i="1" a="1"/>
  <c r="J404" i="1" s="1"/>
  <c r="J408" i="1" a="1"/>
  <c r="J408" i="1" s="1"/>
  <c r="J412" i="1" a="1"/>
  <c r="J412" i="1" s="1"/>
  <c r="J416" i="1" a="1"/>
  <c r="J416" i="1" s="1"/>
  <c r="J420" i="1" a="1"/>
  <c r="J420" i="1" s="1"/>
  <c r="J424" i="1" a="1"/>
  <c r="J424" i="1" s="1"/>
  <c r="J428" i="1" a="1"/>
  <c r="J428" i="1" s="1"/>
  <c r="J432" i="1" a="1"/>
  <c r="J432" i="1" s="1"/>
  <c r="J436" i="1" a="1"/>
  <c r="J436" i="1" s="1"/>
  <c r="J440" i="1" a="1"/>
  <c r="J440" i="1" s="1"/>
  <c r="J444" i="1" a="1"/>
  <c r="J444" i="1" s="1"/>
  <c r="J448" i="1" a="1"/>
  <c r="J448" i="1" s="1"/>
  <c r="J452" i="1" a="1"/>
  <c r="J452" i="1" s="1"/>
  <c r="J456" i="1" a="1"/>
  <c r="J456" i="1" s="1"/>
  <c r="J460" i="1" a="1"/>
  <c r="J460" i="1" s="1"/>
  <c r="J464" i="1" a="1"/>
  <c r="J464" i="1" s="1"/>
  <c r="J468" i="1" a="1"/>
  <c r="J468" i="1" s="1"/>
  <c r="J472" i="1" a="1"/>
  <c r="J472" i="1" s="1"/>
  <c r="J476" i="1" a="1"/>
  <c r="J476" i="1" s="1"/>
  <c r="J480" i="1" a="1"/>
  <c r="J480" i="1" s="1"/>
  <c r="J484" i="1" a="1"/>
  <c r="J484" i="1" s="1"/>
  <c r="J488" i="1" a="1"/>
  <c r="J488" i="1" s="1"/>
  <c r="J19" i="1" a="1"/>
  <c r="J19" i="1" s="1"/>
  <c r="J35" i="1" a="1"/>
  <c r="J35" i="1" s="1"/>
  <c r="J51" i="1" a="1"/>
  <c r="J51" i="1" s="1"/>
  <c r="J67" i="1" a="1"/>
  <c r="J67" i="1" s="1"/>
  <c r="J83" i="1" a="1"/>
  <c r="J83" i="1" s="1"/>
  <c r="J99" i="1" a="1"/>
  <c r="J99" i="1" s="1"/>
  <c r="J115" i="1" a="1"/>
  <c r="J115" i="1" s="1"/>
  <c r="J131" i="1" a="1"/>
  <c r="J131" i="1" s="1"/>
  <c r="J147" i="1" a="1"/>
  <c r="J147" i="1" s="1"/>
  <c r="J163" i="1" a="1"/>
  <c r="J163" i="1" s="1"/>
  <c r="J179" i="1" a="1"/>
  <c r="J179" i="1" s="1"/>
  <c r="J195" i="1" a="1"/>
  <c r="J195" i="1" s="1"/>
  <c r="J211" i="1" a="1"/>
  <c r="J211" i="1" s="1"/>
  <c r="J226" i="1" a="1"/>
  <c r="J226" i="1" s="1"/>
  <c r="J236" i="1" a="1"/>
  <c r="J236" i="1" s="1"/>
  <c r="J247" i="1" a="1"/>
  <c r="J247" i="1" s="1"/>
  <c r="J258" i="1" a="1"/>
  <c r="J258" i="1" s="1"/>
  <c r="J268" i="1" a="1"/>
  <c r="J268" i="1" s="1"/>
  <c r="J279" i="1" a="1"/>
  <c r="J279" i="1" s="1"/>
  <c r="J290" i="1" a="1"/>
  <c r="J290" i="1" s="1"/>
  <c r="J300" i="1" a="1"/>
  <c r="J300" i="1" s="1"/>
  <c r="J311" i="1" a="1"/>
  <c r="J311" i="1" s="1"/>
  <c r="J322" i="1" a="1"/>
  <c r="J322" i="1" s="1"/>
  <c r="J332" i="1" a="1"/>
  <c r="J332" i="1" s="1"/>
  <c r="J343" i="1" a="1"/>
  <c r="J343" i="1" s="1"/>
  <c r="J353" i="1" a="1"/>
  <c r="J353" i="1" s="1"/>
  <c r="J361" i="1" a="1"/>
  <c r="J361" i="1" s="1"/>
  <c r="J369" i="1" a="1"/>
  <c r="J369" i="1" s="1"/>
  <c r="J377" i="1" a="1"/>
  <c r="J377" i="1" s="1"/>
  <c r="J385" i="1" a="1"/>
  <c r="J385" i="1" s="1"/>
  <c r="J393" i="1" a="1"/>
  <c r="J393" i="1" s="1"/>
  <c r="J401" i="1" a="1"/>
  <c r="J401" i="1" s="1"/>
  <c r="J409" i="1" a="1"/>
  <c r="J409" i="1" s="1"/>
  <c r="J417" i="1" a="1"/>
  <c r="J417" i="1" s="1"/>
  <c r="J425" i="1" a="1"/>
  <c r="J425" i="1" s="1"/>
  <c r="J433" i="1" a="1"/>
  <c r="J433" i="1" s="1"/>
  <c r="J441" i="1" a="1"/>
  <c r="J441" i="1" s="1"/>
  <c r="J449" i="1" a="1"/>
  <c r="J449" i="1" s="1"/>
  <c r="J457" i="1" a="1"/>
  <c r="J457" i="1" s="1"/>
  <c r="J465" i="1" a="1"/>
  <c r="J465" i="1" s="1"/>
  <c r="J473" i="1" a="1"/>
  <c r="J473" i="1" s="1"/>
  <c r="J481" i="1" a="1"/>
  <c r="J481" i="1" s="1"/>
  <c r="J489" i="1" a="1"/>
  <c r="J489" i="1" s="1"/>
  <c r="J494" i="1" a="1"/>
  <c r="J494" i="1" s="1"/>
  <c r="J500" i="1" a="1"/>
  <c r="J500" i="1" s="1"/>
  <c r="J505" i="1" a="1"/>
  <c r="J505" i="1" s="1"/>
  <c r="J510" i="1" a="1"/>
  <c r="J510" i="1" s="1"/>
  <c r="J516" i="1" a="1"/>
  <c r="J516" i="1" s="1"/>
  <c r="J521" i="1" a="1"/>
  <c r="J521" i="1" s="1"/>
  <c r="J526" i="1" a="1"/>
  <c r="J526" i="1" s="1"/>
  <c r="J532" i="1" a="1"/>
  <c r="J532" i="1" s="1"/>
  <c r="J537" i="1" a="1"/>
  <c r="J537" i="1" s="1"/>
  <c r="J542" i="1" a="1"/>
  <c r="J542" i="1" s="1"/>
  <c r="J546" i="1" a="1"/>
  <c r="J546" i="1" s="1"/>
  <c r="J550" i="1" a="1"/>
  <c r="J550" i="1" s="1"/>
  <c r="J554" i="1" a="1"/>
  <c r="J554" i="1" s="1"/>
  <c r="J558" i="1" a="1"/>
  <c r="J558" i="1" s="1"/>
  <c r="J562" i="1" a="1"/>
  <c r="J562" i="1" s="1"/>
  <c r="J566" i="1" a="1"/>
  <c r="J566" i="1" s="1"/>
  <c r="J570" i="1" a="1"/>
  <c r="J570" i="1" s="1"/>
  <c r="J574" i="1" a="1"/>
  <c r="J574" i="1" s="1"/>
  <c r="J578" i="1" a="1"/>
  <c r="J578" i="1" s="1"/>
  <c r="J582" i="1" a="1"/>
  <c r="J582" i="1" s="1"/>
  <c r="J586" i="1" a="1"/>
  <c r="J586" i="1" s="1"/>
  <c r="J590" i="1" a="1"/>
  <c r="J590" i="1" s="1"/>
  <c r="J594" i="1" a="1"/>
  <c r="J594" i="1" s="1"/>
  <c r="J598" i="1" a="1"/>
  <c r="J598" i="1" s="1"/>
  <c r="J602" i="1" a="1"/>
  <c r="J602" i="1" s="1"/>
  <c r="J606" i="1" a="1"/>
  <c r="J606" i="1" s="1"/>
  <c r="J610" i="1" a="1"/>
  <c r="J610" i="1" s="1"/>
  <c r="J614" i="1" a="1"/>
  <c r="J614" i="1" s="1"/>
  <c r="J618" i="1" a="1"/>
  <c r="J618" i="1" s="1"/>
  <c r="J622" i="1" a="1"/>
  <c r="J622" i="1" s="1"/>
  <c r="J626" i="1" a="1"/>
  <c r="J626" i="1" s="1"/>
  <c r="J630" i="1" a="1"/>
  <c r="J630" i="1" s="1"/>
  <c r="J634" i="1" a="1"/>
  <c r="J634" i="1" s="1"/>
  <c r="J638" i="1" a="1"/>
  <c r="J638" i="1" s="1"/>
  <c r="J642" i="1" a="1"/>
  <c r="J642" i="1" s="1"/>
  <c r="J646" i="1" a="1"/>
  <c r="J646" i="1" s="1"/>
  <c r="J650" i="1" a="1"/>
  <c r="J650" i="1" s="1"/>
  <c r="J654" i="1" a="1"/>
  <c r="J654" i="1" s="1"/>
  <c r="J658" i="1" a="1"/>
  <c r="J658" i="1" s="1"/>
  <c r="J662" i="1" a="1"/>
  <c r="J662" i="1" s="1"/>
  <c r="J666" i="1" a="1"/>
  <c r="J666" i="1" s="1"/>
  <c r="J670" i="1" a="1"/>
  <c r="J670" i="1" s="1"/>
  <c r="J674" i="1" a="1"/>
  <c r="J674" i="1" s="1"/>
  <c r="J678" i="1" a="1"/>
  <c r="J678" i="1" s="1"/>
  <c r="J682" i="1" a="1"/>
  <c r="J682" i="1" s="1"/>
  <c r="J686" i="1" a="1"/>
  <c r="J686" i="1" s="1"/>
  <c r="J690" i="1" a="1"/>
  <c r="J690" i="1" s="1"/>
  <c r="J694" i="1" a="1"/>
  <c r="J694" i="1" s="1"/>
  <c r="J698" i="1" a="1"/>
  <c r="J698" i="1" s="1"/>
  <c r="J702" i="1" a="1"/>
  <c r="J702" i="1" s="1"/>
  <c r="J706" i="1" a="1"/>
  <c r="J706" i="1" s="1"/>
  <c r="J710" i="1" a="1"/>
  <c r="J710" i="1" s="1"/>
  <c r="J714" i="1" a="1"/>
  <c r="J714" i="1" s="1"/>
  <c r="J718" i="1" a="1"/>
  <c r="J718" i="1" s="1"/>
  <c r="J722" i="1" a="1"/>
  <c r="J722" i="1" s="1"/>
  <c r="J726" i="1" a="1"/>
  <c r="J726" i="1" s="1"/>
  <c r="J730" i="1" a="1"/>
  <c r="J730" i="1" s="1"/>
  <c r="J734" i="1" a="1"/>
  <c r="J734" i="1" s="1"/>
  <c r="J738" i="1" a="1"/>
  <c r="J738" i="1" s="1"/>
  <c r="J742" i="1" a="1"/>
  <c r="J742" i="1" s="1"/>
  <c r="J746" i="1" a="1"/>
  <c r="J746" i="1" s="1"/>
  <c r="J750" i="1" a="1"/>
  <c r="J750" i="1" s="1"/>
  <c r="J754" i="1" a="1"/>
  <c r="J754" i="1" s="1"/>
  <c r="J758" i="1" a="1"/>
  <c r="J758" i="1" s="1"/>
  <c r="J762" i="1" a="1"/>
  <c r="J762" i="1" s="1"/>
  <c r="J766" i="1" a="1"/>
  <c r="J766" i="1" s="1"/>
  <c r="J770" i="1" a="1"/>
  <c r="J770" i="1" s="1"/>
  <c r="J774" i="1" a="1"/>
  <c r="J774" i="1" s="1"/>
  <c r="J778" i="1" a="1"/>
  <c r="J778" i="1" s="1"/>
  <c r="J782" i="1" a="1"/>
  <c r="J782" i="1" s="1"/>
  <c r="J786" i="1" a="1"/>
  <c r="J786" i="1" s="1"/>
  <c r="J790" i="1" a="1"/>
  <c r="J790" i="1" s="1"/>
  <c r="J794" i="1" a="1"/>
  <c r="J794" i="1" s="1"/>
  <c r="J798" i="1" a="1"/>
  <c r="J798" i="1" s="1"/>
  <c r="J802" i="1" a="1"/>
  <c r="J802" i="1" s="1"/>
  <c r="J806" i="1" a="1"/>
  <c r="J806" i="1" s="1"/>
  <c r="J810" i="1" a="1"/>
  <c r="J810" i="1" s="1"/>
  <c r="J814" i="1" a="1"/>
  <c r="J814" i="1" s="1"/>
  <c r="J818" i="1" a="1"/>
  <c r="J818" i="1" s="1"/>
  <c r="J822" i="1" a="1"/>
  <c r="J822" i="1" s="1"/>
  <c r="J826" i="1" a="1"/>
  <c r="J826" i="1" s="1"/>
  <c r="J830" i="1" a="1"/>
  <c r="J830" i="1" s="1"/>
  <c r="J834" i="1" a="1"/>
  <c r="J834" i="1" s="1"/>
  <c r="J838" i="1" a="1"/>
  <c r="J838" i="1" s="1"/>
  <c r="J842" i="1" a="1"/>
  <c r="J842" i="1" s="1"/>
  <c r="J846" i="1" a="1"/>
  <c r="J846" i="1" s="1"/>
  <c r="J850" i="1" a="1"/>
  <c r="J850" i="1" s="1"/>
  <c r="J854" i="1" a="1"/>
  <c r="J854" i="1" s="1"/>
  <c r="J858" i="1" a="1"/>
  <c r="J858" i="1" s="1"/>
  <c r="J862" i="1" a="1"/>
  <c r="J862" i="1" s="1"/>
  <c r="J866" i="1" a="1"/>
  <c r="J866" i="1" s="1"/>
  <c r="J870" i="1" a="1"/>
  <c r="J870" i="1" s="1"/>
  <c r="J874" i="1" a="1"/>
  <c r="J874" i="1" s="1"/>
  <c r="J878" i="1" a="1"/>
  <c r="J878" i="1" s="1"/>
  <c r="J882" i="1" a="1"/>
  <c r="J882" i="1" s="1"/>
  <c r="J886" i="1" a="1"/>
  <c r="J886" i="1" s="1"/>
  <c r="J890" i="1" a="1"/>
  <c r="J890" i="1" s="1"/>
  <c r="J894" i="1" a="1"/>
  <c r="J894" i="1" s="1"/>
  <c r="J898" i="1" a="1"/>
  <c r="J898" i="1" s="1"/>
  <c r="J902" i="1" a="1"/>
  <c r="J902" i="1" s="1"/>
  <c r="J906" i="1" a="1"/>
  <c r="J906" i="1" s="1"/>
  <c r="J910" i="1" a="1"/>
  <c r="J910" i="1" s="1"/>
  <c r="J914" i="1" a="1"/>
  <c r="J914" i="1" s="1"/>
  <c r="J918" i="1" a="1"/>
  <c r="J918" i="1" s="1"/>
  <c r="J922" i="1" a="1"/>
  <c r="J922" i="1" s="1"/>
  <c r="J926" i="1" a="1"/>
  <c r="J926" i="1" s="1"/>
  <c r="J930" i="1" a="1"/>
  <c r="J930" i="1" s="1"/>
  <c r="J934" i="1" a="1"/>
  <c r="J934" i="1" s="1"/>
  <c r="J938" i="1" a="1"/>
  <c r="J938" i="1" s="1"/>
  <c r="J942" i="1" a="1"/>
  <c r="J942" i="1" s="1"/>
  <c r="J946" i="1" a="1"/>
  <c r="J946" i="1" s="1"/>
  <c r="J950" i="1" a="1"/>
  <c r="J950" i="1" s="1"/>
  <c r="J954" i="1" a="1"/>
  <c r="J954" i="1" s="1"/>
  <c r="J958" i="1" a="1"/>
  <c r="J958" i="1" s="1"/>
  <c r="J962" i="1" a="1"/>
  <c r="J962" i="1" s="1"/>
  <c r="J966" i="1" a="1"/>
  <c r="J966" i="1" s="1"/>
  <c r="J970" i="1" a="1"/>
  <c r="J970" i="1" s="1"/>
  <c r="J974" i="1" a="1"/>
  <c r="J974" i="1" s="1"/>
  <c r="J978" i="1" a="1"/>
  <c r="J978" i="1" s="1"/>
  <c r="J982" i="1" a="1"/>
  <c r="J982" i="1" s="1"/>
  <c r="J986" i="1" a="1"/>
  <c r="J986" i="1" s="1"/>
  <c r="J990" i="1" a="1"/>
  <c r="J990" i="1" s="1"/>
  <c r="J994" i="1" a="1"/>
  <c r="J994" i="1" s="1"/>
  <c r="J998" i="1" a="1"/>
  <c r="J998" i="1" s="1"/>
  <c r="J43" i="1" a="1"/>
  <c r="J43" i="1" s="1"/>
  <c r="J59" i="1" a="1"/>
  <c r="J59" i="1" s="1"/>
  <c r="J91" i="1" a="1"/>
  <c r="J91" i="1" s="1"/>
  <c r="J20" i="1" a="1"/>
  <c r="J20" i="1" s="1"/>
  <c r="J36" i="1" a="1"/>
  <c r="J36" i="1" s="1"/>
  <c r="J52" i="1" a="1"/>
  <c r="J52" i="1" s="1"/>
  <c r="J68" i="1" a="1"/>
  <c r="J68" i="1" s="1"/>
  <c r="J84" i="1" a="1"/>
  <c r="J84" i="1" s="1"/>
  <c r="J100" i="1" a="1"/>
  <c r="J100" i="1" s="1"/>
  <c r="J116" i="1" a="1"/>
  <c r="J116" i="1" s="1"/>
  <c r="J132" i="1" a="1"/>
  <c r="J132" i="1" s="1"/>
  <c r="J148" i="1" a="1"/>
  <c r="J148" i="1" s="1"/>
  <c r="J164" i="1" a="1"/>
  <c r="J164" i="1" s="1"/>
  <c r="J180" i="1" a="1"/>
  <c r="J180" i="1" s="1"/>
  <c r="J196" i="1" a="1"/>
  <c r="J196" i="1" s="1"/>
  <c r="J212" i="1" a="1"/>
  <c r="J212" i="1" s="1"/>
  <c r="J227" i="1" a="1"/>
  <c r="J227" i="1" s="1"/>
  <c r="J238" i="1" a="1"/>
  <c r="J238" i="1" s="1"/>
  <c r="J248" i="1" a="1"/>
  <c r="J248" i="1" s="1"/>
  <c r="J259" i="1" a="1"/>
  <c r="J259" i="1" s="1"/>
  <c r="J270" i="1" a="1"/>
  <c r="J270" i="1" s="1"/>
  <c r="J280" i="1" a="1"/>
  <c r="J280" i="1" s="1"/>
  <c r="J291" i="1" a="1"/>
  <c r="J291" i="1" s="1"/>
  <c r="J302" i="1" a="1"/>
  <c r="J302" i="1" s="1"/>
  <c r="J312" i="1" a="1"/>
  <c r="J312" i="1" s="1"/>
  <c r="J323" i="1" a="1"/>
  <c r="J323" i="1" s="1"/>
  <c r="J334" i="1" a="1"/>
  <c r="J334" i="1" s="1"/>
  <c r="J344" i="1" a="1"/>
  <c r="J344" i="1" s="1"/>
  <c r="J354" i="1" a="1"/>
  <c r="J354" i="1" s="1"/>
  <c r="J362" i="1" a="1"/>
  <c r="J362" i="1" s="1"/>
  <c r="J370" i="1" a="1"/>
  <c r="J370" i="1" s="1"/>
  <c r="J378" i="1" a="1"/>
  <c r="J378" i="1" s="1"/>
  <c r="J386" i="1" a="1"/>
  <c r="J386" i="1" s="1"/>
  <c r="J394" i="1" a="1"/>
  <c r="J394" i="1" s="1"/>
  <c r="J402" i="1" a="1"/>
  <c r="J402" i="1" s="1"/>
  <c r="J410" i="1" a="1"/>
  <c r="J410" i="1" s="1"/>
  <c r="J418" i="1" a="1"/>
  <c r="J418" i="1" s="1"/>
  <c r="J426" i="1" a="1"/>
  <c r="J426" i="1" s="1"/>
  <c r="J434" i="1" a="1"/>
  <c r="J434" i="1" s="1"/>
  <c r="J442" i="1" a="1"/>
  <c r="J442" i="1" s="1"/>
  <c r="J450" i="1" a="1"/>
  <c r="J450" i="1" s="1"/>
  <c r="J458" i="1" a="1"/>
  <c r="J458" i="1" s="1"/>
  <c r="J466" i="1" a="1"/>
  <c r="J466" i="1" s="1"/>
  <c r="J474" i="1" a="1"/>
  <c r="J474" i="1" s="1"/>
  <c r="J482" i="1" a="1"/>
  <c r="J482" i="1" s="1"/>
  <c r="J490" i="1" a="1"/>
  <c r="J490" i="1" s="1"/>
  <c r="J496" i="1" a="1"/>
  <c r="J496" i="1" s="1"/>
  <c r="J501" i="1" a="1"/>
  <c r="J501" i="1" s="1"/>
  <c r="J506" i="1" a="1"/>
  <c r="J506" i="1" s="1"/>
  <c r="J512" i="1" a="1"/>
  <c r="J512" i="1" s="1"/>
  <c r="J517" i="1" a="1"/>
  <c r="J517" i="1" s="1"/>
  <c r="J522" i="1" a="1"/>
  <c r="J522" i="1" s="1"/>
  <c r="J528" i="1" a="1"/>
  <c r="J528" i="1" s="1"/>
  <c r="J533" i="1" a="1"/>
  <c r="J533" i="1" s="1"/>
  <c r="J538" i="1" a="1"/>
  <c r="J538" i="1" s="1"/>
  <c r="J543" i="1" a="1"/>
  <c r="J543" i="1" s="1"/>
  <c r="J547" i="1" a="1"/>
  <c r="J547" i="1" s="1"/>
  <c r="J551" i="1" a="1"/>
  <c r="J551" i="1" s="1"/>
  <c r="J555" i="1" a="1"/>
  <c r="J555" i="1" s="1"/>
  <c r="J559" i="1" a="1"/>
  <c r="J559" i="1" s="1"/>
  <c r="J563" i="1" a="1"/>
  <c r="J563" i="1" s="1"/>
  <c r="J567" i="1" a="1"/>
  <c r="J567" i="1" s="1"/>
  <c r="J571" i="1" a="1"/>
  <c r="J571" i="1" s="1"/>
  <c r="J575" i="1" a="1"/>
  <c r="J575" i="1" s="1"/>
  <c r="J579" i="1" a="1"/>
  <c r="J579" i="1" s="1"/>
  <c r="J583" i="1" a="1"/>
  <c r="J583" i="1" s="1"/>
  <c r="J587" i="1" a="1"/>
  <c r="J587" i="1" s="1"/>
  <c r="J591" i="1" a="1"/>
  <c r="J591" i="1" s="1"/>
  <c r="J595" i="1" a="1"/>
  <c r="J595" i="1" s="1"/>
  <c r="J599" i="1" a="1"/>
  <c r="J599" i="1" s="1"/>
  <c r="J603" i="1" a="1"/>
  <c r="J603" i="1" s="1"/>
  <c r="J607" i="1" a="1"/>
  <c r="J607" i="1" s="1"/>
  <c r="J611" i="1" a="1"/>
  <c r="J611" i="1" s="1"/>
  <c r="J615" i="1" a="1"/>
  <c r="J615" i="1" s="1"/>
  <c r="J619" i="1" a="1"/>
  <c r="J619" i="1" s="1"/>
  <c r="J623" i="1" a="1"/>
  <c r="J623" i="1" s="1"/>
  <c r="J627" i="1" a="1"/>
  <c r="J627" i="1" s="1"/>
  <c r="J631" i="1" a="1"/>
  <c r="J631" i="1" s="1"/>
  <c r="J635" i="1" a="1"/>
  <c r="J635" i="1" s="1"/>
  <c r="J639" i="1" a="1"/>
  <c r="J639" i="1" s="1"/>
  <c r="J643" i="1" a="1"/>
  <c r="J643" i="1" s="1"/>
  <c r="J647" i="1" a="1"/>
  <c r="J647" i="1" s="1"/>
  <c r="J651" i="1" a="1"/>
  <c r="J651" i="1" s="1"/>
  <c r="J655" i="1" a="1"/>
  <c r="J655" i="1" s="1"/>
  <c r="J659" i="1" a="1"/>
  <c r="J659" i="1" s="1"/>
  <c r="J663" i="1" a="1"/>
  <c r="J663" i="1" s="1"/>
  <c r="J667" i="1" a="1"/>
  <c r="J667" i="1" s="1"/>
  <c r="J671" i="1" a="1"/>
  <c r="J671" i="1" s="1"/>
  <c r="J675" i="1" a="1"/>
  <c r="J675" i="1" s="1"/>
  <c r="J679" i="1" a="1"/>
  <c r="J679" i="1" s="1"/>
  <c r="J683" i="1" a="1"/>
  <c r="J683" i="1" s="1"/>
  <c r="J687" i="1" a="1"/>
  <c r="J687" i="1" s="1"/>
  <c r="J691" i="1" a="1"/>
  <c r="J691" i="1" s="1"/>
  <c r="J695" i="1" a="1"/>
  <c r="J695" i="1" s="1"/>
  <c r="J699" i="1" a="1"/>
  <c r="J699" i="1" s="1"/>
  <c r="J703" i="1" a="1"/>
  <c r="J703" i="1" s="1"/>
  <c r="J707" i="1" a="1"/>
  <c r="J707" i="1" s="1"/>
  <c r="J711" i="1" a="1"/>
  <c r="J711" i="1" s="1"/>
  <c r="J715" i="1" a="1"/>
  <c r="J715" i="1" s="1"/>
  <c r="J719" i="1" a="1"/>
  <c r="J719" i="1" s="1"/>
  <c r="J723" i="1" a="1"/>
  <c r="J723" i="1" s="1"/>
  <c r="J727" i="1" a="1"/>
  <c r="J727" i="1" s="1"/>
  <c r="J731" i="1" a="1"/>
  <c r="J731" i="1" s="1"/>
  <c r="J735" i="1" a="1"/>
  <c r="J735" i="1" s="1"/>
  <c r="J739" i="1" a="1"/>
  <c r="J739" i="1" s="1"/>
  <c r="J743" i="1" a="1"/>
  <c r="J743" i="1" s="1"/>
  <c r="J747" i="1" a="1"/>
  <c r="J747" i="1" s="1"/>
  <c r="J751" i="1" a="1"/>
  <c r="J751" i="1" s="1"/>
  <c r="J755" i="1" a="1"/>
  <c r="J755" i="1" s="1"/>
  <c r="J759" i="1" a="1"/>
  <c r="J759" i="1" s="1"/>
  <c r="J763" i="1" a="1"/>
  <c r="J763" i="1" s="1"/>
  <c r="J767" i="1" a="1"/>
  <c r="J767" i="1" s="1"/>
  <c r="J771" i="1" a="1"/>
  <c r="J771" i="1" s="1"/>
  <c r="J775" i="1" a="1"/>
  <c r="J775" i="1" s="1"/>
  <c r="J779" i="1" a="1"/>
  <c r="J779" i="1" s="1"/>
  <c r="J783" i="1" a="1"/>
  <c r="J783" i="1" s="1"/>
  <c r="J787" i="1" a="1"/>
  <c r="J787" i="1" s="1"/>
  <c r="J791" i="1" a="1"/>
  <c r="J791" i="1" s="1"/>
  <c r="J795" i="1" a="1"/>
  <c r="J795" i="1" s="1"/>
  <c r="J799" i="1" a="1"/>
  <c r="J799" i="1" s="1"/>
  <c r="J803" i="1" a="1"/>
  <c r="J803" i="1" s="1"/>
  <c r="J807" i="1" a="1"/>
  <c r="J807" i="1" s="1"/>
  <c r="J811" i="1" a="1"/>
  <c r="J811" i="1" s="1"/>
  <c r="J815" i="1" a="1"/>
  <c r="J815" i="1" s="1"/>
  <c r="J819" i="1" a="1"/>
  <c r="J819" i="1" s="1"/>
  <c r="J823" i="1" a="1"/>
  <c r="J823" i="1" s="1"/>
  <c r="J827" i="1" a="1"/>
  <c r="J827" i="1" s="1"/>
  <c r="J831" i="1" a="1"/>
  <c r="J831" i="1" s="1"/>
  <c r="J835" i="1" a="1"/>
  <c r="J835" i="1" s="1"/>
  <c r="J839" i="1" a="1"/>
  <c r="J839" i="1" s="1"/>
  <c r="J843" i="1" a="1"/>
  <c r="J843" i="1" s="1"/>
  <c r="J847" i="1" a="1"/>
  <c r="J847" i="1" s="1"/>
  <c r="J851" i="1" a="1"/>
  <c r="J851" i="1" s="1"/>
  <c r="J855" i="1" a="1"/>
  <c r="J855" i="1" s="1"/>
  <c r="J859" i="1" a="1"/>
  <c r="J859" i="1" s="1"/>
  <c r="J863" i="1" a="1"/>
  <c r="J863" i="1" s="1"/>
  <c r="J867" i="1" a="1"/>
  <c r="J867" i="1" s="1"/>
  <c r="J871" i="1" a="1"/>
  <c r="J871" i="1" s="1"/>
  <c r="J875" i="1" a="1"/>
  <c r="J875" i="1" s="1"/>
  <c r="J879" i="1" a="1"/>
  <c r="J879" i="1" s="1"/>
  <c r="J883" i="1" a="1"/>
  <c r="J883" i="1" s="1"/>
  <c r="J887" i="1" a="1"/>
  <c r="J887" i="1" s="1"/>
  <c r="J891" i="1" a="1"/>
  <c r="J891" i="1" s="1"/>
  <c r="J895" i="1" a="1"/>
  <c r="J895" i="1" s="1"/>
  <c r="J899" i="1" a="1"/>
  <c r="J899" i="1" s="1"/>
  <c r="J903" i="1" a="1"/>
  <c r="J903" i="1" s="1"/>
  <c r="J907" i="1" a="1"/>
  <c r="J907" i="1" s="1"/>
  <c r="J911" i="1" a="1"/>
  <c r="J911" i="1" s="1"/>
  <c r="J915" i="1" a="1"/>
  <c r="J915" i="1" s="1"/>
  <c r="J919" i="1" a="1"/>
  <c r="J919" i="1" s="1"/>
  <c r="J923" i="1" a="1"/>
  <c r="J923" i="1" s="1"/>
  <c r="J927" i="1" a="1"/>
  <c r="J927" i="1" s="1"/>
  <c r="J931" i="1" a="1"/>
  <c r="J931" i="1" s="1"/>
  <c r="J935" i="1" a="1"/>
  <c r="J935" i="1" s="1"/>
  <c r="J939" i="1" a="1"/>
  <c r="J939" i="1" s="1"/>
  <c r="J943" i="1" a="1"/>
  <c r="J943" i="1" s="1"/>
  <c r="J947" i="1" a="1"/>
  <c r="J947" i="1" s="1"/>
  <c r="J951" i="1" a="1"/>
  <c r="J951" i="1" s="1"/>
  <c r="J955" i="1" a="1"/>
  <c r="J955" i="1" s="1"/>
  <c r="J959" i="1" a="1"/>
  <c r="J959" i="1" s="1"/>
  <c r="J963" i="1" a="1"/>
  <c r="J963" i="1" s="1"/>
  <c r="J967" i="1" a="1"/>
  <c r="J967" i="1" s="1"/>
  <c r="J971" i="1" a="1"/>
  <c r="J971" i="1" s="1"/>
  <c r="J975" i="1" a="1"/>
  <c r="J975" i="1" s="1"/>
  <c r="J979" i="1" a="1"/>
  <c r="J979" i="1" s="1"/>
  <c r="J983" i="1" a="1"/>
  <c r="J983" i="1" s="1"/>
  <c r="J987" i="1" a="1"/>
  <c r="J987" i="1" s="1"/>
  <c r="J991" i="1" a="1"/>
  <c r="J991" i="1" s="1"/>
  <c r="J995" i="1" a="1"/>
  <c r="J995" i="1" s="1"/>
  <c r="J999" i="1" a="1"/>
  <c r="J999" i="1" s="1"/>
  <c r="J27" i="1" a="1"/>
  <c r="J27" i="1" s="1"/>
  <c r="J75" i="1" a="1"/>
  <c r="J75" i="1" s="1"/>
  <c r="J107" i="1" a="1"/>
  <c r="J107" i="1" s="1"/>
  <c r="J123" i="1" a="1"/>
  <c r="J123" i="1" s="1"/>
  <c r="J28" i="1" a="1"/>
  <c r="J28" i="1" s="1"/>
  <c r="J92" i="1" a="1"/>
  <c r="J92" i="1" s="1"/>
  <c r="J140" i="1" a="1"/>
  <c r="J140" i="1" s="1"/>
  <c r="J172" i="1" a="1"/>
  <c r="J172" i="1" s="1"/>
  <c r="J204" i="1" a="1"/>
  <c r="J204" i="1" s="1"/>
  <c r="J232" i="1" a="1"/>
  <c r="J232" i="1" s="1"/>
  <c r="J254" i="1" a="1"/>
  <c r="J254" i="1" s="1"/>
  <c r="J275" i="1" a="1"/>
  <c r="J275" i="1" s="1"/>
  <c r="J296" i="1" a="1"/>
  <c r="J296" i="1" s="1"/>
  <c r="J318" i="1" a="1"/>
  <c r="J318" i="1" s="1"/>
  <c r="J339" i="1" a="1"/>
  <c r="J339" i="1" s="1"/>
  <c r="J358" i="1" a="1"/>
  <c r="J358" i="1" s="1"/>
  <c r="J374" i="1" a="1"/>
  <c r="J374" i="1" s="1"/>
  <c r="J390" i="1" a="1"/>
  <c r="J390" i="1" s="1"/>
  <c r="J406" i="1" a="1"/>
  <c r="J406" i="1" s="1"/>
  <c r="J422" i="1" a="1"/>
  <c r="J422" i="1" s="1"/>
  <c r="J438" i="1" a="1"/>
  <c r="J438" i="1" s="1"/>
  <c r="J454" i="1" a="1"/>
  <c r="J454" i="1" s="1"/>
  <c r="J470" i="1" a="1"/>
  <c r="J470" i="1" s="1"/>
  <c r="J486" i="1" a="1"/>
  <c r="J486" i="1" s="1"/>
  <c r="J498" i="1" a="1"/>
  <c r="J498" i="1" s="1"/>
  <c r="J509" i="1" a="1"/>
  <c r="J509" i="1" s="1"/>
  <c r="J520" i="1" a="1"/>
  <c r="J520" i="1" s="1"/>
  <c r="J530" i="1" a="1"/>
  <c r="J530" i="1" s="1"/>
  <c r="J541" i="1" a="1"/>
  <c r="J541" i="1" s="1"/>
  <c r="J549" i="1" a="1"/>
  <c r="J549" i="1" s="1"/>
  <c r="J557" i="1" a="1"/>
  <c r="J557" i="1" s="1"/>
  <c r="J565" i="1" a="1"/>
  <c r="J565" i="1" s="1"/>
  <c r="J573" i="1" a="1"/>
  <c r="J573" i="1" s="1"/>
  <c r="J581" i="1" a="1"/>
  <c r="J581" i="1" s="1"/>
  <c r="J589" i="1" a="1"/>
  <c r="J589" i="1" s="1"/>
  <c r="J597" i="1" a="1"/>
  <c r="J597" i="1" s="1"/>
  <c r="J605" i="1" a="1"/>
  <c r="J605" i="1" s="1"/>
  <c r="J613" i="1" a="1"/>
  <c r="J613" i="1" s="1"/>
  <c r="J621" i="1" a="1"/>
  <c r="J621" i="1" s="1"/>
  <c r="J629" i="1" a="1"/>
  <c r="J629" i="1" s="1"/>
  <c r="J637" i="1" a="1"/>
  <c r="J637" i="1" s="1"/>
  <c r="J645" i="1" a="1"/>
  <c r="J645" i="1" s="1"/>
  <c r="J653" i="1" a="1"/>
  <c r="J653" i="1" s="1"/>
  <c r="J661" i="1" a="1"/>
  <c r="J661" i="1" s="1"/>
  <c r="J669" i="1" a="1"/>
  <c r="J669" i="1" s="1"/>
  <c r="J677" i="1" a="1"/>
  <c r="J677" i="1" s="1"/>
  <c r="J685" i="1" a="1"/>
  <c r="J685" i="1" s="1"/>
  <c r="J693" i="1" a="1"/>
  <c r="J693" i="1" s="1"/>
  <c r="J701" i="1" a="1"/>
  <c r="J701" i="1" s="1"/>
  <c r="J709" i="1" a="1"/>
  <c r="J709" i="1" s="1"/>
  <c r="J717" i="1" a="1"/>
  <c r="J717" i="1" s="1"/>
  <c r="J725" i="1" a="1"/>
  <c r="J725" i="1" s="1"/>
  <c r="J733" i="1" a="1"/>
  <c r="J733" i="1" s="1"/>
  <c r="J741" i="1" a="1"/>
  <c r="J741" i="1" s="1"/>
  <c r="J749" i="1" a="1"/>
  <c r="J749" i="1" s="1"/>
  <c r="J757" i="1" a="1"/>
  <c r="J757" i="1" s="1"/>
  <c r="J765" i="1" a="1"/>
  <c r="J765" i="1" s="1"/>
  <c r="J773" i="1" a="1"/>
  <c r="J773" i="1" s="1"/>
  <c r="J781" i="1" a="1"/>
  <c r="J781" i="1" s="1"/>
  <c r="J789" i="1" a="1"/>
  <c r="J789" i="1" s="1"/>
  <c r="J797" i="1" a="1"/>
  <c r="J797" i="1" s="1"/>
  <c r="J805" i="1" a="1"/>
  <c r="J805" i="1" s="1"/>
  <c r="J813" i="1" a="1"/>
  <c r="J813" i="1" s="1"/>
  <c r="J821" i="1" a="1"/>
  <c r="J821" i="1" s="1"/>
  <c r="J829" i="1" a="1"/>
  <c r="J829" i="1" s="1"/>
  <c r="J837" i="1" a="1"/>
  <c r="J837" i="1" s="1"/>
  <c r="J845" i="1" a="1"/>
  <c r="J845" i="1" s="1"/>
  <c r="J853" i="1" a="1"/>
  <c r="J853" i="1" s="1"/>
  <c r="J861" i="1" a="1"/>
  <c r="J861" i="1" s="1"/>
  <c r="J869" i="1" a="1"/>
  <c r="J869" i="1" s="1"/>
  <c r="J877" i="1" a="1"/>
  <c r="J877" i="1" s="1"/>
  <c r="J885" i="1" a="1"/>
  <c r="J885" i="1" s="1"/>
  <c r="J893" i="1" a="1"/>
  <c r="J893" i="1" s="1"/>
  <c r="J901" i="1" a="1"/>
  <c r="J901" i="1" s="1"/>
  <c r="J909" i="1" a="1"/>
  <c r="J909" i="1" s="1"/>
  <c r="J917" i="1" a="1"/>
  <c r="J917" i="1" s="1"/>
  <c r="J925" i="1" a="1"/>
  <c r="J925" i="1" s="1"/>
  <c r="J933" i="1" a="1"/>
  <c r="J933" i="1" s="1"/>
  <c r="J941" i="1" a="1"/>
  <c r="J941" i="1" s="1"/>
  <c r="J949" i="1" a="1"/>
  <c r="J949" i="1" s="1"/>
  <c r="J957" i="1" a="1"/>
  <c r="J957" i="1" s="1"/>
  <c r="J965" i="1" a="1"/>
  <c r="J965" i="1" s="1"/>
  <c r="J973" i="1" a="1"/>
  <c r="J973" i="1" s="1"/>
  <c r="J981" i="1" a="1"/>
  <c r="J981" i="1" s="1"/>
  <c r="J989" i="1" a="1"/>
  <c r="J989" i="1" s="1"/>
  <c r="J997" i="1" a="1"/>
  <c r="J997" i="1" s="1"/>
  <c r="J972" i="1" a="1"/>
  <c r="J972" i="1" s="1"/>
  <c r="J44" i="1" a="1"/>
  <c r="J44" i="1" s="1"/>
  <c r="J108" i="1" a="1"/>
  <c r="J108" i="1" s="1"/>
  <c r="J155" i="1" a="1"/>
  <c r="J155" i="1" s="1"/>
  <c r="J187" i="1" a="1"/>
  <c r="J187" i="1" s="1"/>
  <c r="J219" i="1" a="1"/>
  <c r="J219" i="1" s="1"/>
  <c r="J242" i="1" a="1"/>
  <c r="J242" i="1" s="1"/>
  <c r="J263" i="1" a="1"/>
  <c r="J263" i="1" s="1"/>
  <c r="J284" i="1" a="1"/>
  <c r="J284" i="1" s="1"/>
  <c r="J306" i="1" a="1"/>
  <c r="J306" i="1" s="1"/>
  <c r="J327" i="1" a="1"/>
  <c r="J327" i="1" s="1"/>
  <c r="J348" i="1" a="1"/>
  <c r="J348" i="1" s="1"/>
  <c r="J365" i="1" a="1"/>
  <c r="J365" i="1" s="1"/>
  <c r="J381" i="1" a="1"/>
  <c r="J381" i="1" s="1"/>
  <c r="J397" i="1" a="1"/>
  <c r="J397" i="1" s="1"/>
  <c r="J413" i="1" a="1"/>
  <c r="J413" i="1" s="1"/>
  <c r="J429" i="1" a="1"/>
  <c r="J429" i="1" s="1"/>
  <c r="J445" i="1" a="1"/>
  <c r="J445" i="1" s="1"/>
  <c r="J461" i="1" a="1"/>
  <c r="J461" i="1" s="1"/>
  <c r="J477" i="1" a="1"/>
  <c r="J477" i="1" s="1"/>
  <c r="J492" i="1" a="1"/>
  <c r="J492" i="1" s="1"/>
  <c r="J502" i="1" a="1"/>
  <c r="J502" i="1" s="1"/>
  <c r="J513" i="1" a="1"/>
  <c r="J513" i="1" s="1"/>
  <c r="J524" i="1" a="1"/>
  <c r="J524" i="1" s="1"/>
  <c r="J534" i="1" a="1"/>
  <c r="J534" i="1" s="1"/>
  <c r="J544" i="1" a="1"/>
  <c r="J544" i="1" s="1"/>
  <c r="J552" i="1" a="1"/>
  <c r="J552" i="1" s="1"/>
  <c r="J560" i="1" a="1"/>
  <c r="J560" i="1" s="1"/>
  <c r="J568" i="1" a="1"/>
  <c r="J568" i="1" s="1"/>
  <c r="J576" i="1" a="1"/>
  <c r="J576" i="1" s="1"/>
  <c r="J584" i="1" a="1"/>
  <c r="J584" i="1" s="1"/>
  <c r="J592" i="1" a="1"/>
  <c r="J592" i="1" s="1"/>
  <c r="J600" i="1" a="1"/>
  <c r="J600" i="1" s="1"/>
  <c r="J608" i="1" a="1"/>
  <c r="J608" i="1" s="1"/>
  <c r="J616" i="1" a="1"/>
  <c r="J616" i="1" s="1"/>
  <c r="J624" i="1" a="1"/>
  <c r="J624" i="1" s="1"/>
  <c r="J632" i="1" a="1"/>
  <c r="J632" i="1" s="1"/>
  <c r="J640" i="1" a="1"/>
  <c r="J640" i="1" s="1"/>
  <c r="J648" i="1" a="1"/>
  <c r="J648" i="1" s="1"/>
  <c r="J656" i="1" a="1"/>
  <c r="J656" i="1" s="1"/>
  <c r="J664" i="1" a="1"/>
  <c r="J664" i="1" s="1"/>
  <c r="J672" i="1" a="1"/>
  <c r="J672" i="1" s="1"/>
  <c r="J680" i="1" a="1"/>
  <c r="J680" i="1" s="1"/>
  <c r="J688" i="1" a="1"/>
  <c r="J688" i="1" s="1"/>
  <c r="J696" i="1" a="1"/>
  <c r="J696" i="1" s="1"/>
  <c r="J704" i="1" a="1"/>
  <c r="J704" i="1" s="1"/>
  <c r="J712" i="1" a="1"/>
  <c r="J712" i="1" s="1"/>
  <c r="J720" i="1" a="1"/>
  <c r="J720" i="1" s="1"/>
  <c r="J728" i="1" a="1"/>
  <c r="J728" i="1" s="1"/>
  <c r="J736" i="1" a="1"/>
  <c r="J736" i="1" s="1"/>
  <c r="J744" i="1" a="1"/>
  <c r="J744" i="1" s="1"/>
  <c r="J752" i="1" a="1"/>
  <c r="J752" i="1" s="1"/>
  <c r="J760" i="1" a="1"/>
  <c r="J760" i="1" s="1"/>
  <c r="J768" i="1" a="1"/>
  <c r="J768" i="1" s="1"/>
  <c r="J776" i="1" a="1"/>
  <c r="J776" i="1" s="1"/>
  <c r="J784" i="1" a="1"/>
  <c r="J784" i="1" s="1"/>
  <c r="J792" i="1" a="1"/>
  <c r="J792" i="1" s="1"/>
  <c r="J800" i="1" a="1"/>
  <c r="J800" i="1" s="1"/>
  <c r="J808" i="1" a="1"/>
  <c r="J808" i="1" s="1"/>
  <c r="J816" i="1" a="1"/>
  <c r="J816" i="1" s="1"/>
  <c r="J824" i="1" a="1"/>
  <c r="J824" i="1" s="1"/>
  <c r="J832" i="1" a="1"/>
  <c r="J832" i="1" s="1"/>
  <c r="J840" i="1" a="1"/>
  <c r="J840" i="1" s="1"/>
  <c r="J848" i="1" a="1"/>
  <c r="J848" i="1" s="1"/>
  <c r="J856" i="1" a="1"/>
  <c r="J856" i="1" s="1"/>
  <c r="J864" i="1" a="1"/>
  <c r="J864" i="1" s="1"/>
  <c r="J872" i="1" a="1"/>
  <c r="J872" i="1" s="1"/>
  <c r="J880" i="1" a="1"/>
  <c r="J880" i="1" s="1"/>
  <c r="J888" i="1" a="1"/>
  <c r="J888" i="1" s="1"/>
  <c r="J896" i="1" a="1"/>
  <c r="J896" i="1" s="1"/>
  <c r="J904" i="1" a="1"/>
  <c r="J904" i="1" s="1"/>
  <c r="J912" i="1" a="1"/>
  <c r="J912" i="1" s="1"/>
  <c r="J920" i="1" a="1"/>
  <c r="J920" i="1" s="1"/>
  <c r="J928" i="1" a="1"/>
  <c r="J928" i="1" s="1"/>
  <c r="J936" i="1" a="1"/>
  <c r="J936" i="1" s="1"/>
  <c r="J944" i="1" a="1"/>
  <c r="J944" i="1" s="1"/>
  <c r="J952" i="1" a="1"/>
  <c r="J952" i="1" s="1"/>
  <c r="J960" i="1" a="1"/>
  <c r="J960" i="1" s="1"/>
  <c r="J968" i="1" a="1"/>
  <c r="J968" i="1" s="1"/>
  <c r="J976" i="1" a="1"/>
  <c r="J976" i="1" s="1"/>
  <c r="J984" i="1" a="1"/>
  <c r="J984" i="1" s="1"/>
  <c r="J992" i="1" a="1"/>
  <c r="J992" i="1" s="1"/>
  <c r="J956" i="1" a="1"/>
  <c r="J956" i="1" s="1"/>
  <c r="J996" i="1" a="1"/>
  <c r="J996" i="1" s="1"/>
  <c r="J60" i="1" a="1"/>
  <c r="J60" i="1" s="1"/>
  <c r="J124" i="1" a="1"/>
  <c r="J124" i="1" s="1"/>
  <c r="J156" i="1" a="1"/>
  <c r="J156" i="1" s="1"/>
  <c r="J188" i="1" a="1"/>
  <c r="J188" i="1" s="1"/>
  <c r="J220" i="1" a="1"/>
  <c r="J220" i="1" s="1"/>
  <c r="J243" i="1" a="1"/>
  <c r="J243" i="1" s="1"/>
  <c r="J264" i="1" a="1"/>
  <c r="J264" i="1" s="1"/>
  <c r="J286" i="1" a="1"/>
  <c r="J286" i="1" s="1"/>
  <c r="J307" i="1" a="1"/>
  <c r="J307" i="1" s="1"/>
  <c r="J328" i="1" a="1"/>
  <c r="J328" i="1" s="1"/>
  <c r="J350" i="1" a="1"/>
  <c r="J350" i="1" s="1"/>
  <c r="J366" i="1" a="1"/>
  <c r="J366" i="1" s="1"/>
  <c r="J382" i="1" a="1"/>
  <c r="J382" i="1" s="1"/>
  <c r="J398" i="1" a="1"/>
  <c r="J398" i="1" s="1"/>
  <c r="J414" i="1" a="1"/>
  <c r="J414" i="1" s="1"/>
  <c r="J430" i="1" a="1"/>
  <c r="J430" i="1" s="1"/>
  <c r="J446" i="1" a="1"/>
  <c r="J446" i="1" s="1"/>
  <c r="J462" i="1" a="1"/>
  <c r="J462" i="1" s="1"/>
  <c r="J478" i="1" a="1"/>
  <c r="J478" i="1" s="1"/>
  <c r="J493" i="1" a="1"/>
  <c r="J493" i="1" s="1"/>
  <c r="J504" i="1" a="1"/>
  <c r="J504" i="1" s="1"/>
  <c r="J514" i="1" a="1"/>
  <c r="J514" i="1" s="1"/>
  <c r="J525" i="1" a="1"/>
  <c r="J525" i="1" s="1"/>
  <c r="J536" i="1" a="1"/>
  <c r="J536" i="1" s="1"/>
  <c r="J545" i="1" a="1"/>
  <c r="J545" i="1" s="1"/>
  <c r="J553" i="1" a="1"/>
  <c r="J553" i="1" s="1"/>
  <c r="J561" i="1" a="1"/>
  <c r="J561" i="1" s="1"/>
  <c r="J569" i="1" a="1"/>
  <c r="J569" i="1" s="1"/>
  <c r="J577" i="1" a="1"/>
  <c r="J577" i="1" s="1"/>
  <c r="J585" i="1" a="1"/>
  <c r="J585" i="1" s="1"/>
  <c r="J593" i="1" a="1"/>
  <c r="J593" i="1" s="1"/>
  <c r="J601" i="1" a="1"/>
  <c r="J601" i="1" s="1"/>
  <c r="J609" i="1" a="1"/>
  <c r="J609" i="1" s="1"/>
  <c r="J617" i="1" a="1"/>
  <c r="J617" i="1" s="1"/>
  <c r="J625" i="1" a="1"/>
  <c r="J625" i="1" s="1"/>
  <c r="J633" i="1" a="1"/>
  <c r="J633" i="1" s="1"/>
  <c r="J641" i="1" a="1"/>
  <c r="J641" i="1" s="1"/>
  <c r="J649" i="1" a="1"/>
  <c r="J649" i="1" s="1"/>
  <c r="J657" i="1" a="1"/>
  <c r="J657" i="1" s="1"/>
  <c r="J665" i="1" a="1"/>
  <c r="J665" i="1" s="1"/>
  <c r="J673" i="1" a="1"/>
  <c r="J673" i="1" s="1"/>
  <c r="J681" i="1" a="1"/>
  <c r="J681" i="1" s="1"/>
  <c r="J689" i="1" a="1"/>
  <c r="J689" i="1" s="1"/>
  <c r="J697" i="1" a="1"/>
  <c r="J697" i="1" s="1"/>
  <c r="J705" i="1" a="1"/>
  <c r="J705" i="1" s="1"/>
  <c r="J713" i="1" a="1"/>
  <c r="J713" i="1" s="1"/>
  <c r="J721" i="1" a="1"/>
  <c r="J721" i="1" s="1"/>
  <c r="J729" i="1" a="1"/>
  <c r="J729" i="1" s="1"/>
  <c r="J737" i="1" a="1"/>
  <c r="J737" i="1" s="1"/>
  <c r="J745" i="1" a="1"/>
  <c r="J745" i="1" s="1"/>
  <c r="J753" i="1" a="1"/>
  <c r="J753" i="1" s="1"/>
  <c r="J761" i="1" a="1"/>
  <c r="J761" i="1" s="1"/>
  <c r="J769" i="1" a="1"/>
  <c r="J769" i="1" s="1"/>
  <c r="J777" i="1" a="1"/>
  <c r="J777" i="1" s="1"/>
  <c r="J785" i="1" a="1"/>
  <c r="J785" i="1" s="1"/>
  <c r="J793" i="1" a="1"/>
  <c r="J793" i="1" s="1"/>
  <c r="J801" i="1" a="1"/>
  <c r="J801" i="1" s="1"/>
  <c r="J809" i="1" a="1"/>
  <c r="J809" i="1" s="1"/>
  <c r="J817" i="1" a="1"/>
  <c r="J817" i="1" s="1"/>
  <c r="J825" i="1" a="1"/>
  <c r="J825" i="1" s="1"/>
  <c r="J833" i="1" a="1"/>
  <c r="J833" i="1" s="1"/>
  <c r="J841" i="1" a="1"/>
  <c r="J841" i="1" s="1"/>
  <c r="J849" i="1" a="1"/>
  <c r="J849" i="1" s="1"/>
  <c r="J857" i="1" a="1"/>
  <c r="J857" i="1" s="1"/>
  <c r="J865" i="1" a="1"/>
  <c r="J865" i="1" s="1"/>
  <c r="J873" i="1" a="1"/>
  <c r="J873" i="1" s="1"/>
  <c r="J881" i="1" a="1"/>
  <c r="J881" i="1" s="1"/>
  <c r="J889" i="1" a="1"/>
  <c r="J889" i="1" s="1"/>
  <c r="J897" i="1" a="1"/>
  <c r="J897" i="1" s="1"/>
  <c r="J905" i="1" a="1"/>
  <c r="J905" i="1" s="1"/>
  <c r="J913" i="1" a="1"/>
  <c r="J913" i="1" s="1"/>
  <c r="J921" i="1" a="1"/>
  <c r="J921" i="1" s="1"/>
  <c r="J929" i="1" a="1"/>
  <c r="J929" i="1" s="1"/>
  <c r="J937" i="1" a="1"/>
  <c r="J937" i="1" s="1"/>
  <c r="J945" i="1" a="1"/>
  <c r="J945" i="1" s="1"/>
  <c r="J953" i="1" a="1"/>
  <c r="J953" i="1" s="1"/>
  <c r="J961" i="1" a="1"/>
  <c r="J961" i="1" s="1"/>
  <c r="J969" i="1" a="1"/>
  <c r="J969" i="1" s="1"/>
  <c r="J977" i="1" a="1"/>
  <c r="J977" i="1" s="1"/>
  <c r="J985" i="1" a="1"/>
  <c r="J985" i="1" s="1"/>
  <c r="J993" i="1" a="1"/>
  <c r="J993" i="1" s="1"/>
  <c r="J964" i="1" a="1"/>
  <c r="J964" i="1" s="1"/>
  <c r="J76" i="1" a="1"/>
  <c r="J76" i="1" s="1"/>
  <c r="J139" i="1" a="1"/>
  <c r="J139" i="1" s="1"/>
  <c r="J171" i="1" a="1"/>
  <c r="J171" i="1" s="1"/>
  <c r="J203" i="1" a="1"/>
  <c r="J203" i="1" s="1"/>
  <c r="J231" i="1" a="1"/>
  <c r="J231" i="1" s="1"/>
  <c r="J252" i="1" a="1"/>
  <c r="J252" i="1" s="1"/>
  <c r="J274" i="1" a="1"/>
  <c r="J274" i="1" s="1"/>
  <c r="J295" i="1" a="1"/>
  <c r="J295" i="1" s="1"/>
  <c r="J316" i="1" a="1"/>
  <c r="J316" i="1" s="1"/>
  <c r="J338" i="1" a="1"/>
  <c r="J338" i="1" s="1"/>
  <c r="J357" i="1" a="1"/>
  <c r="J357" i="1" s="1"/>
  <c r="J373" i="1" a="1"/>
  <c r="J373" i="1" s="1"/>
  <c r="J389" i="1" a="1"/>
  <c r="J389" i="1" s="1"/>
  <c r="J405" i="1" a="1"/>
  <c r="J405" i="1" s="1"/>
  <c r="J421" i="1" a="1"/>
  <c r="J421" i="1" s="1"/>
  <c r="J437" i="1" a="1"/>
  <c r="J437" i="1" s="1"/>
  <c r="J453" i="1" a="1"/>
  <c r="J453" i="1" s="1"/>
  <c r="J469" i="1" a="1"/>
  <c r="J469" i="1" s="1"/>
  <c r="J485" i="1" a="1"/>
  <c r="J485" i="1" s="1"/>
  <c r="J497" i="1" a="1"/>
  <c r="J497" i="1" s="1"/>
  <c r="J508" i="1" a="1"/>
  <c r="J508" i="1" s="1"/>
  <c r="J518" i="1" a="1"/>
  <c r="J518" i="1" s="1"/>
  <c r="J529" i="1" a="1"/>
  <c r="J529" i="1" s="1"/>
  <c r="J540" i="1" a="1"/>
  <c r="J540" i="1" s="1"/>
  <c r="J548" i="1" a="1"/>
  <c r="J548" i="1" s="1"/>
  <c r="J556" i="1" a="1"/>
  <c r="J556" i="1" s="1"/>
  <c r="J564" i="1" a="1"/>
  <c r="J564" i="1" s="1"/>
  <c r="J572" i="1" a="1"/>
  <c r="J572" i="1" s="1"/>
  <c r="J580" i="1" a="1"/>
  <c r="J580" i="1" s="1"/>
  <c r="J588" i="1" a="1"/>
  <c r="J588" i="1" s="1"/>
  <c r="J596" i="1" a="1"/>
  <c r="J596" i="1" s="1"/>
  <c r="J604" i="1" a="1"/>
  <c r="J604" i="1" s="1"/>
  <c r="J612" i="1" a="1"/>
  <c r="J612" i="1" s="1"/>
  <c r="J620" i="1" a="1"/>
  <c r="J620" i="1" s="1"/>
  <c r="J628" i="1" a="1"/>
  <c r="J628" i="1" s="1"/>
  <c r="J636" i="1" a="1"/>
  <c r="J636" i="1" s="1"/>
  <c r="J644" i="1" a="1"/>
  <c r="J644" i="1" s="1"/>
  <c r="J652" i="1" a="1"/>
  <c r="J652" i="1" s="1"/>
  <c r="J660" i="1" a="1"/>
  <c r="J660" i="1" s="1"/>
  <c r="J668" i="1" a="1"/>
  <c r="J668" i="1" s="1"/>
  <c r="J676" i="1" a="1"/>
  <c r="J676" i="1" s="1"/>
  <c r="J684" i="1" a="1"/>
  <c r="J684" i="1" s="1"/>
  <c r="J692" i="1" a="1"/>
  <c r="J692" i="1" s="1"/>
  <c r="J700" i="1" a="1"/>
  <c r="J700" i="1" s="1"/>
  <c r="J708" i="1" a="1"/>
  <c r="J708" i="1" s="1"/>
  <c r="J716" i="1" a="1"/>
  <c r="J716" i="1" s="1"/>
  <c r="J724" i="1" a="1"/>
  <c r="J724" i="1" s="1"/>
  <c r="J732" i="1" a="1"/>
  <c r="J732" i="1" s="1"/>
  <c r="J740" i="1" a="1"/>
  <c r="J740" i="1" s="1"/>
  <c r="J748" i="1" a="1"/>
  <c r="J748" i="1" s="1"/>
  <c r="J756" i="1" a="1"/>
  <c r="J756" i="1" s="1"/>
  <c r="J764" i="1" a="1"/>
  <c r="J764" i="1" s="1"/>
  <c r="J772" i="1" a="1"/>
  <c r="J772" i="1" s="1"/>
  <c r="J780" i="1" a="1"/>
  <c r="J780" i="1" s="1"/>
  <c r="J788" i="1" a="1"/>
  <c r="J788" i="1" s="1"/>
  <c r="J796" i="1" a="1"/>
  <c r="J796" i="1" s="1"/>
  <c r="J804" i="1" a="1"/>
  <c r="J804" i="1" s="1"/>
  <c r="J812" i="1" a="1"/>
  <c r="J812" i="1" s="1"/>
  <c r="J820" i="1" a="1"/>
  <c r="J820" i="1" s="1"/>
  <c r="J828" i="1" a="1"/>
  <c r="J828" i="1" s="1"/>
  <c r="J836" i="1" a="1"/>
  <c r="J836" i="1" s="1"/>
  <c r="J844" i="1" a="1"/>
  <c r="J844" i="1" s="1"/>
  <c r="J852" i="1" a="1"/>
  <c r="J852" i="1" s="1"/>
  <c r="J860" i="1" a="1"/>
  <c r="J860" i="1" s="1"/>
  <c r="J868" i="1" a="1"/>
  <c r="J868" i="1" s="1"/>
  <c r="J876" i="1" a="1"/>
  <c r="J876" i="1" s="1"/>
  <c r="J884" i="1" a="1"/>
  <c r="J884" i="1" s="1"/>
  <c r="J892" i="1" a="1"/>
  <c r="J892" i="1" s="1"/>
  <c r="J900" i="1" a="1"/>
  <c r="J900" i="1" s="1"/>
  <c r="J908" i="1" a="1"/>
  <c r="J908" i="1" s="1"/>
  <c r="J916" i="1" a="1"/>
  <c r="J916" i="1" s="1"/>
  <c r="J924" i="1" a="1"/>
  <c r="J924" i="1" s="1"/>
  <c r="J932" i="1" a="1"/>
  <c r="J932" i="1" s="1"/>
  <c r="J940" i="1" a="1"/>
  <c r="J940" i="1" s="1"/>
  <c r="J948" i="1" a="1"/>
  <c r="J948" i="1" s="1"/>
  <c r="J980" i="1" a="1"/>
  <c r="J980" i="1" s="1"/>
  <c r="J988" i="1" a="1"/>
  <c r="J988" i="1" s="1"/>
  <c r="F3" i="1"/>
  <c r="L41" i="1"/>
  <c r="P41" i="1"/>
  <c r="M529" i="1"/>
  <c r="N545" i="1"/>
  <c r="O561" i="1"/>
  <c r="L577" i="1"/>
  <c r="P577" i="1"/>
  <c r="M593" i="1"/>
  <c r="N609" i="1"/>
  <c r="O625" i="1"/>
  <c r="L641" i="1"/>
  <c r="P641" i="1"/>
  <c r="M657" i="1"/>
  <c r="N673" i="1"/>
  <c r="O689" i="1"/>
  <c r="L705" i="1"/>
  <c r="P705" i="1"/>
  <c r="M721" i="1"/>
  <c r="N737" i="1"/>
  <c r="O753" i="1"/>
  <c r="L769" i="1"/>
  <c r="P769" i="1"/>
  <c r="M785" i="1"/>
  <c r="N801" i="1"/>
  <c r="O817" i="1"/>
  <c r="L833" i="1"/>
  <c r="P833" i="1"/>
  <c r="M849" i="1"/>
  <c r="M41" i="1"/>
  <c r="N529" i="1"/>
  <c r="O545" i="1"/>
  <c r="L561" i="1"/>
  <c r="P561" i="1"/>
  <c r="M577" i="1"/>
  <c r="N593" i="1"/>
  <c r="O609" i="1"/>
  <c r="L625" i="1"/>
  <c r="P625" i="1"/>
  <c r="M641" i="1"/>
  <c r="N657" i="1"/>
  <c r="O673" i="1"/>
  <c r="L689" i="1"/>
  <c r="P689" i="1"/>
  <c r="M705" i="1"/>
  <c r="N721" i="1"/>
  <c r="O737" i="1"/>
  <c r="L753" i="1"/>
  <c r="P753" i="1"/>
  <c r="M769" i="1"/>
  <c r="N785" i="1"/>
  <c r="O801" i="1"/>
  <c r="L817" i="1"/>
  <c r="P817" i="1"/>
  <c r="M833" i="1"/>
  <c r="N849" i="1"/>
  <c r="L545" i="1"/>
  <c r="L609" i="1"/>
  <c r="L673" i="1"/>
  <c r="L737" i="1"/>
  <c r="L801" i="1"/>
  <c r="P983" i="1"/>
  <c r="L983" i="1"/>
  <c r="O983" i="1"/>
  <c r="N983" i="1"/>
  <c r="P935" i="1"/>
  <c r="L935" i="1"/>
  <c r="O935" i="1"/>
  <c r="N935" i="1"/>
  <c r="P887" i="1"/>
  <c r="L887" i="1"/>
  <c r="O887" i="1"/>
  <c r="N887" i="1"/>
  <c r="P855" i="1"/>
  <c r="L855" i="1"/>
  <c r="O855" i="1"/>
  <c r="N855" i="1"/>
  <c r="P759" i="1"/>
  <c r="L759" i="1"/>
  <c r="O759" i="1"/>
  <c r="N759" i="1"/>
  <c r="N285" i="1"/>
  <c r="M285" i="1"/>
  <c r="P285" i="1"/>
  <c r="L285" i="1"/>
  <c r="N93" i="1"/>
  <c r="L93" i="1"/>
  <c r="P93" i="1"/>
  <c r="M93" i="1"/>
  <c r="N829" i="1"/>
  <c r="M829" i="1"/>
  <c r="P829" i="1"/>
  <c r="L829" i="1"/>
  <c r="N797" i="1"/>
  <c r="M797" i="1"/>
  <c r="P797" i="1"/>
  <c r="L797" i="1"/>
  <c r="N733" i="1"/>
  <c r="M733" i="1"/>
  <c r="P733" i="1"/>
  <c r="L733" i="1"/>
  <c r="N685" i="1"/>
  <c r="M685" i="1"/>
  <c r="P685" i="1"/>
  <c r="L685" i="1"/>
  <c r="N637" i="1"/>
  <c r="M637" i="1"/>
  <c r="P637" i="1"/>
  <c r="L637" i="1"/>
  <c r="N589" i="1"/>
  <c r="M589" i="1"/>
  <c r="P589" i="1"/>
  <c r="L589" i="1"/>
  <c r="N557" i="1"/>
  <c r="M557" i="1"/>
  <c r="P557" i="1"/>
  <c r="L557" i="1"/>
  <c r="N509" i="1"/>
  <c r="M509" i="1"/>
  <c r="P509" i="1"/>
  <c r="L509" i="1"/>
  <c r="N461" i="1"/>
  <c r="M461" i="1"/>
  <c r="P461" i="1"/>
  <c r="L461" i="1"/>
  <c r="N429" i="1"/>
  <c r="M429" i="1"/>
  <c r="P429" i="1"/>
  <c r="L429" i="1"/>
  <c r="N381" i="1"/>
  <c r="M381" i="1"/>
  <c r="P381" i="1"/>
  <c r="L381" i="1"/>
  <c r="P48" i="1"/>
  <c r="L48" i="1"/>
  <c r="O48" i="1"/>
  <c r="N48" i="1"/>
  <c r="M49" i="1"/>
  <c r="P49" i="1"/>
  <c r="L49" i="1"/>
  <c r="O49" i="1"/>
  <c r="P309" i="1"/>
  <c r="L309" i="1"/>
  <c r="O309" i="1"/>
  <c r="N309" i="1"/>
  <c r="M819" i="1"/>
  <c r="P819" i="1"/>
  <c r="L819" i="1"/>
  <c r="O819" i="1"/>
  <c r="O6" i="1"/>
  <c r="O22" i="1"/>
  <c r="O38" i="1"/>
  <c r="O54" i="1"/>
  <c r="O70" i="1"/>
  <c r="O86" i="1"/>
  <c r="O102" i="1"/>
  <c r="O118" i="1"/>
  <c r="O134" i="1"/>
  <c r="O150" i="1"/>
  <c r="O166" i="1"/>
  <c r="O182" i="1"/>
  <c r="O198" i="1"/>
  <c r="O214" i="1"/>
  <c r="O230" i="1"/>
  <c r="O246" i="1"/>
  <c r="O262" i="1"/>
  <c r="O278" i="1"/>
  <c r="O294" i="1"/>
  <c r="O310" i="1"/>
  <c r="O326" i="1"/>
  <c r="O342" i="1"/>
  <c r="L354" i="1"/>
  <c r="P354" i="1"/>
  <c r="M414" i="1"/>
  <c r="L418" i="1"/>
  <c r="P418" i="1"/>
  <c r="L482" i="1"/>
  <c r="P482" i="1"/>
  <c r="M542" i="1"/>
  <c r="L546" i="1"/>
  <c r="P546" i="1"/>
  <c r="M878" i="1"/>
  <c r="M942" i="1"/>
  <c r="L31" i="1"/>
  <c r="P31" i="1"/>
  <c r="L63" i="1"/>
  <c r="P63" i="1"/>
  <c r="L95" i="1"/>
  <c r="P95" i="1"/>
  <c r="L127" i="1"/>
  <c r="P127" i="1"/>
  <c r="L159" i="1"/>
  <c r="P159" i="1"/>
  <c r="L191" i="1"/>
  <c r="P191" i="1"/>
  <c r="L223" i="1"/>
  <c r="P223" i="1"/>
  <c r="L255" i="1"/>
  <c r="P255" i="1"/>
  <c r="L287" i="1"/>
  <c r="P287" i="1"/>
  <c r="L319" i="1"/>
  <c r="P319" i="1"/>
  <c r="N599" i="1"/>
  <c r="O627" i="1"/>
  <c r="N631" i="1"/>
  <c r="N663" i="1"/>
  <c r="O93" i="1"/>
  <c r="O285" i="1"/>
  <c r="O381" i="1"/>
  <c r="O429" i="1"/>
  <c r="O461" i="1"/>
  <c r="O509" i="1"/>
  <c r="O557" i="1"/>
  <c r="O589" i="1"/>
  <c r="O637" i="1"/>
  <c r="O685" i="1"/>
  <c r="O733" i="1"/>
  <c r="O797" i="1"/>
  <c r="O829" i="1"/>
  <c r="P999" i="1"/>
  <c r="L999" i="1"/>
  <c r="O999" i="1"/>
  <c r="N999" i="1"/>
  <c r="P951" i="1"/>
  <c r="L951" i="1"/>
  <c r="O951" i="1"/>
  <c r="N951" i="1"/>
  <c r="P919" i="1"/>
  <c r="L919" i="1"/>
  <c r="O919" i="1"/>
  <c r="N919" i="1"/>
  <c r="P871" i="1"/>
  <c r="L871" i="1"/>
  <c r="O871" i="1"/>
  <c r="N871" i="1"/>
  <c r="P791" i="1"/>
  <c r="L791" i="1"/>
  <c r="O791" i="1"/>
  <c r="N791" i="1"/>
  <c r="P727" i="1"/>
  <c r="L727" i="1"/>
  <c r="O727" i="1"/>
  <c r="N727" i="1"/>
  <c r="N157" i="1"/>
  <c r="M157" i="1"/>
  <c r="P157" i="1"/>
  <c r="L157" i="1"/>
  <c r="N29" i="1"/>
  <c r="M29" i="1"/>
  <c r="P29" i="1"/>
  <c r="L29" i="1"/>
  <c r="N813" i="1"/>
  <c r="M813" i="1"/>
  <c r="P813" i="1"/>
  <c r="L813" i="1"/>
  <c r="N781" i="1"/>
  <c r="M781" i="1"/>
  <c r="P781" i="1"/>
  <c r="L781" i="1"/>
  <c r="N749" i="1"/>
  <c r="M749" i="1"/>
  <c r="P749" i="1"/>
  <c r="L749" i="1"/>
  <c r="N701" i="1"/>
  <c r="M701" i="1"/>
  <c r="P701" i="1"/>
  <c r="L701" i="1"/>
  <c r="N653" i="1"/>
  <c r="M653" i="1"/>
  <c r="P653" i="1"/>
  <c r="L653" i="1"/>
  <c r="N621" i="1"/>
  <c r="M621" i="1"/>
  <c r="P621" i="1"/>
  <c r="L621" i="1"/>
  <c r="N573" i="1"/>
  <c r="M573" i="1"/>
  <c r="P573" i="1"/>
  <c r="L573" i="1"/>
  <c r="N525" i="1"/>
  <c r="M525" i="1"/>
  <c r="P525" i="1"/>
  <c r="L525" i="1"/>
  <c r="N493" i="1"/>
  <c r="M493" i="1"/>
  <c r="P493" i="1"/>
  <c r="L493" i="1"/>
  <c r="N445" i="1"/>
  <c r="M445" i="1"/>
  <c r="P445" i="1"/>
  <c r="L445" i="1"/>
  <c r="N397" i="1"/>
  <c r="M397" i="1"/>
  <c r="P397" i="1"/>
  <c r="L397" i="1"/>
  <c r="N349" i="1"/>
  <c r="M349" i="1"/>
  <c r="P349" i="1"/>
  <c r="L349" i="1"/>
  <c r="P32" i="1"/>
  <c r="L32" i="1"/>
  <c r="O32" i="1"/>
  <c r="N32" i="1"/>
  <c r="P181" i="1"/>
  <c r="L181" i="1"/>
  <c r="O181" i="1"/>
  <c r="N181" i="1"/>
  <c r="M755" i="1"/>
  <c r="P755" i="1"/>
  <c r="L755" i="1"/>
  <c r="O755" i="1"/>
  <c r="L6" i="1"/>
  <c r="P6" i="1"/>
  <c r="L22" i="1"/>
  <c r="P22" i="1"/>
  <c r="L38" i="1"/>
  <c r="P38" i="1"/>
  <c r="L54" i="1"/>
  <c r="P54" i="1"/>
  <c r="L70" i="1"/>
  <c r="P70" i="1"/>
  <c r="L86" i="1"/>
  <c r="P86" i="1"/>
  <c r="L102" i="1"/>
  <c r="P102" i="1"/>
  <c r="L118" i="1"/>
  <c r="P118" i="1"/>
  <c r="L134" i="1"/>
  <c r="P134" i="1"/>
  <c r="L150" i="1"/>
  <c r="P150" i="1"/>
  <c r="L166" i="1"/>
  <c r="P166" i="1"/>
  <c r="L182" i="1"/>
  <c r="P182" i="1"/>
  <c r="L198" i="1"/>
  <c r="P198" i="1"/>
  <c r="L214" i="1"/>
  <c r="P214" i="1"/>
  <c r="L230" i="1"/>
  <c r="P230" i="1"/>
  <c r="L246" i="1"/>
  <c r="P246" i="1"/>
  <c r="L262" i="1"/>
  <c r="P262" i="1"/>
  <c r="L278" i="1"/>
  <c r="P278" i="1"/>
  <c r="L294" i="1"/>
  <c r="P294" i="1"/>
  <c r="L310" i="1"/>
  <c r="P310" i="1"/>
  <c r="L326" i="1"/>
  <c r="P326" i="1"/>
  <c r="L342" i="1"/>
  <c r="P342" i="1"/>
  <c r="M354" i="1"/>
  <c r="N414" i="1"/>
  <c r="M418" i="1"/>
  <c r="M482" i="1"/>
  <c r="N542" i="1"/>
  <c r="M546" i="1"/>
  <c r="N878" i="1"/>
  <c r="N942" i="1"/>
  <c r="M31" i="1"/>
  <c r="M63" i="1"/>
  <c r="M95" i="1"/>
  <c r="M127" i="1"/>
  <c r="M159" i="1"/>
  <c r="M191" i="1"/>
  <c r="M223" i="1"/>
  <c r="M255" i="1"/>
  <c r="M287" i="1"/>
  <c r="M319" i="1"/>
  <c r="O599" i="1"/>
  <c r="L627" i="1"/>
  <c r="P627" i="1"/>
  <c r="O631" i="1"/>
  <c r="O663" i="1"/>
  <c r="N755" i="1"/>
  <c r="N819" i="1"/>
  <c r="N49" i="1"/>
  <c r="P967" i="1"/>
  <c r="L967" i="1"/>
  <c r="O967" i="1"/>
  <c r="N967" i="1"/>
  <c r="P903" i="1"/>
  <c r="L903" i="1"/>
  <c r="O903" i="1"/>
  <c r="N903" i="1"/>
  <c r="P823" i="1"/>
  <c r="L823" i="1"/>
  <c r="O823" i="1"/>
  <c r="N823" i="1"/>
  <c r="P695" i="1"/>
  <c r="L695" i="1"/>
  <c r="O695" i="1"/>
  <c r="N695" i="1"/>
  <c r="N221" i="1"/>
  <c r="M221" i="1"/>
  <c r="P221" i="1"/>
  <c r="L221" i="1"/>
  <c r="N845" i="1"/>
  <c r="M845" i="1"/>
  <c r="P845" i="1"/>
  <c r="L845" i="1"/>
  <c r="N765" i="1"/>
  <c r="M765" i="1"/>
  <c r="P765" i="1"/>
  <c r="L765" i="1"/>
  <c r="N717" i="1"/>
  <c r="M717" i="1"/>
  <c r="P717" i="1"/>
  <c r="L717" i="1"/>
  <c r="N669" i="1"/>
  <c r="M669" i="1"/>
  <c r="P669" i="1"/>
  <c r="L669" i="1"/>
  <c r="N605" i="1"/>
  <c r="M605" i="1"/>
  <c r="P605" i="1"/>
  <c r="L605" i="1"/>
  <c r="N541" i="1"/>
  <c r="M541" i="1"/>
  <c r="P541" i="1"/>
  <c r="L541" i="1"/>
  <c r="N477" i="1"/>
  <c r="M477" i="1"/>
  <c r="P477" i="1"/>
  <c r="L477" i="1"/>
  <c r="N413" i="1"/>
  <c r="M413" i="1"/>
  <c r="P413" i="1"/>
  <c r="L413" i="1"/>
  <c r="N365" i="1"/>
  <c r="M365" i="1"/>
  <c r="P365" i="1"/>
  <c r="L365" i="1"/>
  <c r="P16" i="1"/>
  <c r="L16" i="1"/>
  <c r="O16" i="1"/>
  <c r="N16" i="1"/>
  <c r="M691" i="1"/>
  <c r="P691" i="1"/>
  <c r="L691" i="1"/>
  <c r="O691" i="1"/>
  <c r="D6" i="1"/>
  <c r="D10" i="1"/>
  <c r="D14" i="1"/>
  <c r="D18" i="1"/>
  <c r="D22" i="1"/>
  <c r="D26" i="1"/>
  <c r="D30" i="1"/>
  <c r="D34" i="1"/>
  <c r="D38" i="1"/>
  <c r="D42" i="1"/>
  <c r="D46" i="1"/>
  <c r="D50" i="1"/>
  <c r="D54" i="1"/>
  <c r="D58" i="1"/>
  <c r="D62" i="1"/>
  <c r="D66" i="1"/>
  <c r="D70" i="1"/>
  <c r="D74" i="1"/>
  <c r="D78" i="1"/>
  <c r="D82" i="1"/>
  <c r="D86" i="1"/>
  <c r="D90" i="1"/>
  <c r="D94" i="1"/>
  <c r="D98" i="1"/>
  <c r="D102" i="1"/>
  <c r="D106" i="1"/>
  <c r="D110" i="1"/>
  <c r="D114" i="1"/>
  <c r="D118" i="1"/>
  <c r="D122" i="1"/>
  <c r="D126" i="1"/>
  <c r="D130" i="1"/>
  <c r="D134" i="1"/>
  <c r="D138" i="1"/>
  <c r="D142" i="1"/>
  <c r="D146" i="1"/>
  <c r="D150" i="1"/>
  <c r="D154" i="1"/>
  <c r="D158" i="1"/>
  <c r="D162" i="1"/>
  <c r="D166" i="1"/>
  <c r="D170" i="1"/>
  <c r="D174" i="1"/>
  <c r="D178" i="1"/>
  <c r="D182" i="1"/>
  <c r="D186" i="1"/>
  <c r="D190" i="1"/>
  <c r="D194" i="1"/>
  <c r="D198" i="1"/>
  <c r="D202" i="1"/>
  <c r="D206" i="1"/>
  <c r="D210" i="1"/>
  <c r="D214" i="1"/>
  <c r="D218" i="1"/>
  <c r="D222" i="1"/>
  <c r="D226" i="1"/>
  <c r="D230" i="1"/>
  <c r="D234" i="1"/>
  <c r="D238" i="1"/>
  <c r="D242" i="1"/>
  <c r="D246" i="1"/>
  <c r="D250" i="1"/>
  <c r="D254" i="1"/>
  <c r="D258" i="1"/>
  <c r="D262" i="1"/>
  <c r="D266" i="1"/>
  <c r="D270" i="1"/>
  <c r="D274" i="1"/>
  <c r="D278" i="1"/>
  <c r="D282" i="1"/>
  <c r="D286" i="1"/>
  <c r="D290" i="1"/>
  <c r="D294" i="1"/>
  <c r="D298" i="1"/>
  <c r="D302" i="1"/>
  <c r="D306" i="1"/>
  <c r="D310" i="1"/>
  <c r="D314" i="1"/>
  <c r="D318" i="1"/>
  <c r="D322" i="1"/>
  <c r="D326" i="1"/>
  <c r="D330" i="1"/>
  <c r="D334" i="1"/>
  <c r="D338" i="1"/>
  <c r="D342" i="1"/>
  <c r="D346" i="1"/>
  <c r="D350" i="1"/>
  <c r="D354" i="1"/>
  <c r="D358" i="1"/>
  <c r="D362" i="1"/>
  <c r="D366" i="1"/>
  <c r="D370" i="1"/>
  <c r="D374" i="1"/>
  <c r="D378" i="1"/>
  <c r="D382" i="1"/>
  <c r="D386" i="1"/>
  <c r="D390" i="1"/>
  <c r="D394" i="1"/>
  <c r="D398" i="1"/>
  <c r="D402" i="1"/>
  <c r="D406" i="1"/>
  <c r="D410" i="1"/>
  <c r="D414" i="1"/>
  <c r="D418" i="1"/>
  <c r="D422" i="1"/>
  <c r="D426" i="1"/>
  <c r="D430" i="1"/>
  <c r="D434" i="1"/>
  <c r="D438" i="1"/>
  <c r="D442" i="1"/>
  <c r="D446" i="1"/>
  <c r="D450" i="1"/>
  <c r="D454" i="1"/>
  <c r="D458" i="1"/>
  <c r="D462" i="1"/>
  <c r="D466" i="1"/>
  <c r="D470" i="1"/>
  <c r="D474" i="1"/>
  <c r="D478" i="1"/>
  <c r="D482" i="1"/>
  <c r="D486" i="1"/>
  <c r="D490" i="1"/>
  <c r="D494" i="1"/>
  <c r="D498" i="1"/>
  <c r="D502" i="1"/>
  <c r="D506" i="1"/>
  <c r="D510" i="1"/>
  <c r="D514" i="1"/>
  <c r="D518" i="1"/>
  <c r="D522" i="1"/>
  <c r="D526" i="1"/>
  <c r="D530" i="1"/>
  <c r="D534" i="1"/>
  <c r="D538" i="1"/>
  <c r="D542" i="1"/>
  <c r="D546" i="1"/>
  <c r="D550" i="1"/>
  <c r="D554" i="1"/>
  <c r="D558" i="1"/>
  <c r="D562" i="1"/>
  <c r="D566" i="1"/>
  <c r="D570" i="1"/>
  <c r="D574" i="1"/>
  <c r="D578" i="1"/>
  <c r="D582" i="1"/>
  <c r="D586" i="1"/>
  <c r="D590" i="1"/>
  <c r="D594" i="1"/>
  <c r="D598" i="1"/>
  <c r="D602" i="1"/>
  <c r="D606" i="1"/>
  <c r="D610" i="1"/>
  <c r="D614" i="1"/>
  <c r="D618" i="1"/>
  <c r="D622" i="1"/>
  <c r="D626" i="1"/>
  <c r="D630" i="1"/>
  <c r="D634" i="1"/>
  <c r="D638" i="1"/>
  <c r="D642" i="1"/>
  <c r="D646" i="1"/>
  <c r="D650" i="1"/>
  <c r="D654" i="1"/>
  <c r="D658" i="1"/>
  <c r="D662" i="1"/>
  <c r="D666" i="1"/>
  <c r="D670" i="1"/>
  <c r="D674" i="1"/>
  <c r="D678" i="1"/>
  <c r="D682" i="1"/>
  <c r="D686" i="1"/>
  <c r="D690" i="1"/>
  <c r="D694" i="1"/>
  <c r="D698" i="1"/>
  <c r="D702" i="1"/>
  <c r="D706" i="1"/>
  <c r="D710" i="1"/>
  <c r="D714" i="1"/>
  <c r="D718" i="1"/>
  <c r="D722" i="1"/>
  <c r="D726" i="1"/>
  <c r="D730" i="1"/>
  <c r="D734" i="1"/>
  <c r="D738" i="1"/>
  <c r="D742" i="1"/>
  <c r="D746" i="1"/>
  <c r="D750" i="1"/>
  <c r="D754" i="1"/>
  <c r="D758" i="1"/>
  <c r="D762" i="1"/>
  <c r="D766" i="1"/>
  <c r="D770" i="1"/>
  <c r="D774" i="1"/>
  <c r="D778" i="1"/>
  <c r="D782" i="1"/>
  <c r="D786" i="1"/>
  <c r="D790" i="1"/>
  <c r="D794" i="1"/>
  <c r="D798" i="1"/>
  <c r="D802" i="1"/>
  <c r="D806" i="1"/>
  <c r="D810" i="1"/>
  <c r="D814" i="1"/>
  <c r="D818" i="1"/>
  <c r="D822" i="1"/>
  <c r="D826" i="1"/>
  <c r="D830" i="1"/>
  <c r="D834" i="1"/>
  <c r="D838" i="1"/>
  <c r="D842" i="1"/>
  <c r="D846" i="1"/>
  <c r="D850" i="1"/>
  <c r="D854" i="1"/>
  <c r="D858" i="1"/>
  <c r="D862" i="1"/>
  <c r="D866" i="1"/>
  <c r="D870" i="1"/>
  <c r="D874" i="1"/>
  <c r="D878" i="1"/>
  <c r="D882" i="1"/>
  <c r="D886" i="1"/>
  <c r="D890" i="1"/>
  <c r="D894" i="1"/>
  <c r="D898" i="1"/>
  <c r="D902" i="1"/>
  <c r="D906" i="1"/>
  <c r="D910" i="1"/>
  <c r="D914" i="1"/>
  <c r="D918" i="1"/>
  <c r="D922" i="1"/>
  <c r="D926" i="1"/>
  <c r="D930" i="1"/>
  <c r="D934" i="1"/>
  <c r="D938" i="1"/>
  <c r="D942" i="1"/>
  <c r="D13" i="1"/>
  <c r="D45" i="1"/>
  <c r="D77" i="1"/>
  <c r="D109" i="1"/>
  <c r="D141" i="1"/>
  <c r="D173" i="1"/>
  <c r="D205" i="1"/>
  <c r="D237" i="1"/>
  <c r="D269" i="1"/>
  <c r="D301" i="1"/>
  <c r="D333" i="1"/>
  <c r="D365" i="1"/>
  <c r="D397" i="1"/>
  <c r="D429" i="1"/>
  <c r="D461" i="1"/>
  <c r="D493" i="1"/>
  <c r="D525" i="1"/>
  <c r="D541" i="1"/>
  <c r="D557" i="1"/>
  <c r="D573" i="1"/>
  <c r="D579" i="1"/>
  <c r="D595" i="1"/>
  <c r="D611" i="1"/>
  <c r="D627" i="1"/>
  <c r="D637" i="1"/>
  <c r="D648" i="1"/>
  <c r="D659" i="1"/>
  <c r="D669" i="1"/>
  <c r="D675" i="1"/>
  <c r="D685" i="1"/>
  <c r="D696" i="1"/>
  <c r="D707" i="1"/>
  <c r="D717" i="1"/>
  <c r="D728" i="1"/>
  <c r="D739" i="1"/>
  <c r="D749" i="1"/>
  <c r="D765" i="1"/>
  <c r="D771" i="1"/>
  <c r="D781" i="1"/>
  <c r="D792" i="1"/>
  <c r="D803" i="1"/>
  <c r="D813" i="1"/>
  <c r="D819" i="1"/>
  <c r="D829" i="1"/>
  <c r="D840" i="1"/>
  <c r="D856" i="1"/>
  <c r="D867" i="1"/>
  <c r="D877" i="1"/>
  <c r="D888" i="1"/>
  <c r="D899" i="1"/>
  <c r="D915" i="1"/>
  <c r="D925" i="1"/>
  <c r="D936" i="1"/>
  <c r="D946" i="1"/>
  <c r="D954" i="1"/>
  <c r="D962" i="1"/>
  <c r="D974" i="1"/>
  <c r="D982" i="1"/>
  <c r="D990" i="1"/>
  <c r="D998" i="1"/>
  <c r="D5" i="1"/>
  <c r="D37" i="1"/>
  <c r="D85" i="1"/>
  <c r="D133" i="1"/>
  <c r="D165" i="1"/>
  <c r="D213" i="1"/>
  <c r="D245" i="1"/>
  <c r="D293" i="1"/>
  <c r="D341" i="1"/>
  <c r="D437" i="1"/>
  <c r="D453" i="1"/>
  <c r="D517" i="1"/>
  <c r="D539" i="1"/>
  <c r="D565" i="1"/>
  <c r="D581" i="1"/>
  <c r="D603" i="1"/>
  <c r="D619" i="1"/>
  <c r="D635" i="1"/>
  <c r="D651" i="1"/>
  <c r="D667" i="1"/>
  <c r="D683" i="1"/>
  <c r="D693" i="1"/>
  <c r="D709" i="1"/>
  <c r="D720" i="1"/>
  <c r="D731" i="1"/>
  <c r="D9" i="1"/>
  <c r="D25" i="1"/>
  <c r="D41" i="1"/>
  <c r="D57" i="1"/>
  <c r="D73" i="1"/>
  <c r="D89" i="1"/>
  <c r="D105" i="1"/>
  <c r="D121" i="1"/>
  <c r="D137" i="1"/>
  <c r="D153" i="1"/>
  <c r="D169" i="1"/>
  <c r="D185" i="1"/>
  <c r="D201" i="1"/>
  <c r="D217" i="1"/>
  <c r="D233" i="1"/>
  <c r="D249" i="1"/>
  <c r="D265" i="1"/>
  <c r="D281" i="1"/>
  <c r="D297" i="1"/>
  <c r="D313" i="1"/>
  <c r="D329" i="1"/>
  <c r="D345" i="1"/>
  <c r="D361" i="1"/>
  <c r="D377" i="1"/>
  <c r="D393" i="1"/>
  <c r="D409" i="1"/>
  <c r="D425" i="1"/>
  <c r="D441" i="1"/>
  <c r="D457" i="1"/>
  <c r="D473" i="1"/>
  <c r="D489" i="1"/>
  <c r="D505" i="1"/>
  <c r="D521" i="1"/>
  <c r="D527" i="1"/>
  <c r="D537" i="1"/>
  <c r="D543" i="1"/>
  <c r="D553" i="1"/>
  <c r="D559" i="1"/>
  <c r="D569" i="1"/>
  <c r="D575" i="1"/>
  <c r="D585" i="1"/>
  <c r="D591" i="1"/>
  <c r="D601" i="1"/>
  <c r="D607" i="1"/>
  <c r="D617" i="1"/>
  <c r="D623" i="1"/>
  <c r="D628" i="1"/>
  <c r="D633" i="1"/>
  <c r="D639" i="1"/>
  <c r="D644" i="1"/>
  <c r="D649" i="1"/>
  <c r="D655" i="1"/>
  <c r="D660" i="1"/>
  <c r="D665" i="1"/>
  <c r="D671" i="1"/>
  <c r="D676" i="1"/>
  <c r="D681" i="1"/>
  <c r="D687" i="1"/>
  <c r="D692" i="1"/>
  <c r="D697" i="1"/>
  <c r="D703" i="1"/>
  <c r="D708" i="1"/>
  <c r="D713" i="1"/>
  <c r="D719" i="1"/>
  <c r="D724" i="1"/>
  <c r="D729" i="1"/>
  <c r="D735" i="1"/>
  <c r="D740" i="1"/>
  <c r="D745" i="1"/>
  <c r="D751" i="1"/>
  <c r="D756" i="1"/>
  <c r="D761" i="1"/>
  <c r="D767" i="1"/>
  <c r="D772" i="1"/>
  <c r="D777" i="1"/>
  <c r="D783" i="1"/>
  <c r="D788" i="1"/>
  <c r="D793" i="1"/>
  <c r="D799" i="1"/>
  <c r="D804" i="1"/>
  <c r="D809" i="1"/>
  <c r="D815" i="1"/>
  <c r="D820" i="1"/>
  <c r="D825" i="1"/>
  <c r="D831" i="1"/>
  <c r="D836" i="1"/>
  <c r="D841" i="1"/>
  <c r="D847" i="1"/>
  <c r="D852" i="1"/>
  <c r="D857" i="1"/>
  <c r="D863" i="1"/>
  <c r="D868" i="1"/>
  <c r="D873" i="1"/>
  <c r="D879" i="1"/>
  <c r="D884" i="1"/>
  <c r="D889" i="1"/>
  <c r="D895" i="1"/>
  <c r="D900" i="1"/>
  <c r="D905" i="1"/>
  <c r="D911" i="1"/>
  <c r="D916" i="1"/>
  <c r="D921" i="1"/>
  <c r="D927" i="1"/>
  <c r="D932" i="1"/>
  <c r="D937" i="1"/>
  <c r="D943" i="1"/>
  <c r="D947" i="1"/>
  <c r="D951" i="1"/>
  <c r="D955" i="1"/>
  <c r="D959" i="1"/>
  <c r="D963" i="1"/>
  <c r="D967" i="1"/>
  <c r="D971" i="1"/>
  <c r="D975" i="1"/>
  <c r="D979" i="1"/>
  <c r="D983" i="1"/>
  <c r="D987" i="1"/>
  <c r="D991" i="1"/>
  <c r="D995" i="1"/>
  <c r="D999" i="1"/>
  <c r="D21" i="1"/>
  <c r="D53" i="1"/>
  <c r="D101" i="1"/>
  <c r="D149" i="1"/>
  <c r="D197" i="1"/>
  <c r="D261" i="1"/>
  <c r="D325" i="1"/>
  <c r="D357" i="1"/>
  <c r="D389" i="1"/>
  <c r="D421" i="1"/>
  <c r="D469" i="1"/>
  <c r="D501" i="1"/>
  <c r="D533" i="1"/>
  <c r="D555" i="1"/>
  <c r="D571" i="1"/>
  <c r="D597" i="1"/>
  <c r="D613" i="1"/>
  <c r="D629" i="1"/>
  <c r="D645" i="1"/>
  <c r="D656" i="1"/>
  <c r="D672" i="1"/>
  <c r="D699" i="1"/>
  <c r="D752" i="1"/>
  <c r="D768" i="1"/>
  <c r="D795" i="1"/>
  <c r="D811" i="1"/>
  <c r="D837" i="1"/>
  <c r="D880" i="1"/>
  <c r="D912" i="1"/>
  <c r="D952" i="1"/>
  <c r="D996" i="1"/>
  <c r="D773" i="1"/>
  <c r="D980" i="1"/>
  <c r="D779" i="1"/>
  <c r="D805" i="1"/>
  <c r="D832" i="1"/>
  <c r="D848" i="1"/>
  <c r="D864" i="1"/>
  <c r="D891" i="1"/>
  <c r="D907" i="1"/>
  <c r="D923" i="1"/>
  <c r="D948" i="1"/>
  <c r="D960" i="1"/>
  <c r="D972" i="1"/>
  <c r="D992" i="1"/>
  <c r="D747" i="1"/>
  <c r="D816" i="1"/>
  <c r="D859" i="1"/>
  <c r="D901" i="1"/>
  <c r="D933" i="1"/>
  <c r="D968" i="1"/>
  <c r="L599" i="1"/>
  <c r="L631" i="1"/>
  <c r="L663" i="1"/>
  <c r="M695" i="1"/>
  <c r="M727" i="1"/>
  <c r="M759" i="1"/>
  <c r="M791" i="1"/>
  <c r="M823" i="1"/>
  <c r="M855" i="1"/>
  <c r="M871" i="1"/>
  <c r="M887" i="1"/>
  <c r="M903" i="1"/>
  <c r="M919" i="1"/>
  <c r="M935" i="1"/>
  <c r="M951" i="1"/>
  <c r="M967" i="1"/>
  <c r="M983" i="1"/>
  <c r="M999" i="1"/>
  <c r="M16" i="1"/>
  <c r="M32" i="1"/>
  <c r="M48" i="1"/>
  <c r="M181" i="1"/>
  <c r="M309" i="1"/>
  <c r="F5" i="1"/>
  <c r="O3" i="1" l="1"/>
  <c r="L3" i="1"/>
  <c r="N3" i="1"/>
  <c r="M3" i="1"/>
  <c r="P3" i="1"/>
  <c r="N5" i="1"/>
  <c r="M5" i="1"/>
  <c r="P5" i="1"/>
  <c r="L5" i="1"/>
  <c r="O5" i="1"/>
  <c r="Q916" i="1"/>
  <c r="Q39" i="1"/>
  <c r="Q271" i="1"/>
  <c r="Q302" i="1"/>
  <c r="Q747" i="1"/>
  <c r="Q131" i="1"/>
  <c r="Q795" i="1"/>
  <c r="Q179" i="1"/>
  <c r="Q567" i="1"/>
  <c r="Q387" i="1"/>
  <c r="Q479" i="1"/>
  <c r="Q517" i="1"/>
  <c r="Q510" i="1"/>
  <c r="Q241" i="1"/>
  <c r="Q223" i="1"/>
  <c r="Q511" i="1"/>
  <c r="Q770" i="1"/>
  <c r="Q695" i="1"/>
  <c r="Q839" i="1"/>
  <c r="Q931" i="1"/>
  <c r="Q610" i="1"/>
  <c r="Q376" i="1"/>
  <c r="Q165" i="1"/>
  <c r="Q65" i="1"/>
  <c r="Q350" i="1"/>
  <c r="Q84" i="1"/>
  <c r="Q356" i="1"/>
  <c r="Q163" i="1"/>
  <c r="Q687" i="1"/>
  <c r="Q4" i="1"/>
  <c r="S4" i="1" s="1" a="1"/>
  <c r="S4" i="1" s="1"/>
  <c r="Q764" i="1"/>
  <c r="Q64" i="1"/>
  <c r="Q659" i="1"/>
  <c r="Q592" i="1"/>
  <c r="Q508" i="1"/>
  <c r="Q67" i="1"/>
  <c r="Q799" i="1"/>
  <c r="Q460" i="1"/>
  <c r="Q523" i="1"/>
  <c r="Q815" i="1"/>
  <c r="Q572" i="1"/>
  <c r="Q644" i="1"/>
  <c r="Q290" i="1"/>
  <c r="Q57" i="1"/>
  <c r="Q75" i="1"/>
  <c r="Q304" i="1"/>
  <c r="Q382" i="1"/>
  <c r="Q924" i="1"/>
  <c r="Q604" i="1"/>
  <c r="Q273" i="1"/>
  <c r="Q481" i="1"/>
  <c r="Q596" i="1"/>
  <c r="Q767" i="1"/>
  <c r="Q52" i="1"/>
  <c r="Q150" i="1"/>
  <c r="Q53" i="1"/>
  <c r="Q364" i="1"/>
  <c r="Q830" i="1"/>
  <c r="Q554" i="1"/>
  <c r="Q903" i="1"/>
  <c r="Q159" i="1"/>
  <c r="Q13" i="1"/>
  <c r="Q536" i="1"/>
  <c r="Q887" i="1"/>
  <c r="Q149" i="1"/>
  <c r="Q218" i="1"/>
  <c r="Q831" i="1"/>
  <c r="Q996" i="1"/>
  <c r="Q107" i="1"/>
  <c r="Q101" i="1"/>
  <c r="Q423" i="1"/>
  <c r="Q211" i="1"/>
  <c r="Q735" i="1"/>
  <c r="Q154" i="1"/>
  <c r="Q297" i="1"/>
  <c r="Q252" i="1"/>
  <c r="Q919" i="1"/>
  <c r="Q173" i="1"/>
  <c r="Q265" i="1"/>
  <c r="Q636" i="1"/>
  <c r="Q172" i="1"/>
  <c r="Q77" i="1"/>
  <c r="Q988" i="1"/>
  <c r="Q58" i="1"/>
  <c r="Q798" i="1"/>
  <c r="Q951" i="1"/>
  <c r="Q123" i="1"/>
  <c r="Q338" i="1"/>
  <c r="Q700" i="1"/>
  <c r="Q514" i="1"/>
  <c r="Q852" i="1"/>
  <c r="Q202" i="1"/>
  <c r="Q719" i="1"/>
  <c r="Q311" i="1"/>
  <c r="Q183" i="1"/>
  <c r="Q209" i="1"/>
  <c r="Q699" i="1"/>
  <c r="Q164" i="1"/>
  <c r="Q848" i="1"/>
  <c r="Q629" i="1"/>
  <c r="Q23" i="1"/>
  <c r="Q546" i="1"/>
  <c r="Q575" i="1"/>
  <c r="Q783" i="1"/>
  <c r="Q397" i="1"/>
  <c r="Q215" i="1"/>
  <c r="Q12" i="1"/>
  <c r="Q379" i="1"/>
  <c r="Q796" i="1"/>
  <c r="Q187" i="1"/>
  <c r="Q871" i="1"/>
  <c r="Q300" i="1"/>
  <c r="Q732" i="1"/>
  <c r="Q844" i="1"/>
  <c r="Q399" i="1"/>
  <c r="Q147" i="1"/>
  <c r="Q507" i="1"/>
  <c r="Q915" i="1"/>
  <c r="Q216" i="1"/>
  <c r="Q583" i="1"/>
  <c r="Q60" i="1"/>
  <c r="Q908" i="1"/>
  <c r="Q895" i="1"/>
  <c r="Q588" i="1"/>
  <c r="Q521" i="1"/>
  <c r="Q219" i="1"/>
  <c r="Q396" i="1"/>
  <c r="Q245" i="1"/>
  <c r="Q788" i="1"/>
  <c r="Q983" i="1"/>
  <c r="Q580" i="1"/>
  <c r="Q627" i="1"/>
  <c r="Q17" i="1"/>
  <c r="Q697" i="1"/>
  <c r="Q756" i="1"/>
  <c r="Q280" i="1"/>
  <c r="Q913" i="1"/>
  <c r="Q606" i="1"/>
  <c r="Q20" i="1"/>
  <c r="Q343" i="1"/>
  <c r="Q540" i="1"/>
  <c r="Q95" i="1"/>
  <c r="Q45" i="1"/>
  <c r="Q239" i="1"/>
  <c r="Q965" i="1"/>
  <c r="Q227" i="1"/>
  <c r="Q431" i="1"/>
  <c r="Q997" i="1"/>
  <c r="Q524" i="1"/>
  <c r="Q243" i="1"/>
  <c r="Q251" i="1"/>
  <c r="Q791" i="1"/>
  <c r="Q684" i="1"/>
  <c r="Q499" i="1"/>
  <c r="Q244" i="1"/>
  <c r="Q601" i="1"/>
  <c r="Q748" i="1"/>
  <c r="Q143" i="1"/>
  <c r="Q55" i="1"/>
  <c r="Q371" i="1"/>
  <c r="Q444" i="1"/>
  <c r="Q388" i="1"/>
  <c r="Q739" i="1"/>
  <c r="Q451" i="1"/>
  <c r="Q674" i="1"/>
  <c r="Q148" i="1"/>
  <c r="Q949" i="1"/>
  <c r="Q821" i="1"/>
  <c r="Q35" i="1"/>
  <c r="Q25" i="1"/>
  <c r="Q743" i="1"/>
  <c r="Q454" i="1"/>
  <c r="Q528" i="1"/>
  <c r="Q277" i="1"/>
  <c r="Q328" i="1"/>
  <c r="Q651" i="1"/>
  <c r="Q578" i="1"/>
  <c r="Q758" i="1"/>
  <c r="Q611" i="1"/>
  <c r="Q698" i="1"/>
  <c r="Q212" i="1"/>
  <c r="Q380" i="1"/>
  <c r="Q561" i="1"/>
  <c r="Q421" i="1"/>
  <c r="Q234" i="1"/>
  <c r="Q492" i="1"/>
  <c r="Q803" i="1"/>
  <c r="Q207" i="1"/>
  <c r="Q849" i="1"/>
  <c r="Q197" i="1"/>
  <c r="Q971" i="1"/>
  <c r="Q777" i="1"/>
  <c r="Q884" i="1"/>
  <c r="Q516" i="1"/>
  <c r="Q31" i="1"/>
  <c r="Q108" i="1"/>
  <c r="Q828" i="1"/>
  <c r="Q307" i="1"/>
  <c r="Q323" i="1"/>
  <c r="Q665" i="1"/>
  <c r="Q769" i="1"/>
  <c r="Q622" i="1"/>
  <c r="Q496" i="1"/>
  <c r="Q660" i="1"/>
  <c r="Q428" i="1"/>
  <c r="Q269" i="1"/>
  <c r="Q590" i="1"/>
  <c r="Q607" i="1"/>
  <c r="Q763" i="1"/>
  <c r="Q104" i="1"/>
  <c r="Q363" i="1"/>
  <c r="Q846" i="1"/>
  <c r="Q401" i="1"/>
  <c r="Q664" i="1"/>
  <c r="Q666" i="1"/>
  <c r="Q463" i="1"/>
  <c r="Q929" i="1"/>
  <c r="Q682" i="1"/>
  <c r="Q883" i="1"/>
  <c r="Q910" i="1"/>
  <c r="Q959" i="1"/>
  <c r="Q680" i="1"/>
  <c r="Q200" i="1"/>
  <c r="Q647" i="1"/>
  <c r="Q71" i="1"/>
  <c r="Q327" i="1"/>
  <c r="Q61" i="1"/>
  <c r="Q140" i="1"/>
  <c r="Q367" i="1"/>
  <c r="Q812" i="1"/>
  <c r="Q414" i="1"/>
  <c r="Q278" i="1"/>
  <c r="Q476" i="1"/>
  <c r="Q955" i="1"/>
  <c r="Q437" i="1"/>
  <c r="Q59" i="1"/>
  <c r="Q776" i="1"/>
  <c r="Q534" i="1"/>
  <c r="Q92" i="1"/>
  <c r="Q927" i="1"/>
  <c r="Q28" i="1"/>
  <c r="Q346" i="1"/>
  <c r="Q96" i="1"/>
  <c r="Q467" i="1"/>
  <c r="Q161" i="1"/>
  <c r="Q365" i="1"/>
  <c r="Q715" i="1"/>
  <c r="Q740" i="1"/>
  <c r="Q938" i="1"/>
  <c r="Q326" i="1"/>
  <c r="Q405" i="1"/>
  <c r="Q495" i="1"/>
  <c r="Q374" i="1"/>
  <c r="Q613" i="1"/>
  <c r="Q347" i="1"/>
  <c r="Q656" i="1"/>
  <c r="Q91" i="1"/>
  <c r="Q130" i="1"/>
  <c r="Q88" i="1"/>
  <c r="Q730" i="1"/>
  <c r="Q283" i="1"/>
  <c r="Q195" i="1"/>
  <c r="Q671" i="1"/>
  <c r="Q115" i="1"/>
  <c r="Q160" i="1"/>
  <c r="Q199" i="1"/>
  <c r="Q316" i="1"/>
  <c r="Q556" i="1"/>
  <c r="Q944" i="1"/>
  <c r="Q906" i="1"/>
  <c r="Q863" i="1"/>
  <c r="Q240" i="1"/>
  <c r="Q213" i="1"/>
  <c r="Q979" i="1"/>
  <c r="Q716" i="1"/>
  <c r="Q430" i="1"/>
  <c r="Q843" i="1"/>
  <c r="Q249" i="1"/>
  <c r="Q571" i="1"/>
  <c r="Q34" i="1"/>
  <c r="Q129" i="1"/>
  <c r="Q867" i="1"/>
  <c r="Q804" i="1"/>
  <c r="Q717" i="1"/>
  <c r="Q133" i="1"/>
  <c r="Q531" i="1"/>
  <c r="Q191" i="1"/>
  <c r="Q11" i="1"/>
  <c r="Q696" i="1"/>
  <c r="Q950" i="1"/>
  <c r="Q794" i="1"/>
  <c r="Q404" i="1"/>
  <c r="Q205" i="1"/>
  <c r="Q560" i="1"/>
  <c r="Q279" i="1"/>
  <c r="Q403" i="1"/>
  <c r="Q81" i="1"/>
  <c r="Q823" i="1"/>
  <c r="Q21" i="1"/>
  <c r="Q250" i="1"/>
  <c r="Q707" i="1"/>
  <c r="Q87" i="1"/>
  <c r="Q436" i="1"/>
  <c r="Q231" i="1"/>
  <c r="Q805" i="1"/>
  <c r="Q287" i="1"/>
  <c r="Q750" i="1"/>
  <c r="Q963" i="1"/>
  <c r="Q391" i="1"/>
  <c r="Q224" i="1"/>
  <c r="Q317" i="1"/>
  <c r="Q941" i="1"/>
  <c r="Q330" i="1"/>
  <c r="Q384" i="1"/>
  <c r="Q744" i="1"/>
  <c r="Q975" i="1"/>
  <c r="Q742" i="1"/>
  <c r="Q167" i="1"/>
  <c r="Q634" i="1"/>
  <c r="Q724" i="1"/>
  <c r="Q119" i="1"/>
  <c r="Q755" i="1"/>
  <c r="Q468" i="1"/>
  <c r="Q757" i="1"/>
  <c r="Q618" i="1"/>
  <c r="Q727" i="1"/>
  <c r="Q543" i="1"/>
  <c r="Q54" i="1"/>
  <c r="Q882" i="1"/>
  <c r="Q201" i="1"/>
  <c r="Q85" i="1"/>
  <c r="Q678" i="1"/>
  <c r="Q865" i="1"/>
  <c r="Q127" i="1"/>
  <c r="Q879" i="1"/>
  <c r="Q982" i="1"/>
  <c r="Q166" i="1"/>
  <c r="Q459" i="1"/>
  <c r="Q899" i="1"/>
  <c r="Q808" i="1"/>
  <c r="Q834" i="1"/>
  <c r="Q98" i="1"/>
  <c r="Q555" i="1"/>
  <c r="Q533" i="1"/>
  <c r="Q97" i="1"/>
  <c r="Q631" i="1"/>
  <c r="Q679" i="1"/>
  <c r="Q220" i="1"/>
  <c r="Q157" i="1"/>
  <c r="Q296" i="1"/>
  <c r="Q432" i="1"/>
  <c r="Q943" i="1"/>
  <c r="Q73" i="1"/>
  <c r="Q305" i="1"/>
  <c r="Q8" i="1"/>
  <c r="Q109" i="1"/>
  <c r="Q336" i="1"/>
  <c r="Q854" i="1"/>
  <c r="Q315" i="1"/>
  <c r="Q416" i="1"/>
  <c r="Q591" i="1"/>
  <c r="Q446" i="1"/>
  <c r="Q136" i="1"/>
  <c r="Q574" i="1"/>
  <c r="Q121" i="1"/>
  <c r="Q196" i="1"/>
  <c r="Q412" i="1"/>
  <c r="Q693" i="1"/>
  <c r="Q948" i="1"/>
  <c r="Q920" i="1"/>
  <c r="Q954" i="1"/>
  <c r="Q438" i="1"/>
  <c r="Q597" i="1"/>
  <c r="Q911" i="1"/>
  <c r="Q221" i="1"/>
  <c r="Q395" i="1"/>
  <c r="Q874" i="1"/>
  <c r="Q709" i="1"/>
  <c r="Q348" i="1"/>
  <c r="Q276" i="1"/>
  <c r="Q818" i="1"/>
  <c r="Q15" i="1"/>
  <c r="Q41" i="1"/>
  <c r="Q9" i="1"/>
  <c r="Q712" i="1"/>
  <c r="Q113" i="1"/>
  <c r="Q741" i="1"/>
  <c r="Q420" i="1"/>
  <c r="Q188" i="1"/>
  <c r="Q529" i="1"/>
  <c r="Q860" i="1"/>
  <c r="Q357" i="1"/>
  <c r="Q128" i="1"/>
  <c r="Q559" i="1"/>
  <c r="Q22" i="1"/>
  <c r="Q48" i="1"/>
  <c r="Q27" i="1"/>
  <c r="Q263" i="1"/>
  <c r="Q145" i="1"/>
  <c r="Q44" i="1"/>
  <c r="Q945" i="1"/>
  <c r="Q565" i="1"/>
  <c r="Q377" i="1"/>
  <c r="Q646" i="1"/>
  <c r="Q720" i="1"/>
  <c r="Q456" i="1"/>
  <c r="Q779" i="1"/>
  <c r="Q144" i="1"/>
  <c r="Q171" i="1"/>
  <c r="Q538" i="1"/>
  <c r="Q480" i="1"/>
  <c r="Q947" i="1"/>
  <c r="Q677" i="1"/>
  <c r="Q386" i="1"/>
  <c r="Q737" i="1"/>
  <c r="Q566" i="1"/>
  <c r="Q335" i="1"/>
  <c r="Q228" i="1"/>
  <c r="Q599" i="1"/>
  <c r="Q876" i="1"/>
  <c r="Q151" i="1"/>
  <c r="Q366" i="1"/>
  <c r="Q738" i="1"/>
  <c r="Q749" i="1"/>
  <c r="Q771" i="1"/>
  <c r="Q435" i="1"/>
  <c r="Q176" i="1"/>
  <c r="Q68" i="1"/>
  <c r="Q124" i="1"/>
  <c r="Q116" i="1"/>
  <c r="Q153" i="1"/>
  <c r="Q964" i="1"/>
  <c r="Q100" i="1"/>
  <c r="Q93" i="1"/>
  <c r="Q111" i="1"/>
  <c r="Q415" i="1"/>
  <c r="Q158" i="1"/>
  <c r="Q155" i="1"/>
  <c r="Q47" i="1"/>
  <c r="Q257" i="1"/>
  <c r="Q299" i="1"/>
  <c r="Q663" i="1"/>
  <c r="Q711" i="1"/>
  <c r="Q180" i="1"/>
  <c r="Q787" i="1"/>
  <c r="Q66" i="1"/>
  <c r="Q344" i="1"/>
  <c r="Q615" i="1"/>
  <c r="Q984" i="1"/>
  <c r="Q847" i="1"/>
  <c r="Q639" i="1"/>
  <c r="Q484" i="1"/>
  <c r="Q581" i="1"/>
  <c r="Q103" i="1"/>
  <c r="Q921" i="1"/>
  <c r="Q63" i="1"/>
  <c r="Q917" i="1"/>
  <c r="Q576" i="1"/>
  <c r="Q333" i="1"/>
  <c r="Q840" i="1"/>
  <c r="Q293" i="1"/>
  <c r="Q594" i="1"/>
  <c r="Q562" i="1"/>
  <c r="Q550" i="1"/>
  <c r="Q329" i="1"/>
  <c r="Q19" i="1"/>
  <c r="Q972" i="1"/>
  <c r="Q811" i="1"/>
  <c r="Q233" i="1"/>
  <c r="Q117" i="1"/>
  <c r="Q751" i="1"/>
  <c r="Q237" i="1"/>
  <c r="Q703" i="1"/>
  <c r="Q810" i="1"/>
  <c r="Q745" i="1"/>
  <c r="Q855" i="1"/>
  <c r="Q995" i="1"/>
  <c r="Q434" i="1"/>
  <c r="Q728" i="1"/>
  <c r="Q50" i="1"/>
  <c r="Q448" i="1"/>
  <c r="Q608" i="1"/>
  <c r="Q455" i="1"/>
  <c r="Q985" i="1"/>
  <c r="Q308" i="1"/>
  <c r="Q775" i="1"/>
  <c r="Q483" i="1"/>
  <c r="Q286" i="1"/>
  <c r="Q802" i="1"/>
  <c r="Q549" i="1"/>
  <c r="Q926" i="1"/>
  <c r="Q500" i="1"/>
  <c r="Q43" i="1"/>
  <c r="Q907" i="1"/>
  <c r="Q946" i="1"/>
  <c r="Q869" i="1"/>
  <c r="Q40" i="1"/>
  <c r="Q672" i="1"/>
  <c r="Q312" i="1"/>
  <c r="Q827" i="1"/>
  <c r="Q319" i="1"/>
  <c r="Q708" i="1"/>
  <c r="Q38" i="1"/>
  <c r="Q275" i="1"/>
  <c r="Q360" i="1"/>
  <c r="Q587" i="1"/>
  <c r="Q501" i="1"/>
  <c r="Q169" i="1"/>
  <c r="Q49" i="1"/>
  <c r="Q878" i="1"/>
  <c r="Q236" i="1"/>
  <c r="Q439" i="1"/>
  <c r="Q909" i="1"/>
  <c r="Q640" i="1"/>
  <c r="Q816" i="1"/>
  <c r="Q462" i="1"/>
  <c r="Q295" i="1"/>
  <c r="Q76" i="1"/>
  <c r="Q383" i="1"/>
  <c r="Q337" i="1"/>
  <c r="Q633" i="1"/>
  <c r="Q966" i="1"/>
  <c r="Q824" i="1"/>
  <c r="Q547" i="1"/>
  <c r="Q46" i="1"/>
  <c r="Q112" i="1"/>
  <c r="Q718" i="1"/>
  <c r="Q306" i="1"/>
  <c r="Q545" i="1"/>
  <c r="Q691" i="1"/>
  <c r="Q891" i="1"/>
  <c r="Q6" i="1"/>
  <c r="Q817" i="1"/>
  <c r="Q392" i="1"/>
  <c r="Q259" i="1"/>
  <c r="Q267" i="1"/>
  <c r="Q487" i="1"/>
  <c r="Q485" i="1"/>
  <c r="Q285" i="1"/>
  <c r="Q662" i="1"/>
  <c r="Q782" i="1"/>
  <c r="Q654" i="1"/>
  <c r="Q398" i="1"/>
  <c r="Q765" i="1"/>
  <c r="Q325" i="1"/>
  <c r="Q542" i="1"/>
  <c r="Q904" i="1"/>
  <c r="Q442" i="1"/>
  <c r="Q94" i="1"/>
  <c r="Q761" i="1"/>
  <c r="Q110" i="1"/>
  <c r="Q850" i="1"/>
  <c r="Q493" i="1"/>
  <c r="Q786" i="1"/>
  <c r="Q170" i="1"/>
  <c r="Q62" i="1"/>
  <c r="Q892" i="1"/>
  <c r="Q466" i="1"/>
  <c r="Q30" i="1"/>
  <c r="Q526" i="1"/>
  <c r="Q686" i="1"/>
  <c r="Q248" i="1"/>
  <c r="Q940" i="1"/>
  <c r="Q222" i="1"/>
  <c r="Q142" i="1"/>
  <c r="Q841" i="1"/>
  <c r="Q968" i="1"/>
  <c r="Q994" i="1"/>
  <c r="Q210" i="1"/>
  <c r="Q284" i="1"/>
  <c r="Q340" i="1"/>
  <c r="Q225" i="1"/>
  <c r="Q980" i="1"/>
  <c r="Q820" i="1"/>
  <c r="Q754" i="1"/>
  <c r="Q595" i="1"/>
  <c r="Q443" i="1"/>
  <c r="Q175" i="1"/>
  <c r="Q37" i="1"/>
  <c r="Q381" i="1"/>
  <c r="Q235" i="1"/>
  <c r="Q139" i="1"/>
  <c r="Q785" i="1"/>
  <c r="Q552" i="1"/>
  <c r="Q952" i="1"/>
  <c r="Q268" i="1"/>
  <c r="Q152" i="1"/>
  <c r="Q661" i="1"/>
  <c r="Q537" i="1"/>
  <c r="Q292" i="1"/>
  <c r="Q229" i="1"/>
  <c r="Q181" i="1"/>
  <c r="Q901" i="1"/>
  <c r="Q832" i="1"/>
  <c r="Q314" i="1"/>
  <c r="Q814" i="1"/>
  <c r="Q653" i="1"/>
  <c r="Q445" i="1"/>
  <c r="Q289" i="1"/>
  <c r="Q361" i="1"/>
  <c r="Q427" i="1"/>
  <c r="Q837" i="1"/>
  <c r="Q99" i="1"/>
  <c r="Q102" i="1"/>
  <c r="Q762" i="1"/>
  <c r="Q676" i="1"/>
  <c r="Q253" i="1"/>
  <c r="Q137" i="1"/>
  <c r="Q548" i="1"/>
  <c r="Q132" i="1"/>
  <c r="Q322" i="1"/>
  <c r="Q400" i="1"/>
  <c r="Q217" i="1"/>
  <c r="Q976" i="1"/>
  <c r="Q586" i="1"/>
  <c r="Q518" i="1"/>
  <c r="Q70" i="1"/>
  <c r="Q710" i="1"/>
  <c r="Q309" i="1"/>
  <c r="Q135" i="1"/>
  <c r="Q332" i="1"/>
  <c r="Q359" i="1"/>
  <c r="Q731" i="1"/>
  <c r="Q452" i="1"/>
  <c r="Q134" i="1"/>
  <c r="Q868" i="1"/>
  <c r="Q885" i="1"/>
  <c r="Q105" i="1"/>
  <c r="Q447" i="1"/>
  <c r="Q256" i="1"/>
  <c r="Q324" i="1"/>
  <c r="Q900" i="1"/>
  <c r="Q291" i="1"/>
  <c r="Q936" i="1"/>
  <c r="Q26" i="1"/>
  <c r="Q692" i="1"/>
  <c r="Q535" i="1"/>
  <c r="Q527" i="1"/>
  <c r="Q16" i="1"/>
  <c r="Q83" i="1"/>
  <c r="Q320" i="1"/>
  <c r="Q935" i="1"/>
  <c r="Q373" i="1"/>
  <c r="Q86" i="1"/>
  <c r="Q310" i="1"/>
  <c r="Q162" i="1"/>
  <c r="Q624" i="1"/>
  <c r="Q186" i="1"/>
  <c r="Q568" i="1"/>
  <c r="Q705" i="1"/>
  <c r="Q334" i="1"/>
  <c r="Q829" i="1"/>
  <c r="Q502" i="1"/>
  <c r="Q261" i="1"/>
  <c r="Q628" i="1"/>
  <c r="Q378" i="1"/>
  <c r="Q185" i="1"/>
  <c r="Q503" i="1"/>
  <c r="Q773" i="1"/>
  <c r="Q626" i="1"/>
  <c r="Q29" i="1"/>
  <c r="Q987" i="1"/>
  <c r="Q858" i="1"/>
  <c r="Q620" i="1"/>
  <c r="Q453" i="1"/>
  <c r="Q254" i="1"/>
  <c r="Q69" i="1"/>
  <c r="Q650" i="1"/>
  <c r="Q90" i="1"/>
  <c r="Q942" i="1"/>
  <c r="Q861" i="1"/>
  <c r="Q409" i="1"/>
  <c r="Q557" i="1"/>
  <c r="Q714" i="1"/>
  <c r="Q614" i="1"/>
  <c r="Q368" i="1"/>
  <c r="Q260" i="1"/>
  <c r="Q784" i="1"/>
  <c r="Q690" i="1"/>
  <c r="Q789" i="1"/>
  <c r="Q539" i="1"/>
  <c r="Q193" i="1"/>
  <c r="Q372" i="1"/>
  <c r="Q939" i="1"/>
  <c r="Q573" i="1"/>
  <c r="Q866" i="1"/>
  <c r="Q655" i="1"/>
  <c r="Q991" i="1"/>
  <c r="Q389" i="1"/>
  <c r="Q465" i="1"/>
  <c r="Q989" i="1"/>
  <c r="Q638" i="1"/>
  <c r="Q247" i="1"/>
  <c r="Q630" i="1"/>
  <c r="Q303" i="1"/>
  <c r="Q694" i="1"/>
  <c r="Q701" i="1"/>
  <c r="Q369" i="1"/>
  <c r="Q410" i="1"/>
  <c r="Q370" i="1"/>
  <c r="Q189" i="1"/>
  <c r="Q835" i="1"/>
  <c r="Q898" i="1"/>
  <c r="Q625" i="1"/>
  <c r="Q342" i="1"/>
  <c r="Q833" i="1"/>
  <c r="Q262" i="1"/>
  <c r="Q491" i="1"/>
  <c r="Q512" i="1"/>
  <c r="Q497" i="1"/>
  <c r="Q637" i="1"/>
  <c r="Q206" i="1"/>
  <c r="Q582" i="1"/>
  <c r="Q593" i="1"/>
  <c r="Q141" i="1"/>
  <c r="Q407" i="1"/>
  <c r="Q780" i="1"/>
  <c r="Q238" i="1"/>
  <c r="Q579" i="1"/>
  <c r="Q551" i="1"/>
  <c r="Q390" i="1"/>
  <c r="Q958" i="1"/>
  <c r="Q978" i="1"/>
  <c r="Q532" i="1"/>
  <c r="Q498" i="1"/>
  <c r="Q563" i="1"/>
  <c r="Q281" i="1"/>
  <c r="Q889" i="1"/>
  <c r="Q419" i="1"/>
  <c r="Q464" i="1"/>
  <c r="Q418" i="1"/>
  <c r="Q394" i="1"/>
  <c r="Q475" i="1"/>
  <c r="Q192" i="1"/>
  <c r="Q482" i="1"/>
  <c r="Q474" i="1"/>
  <c r="Q877" i="1"/>
  <c r="Q14" i="1"/>
  <c r="Q842" i="1"/>
  <c r="Q10" i="1"/>
  <c r="Q930" i="1"/>
  <c r="Q922" i="1"/>
  <c r="Q441" i="1"/>
  <c r="Q214" i="1"/>
  <c r="Q845" i="1"/>
  <c r="Q270" i="1"/>
  <c r="Q683" i="1"/>
  <c r="Q488" i="1"/>
  <c r="Q746" i="1"/>
  <c r="Q635" i="1"/>
  <c r="Q668" i="1"/>
  <c r="Q79" i="1"/>
  <c r="Q726" i="1"/>
  <c r="Q36" i="1"/>
  <c r="Q928" i="1"/>
  <c r="Q339" i="1"/>
  <c r="Q759" i="1"/>
  <c r="Q645" i="1"/>
  <c r="Q471" i="1"/>
  <c r="Q623" i="1"/>
  <c r="Q56" i="1"/>
  <c r="Q125" i="1"/>
  <c r="Q519" i="1"/>
  <c r="Q457" i="1"/>
  <c r="Q318" i="1"/>
  <c r="Q122" i="1"/>
  <c r="Q612" i="1"/>
  <c r="Q905" i="1"/>
  <c r="Q74" i="1"/>
  <c r="Q793" i="1"/>
  <c r="Q345" i="1"/>
  <c r="Q506" i="1"/>
  <c r="Q156" i="1"/>
  <c r="Q246" i="1"/>
  <c r="Q440" i="1"/>
  <c r="Q826" i="1"/>
  <c r="Q934" i="1"/>
  <c r="Q881" i="1"/>
  <c r="Q851" i="1"/>
  <c r="Q298" i="1"/>
  <c r="Q458" i="1"/>
  <c r="Q194" i="1"/>
  <c r="Q584" i="1"/>
  <c r="Q505" i="1"/>
  <c r="Q266" i="1"/>
  <c r="Q525" i="1"/>
  <c r="Q681" i="1"/>
  <c r="Q42" i="1"/>
  <c r="Q477" i="1"/>
  <c r="Q605" i="1"/>
  <c r="Q402" i="1"/>
  <c r="Q564" i="1"/>
  <c r="Q778" i="1"/>
  <c r="Q80" i="1"/>
  <c r="Q729" i="1"/>
  <c r="Q178" i="1"/>
  <c r="Q973" i="1"/>
  <c r="Q609" i="1"/>
  <c r="Q836" i="1"/>
  <c r="Q422" i="1"/>
  <c r="Q957" i="1"/>
  <c r="Q520" i="1"/>
  <c r="Q301" i="1"/>
  <c r="Q752" i="1"/>
  <c r="Q649" i="1"/>
  <c r="Q331" i="1"/>
  <c r="Q961" i="1"/>
  <c r="Q873" i="1"/>
  <c r="Q970" i="1"/>
  <c r="Q126" i="1"/>
  <c r="Q880" i="1"/>
  <c r="Q753" i="1"/>
  <c r="Q825" i="1"/>
  <c r="Q642" i="1"/>
  <c r="Q856" i="1"/>
  <c r="Q800" i="1"/>
  <c r="Q792" i="1"/>
  <c r="Q992" i="1"/>
  <c r="Q734" i="1"/>
  <c r="Q923" i="1"/>
  <c r="Q174" i="1"/>
  <c r="Q429" i="1"/>
  <c r="Q797" i="1"/>
  <c r="Q999" i="1"/>
  <c r="Q886" i="1"/>
  <c r="Q598" i="1"/>
  <c r="Q733" i="1"/>
  <c r="Q974" i="1"/>
  <c r="Q875" i="1"/>
  <c r="Q838" i="1"/>
  <c r="Q632" i="1"/>
  <c r="Q772" i="1"/>
  <c r="Q673" i="1"/>
  <c r="Q713" i="1"/>
  <c r="Q862" i="1"/>
  <c r="Q553" i="1"/>
  <c r="Q962" i="1"/>
  <c r="Q658" i="1"/>
  <c r="Q354" i="1"/>
  <c r="Q643" i="1"/>
  <c r="Q424" i="1"/>
  <c r="Q204" i="1"/>
  <c r="Q490" i="1"/>
  <c r="Q272" i="1"/>
  <c r="Q177" i="1"/>
  <c r="Q890" i="1"/>
  <c r="Q603" i="1"/>
  <c r="Q986" i="1"/>
  <c r="Q569" i="1"/>
  <c r="Q472" i="1"/>
  <c r="Q486" i="1"/>
  <c r="Q82" i="1"/>
  <c r="Q515" i="1"/>
  <c r="Q349" i="1"/>
  <c r="Q341" i="1"/>
  <c r="Q264" i="1"/>
  <c r="Q489" i="1"/>
  <c r="Q406" i="1"/>
  <c r="Q914" i="1"/>
  <c r="Q577" i="1"/>
  <c r="Q669" i="1"/>
  <c r="Q255" i="1"/>
  <c r="Q723" i="1"/>
  <c r="Q570" i="1"/>
  <c r="Q617" i="1"/>
  <c r="Q894" i="1"/>
  <c r="Q809" i="1"/>
  <c r="Q242" i="1"/>
  <c r="Q232" i="1"/>
  <c r="Q138" i="1"/>
  <c r="Q670" i="1"/>
  <c r="Q352" i="1"/>
  <c r="Q760" i="1"/>
  <c r="Q704" i="1"/>
  <c r="Q872" i="1"/>
  <c r="Q114" i="1"/>
  <c r="Q230" i="1"/>
  <c r="Q657" i="1"/>
  <c r="Q766" i="1"/>
  <c r="Q897" i="1"/>
  <c r="Q864" i="1"/>
  <c r="Q106" i="1"/>
  <c r="Q960" i="1"/>
  <c r="Q790" i="1"/>
  <c r="Q977" i="1"/>
  <c r="Q449" i="1"/>
  <c r="Q602" i="1"/>
  <c r="Q558" i="1"/>
  <c r="Q933" i="1"/>
  <c r="Q725" i="1"/>
  <c r="Q72" i="1"/>
  <c r="Q190" i="1"/>
  <c r="Q494" i="1"/>
  <c r="Q932" i="1"/>
  <c r="Q24" i="1"/>
  <c r="Q857" i="1"/>
  <c r="Q351" i="1"/>
  <c r="Q522" i="1"/>
  <c r="Q888" i="1"/>
  <c r="Q688" i="1"/>
  <c r="Q685" i="1"/>
  <c r="Q362" i="1"/>
  <c r="Q807" i="1"/>
  <c r="Q450" i="1"/>
  <c r="Q408" i="1"/>
  <c r="Q321" i="1"/>
  <c r="Q853" i="1"/>
  <c r="Q473" i="1"/>
  <c r="Q413" i="1"/>
  <c r="Q469" i="1"/>
  <c r="Q621" i="1"/>
  <c r="Q358" i="1"/>
  <c r="Q18" i="1"/>
  <c r="Q385" i="1"/>
  <c r="Q896" i="1"/>
  <c r="Q417" i="1"/>
  <c r="Q32" i="1"/>
  <c r="Q893" i="1"/>
  <c r="Q768" i="1"/>
  <c r="Q146" i="1"/>
  <c r="Q313" i="1"/>
  <c r="Q184" i="1"/>
  <c r="Q993" i="1"/>
  <c r="Q722" i="1"/>
  <c r="Q541" i="1"/>
  <c r="Q353" i="1"/>
  <c r="Q925" i="1"/>
  <c r="Q918" i="1"/>
  <c r="Q998" i="1"/>
  <c r="Q198" i="1"/>
  <c r="Q589" i="1"/>
  <c r="Q375" i="1"/>
  <c r="Q504" i="1"/>
  <c r="Q902" i="1"/>
  <c r="Q667" i="1"/>
  <c r="Q530" i="1"/>
  <c r="Q51" i="1"/>
  <c r="Q470" i="1"/>
  <c r="Q544" i="1"/>
  <c r="Q411" i="1"/>
  <c r="Q937" i="1"/>
  <c r="Q781" i="1"/>
  <c r="Q967" i="1"/>
  <c r="Q822" i="1"/>
  <c r="Q736" i="1"/>
  <c r="Q203" i="1"/>
  <c r="Q274" i="1"/>
  <c r="Q619" i="1"/>
  <c r="Q870" i="1"/>
  <c r="Q478" i="1"/>
  <c r="Q616" i="1"/>
  <c r="Q706" i="1"/>
  <c r="Q912" i="1"/>
  <c r="Q461" i="1"/>
  <c r="Q819" i="1"/>
  <c r="Q969" i="1"/>
  <c r="Q294" i="1"/>
  <c r="Q702" i="1"/>
  <c r="Q585" i="1"/>
  <c r="Q118" i="1"/>
  <c r="Q813" i="1"/>
  <c r="Q675" i="1"/>
  <c r="Q801" i="1"/>
  <c r="Q393" i="1"/>
  <c r="Q89" i="1"/>
  <c r="Q258" i="1"/>
  <c r="Q120" i="1"/>
  <c r="Q355" i="1"/>
  <c r="Q426" i="1"/>
  <c r="Q721" i="1"/>
  <c r="Q33" i="1"/>
  <c r="Q774" i="1"/>
  <c r="Q513" i="1"/>
  <c r="Q7" i="1"/>
  <c r="Q282" i="1"/>
  <c r="Q990" i="1"/>
  <c r="Q78" i="1"/>
  <c r="Q433" i="1"/>
  <c r="Q600" i="1"/>
  <c r="Q806" i="1"/>
  <c r="Q652" i="1"/>
  <c r="Q689" i="1"/>
  <c r="Q288" i="1"/>
  <c r="Q226" i="1"/>
  <c r="Q641" i="1"/>
  <c r="Q168" i="1"/>
  <c r="Q182" i="1"/>
  <c r="Q981" i="1"/>
  <c r="Q425" i="1"/>
  <c r="Q648" i="1"/>
  <c r="Q953" i="1"/>
  <c r="Q956" i="1"/>
  <c r="Q509" i="1"/>
  <c r="Q859" i="1"/>
  <c r="Q208" i="1"/>
  <c r="S168" i="1" l="1" a="1"/>
  <c r="S168" i="1" s="1"/>
  <c r="T168" i="1" a="1"/>
  <c r="T168" i="1" s="1"/>
  <c r="S7" i="1" a="1"/>
  <c r="S7" i="1" s="1"/>
  <c r="T7" i="1" a="1"/>
  <c r="T7" i="1" s="1"/>
  <c r="S675" i="1" a="1"/>
  <c r="S675" i="1" s="1"/>
  <c r="T675" i="1" a="1"/>
  <c r="T675" i="1" s="1"/>
  <c r="S478" i="1" a="1"/>
  <c r="S478" i="1" s="1"/>
  <c r="T478" i="1" a="1"/>
  <c r="T478" i="1" s="1"/>
  <c r="S470" i="1" a="1"/>
  <c r="S470" i="1" s="1"/>
  <c r="T470" i="1" a="1"/>
  <c r="T470" i="1" s="1"/>
  <c r="S353" i="1" a="1"/>
  <c r="S353" i="1" s="1"/>
  <c r="T353" i="1" a="1"/>
  <c r="T353" i="1" s="1"/>
  <c r="S893" i="1" a="1"/>
  <c r="S893" i="1" s="1"/>
  <c r="T893" i="1" a="1"/>
  <c r="T893" i="1" s="1"/>
  <c r="S321" i="1" a="1"/>
  <c r="S321" i="1" s="1"/>
  <c r="T321" i="1" a="1"/>
  <c r="T321" i="1" s="1"/>
  <c r="S522" i="1" a="1"/>
  <c r="S522" i="1" s="1"/>
  <c r="T522" i="1" a="1"/>
  <c r="T522" i="1" s="1"/>
  <c r="S449" i="1" a="1"/>
  <c r="S449" i="1" s="1"/>
  <c r="T449" i="1" a="1"/>
  <c r="T449" i="1" s="1"/>
  <c r="S138" i="1" a="1"/>
  <c r="S138" i="1" s="1"/>
  <c r="T138" i="1" a="1"/>
  <c r="T138" i="1" s="1"/>
  <c r="S406" i="1" a="1"/>
  <c r="S406" i="1" s="1"/>
  <c r="T406" i="1" a="1"/>
  <c r="T406" i="1" s="1"/>
  <c r="S890" i="1" a="1"/>
  <c r="S890" i="1" s="1"/>
  <c r="T890" i="1" a="1"/>
  <c r="T890" i="1" s="1"/>
  <c r="S713" i="1" a="1"/>
  <c r="S713" i="1" s="1"/>
  <c r="T713" i="1" a="1"/>
  <c r="T713" i="1" s="1"/>
  <c r="S598" i="1" a="1"/>
  <c r="S598" i="1" s="1"/>
  <c r="T598" i="1" a="1"/>
  <c r="T598" i="1" s="1"/>
  <c r="S992" i="1" a="1"/>
  <c r="S992" i="1" s="1"/>
  <c r="T992" i="1" a="1"/>
  <c r="T992" i="1" s="1"/>
  <c r="S331" i="1" a="1"/>
  <c r="S331" i="1" s="1"/>
  <c r="T331" i="1" a="1"/>
  <c r="T331" i="1" s="1"/>
  <c r="S80" i="1" a="1"/>
  <c r="S80" i="1" s="1"/>
  <c r="T80" i="1" a="1"/>
  <c r="T80" i="1" s="1"/>
  <c r="S194" i="1" a="1"/>
  <c r="S194" i="1" s="1"/>
  <c r="T194" i="1" a="1"/>
  <c r="T194" i="1" s="1"/>
  <c r="S246" i="1" a="1"/>
  <c r="S246" i="1" s="1"/>
  <c r="T246" i="1" a="1"/>
  <c r="T246" i="1" s="1"/>
  <c r="S125" i="1" a="1"/>
  <c r="S125" i="1" s="1"/>
  <c r="T125" i="1" a="1"/>
  <c r="T125" i="1" s="1"/>
  <c r="S635" i="1" a="1"/>
  <c r="S635" i="1" s="1"/>
  <c r="T635" i="1" a="1"/>
  <c r="T635" i="1" s="1"/>
  <c r="S922" i="1" a="1"/>
  <c r="S922" i="1" s="1"/>
  <c r="T922" i="1" a="1"/>
  <c r="T922" i="1" s="1"/>
  <c r="S192" i="1" a="1"/>
  <c r="S192" i="1" s="1"/>
  <c r="T192" i="1" a="1"/>
  <c r="T192" i="1" s="1"/>
  <c r="S958" i="1" a="1"/>
  <c r="S958" i="1" s="1"/>
  <c r="T958" i="1" a="1"/>
  <c r="T958" i="1" s="1"/>
  <c r="S497" i="1" a="1"/>
  <c r="S497" i="1" s="1"/>
  <c r="T497" i="1" a="1"/>
  <c r="T497" i="1" s="1"/>
  <c r="S369" i="1" a="1"/>
  <c r="S369" i="1" s="1"/>
  <c r="T369" i="1" a="1"/>
  <c r="T369" i="1" s="1"/>
  <c r="S866" i="1" a="1"/>
  <c r="S866" i="1" s="1"/>
  <c r="T866" i="1" a="1"/>
  <c r="T866" i="1" s="1"/>
  <c r="S714" i="1" a="1"/>
  <c r="S714" i="1" s="1"/>
  <c r="T714" i="1" a="1"/>
  <c r="T714" i="1" s="1"/>
  <c r="S987" i="1" a="1"/>
  <c r="S987" i="1" s="1"/>
  <c r="T987" i="1" a="1"/>
  <c r="T987" i="1" s="1"/>
  <c r="S705" i="1" a="1"/>
  <c r="S705" i="1" s="1"/>
  <c r="T705" i="1" a="1"/>
  <c r="T705" i="1" s="1"/>
  <c r="S935" i="1" a="1"/>
  <c r="S935" i="1" s="1"/>
  <c r="T935" i="1" a="1"/>
  <c r="T935" i="1" s="1"/>
  <c r="S256" i="1" a="1"/>
  <c r="S256" i="1" s="1"/>
  <c r="T256" i="1" a="1"/>
  <c r="T256" i="1" s="1"/>
  <c r="S710" i="1" a="1"/>
  <c r="S710" i="1" s="1"/>
  <c r="T710" i="1" a="1"/>
  <c r="T710" i="1" s="1"/>
  <c r="S676" i="1" a="1"/>
  <c r="S676" i="1" s="1"/>
  <c r="T676" i="1" a="1"/>
  <c r="T676" i="1" s="1"/>
  <c r="S832" i="1" a="1"/>
  <c r="S832" i="1" s="1"/>
  <c r="T832" i="1" a="1"/>
  <c r="T832" i="1" s="1"/>
  <c r="S139" i="1" a="1"/>
  <c r="S139" i="1" s="1"/>
  <c r="T139" i="1" a="1"/>
  <c r="T139" i="1" s="1"/>
  <c r="S284" i="1" a="1"/>
  <c r="S284" i="1" s="1"/>
  <c r="T284" i="1" a="1"/>
  <c r="T284" i="1" s="1"/>
  <c r="S248" i="1" a="1"/>
  <c r="S248" i="1" s="1"/>
  <c r="T248" i="1" a="1"/>
  <c r="T248" i="1" s="1"/>
  <c r="S761" i="1" a="1"/>
  <c r="S761" i="1" s="1"/>
  <c r="T761" i="1" a="1"/>
  <c r="T761" i="1" s="1"/>
  <c r="S485" i="1" a="1"/>
  <c r="S485" i="1" s="1"/>
  <c r="T485" i="1" a="1"/>
  <c r="T485" i="1" s="1"/>
  <c r="S112" i="1" a="1"/>
  <c r="S112" i="1" s="1"/>
  <c r="T112" i="1" a="1"/>
  <c r="T112" i="1" s="1"/>
  <c r="S640" i="1" a="1"/>
  <c r="S640" i="1" s="1"/>
  <c r="T640" i="1" a="1"/>
  <c r="T640" i="1" s="1"/>
  <c r="S587" i="1" a="1"/>
  <c r="S587" i="1" s="1"/>
  <c r="T587" i="1" a="1"/>
  <c r="T587" i="1" s="1"/>
  <c r="S907" i="1" a="1"/>
  <c r="S907" i="1" s="1"/>
  <c r="T907" i="1" a="1"/>
  <c r="T907" i="1" s="1"/>
  <c r="S608" i="1" a="1"/>
  <c r="S608" i="1" s="1"/>
  <c r="T608" i="1" a="1"/>
  <c r="T608" i="1" s="1"/>
  <c r="S117" i="1" a="1"/>
  <c r="S117" i="1" s="1"/>
  <c r="T117" i="1" a="1"/>
  <c r="T117" i="1" s="1"/>
  <c r="S576" i="1" a="1"/>
  <c r="S576" i="1" s="1"/>
  <c r="T576" i="1" a="1"/>
  <c r="T576" i="1" s="1"/>
  <c r="S66" i="1" a="1"/>
  <c r="S66" i="1" s="1"/>
  <c r="T66" i="1" a="1"/>
  <c r="T66" i="1" s="1"/>
  <c r="S93" i="1" a="1"/>
  <c r="S93" i="1" s="1"/>
  <c r="T93" i="1" a="1"/>
  <c r="T93" i="1" s="1"/>
  <c r="S228" i="1" a="1"/>
  <c r="S228" i="1" s="1"/>
  <c r="T228" i="1" a="1"/>
  <c r="T228" i="1" s="1"/>
  <c r="S456" i="1" a="1"/>
  <c r="S456" i="1" s="1"/>
  <c r="T456" i="1" a="1"/>
  <c r="T456" i="1" s="1"/>
  <c r="S559" i="1" a="1"/>
  <c r="S559" i="1" s="1"/>
  <c r="T559" i="1" a="1"/>
  <c r="T559" i="1" s="1"/>
  <c r="S113" i="1" a="1"/>
  <c r="S113" i="1" s="1"/>
  <c r="T113" i="1" a="1"/>
  <c r="T113" i="1" s="1"/>
  <c r="S911" i="1" a="1"/>
  <c r="S911" i="1" s="1"/>
  <c r="T911" i="1" a="1"/>
  <c r="T911" i="1" s="1"/>
  <c r="S446" i="1" a="1"/>
  <c r="S446" i="1" s="1"/>
  <c r="T446" i="1" a="1"/>
  <c r="T446" i="1" s="1"/>
  <c r="S305" i="1" a="1"/>
  <c r="S305" i="1" s="1"/>
  <c r="T305" i="1" a="1"/>
  <c r="T305" i="1" s="1"/>
  <c r="S98" i="1" a="1"/>
  <c r="S98" i="1" s="1"/>
  <c r="T98" i="1" a="1"/>
  <c r="T98" i="1" s="1"/>
  <c r="S201" i="1" a="1"/>
  <c r="S201" i="1" s="1"/>
  <c r="T201" i="1" a="1"/>
  <c r="T201" i="1" s="1"/>
  <c r="S755" i="1" a="1"/>
  <c r="S755" i="1" s="1"/>
  <c r="T755" i="1" a="1"/>
  <c r="T755" i="1" s="1"/>
  <c r="S384" i="1" a="1"/>
  <c r="S384" i="1" s="1"/>
  <c r="T384" i="1" a="1"/>
  <c r="T384" i="1" s="1"/>
  <c r="S87" i="1" a="1"/>
  <c r="S87" i="1" s="1"/>
  <c r="T87" i="1" a="1"/>
  <c r="T87" i="1" s="1"/>
  <c r="S950" i="1" a="1"/>
  <c r="S950" i="1" s="1"/>
  <c r="T950" i="1" a="1"/>
  <c r="T950" i="1" s="1"/>
  <c r="S531" i="1" a="1"/>
  <c r="S531" i="1" s="1"/>
  <c r="T531" i="1" a="1"/>
  <c r="T531" i="1" s="1"/>
  <c r="S979" i="1" a="1"/>
  <c r="S979" i="1" s="1"/>
  <c r="T979" i="1" a="1"/>
  <c r="T979" i="1" s="1"/>
  <c r="S195" i="1" a="1"/>
  <c r="S195" i="1" s="1"/>
  <c r="T195" i="1" a="1"/>
  <c r="T195" i="1" s="1"/>
  <c r="S326" i="1" a="1"/>
  <c r="S326" i="1" s="1"/>
  <c r="T326" i="1" a="1"/>
  <c r="T326" i="1" s="1"/>
  <c r="S534" i="1" a="1"/>
  <c r="S534" i="1" s="1"/>
  <c r="T534" i="1" a="1"/>
  <c r="T534" i="1" s="1"/>
  <c r="S327" i="1" a="1"/>
  <c r="S327" i="1" s="1"/>
  <c r="T327" i="1" a="1"/>
  <c r="T327" i="1" s="1"/>
  <c r="S664" i="1" a="1"/>
  <c r="S664" i="1" s="1"/>
  <c r="T664" i="1" a="1"/>
  <c r="T664" i="1" s="1"/>
  <c r="S269" i="1" a="1"/>
  <c r="S269" i="1" s="1"/>
  <c r="T269" i="1" a="1"/>
  <c r="T269" i="1" s="1"/>
  <c r="S516" i="1" a="1"/>
  <c r="S516" i="1" s="1"/>
  <c r="T516" i="1" a="1"/>
  <c r="T516" i="1" s="1"/>
  <c r="S380" i="1" a="1"/>
  <c r="S380" i="1" s="1"/>
  <c r="T380" i="1" a="1"/>
  <c r="T380" i="1" s="1"/>
  <c r="S277" i="1" a="1"/>
  <c r="S277" i="1" s="1"/>
  <c r="T277" i="1" a="1"/>
  <c r="T277" i="1" s="1"/>
  <c r="S388" i="1" a="1"/>
  <c r="S388" i="1" s="1"/>
  <c r="T388" i="1" a="1"/>
  <c r="T388" i="1" s="1"/>
  <c r="S908" i="1" a="1"/>
  <c r="S908" i="1" s="1"/>
  <c r="T908" i="1" a="1"/>
  <c r="T908" i="1" s="1"/>
  <c r="S915" i="1" a="1"/>
  <c r="S915" i="1" s="1"/>
  <c r="T915" i="1" a="1"/>
  <c r="T915" i="1" s="1"/>
  <c r="S187" i="1" a="1"/>
  <c r="S187" i="1" s="1"/>
  <c r="T187" i="1" a="1"/>
  <c r="T187" i="1" s="1"/>
  <c r="S164" i="1" a="1"/>
  <c r="S164" i="1" s="1"/>
  <c r="T164" i="1" a="1"/>
  <c r="T164" i="1" s="1"/>
  <c r="S514" i="1" a="1"/>
  <c r="S514" i="1" s="1"/>
  <c r="T514" i="1" a="1"/>
  <c r="T514" i="1" s="1"/>
  <c r="S77" i="1" a="1"/>
  <c r="S77" i="1" s="1"/>
  <c r="T77" i="1" a="1"/>
  <c r="T77" i="1" s="1"/>
  <c r="S154" i="1" a="1"/>
  <c r="S154" i="1" s="1"/>
  <c r="T154" i="1" a="1"/>
  <c r="T154" i="1" s="1"/>
  <c r="S218" i="1" a="1"/>
  <c r="S218" i="1" s="1"/>
  <c r="T218" i="1" a="1"/>
  <c r="T218" i="1" s="1"/>
  <c r="S830" i="1" a="1"/>
  <c r="S830" i="1" s="1"/>
  <c r="T830" i="1" a="1"/>
  <c r="T830" i="1" s="1"/>
  <c r="S273" i="1" a="1"/>
  <c r="S273" i="1" s="1"/>
  <c r="T273" i="1" a="1"/>
  <c r="T273" i="1" s="1"/>
  <c r="S644" i="1" a="1"/>
  <c r="S644" i="1" s="1"/>
  <c r="T644" i="1" a="1"/>
  <c r="T644" i="1" s="1"/>
  <c r="S592" i="1" a="1"/>
  <c r="S592" i="1" s="1"/>
  <c r="T592" i="1" a="1"/>
  <c r="T592" i="1" s="1"/>
  <c r="S84" i="1" a="1"/>
  <c r="S84" i="1" s="1"/>
  <c r="T84" i="1" a="1"/>
  <c r="T84" i="1" s="1"/>
  <c r="S695" i="1" a="1"/>
  <c r="S695" i="1" s="1"/>
  <c r="T695" i="1" a="1"/>
  <c r="T695" i="1" s="1"/>
  <c r="S387" i="1" a="1"/>
  <c r="S387" i="1" s="1"/>
  <c r="T387" i="1" a="1"/>
  <c r="T387" i="1" s="1"/>
  <c r="S509" i="1" a="1"/>
  <c r="S509" i="1" s="1"/>
  <c r="T509" i="1" a="1"/>
  <c r="T509" i="1" s="1"/>
  <c r="S425" i="1" a="1"/>
  <c r="S425" i="1" s="1"/>
  <c r="T425" i="1" a="1"/>
  <c r="T425" i="1" s="1"/>
  <c r="S641" i="1" a="1"/>
  <c r="S641" i="1" s="1"/>
  <c r="T641" i="1" a="1"/>
  <c r="T641" i="1" s="1"/>
  <c r="S652" i="1" a="1"/>
  <c r="S652" i="1" s="1"/>
  <c r="T652" i="1" a="1"/>
  <c r="T652" i="1" s="1"/>
  <c r="S78" i="1" a="1"/>
  <c r="S78" i="1" s="1"/>
  <c r="T78" i="1" a="1"/>
  <c r="T78" i="1" s="1"/>
  <c r="S513" i="1" a="1"/>
  <c r="S513" i="1" s="1"/>
  <c r="T513" i="1" a="1"/>
  <c r="T513" i="1" s="1"/>
  <c r="S426" i="1" a="1"/>
  <c r="S426" i="1" s="1"/>
  <c r="T426" i="1" a="1"/>
  <c r="T426" i="1" s="1"/>
  <c r="S89" i="1" a="1"/>
  <c r="S89" i="1" s="1"/>
  <c r="T89" i="1" a="1"/>
  <c r="T89" i="1" s="1"/>
  <c r="S813" i="1" a="1"/>
  <c r="S813" i="1" s="1"/>
  <c r="T813" i="1" a="1"/>
  <c r="T813" i="1" s="1"/>
  <c r="S294" i="1" a="1"/>
  <c r="S294" i="1" s="1"/>
  <c r="T294" i="1" a="1"/>
  <c r="T294" i="1" s="1"/>
  <c r="S912" i="1" a="1"/>
  <c r="S912" i="1" s="1"/>
  <c r="T912" i="1" a="1"/>
  <c r="T912" i="1" s="1"/>
  <c r="S870" i="1" a="1"/>
  <c r="S870" i="1" s="1"/>
  <c r="T870" i="1" a="1"/>
  <c r="T870" i="1" s="1"/>
  <c r="S736" i="1" a="1"/>
  <c r="S736" i="1" s="1"/>
  <c r="T736" i="1" a="1"/>
  <c r="T736" i="1" s="1"/>
  <c r="S937" i="1" a="1"/>
  <c r="S937" i="1" s="1"/>
  <c r="T937" i="1" a="1"/>
  <c r="T937" i="1" s="1"/>
  <c r="S51" i="1" a="1"/>
  <c r="S51" i="1" s="1"/>
  <c r="T51" i="1" a="1"/>
  <c r="T51" i="1" s="1"/>
  <c r="S504" i="1" a="1"/>
  <c r="S504" i="1" s="1"/>
  <c r="T504" i="1" a="1"/>
  <c r="T504" i="1" s="1"/>
  <c r="S998" i="1" a="1"/>
  <c r="S998" i="1" s="1"/>
  <c r="T998" i="1" a="1"/>
  <c r="T998" i="1" s="1"/>
  <c r="S541" i="1" a="1"/>
  <c r="S541" i="1" s="1"/>
  <c r="T541" i="1" a="1"/>
  <c r="T541" i="1" s="1"/>
  <c r="S313" i="1" a="1"/>
  <c r="S313" i="1" s="1"/>
  <c r="T313" i="1" a="1"/>
  <c r="T313" i="1" s="1"/>
  <c r="S32" i="1" a="1"/>
  <c r="S32" i="1" s="1"/>
  <c r="T32" i="1" a="1"/>
  <c r="T32" i="1" s="1"/>
  <c r="S18" i="1" a="1"/>
  <c r="S18" i="1" s="1"/>
  <c r="T18" i="1" a="1"/>
  <c r="T18" i="1" s="1"/>
  <c r="S413" i="1" a="1"/>
  <c r="S413" i="1" s="1"/>
  <c r="T413" i="1" a="1"/>
  <c r="T413" i="1" s="1"/>
  <c r="S408" i="1" a="1"/>
  <c r="S408" i="1" s="1"/>
  <c r="T408" i="1" a="1"/>
  <c r="T408" i="1" s="1"/>
  <c r="S685" i="1" a="1"/>
  <c r="S685" i="1" s="1"/>
  <c r="T685" i="1" a="1"/>
  <c r="T685" i="1" s="1"/>
  <c r="S351" i="1" a="1"/>
  <c r="S351" i="1" s="1"/>
  <c r="T351" i="1" a="1"/>
  <c r="T351" i="1" s="1"/>
  <c r="S494" i="1" a="1"/>
  <c r="S494" i="1" s="1"/>
  <c r="T494" i="1" a="1"/>
  <c r="T494" i="1" s="1"/>
  <c r="S933" i="1" a="1"/>
  <c r="S933" i="1" s="1"/>
  <c r="T933" i="1" a="1"/>
  <c r="T933" i="1" s="1"/>
  <c r="S977" i="1" a="1"/>
  <c r="S977" i="1" s="1"/>
  <c r="T977" i="1" a="1"/>
  <c r="T977" i="1" s="1"/>
  <c r="S864" i="1" a="1"/>
  <c r="S864" i="1" s="1"/>
  <c r="T864" i="1" a="1"/>
  <c r="T864" i="1" s="1"/>
  <c r="S230" i="1" a="1"/>
  <c r="S230" i="1" s="1"/>
  <c r="T230" i="1" a="1"/>
  <c r="T230" i="1" s="1"/>
  <c r="S760" i="1" a="1"/>
  <c r="S760" i="1" s="1"/>
  <c r="T760" i="1" a="1"/>
  <c r="T760" i="1" s="1"/>
  <c r="S232" i="1" a="1"/>
  <c r="S232" i="1" s="1"/>
  <c r="T232" i="1" a="1"/>
  <c r="T232" i="1" s="1"/>
  <c r="S617" i="1" a="1"/>
  <c r="S617" i="1" s="1"/>
  <c r="T617" i="1" a="1"/>
  <c r="T617" i="1" s="1"/>
  <c r="S669" i="1" a="1"/>
  <c r="S669" i="1" s="1"/>
  <c r="T669" i="1" a="1"/>
  <c r="T669" i="1" s="1"/>
  <c r="S489" i="1" a="1"/>
  <c r="S489" i="1" s="1"/>
  <c r="T489" i="1" a="1"/>
  <c r="T489" i="1" s="1"/>
  <c r="S515" i="1" a="1"/>
  <c r="S515" i="1" s="1"/>
  <c r="T515" i="1" a="1"/>
  <c r="T515" i="1" s="1"/>
  <c r="S569" i="1" a="1"/>
  <c r="S569" i="1" s="1"/>
  <c r="T569" i="1" a="1"/>
  <c r="T569" i="1" s="1"/>
  <c r="S177" i="1" a="1"/>
  <c r="S177" i="1" s="1"/>
  <c r="T177" i="1" a="1"/>
  <c r="T177" i="1" s="1"/>
  <c r="S424" i="1" a="1"/>
  <c r="S424" i="1" s="1"/>
  <c r="T424" i="1" a="1"/>
  <c r="T424" i="1" s="1"/>
  <c r="S962" i="1" a="1"/>
  <c r="S962" i="1" s="1"/>
  <c r="T962" i="1" a="1"/>
  <c r="T962" i="1" s="1"/>
  <c r="S673" i="1" a="1"/>
  <c r="S673" i="1" s="1"/>
  <c r="T673" i="1" a="1"/>
  <c r="T673" i="1" s="1"/>
  <c r="S875" i="1" a="1"/>
  <c r="S875" i="1" s="1"/>
  <c r="T875" i="1" a="1"/>
  <c r="T875" i="1" s="1"/>
  <c r="S886" i="1" a="1"/>
  <c r="S886" i="1" s="1"/>
  <c r="T886" i="1" a="1"/>
  <c r="T886" i="1" s="1"/>
  <c r="S174" i="1" a="1"/>
  <c r="S174" i="1" s="1"/>
  <c r="T174" i="1" a="1"/>
  <c r="T174" i="1" s="1"/>
  <c r="S792" i="1" a="1"/>
  <c r="S792" i="1" s="1"/>
  <c r="T792" i="1" a="1"/>
  <c r="T792" i="1" s="1"/>
  <c r="S825" i="1" a="1"/>
  <c r="S825" i="1" s="1"/>
  <c r="T825" i="1" a="1"/>
  <c r="T825" i="1" s="1"/>
  <c r="S970" i="1" a="1"/>
  <c r="S970" i="1" s="1"/>
  <c r="T970" i="1" a="1"/>
  <c r="T970" i="1" s="1"/>
  <c r="S649" i="1" a="1"/>
  <c r="S649" i="1" s="1"/>
  <c r="T649" i="1" a="1"/>
  <c r="T649" i="1" s="1"/>
  <c r="S957" i="1" a="1"/>
  <c r="S957" i="1" s="1"/>
  <c r="T957" i="1" a="1"/>
  <c r="T957" i="1" s="1"/>
  <c r="S973" i="1" a="1"/>
  <c r="S973" i="1" s="1"/>
  <c r="T973" i="1" a="1"/>
  <c r="T973" i="1" s="1"/>
  <c r="S778" i="1" a="1"/>
  <c r="S778" i="1" s="1"/>
  <c r="T778" i="1" a="1"/>
  <c r="T778" i="1" s="1"/>
  <c r="S477" i="1" a="1"/>
  <c r="S477" i="1" s="1"/>
  <c r="T477" i="1" a="1"/>
  <c r="T477" i="1" s="1"/>
  <c r="S266" i="1" a="1"/>
  <c r="S266" i="1" s="1"/>
  <c r="T266" i="1" a="1"/>
  <c r="T266" i="1" s="1"/>
  <c r="S458" i="1" a="1"/>
  <c r="S458" i="1" s="1"/>
  <c r="T458" i="1" a="1"/>
  <c r="T458" i="1" s="1"/>
  <c r="S934" i="1" a="1"/>
  <c r="S934" i="1" s="1"/>
  <c r="T934" i="1" a="1"/>
  <c r="T934" i="1" s="1"/>
  <c r="S156" i="1" a="1"/>
  <c r="S156" i="1" s="1"/>
  <c r="T156" i="1" a="1"/>
  <c r="T156" i="1" s="1"/>
  <c r="S74" i="1" a="1"/>
  <c r="S74" i="1" s="1"/>
  <c r="T74" i="1" a="1"/>
  <c r="T74" i="1" s="1"/>
  <c r="S318" i="1" a="1"/>
  <c r="S318" i="1" s="1"/>
  <c r="T318" i="1" a="1"/>
  <c r="T318" i="1" s="1"/>
  <c r="S56" i="1" a="1"/>
  <c r="S56" i="1" s="1"/>
  <c r="T56" i="1" a="1"/>
  <c r="T56" i="1" s="1"/>
  <c r="S759" i="1" a="1"/>
  <c r="S759" i="1" s="1"/>
  <c r="T759" i="1" a="1"/>
  <c r="T759" i="1" s="1"/>
  <c r="S726" i="1" a="1"/>
  <c r="S726" i="1" s="1"/>
  <c r="T726" i="1" a="1"/>
  <c r="T726" i="1" s="1"/>
  <c r="S746" i="1" a="1"/>
  <c r="S746" i="1" s="1"/>
  <c r="T746" i="1" a="1"/>
  <c r="T746" i="1" s="1"/>
  <c r="S845" i="1" a="1"/>
  <c r="S845" i="1" s="1"/>
  <c r="T845" i="1" a="1"/>
  <c r="T845" i="1" s="1"/>
  <c r="S930" i="1" a="1"/>
  <c r="S930" i="1" s="1"/>
  <c r="T930" i="1" a="1"/>
  <c r="T930" i="1" s="1"/>
  <c r="S877" i="1" a="1"/>
  <c r="S877" i="1" s="1"/>
  <c r="T877" i="1" a="1"/>
  <c r="T877" i="1" s="1"/>
  <c r="S475" i="1" a="1"/>
  <c r="S475" i="1" s="1"/>
  <c r="T475" i="1" a="1"/>
  <c r="T475" i="1" s="1"/>
  <c r="S419" i="1" a="1"/>
  <c r="S419" i="1" s="1"/>
  <c r="T419" i="1" a="1"/>
  <c r="T419" i="1" s="1"/>
  <c r="S498" i="1" a="1"/>
  <c r="S498" i="1" s="1"/>
  <c r="T498" i="1" a="1"/>
  <c r="T498" i="1" s="1"/>
  <c r="S390" i="1" a="1"/>
  <c r="S390" i="1" s="1"/>
  <c r="T390" i="1" a="1"/>
  <c r="T390" i="1" s="1"/>
  <c r="S780" i="1" a="1"/>
  <c r="S780" i="1" s="1"/>
  <c r="T780" i="1" a="1"/>
  <c r="T780" i="1" s="1"/>
  <c r="S582" i="1" a="1"/>
  <c r="S582" i="1" s="1"/>
  <c r="T582" i="1" a="1"/>
  <c r="T582" i="1" s="1"/>
  <c r="S512" i="1" a="1"/>
  <c r="S512" i="1" s="1"/>
  <c r="T512" i="1" a="1"/>
  <c r="T512" i="1" s="1"/>
  <c r="S342" i="1" a="1"/>
  <c r="S342" i="1" s="1"/>
  <c r="T342" i="1" a="1"/>
  <c r="T342" i="1" s="1"/>
  <c r="S189" i="1" a="1"/>
  <c r="S189" i="1" s="1"/>
  <c r="T189" i="1" a="1"/>
  <c r="T189" i="1" s="1"/>
  <c r="S701" i="1" a="1"/>
  <c r="S701" i="1" s="1"/>
  <c r="T701" i="1" a="1"/>
  <c r="T701" i="1" s="1"/>
  <c r="S247" i="1" a="1"/>
  <c r="S247" i="1" s="1"/>
  <c r="T247" i="1" a="1"/>
  <c r="T247" i="1" s="1"/>
  <c r="S389" i="1" a="1"/>
  <c r="S389" i="1" s="1"/>
  <c r="T389" i="1" a="1"/>
  <c r="T389" i="1" s="1"/>
  <c r="S573" i="1" a="1"/>
  <c r="S573" i="1" s="1"/>
  <c r="T573" i="1" a="1"/>
  <c r="T573" i="1" s="1"/>
  <c r="S539" i="1" a="1"/>
  <c r="S539" i="1" s="1"/>
  <c r="T539" i="1" a="1"/>
  <c r="T539" i="1" s="1"/>
  <c r="S260" i="1" a="1"/>
  <c r="S260" i="1" s="1"/>
  <c r="T260" i="1" a="1"/>
  <c r="T260" i="1" s="1"/>
  <c r="S557" i="1" a="1"/>
  <c r="S557" i="1" s="1"/>
  <c r="T557" i="1" a="1"/>
  <c r="T557" i="1" s="1"/>
  <c r="S90" i="1" a="1"/>
  <c r="S90" i="1" s="1"/>
  <c r="T90" i="1" a="1"/>
  <c r="T90" i="1" s="1"/>
  <c r="S453" i="1" a="1"/>
  <c r="S453" i="1" s="1"/>
  <c r="T453" i="1" a="1"/>
  <c r="T453" i="1" s="1"/>
  <c r="S29" i="1" a="1"/>
  <c r="S29" i="1" s="1"/>
  <c r="T29" i="1" a="1"/>
  <c r="T29" i="1" s="1"/>
  <c r="S185" i="1" a="1"/>
  <c r="S185" i="1" s="1"/>
  <c r="T185" i="1" a="1"/>
  <c r="T185" i="1" s="1"/>
  <c r="S502" i="1" a="1"/>
  <c r="S502" i="1" s="1"/>
  <c r="T502" i="1" a="1"/>
  <c r="T502" i="1" s="1"/>
  <c r="S568" i="1" a="1"/>
  <c r="S568" i="1" s="1"/>
  <c r="T568" i="1" a="1"/>
  <c r="T568" i="1" s="1"/>
  <c r="S310" i="1" a="1"/>
  <c r="S310" i="1" s="1"/>
  <c r="T310" i="1" a="1"/>
  <c r="T310" i="1" s="1"/>
  <c r="S320" i="1" a="1"/>
  <c r="S320" i="1" s="1"/>
  <c r="T320" i="1" a="1"/>
  <c r="T320" i="1" s="1"/>
  <c r="S535" i="1" a="1"/>
  <c r="S535" i="1" s="1"/>
  <c r="T535" i="1" a="1"/>
  <c r="T535" i="1" s="1"/>
  <c r="S291" i="1" a="1"/>
  <c r="S291" i="1" s="1"/>
  <c r="T291" i="1" a="1"/>
  <c r="T291" i="1" s="1"/>
  <c r="S447" i="1" a="1"/>
  <c r="S447" i="1" s="1"/>
  <c r="T447" i="1" a="1"/>
  <c r="T447" i="1" s="1"/>
  <c r="S134" i="1" a="1"/>
  <c r="S134" i="1" s="1"/>
  <c r="T134" i="1" a="1"/>
  <c r="T134" i="1" s="1"/>
  <c r="S332" i="1" a="1"/>
  <c r="S332" i="1" s="1"/>
  <c r="T332" i="1" a="1"/>
  <c r="T332" i="1" s="1"/>
  <c r="S70" i="1" a="1"/>
  <c r="S70" i="1" s="1"/>
  <c r="T70" i="1" a="1"/>
  <c r="T70" i="1" s="1"/>
  <c r="S217" i="1" a="1"/>
  <c r="S217" i="1" s="1"/>
  <c r="T217" i="1" a="1"/>
  <c r="T217" i="1" s="1"/>
  <c r="S548" i="1" a="1"/>
  <c r="S548" i="1" s="1"/>
  <c r="T548" i="1" a="1"/>
  <c r="T548" i="1" s="1"/>
  <c r="S762" i="1" a="1"/>
  <c r="S762" i="1" s="1"/>
  <c r="T762" i="1" a="1"/>
  <c r="T762" i="1" s="1"/>
  <c r="S427" i="1" a="1"/>
  <c r="S427" i="1" s="1"/>
  <c r="T427" i="1" a="1"/>
  <c r="T427" i="1" s="1"/>
  <c r="S653" i="1" a="1"/>
  <c r="S653" i="1" s="1"/>
  <c r="T653" i="1" a="1"/>
  <c r="T653" i="1" s="1"/>
  <c r="S901" i="1" a="1"/>
  <c r="S901" i="1" s="1"/>
  <c r="T901" i="1" a="1"/>
  <c r="T901" i="1" s="1"/>
  <c r="S537" i="1" a="1"/>
  <c r="S537" i="1" s="1"/>
  <c r="T537" i="1" a="1"/>
  <c r="T537" i="1" s="1"/>
  <c r="S952" i="1" a="1"/>
  <c r="S952" i="1" s="1"/>
  <c r="T952" i="1" a="1"/>
  <c r="T952" i="1" s="1"/>
  <c r="S235" i="1" a="1"/>
  <c r="S235" i="1" s="1"/>
  <c r="T235" i="1" a="1"/>
  <c r="T235" i="1" s="1"/>
  <c r="S443" i="1" a="1"/>
  <c r="S443" i="1" s="1"/>
  <c r="T443" i="1" a="1"/>
  <c r="T443" i="1" s="1"/>
  <c r="S980" i="1" a="1"/>
  <c r="S980" i="1" s="1"/>
  <c r="T980" i="1" a="1"/>
  <c r="T980" i="1" s="1"/>
  <c r="S210" i="1" a="1"/>
  <c r="S210" i="1" s="1"/>
  <c r="T210" i="1" a="1"/>
  <c r="T210" i="1" s="1"/>
  <c r="S142" i="1" a="1"/>
  <c r="S142" i="1" s="1"/>
  <c r="T142" i="1" a="1"/>
  <c r="T142" i="1" s="1"/>
  <c r="S686" i="1" a="1"/>
  <c r="S686" i="1" s="1"/>
  <c r="T686" i="1" a="1"/>
  <c r="T686" i="1" s="1"/>
  <c r="S892" i="1" a="1"/>
  <c r="S892" i="1" s="1"/>
  <c r="T892" i="1" a="1"/>
  <c r="T892" i="1" s="1"/>
  <c r="S493" i="1" a="1"/>
  <c r="S493" i="1" s="1"/>
  <c r="T493" i="1" a="1"/>
  <c r="T493" i="1" s="1"/>
  <c r="S94" i="1" a="1"/>
  <c r="S94" i="1" s="1"/>
  <c r="T94" i="1" a="1"/>
  <c r="T94" i="1" s="1"/>
  <c r="S325" i="1" a="1"/>
  <c r="S325" i="1" s="1"/>
  <c r="T325" i="1" a="1"/>
  <c r="T325" i="1" s="1"/>
  <c r="S782" i="1" a="1"/>
  <c r="S782" i="1" s="1"/>
  <c r="T782" i="1" a="1"/>
  <c r="T782" i="1" s="1"/>
  <c r="S487" i="1" a="1"/>
  <c r="S487" i="1" s="1"/>
  <c r="T487" i="1" a="1"/>
  <c r="T487" i="1" s="1"/>
  <c r="S817" i="1" a="1"/>
  <c r="S817" i="1" s="1"/>
  <c r="T817" i="1" a="1"/>
  <c r="T817" i="1" s="1"/>
  <c r="S545" i="1" a="1"/>
  <c r="S545" i="1" s="1"/>
  <c r="T545" i="1" a="1"/>
  <c r="T545" i="1" s="1"/>
  <c r="S46" i="1" a="1"/>
  <c r="S46" i="1" s="1"/>
  <c r="T46" i="1" a="1"/>
  <c r="T46" i="1" s="1"/>
  <c r="S633" i="1" a="1"/>
  <c r="S633" i="1" s="1"/>
  <c r="T633" i="1" a="1"/>
  <c r="T633" i="1" s="1"/>
  <c r="S295" i="1" a="1"/>
  <c r="S295" i="1" s="1"/>
  <c r="T295" i="1" a="1"/>
  <c r="T295" i="1" s="1"/>
  <c r="S909" i="1" a="1"/>
  <c r="S909" i="1" s="1"/>
  <c r="T909" i="1" a="1"/>
  <c r="T909" i="1" s="1"/>
  <c r="S49" i="1" a="1"/>
  <c r="S49" i="1" s="1"/>
  <c r="T49" i="1" a="1"/>
  <c r="T49" i="1" s="1"/>
  <c r="S360" i="1" a="1"/>
  <c r="S360" i="1" s="1"/>
  <c r="T360" i="1" a="1"/>
  <c r="T360" i="1" s="1"/>
  <c r="S319" i="1" a="1"/>
  <c r="S319" i="1" s="1"/>
  <c r="T319" i="1" a="1"/>
  <c r="T319" i="1" s="1"/>
  <c r="S40" i="1" a="1"/>
  <c r="S40" i="1" s="1"/>
  <c r="T40" i="1" a="1"/>
  <c r="T40" i="1" s="1"/>
  <c r="S43" i="1" a="1"/>
  <c r="S43" i="1" s="1"/>
  <c r="T43" i="1" a="1"/>
  <c r="T43" i="1" s="1"/>
  <c r="S802" i="1" a="1"/>
  <c r="S802" i="1" s="1"/>
  <c r="T802" i="1" a="1"/>
  <c r="T802" i="1" s="1"/>
  <c r="S308" i="1" a="1"/>
  <c r="S308" i="1" s="1"/>
  <c r="T308" i="1" a="1"/>
  <c r="T308" i="1" s="1"/>
  <c r="S448" i="1" a="1"/>
  <c r="S448" i="1" s="1"/>
  <c r="T448" i="1" a="1"/>
  <c r="T448" i="1" s="1"/>
  <c r="S995" i="1" a="1"/>
  <c r="S995" i="1" s="1"/>
  <c r="T995" i="1" a="1"/>
  <c r="T995" i="1" s="1"/>
  <c r="S703" i="1" a="1"/>
  <c r="S703" i="1" s="1"/>
  <c r="T703" i="1" a="1"/>
  <c r="T703" i="1" s="1"/>
  <c r="S233" i="1" a="1"/>
  <c r="S233" i="1" s="1"/>
  <c r="T233" i="1" a="1"/>
  <c r="T233" i="1" s="1"/>
  <c r="S329" i="1" a="1"/>
  <c r="S329" i="1" s="1"/>
  <c r="T329" i="1" a="1"/>
  <c r="T329" i="1" s="1"/>
  <c r="S293" i="1" a="1"/>
  <c r="S293" i="1" s="1"/>
  <c r="T293" i="1" a="1"/>
  <c r="T293" i="1" s="1"/>
  <c r="S917" i="1" a="1"/>
  <c r="S917" i="1" s="1"/>
  <c r="T917" i="1" a="1"/>
  <c r="T917" i="1" s="1"/>
  <c r="S581" i="1" a="1"/>
  <c r="S581" i="1" s="1"/>
  <c r="T581" i="1" a="1"/>
  <c r="T581" i="1" s="1"/>
  <c r="S984" i="1" a="1"/>
  <c r="S984" i="1" s="1"/>
  <c r="T984" i="1" a="1"/>
  <c r="T984" i="1" s="1"/>
  <c r="S787" i="1" a="1"/>
  <c r="S787" i="1" s="1"/>
  <c r="T787" i="1" a="1"/>
  <c r="T787" i="1" s="1"/>
  <c r="S299" i="1" a="1"/>
  <c r="S299" i="1" s="1"/>
  <c r="T299" i="1" a="1"/>
  <c r="T299" i="1" s="1"/>
  <c r="S158" i="1" a="1"/>
  <c r="S158" i="1" s="1"/>
  <c r="T158" i="1" a="1"/>
  <c r="T158" i="1" s="1"/>
  <c r="S100" i="1" a="1"/>
  <c r="S100" i="1" s="1"/>
  <c r="T100" i="1" a="1"/>
  <c r="T100" i="1" s="1"/>
  <c r="S124" i="1" a="1"/>
  <c r="S124" i="1" s="1"/>
  <c r="T124" i="1" a="1"/>
  <c r="T124" i="1" s="1"/>
  <c r="S771" i="1" a="1"/>
  <c r="S771" i="1" s="1"/>
  <c r="T771" i="1" a="1"/>
  <c r="T771" i="1" s="1"/>
  <c r="S151" i="1" a="1"/>
  <c r="S151" i="1" s="1"/>
  <c r="T151" i="1" a="1"/>
  <c r="T151" i="1" s="1"/>
  <c r="S335" i="1" a="1"/>
  <c r="S335" i="1" s="1"/>
  <c r="T335" i="1" a="1"/>
  <c r="T335" i="1" s="1"/>
  <c r="S677" i="1" a="1"/>
  <c r="S677" i="1" s="1"/>
  <c r="T677" i="1" a="1"/>
  <c r="T677" i="1" s="1"/>
  <c r="S171" i="1" a="1"/>
  <c r="S171" i="1" s="1"/>
  <c r="T171" i="1" a="1"/>
  <c r="T171" i="1" s="1"/>
  <c r="S720" i="1" a="1"/>
  <c r="S720" i="1" s="1"/>
  <c r="T720" i="1" a="1"/>
  <c r="T720" i="1" s="1"/>
  <c r="S945" i="1" a="1"/>
  <c r="S945" i="1" s="1"/>
  <c r="T945" i="1" a="1"/>
  <c r="T945" i="1" s="1"/>
  <c r="S27" i="1" a="1"/>
  <c r="S27" i="1" s="1"/>
  <c r="T27" i="1" a="1"/>
  <c r="T27" i="1" s="1"/>
  <c r="S128" i="1" a="1"/>
  <c r="S128" i="1" s="1"/>
  <c r="T128" i="1" a="1"/>
  <c r="T128" i="1" s="1"/>
  <c r="S188" i="1" a="1"/>
  <c r="S188" i="1" s="1"/>
  <c r="T188" i="1" a="1"/>
  <c r="T188" i="1" s="1"/>
  <c r="S712" i="1" a="1"/>
  <c r="S712" i="1" s="1"/>
  <c r="T712" i="1" a="1"/>
  <c r="T712" i="1" s="1"/>
  <c r="S818" i="1" a="1"/>
  <c r="S818" i="1" s="1"/>
  <c r="T818" i="1" a="1"/>
  <c r="T818" i="1" s="1"/>
  <c r="S874" i="1" a="1"/>
  <c r="S874" i="1" s="1"/>
  <c r="T874" i="1" a="1"/>
  <c r="T874" i="1" s="1"/>
  <c r="S597" i="1" a="1"/>
  <c r="S597" i="1" s="1"/>
  <c r="T597" i="1" a="1"/>
  <c r="T597" i="1" s="1"/>
  <c r="S948" i="1" a="1"/>
  <c r="S948" i="1" s="1"/>
  <c r="T948" i="1" a="1"/>
  <c r="T948" i="1" s="1"/>
  <c r="S121" i="1" a="1"/>
  <c r="S121" i="1" s="1"/>
  <c r="T121" i="1" a="1"/>
  <c r="T121" i="1" s="1"/>
  <c r="S591" i="1" a="1"/>
  <c r="S591" i="1" s="1"/>
  <c r="T591" i="1" a="1"/>
  <c r="T591" i="1" s="1"/>
  <c r="S336" i="1" a="1"/>
  <c r="S336" i="1" s="1"/>
  <c r="T336" i="1" a="1"/>
  <c r="T336" i="1" s="1"/>
  <c r="S73" i="1" a="1"/>
  <c r="S73" i="1" s="1"/>
  <c r="T73" i="1" a="1"/>
  <c r="T73" i="1" s="1"/>
  <c r="S157" i="1" a="1"/>
  <c r="S157" i="1" s="1"/>
  <c r="T157" i="1" a="1"/>
  <c r="T157" i="1" s="1"/>
  <c r="S97" i="1" a="1"/>
  <c r="S97" i="1" s="1"/>
  <c r="T97" i="1" a="1"/>
  <c r="T97" i="1" s="1"/>
  <c r="S834" i="1" a="1"/>
  <c r="S834" i="1" s="1"/>
  <c r="T834" i="1" a="1"/>
  <c r="T834" i="1" s="1"/>
  <c r="S166" i="1" a="1"/>
  <c r="S166" i="1" s="1"/>
  <c r="T166" i="1" a="1"/>
  <c r="T166" i="1" s="1"/>
  <c r="S865" i="1" a="1"/>
  <c r="S865" i="1" s="1"/>
  <c r="T865" i="1" a="1"/>
  <c r="T865" i="1" s="1"/>
  <c r="S882" i="1" a="1"/>
  <c r="S882" i="1" s="1"/>
  <c r="T882" i="1" a="1"/>
  <c r="T882" i="1" s="1"/>
  <c r="S618" i="1" a="1"/>
  <c r="S618" i="1" s="1"/>
  <c r="T618" i="1" a="1"/>
  <c r="T618" i="1" s="1"/>
  <c r="S119" i="1" a="1"/>
  <c r="S119" i="1" s="1"/>
  <c r="T119" i="1" a="1"/>
  <c r="T119" i="1" s="1"/>
  <c r="S742" i="1" a="1"/>
  <c r="S742" i="1" s="1"/>
  <c r="T742" i="1" a="1"/>
  <c r="T742" i="1" s="1"/>
  <c r="S330" i="1" a="1"/>
  <c r="S330" i="1" s="1"/>
  <c r="T330" i="1" a="1"/>
  <c r="T330" i="1" s="1"/>
  <c r="S391" i="1" a="1"/>
  <c r="S391" i="1" s="1"/>
  <c r="T391" i="1" a="1"/>
  <c r="T391" i="1" s="1"/>
  <c r="S805" i="1" a="1"/>
  <c r="S805" i="1" s="1"/>
  <c r="T805" i="1" a="1"/>
  <c r="T805" i="1" s="1"/>
  <c r="S707" i="1" a="1"/>
  <c r="S707" i="1" s="1"/>
  <c r="T707" i="1" a="1"/>
  <c r="T707" i="1" s="1"/>
  <c r="S81" i="1" a="1"/>
  <c r="S81" i="1" s="1"/>
  <c r="T81" i="1" a="1"/>
  <c r="T81" i="1" s="1"/>
  <c r="S205" i="1" a="1"/>
  <c r="S205" i="1" s="1"/>
  <c r="T205" i="1" a="1"/>
  <c r="T205" i="1" s="1"/>
  <c r="S696" i="1" a="1"/>
  <c r="S696" i="1" s="1"/>
  <c r="T696" i="1" a="1"/>
  <c r="T696" i="1" s="1"/>
  <c r="S133" i="1" a="1"/>
  <c r="S133" i="1" s="1"/>
  <c r="T133" i="1" a="1"/>
  <c r="T133" i="1" s="1"/>
  <c r="S129" i="1" a="1"/>
  <c r="S129" i="1" s="1"/>
  <c r="T129" i="1" a="1"/>
  <c r="T129" i="1" s="1"/>
  <c r="S843" i="1" a="1"/>
  <c r="S843" i="1" s="1"/>
  <c r="T843" i="1" a="1"/>
  <c r="T843" i="1" s="1"/>
  <c r="S213" i="1" a="1"/>
  <c r="S213" i="1" s="1"/>
  <c r="T213" i="1" a="1"/>
  <c r="T213" i="1" s="1"/>
  <c r="S944" i="1" a="1"/>
  <c r="S944" i="1" s="1"/>
  <c r="T944" i="1" a="1"/>
  <c r="T944" i="1" s="1"/>
  <c r="S160" i="1" a="1"/>
  <c r="S160" i="1" s="1"/>
  <c r="T160" i="1" a="1"/>
  <c r="T160" i="1" s="1"/>
  <c r="S283" i="1" a="1"/>
  <c r="S283" i="1" s="1"/>
  <c r="T283" i="1" a="1"/>
  <c r="T283" i="1" s="1"/>
  <c r="S91" i="1" a="1"/>
  <c r="S91" i="1" s="1"/>
  <c r="T91" i="1" a="1"/>
  <c r="T91" i="1" s="1"/>
  <c r="S374" i="1" a="1"/>
  <c r="S374" i="1" s="1"/>
  <c r="T374" i="1" a="1"/>
  <c r="T374" i="1" s="1"/>
  <c r="S938" i="1" a="1"/>
  <c r="S938" i="1" s="1"/>
  <c r="T938" i="1" a="1"/>
  <c r="T938" i="1" s="1"/>
  <c r="S161" i="1" a="1"/>
  <c r="S161" i="1" s="1"/>
  <c r="T161" i="1" a="1"/>
  <c r="T161" i="1" s="1"/>
  <c r="S28" i="1" a="1"/>
  <c r="S28" i="1" s="1"/>
  <c r="T28" i="1" a="1"/>
  <c r="T28" i="1" s="1"/>
  <c r="S776" i="1" a="1"/>
  <c r="S776" i="1" s="1"/>
  <c r="T776" i="1" a="1"/>
  <c r="T776" i="1" s="1"/>
  <c r="S476" i="1" a="1"/>
  <c r="S476" i="1" s="1"/>
  <c r="T476" i="1" a="1"/>
  <c r="T476" i="1" s="1"/>
  <c r="S367" i="1" a="1"/>
  <c r="S367" i="1" s="1"/>
  <c r="T367" i="1" a="1"/>
  <c r="T367" i="1" s="1"/>
  <c r="S71" i="1" a="1"/>
  <c r="S71" i="1" s="1"/>
  <c r="T71" i="1" a="1"/>
  <c r="T71" i="1" s="1"/>
  <c r="S959" i="1" a="1"/>
  <c r="S959" i="1" s="1"/>
  <c r="T959" i="1" a="1"/>
  <c r="T959" i="1" s="1"/>
  <c r="S929" i="1" a="1"/>
  <c r="S929" i="1" s="1"/>
  <c r="T929" i="1" a="1"/>
  <c r="T929" i="1" s="1"/>
  <c r="S401" i="1" a="1"/>
  <c r="S401" i="1" s="1"/>
  <c r="T401" i="1" a="1"/>
  <c r="T401" i="1" s="1"/>
  <c r="S763" i="1" a="1"/>
  <c r="S763" i="1" s="1"/>
  <c r="T763" i="1" a="1"/>
  <c r="T763" i="1" s="1"/>
  <c r="S428" i="1" a="1"/>
  <c r="S428" i="1" s="1"/>
  <c r="T428" i="1" a="1"/>
  <c r="T428" i="1" s="1"/>
  <c r="S769" i="1" a="1"/>
  <c r="S769" i="1" s="1"/>
  <c r="T769" i="1" a="1"/>
  <c r="T769" i="1" s="1"/>
  <c r="S828" i="1" a="1"/>
  <c r="S828" i="1" s="1"/>
  <c r="T828" i="1" a="1"/>
  <c r="T828" i="1" s="1"/>
  <c r="S884" i="1" a="1"/>
  <c r="S884" i="1" s="1"/>
  <c r="T884" i="1" a="1"/>
  <c r="T884" i="1" s="1"/>
  <c r="S849" i="1" a="1"/>
  <c r="S849" i="1" s="1"/>
  <c r="T849" i="1" a="1"/>
  <c r="T849" i="1" s="1"/>
  <c r="S234" i="1" a="1"/>
  <c r="S234" i="1" s="1"/>
  <c r="T234" i="1" a="1"/>
  <c r="T234" i="1" s="1"/>
  <c r="S212" i="1" a="1"/>
  <c r="S212" i="1" s="1"/>
  <c r="T212" i="1" a="1"/>
  <c r="T212" i="1" s="1"/>
  <c r="S578" i="1" a="1"/>
  <c r="S578" i="1" s="1"/>
  <c r="T578" i="1" a="1"/>
  <c r="T578" i="1" s="1"/>
  <c r="S528" i="1" a="1"/>
  <c r="S528" i="1" s="1"/>
  <c r="T528" i="1" a="1"/>
  <c r="T528" i="1" s="1"/>
  <c r="S35" i="1" a="1"/>
  <c r="S35" i="1" s="1"/>
  <c r="T35" i="1" a="1"/>
  <c r="T35" i="1" s="1"/>
  <c r="S674" i="1" a="1"/>
  <c r="S674" i="1" s="1"/>
  <c r="T674" i="1" a="1"/>
  <c r="T674" i="1" s="1"/>
  <c r="S444" i="1" a="1"/>
  <c r="S444" i="1" s="1"/>
  <c r="T444" i="1" a="1"/>
  <c r="T444" i="1" s="1"/>
  <c r="S748" i="1" a="1"/>
  <c r="S748" i="1" s="1"/>
  <c r="T748" i="1" a="1"/>
  <c r="T748" i="1" s="1"/>
  <c r="S684" i="1" a="1"/>
  <c r="S684" i="1" s="1"/>
  <c r="T684" i="1" a="1"/>
  <c r="T684" i="1" s="1"/>
  <c r="S524" i="1" a="1"/>
  <c r="S524" i="1" s="1"/>
  <c r="T524" i="1" a="1"/>
  <c r="T524" i="1" s="1"/>
  <c r="S965" i="1" a="1"/>
  <c r="S965" i="1" s="1"/>
  <c r="T965" i="1" a="1"/>
  <c r="T965" i="1" s="1"/>
  <c r="S540" i="1" a="1"/>
  <c r="S540" i="1" s="1"/>
  <c r="T540" i="1" a="1"/>
  <c r="T540" i="1" s="1"/>
  <c r="S913" i="1" a="1"/>
  <c r="S913" i="1" s="1"/>
  <c r="T913" i="1" a="1"/>
  <c r="T913" i="1" s="1"/>
  <c r="S17" i="1" a="1"/>
  <c r="S17" i="1" s="1"/>
  <c r="T17" i="1" a="1"/>
  <c r="T17" i="1" s="1"/>
  <c r="S788" i="1" a="1"/>
  <c r="S788" i="1" s="1"/>
  <c r="T788" i="1" a="1"/>
  <c r="T788" i="1" s="1"/>
  <c r="S521" i="1" a="1"/>
  <c r="S521" i="1" s="1"/>
  <c r="T521" i="1" a="1"/>
  <c r="T521" i="1" s="1"/>
  <c r="S60" i="1" a="1"/>
  <c r="S60" i="1" s="1"/>
  <c r="T60" i="1" a="1"/>
  <c r="T60" i="1" s="1"/>
  <c r="S507" i="1" a="1"/>
  <c r="S507" i="1" s="1"/>
  <c r="T507" i="1" a="1"/>
  <c r="T507" i="1" s="1"/>
  <c r="S732" i="1" a="1"/>
  <c r="S732" i="1" s="1"/>
  <c r="T732" i="1" a="1"/>
  <c r="T732" i="1" s="1"/>
  <c r="S796" i="1" a="1"/>
  <c r="S796" i="1" s="1"/>
  <c r="T796" i="1" a="1"/>
  <c r="T796" i="1" s="1"/>
  <c r="S397" i="1" a="1"/>
  <c r="S397" i="1" s="1"/>
  <c r="T397" i="1" a="1"/>
  <c r="T397" i="1" s="1"/>
  <c r="S23" i="1" a="1"/>
  <c r="S23" i="1" s="1"/>
  <c r="T23" i="1" a="1"/>
  <c r="T23" i="1" s="1"/>
  <c r="S699" i="1" a="1"/>
  <c r="S699" i="1" s="1"/>
  <c r="T699" i="1" a="1"/>
  <c r="T699" i="1" s="1"/>
  <c r="S719" i="1" a="1"/>
  <c r="S719" i="1" s="1"/>
  <c r="T719" i="1" a="1"/>
  <c r="T719" i="1" s="1"/>
  <c r="S700" i="1" a="1"/>
  <c r="S700" i="1" s="1"/>
  <c r="T700" i="1" a="1"/>
  <c r="T700" i="1" s="1"/>
  <c r="S798" i="1" a="1"/>
  <c r="S798" i="1" s="1"/>
  <c r="T798" i="1" a="1"/>
  <c r="T798" i="1" s="1"/>
  <c r="S172" i="1" a="1"/>
  <c r="S172" i="1" s="1"/>
  <c r="T172" i="1" a="1"/>
  <c r="T172" i="1" s="1"/>
  <c r="S919" i="1" a="1"/>
  <c r="S919" i="1" s="1"/>
  <c r="T919" i="1" a="1"/>
  <c r="T919" i="1" s="1"/>
  <c r="S735" i="1" a="1"/>
  <c r="S735" i="1" s="1"/>
  <c r="T735" i="1" a="1"/>
  <c r="T735" i="1" s="1"/>
  <c r="S107" i="1" a="1"/>
  <c r="S107" i="1" s="1"/>
  <c r="T107" i="1" a="1"/>
  <c r="T107" i="1" s="1"/>
  <c r="S149" i="1" a="1"/>
  <c r="S149" i="1" s="1"/>
  <c r="T149" i="1" a="1"/>
  <c r="T149" i="1" s="1"/>
  <c r="S159" i="1" a="1"/>
  <c r="S159" i="1" s="1"/>
  <c r="T159" i="1" a="1"/>
  <c r="T159" i="1" s="1"/>
  <c r="S364" i="1" a="1"/>
  <c r="S364" i="1" s="1"/>
  <c r="T364" i="1" a="1"/>
  <c r="T364" i="1" s="1"/>
  <c r="S767" i="1" a="1"/>
  <c r="S767" i="1" s="1"/>
  <c r="T767" i="1" a="1"/>
  <c r="T767" i="1" s="1"/>
  <c r="S604" i="1" a="1"/>
  <c r="S604" i="1" s="1"/>
  <c r="T604" i="1" a="1"/>
  <c r="T604" i="1" s="1"/>
  <c r="S75" i="1" a="1"/>
  <c r="S75" i="1" s="1"/>
  <c r="T75" i="1" a="1"/>
  <c r="T75" i="1" s="1"/>
  <c r="S572" i="1" a="1"/>
  <c r="S572" i="1" s="1"/>
  <c r="T572" i="1" a="1"/>
  <c r="T572" i="1" s="1"/>
  <c r="S799" i="1" a="1"/>
  <c r="S799" i="1" s="1"/>
  <c r="T799" i="1" a="1"/>
  <c r="T799" i="1" s="1"/>
  <c r="S659" i="1" a="1"/>
  <c r="S659" i="1" s="1"/>
  <c r="T659" i="1" a="1"/>
  <c r="T659" i="1" s="1"/>
  <c r="S687" i="1" a="1"/>
  <c r="S687" i="1" s="1"/>
  <c r="T687" i="1" a="1"/>
  <c r="T687" i="1" s="1"/>
  <c r="S350" i="1" a="1"/>
  <c r="S350" i="1" s="1"/>
  <c r="T350" i="1" a="1"/>
  <c r="T350" i="1" s="1"/>
  <c r="S610" i="1" a="1"/>
  <c r="S610" i="1" s="1"/>
  <c r="T610" i="1" a="1"/>
  <c r="T610" i="1" s="1"/>
  <c r="S770" i="1" a="1"/>
  <c r="S770" i="1" s="1"/>
  <c r="T770" i="1" a="1"/>
  <c r="T770" i="1" s="1"/>
  <c r="S510" i="1" a="1"/>
  <c r="S510" i="1" s="1"/>
  <c r="T510" i="1" a="1"/>
  <c r="T510" i="1" s="1"/>
  <c r="S567" i="1" a="1"/>
  <c r="S567" i="1" s="1"/>
  <c r="V567" i="1" s="1"/>
  <c r="W567" i="1" s="1"/>
  <c r="T567" i="1" a="1"/>
  <c r="T567" i="1" s="1"/>
  <c r="S747" i="1" a="1"/>
  <c r="S747" i="1" s="1"/>
  <c r="T747" i="1" a="1"/>
  <c r="T747" i="1" s="1"/>
  <c r="S916" i="1" a="1"/>
  <c r="S916" i="1" s="1"/>
  <c r="V916" i="1" s="1"/>
  <c r="W916" i="1" s="1"/>
  <c r="T916" i="1" a="1"/>
  <c r="T916" i="1" s="1"/>
  <c r="S648" i="1" a="1"/>
  <c r="S648" i="1" s="1"/>
  <c r="T648" i="1" a="1"/>
  <c r="T648" i="1" s="1"/>
  <c r="S433" i="1" a="1"/>
  <c r="S433" i="1" s="1"/>
  <c r="V433" i="1" s="1"/>
  <c r="W433" i="1" s="1"/>
  <c r="T433" i="1" a="1"/>
  <c r="T433" i="1" s="1"/>
  <c r="S258" i="1" a="1"/>
  <c r="S258" i="1" s="1"/>
  <c r="T258" i="1" a="1"/>
  <c r="T258" i="1" s="1"/>
  <c r="S461" i="1" a="1"/>
  <c r="S461" i="1" s="1"/>
  <c r="T461" i="1" a="1"/>
  <c r="T461" i="1" s="1"/>
  <c r="S203" i="1" a="1"/>
  <c r="S203" i="1" s="1"/>
  <c r="T203" i="1" a="1"/>
  <c r="T203" i="1" s="1"/>
  <c r="S902" i="1" a="1"/>
  <c r="S902" i="1" s="1"/>
  <c r="V902" i="1" s="1"/>
  <c r="W902" i="1" s="1"/>
  <c r="T902" i="1" a="1"/>
  <c r="T902" i="1" s="1"/>
  <c r="S184" i="1" a="1"/>
  <c r="S184" i="1" s="1"/>
  <c r="T184" i="1" a="1"/>
  <c r="T184" i="1" s="1"/>
  <c r="S469" i="1" a="1"/>
  <c r="S469" i="1" s="1"/>
  <c r="T469" i="1" a="1"/>
  <c r="T469" i="1" s="1"/>
  <c r="S932" i="1" a="1"/>
  <c r="S932" i="1" s="1"/>
  <c r="T932" i="1" a="1"/>
  <c r="T932" i="1" s="1"/>
  <c r="S106" i="1" a="1"/>
  <c r="S106" i="1" s="1"/>
  <c r="V106" i="1" s="1"/>
  <c r="W106" i="1" s="1"/>
  <c r="T106" i="1" a="1"/>
  <c r="T106" i="1" s="1"/>
  <c r="S704" i="1" a="1"/>
  <c r="S704" i="1" s="1"/>
  <c r="T704" i="1" a="1"/>
  <c r="T704" i="1" s="1"/>
  <c r="S255" i="1" a="1"/>
  <c r="S255" i="1" s="1"/>
  <c r="V255" i="1" s="1"/>
  <c r="W255" i="1" s="1"/>
  <c r="T255" i="1" a="1"/>
  <c r="T255" i="1" s="1"/>
  <c r="S472" i="1" a="1"/>
  <c r="S472" i="1" s="1"/>
  <c r="T472" i="1" a="1"/>
  <c r="T472" i="1" s="1"/>
  <c r="S658" i="1" a="1"/>
  <c r="S658" i="1" s="1"/>
  <c r="V658" i="1" s="1"/>
  <c r="W658" i="1" s="1"/>
  <c r="T658" i="1" a="1"/>
  <c r="T658" i="1" s="1"/>
  <c r="S838" i="1" a="1"/>
  <c r="S838" i="1" s="1"/>
  <c r="T838" i="1" a="1"/>
  <c r="T838" i="1" s="1"/>
  <c r="S642" i="1" a="1"/>
  <c r="S642" i="1" s="1"/>
  <c r="V642" i="1" s="1"/>
  <c r="W642" i="1" s="1"/>
  <c r="T642" i="1" a="1"/>
  <c r="T642" i="1" s="1"/>
  <c r="S520" i="1" a="1"/>
  <c r="S520" i="1" s="1"/>
  <c r="T520" i="1" a="1"/>
  <c r="T520" i="1" s="1"/>
  <c r="S605" i="1" a="1"/>
  <c r="S605" i="1" s="1"/>
  <c r="V605" i="1" s="1"/>
  <c r="W605" i="1" s="1"/>
  <c r="T605" i="1" a="1"/>
  <c r="T605" i="1" s="1"/>
  <c r="S881" i="1" a="1"/>
  <c r="S881" i="1" s="1"/>
  <c r="T881" i="1" a="1"/>
  <c r="T881" i="1" s="1"/>
  <c r="S122" i="1" a="1"/>
  <c r="S122" i="1" s="1"/>
  <c r="T122" i="1" a="1"/>
  <c r="T122" i="1" s="1"/>
  <c r="S36" i="1" a="1"/>
  <c r="S36" i="1" s="1"/>
  <c r="T36" i="1" a="1"/>
  <c r="T36" i="1" s="1"/>
  <c r="S14" i="1" a="1"/>
  <c r="S14" i="1" s="1"/>
  <c r="T14" i="1" a="1"/>
  <c r="T14" i="1" s="1"/>
  <c r="S563" i="1" a="1"/>
  <c r="S563" i="1" s="1"/>
  <c r="T563" i="1" a="1"/>
  <c r="T563" i="1" s="1"/>
  <c r="S238" i="1" a="1"/>
  <c r="S238" i="1" s="1"/>
  <c r="T238" i="1" a="1"/>
  <c r="T238" i="1" s="1"/>
  <c r="S833" i="1" a="1"/>
  <c r="S833" i="1" s="1"/>
  <c r="T833" i="1" a="1"/>
  <c r="T833" i="1" s="1"/>
  <c r="S630" i="1" a="1"/>
  <c r="S630" i="1" s="1"/>
  <c r="V630" i="1" s="1"/>
  <c r="W630" i="1" s="1"/>
  <c r="T630" i="1" a="1"/>
  <c r="T630" i="1" s="1"/>
  <c r="S193" i="1" a="1"/>
  <c r="S193" i="1" s="1"/>
  <c r="T193" i="1" a="1"/>
  <c r="T193" i="1" s="1"/>
  <c r="S942" i="1" a="1"/>
  <c r="S942" i="1" s="1"/>
  <c r="V942" i="1" s="1"/>
  <c r="W942" i="1" s="1"/>
  <c r="T942" i="1" a="1"/>
  <c r="T942" i="1" s="1"/>
  <c r="S503" i="1" a="1"/>
  <c r="S503" i="1" s="1"/>
  <c r="T503" i="1" a="1"/>
  <c r="T503" i="1" s="1"/>
  <c r="S261" i="1" a="1"/>
  <c r="S261" i="1" s="1"/>
  <c r="V261" i="1" s="1"/>
  <c r="W261" i="1" s="1"/>
  <c r="T261" i="1" a="1"/>
  <c r="T261" i="1" s="1"/>
  <c r="S527" i="1" a="1"/>
  <c r="S527" i="1" s="1"/>
  <c r="T527" i="1" a="1"/>
  <c r="T527" i="1" s="1"/>
  <c r="S868" i="1" a="1"/>
  <c r="S868" i="1" s="1"/>
  <c r="V868" i="1" s="1"/>
  <c r="W868" i="1" s="1"/>
  <c r="T868" i="1" a="1"/>
  <c r="T868" i="1" s="1"/>
  <c r="S976" i="1" a="1"/>
  <c r="S976" i="1" s="1"/>
  <c r="T976" i="1" a="1"/>
  <c r="T976" i="1" s="1"/>
  <c r="S837" i="1" a="1"/>
  <c r="S837" i="1" s="1"/>
  <c r="V837" i="1" s="1"/>
  <c r="W837" i="1" s="1"/>
  <c r="T837" i="1" a="1"/>
  <c r="T837" i="1" s="1"/>
  <c r="S292" i="1" a="1"/>
  <c r="S292" i="1" s="1"/>
  <c r="T292" i="1" a="1"/>
  <c r="T292" i="1" s="1"/>
  <c r="S175" i="1" a="1"/>
  <c r="S175" i="1" s="1"/>
  <c r="V175" i="1" s="1"/>
  <c r="W175" i="1" s="1"/>
  <c r="T175" i="1" a="1"/>
  <c r="T175" i="1" s="1"/>
  <c r="S841" i="1" a="1"/>
  <c r="S841" i="1" s="1"/>
  <c r="T841" i="1" a="1"/>
  <c r="T841" i="1" s="1"/>
  <c r="S786" i="1" a="1"/>
  <c r="S786" i="1" s="1"/>
  <c r="V786" i="1" s="1"/>
  <c r="W786" i="1" s="1"/>
  <c r="T786" i="1" a="1"/>
  <c r="T786" i="1" s="1"/>
  <c r="S654" i="1" a="1"/>
  <c r="S654" i="1" s="1"/>
  <c r="T654" i="1" a="1"/>
  <c r="T654" i="1" s="1"/>
  <c r="S691" i="1" a="1"/>
  <c r="S691" i="1" s="1"/>
  <c r="V691" i="1" s="1"/>
  <c r="W691" i="1" s="1"/>
  <c r="T691" i="1" a="1"/>
  <c r="T691" i="1" s="1"/>
  <c r="S966" i="1" a="1"/>
  <c r="S966" i="1" s="1"/>
  <c r="T966" i="1" a="1"/>
  <c r="T966" i="1" s="1"/>
  <c r="S878" i="1" a="1"/>
  <c r="S878" i="1" s="1"/>
  <c r="T878" i="1" a="1"/>
  <c r="T878" i="1" s="1"/>
  <c r="S672" i="1" a="1"/>
  <c r="S672" i="1" s="1"/>
  <c r="T672" i="1" a="1"/>
  <c r="T672" i="1" s="1"/>
  <c r="S775" i="1" a="1"/>
  <c r="S775" i="1" s="1"/>
  <c r="T775" i="1" a="1"/>
  <c r="T775" i="1" s="1"/>
  <c r="S810" i="1" a="1"/>
  <c r="S810" i="1" s="1"/>
  <c r="T810" i="1" a="1"/>
  <c r="T810" i="1" s="1"/>
  <c r="S594" i="1" a="1"/>
  <c r="S594" i="1" s="1"/>
  <c r="V594" i="1" s="1"/>
  <c r="W594" i="1" s="1"/>
  <c r="T594" i="1" a="1"/>
  <c r="T594" i="1" s="1"/>
  <c r="S847" i="1" a="1"/>
  <c r="S847" i="1" s="1"/>
  <c r="T847" i="1" a="1"/>
  <c r="T847" i="1" s="1"/>
  <c r="S155" i="1" a="1"/>
  <c r="S155" i="1" s="1"/>
  <c r="V155" i="1" s="1"/>
  <c r="W155" i="1" s="1"/>
  <c r="T155" i="1" a="1"/>
  <c r="T155" i="1" s="1"/>
  <c r="S116" i="1" a="1"/>
  <c r="S116" i="1" s="1"/>
  <c r="T116" i="1" a="1"/>
  <c r="T116" i="1" s="1"/>
  <c r="S366" i="1" a="1"/>
  <c r="S366" i="1" s="1"/>
  <c r="V366" i="1" s="1"/>
  <c r="W366" i="1" s="1"/>
  <c r="T366" i="1" a="1"/>
  <c r="T366" i="1" s="1"/>
  <c r="S538" i="1" a="1"/>
  <c r="S538" i="1" s="1"/>
  <c r="T538" i="1" a="1"/>
  <c r="T538" i="1" s="1"/>
  <c r="S263" i="1" a="1"/>
  <c r="S263" i="1" s="1"/>
  <c r="V263" i="1" s="1"/>
  <c r="W263" i="1" s="1"/>
  <c r="T263" i="1" a="1"/>
  <c r="T263" i="1" s="1"/>
  <c r="S15" i="1" a="1"/>
  <c r="S15" i="1" s="1"/>
  <c r="T15" i="1" a="1"/>
  <c r="T15" i="1" s="1"/>
  <c r="S920" i="1" a="1"/>
  <c r="S920" i="1" s="1"/>
  <c r="V920" i="1" s="1"/>
  <c r="W920" i="1" s="1"/>
  <c r="T920" i="1" a="1"/>
  <c r="T920" i="1" s="1"/>
  <c r="S854" i="1" a="1"/>
  <c r="S854" i="1" s="1"/>
  <c r="T854" i="1" a="1"/>
  <c r="T854" i="1" s="1"/>
  <c r="S631" i="1" a="1"/>
  <c r="S631" i="1" s="1"/>
  <c r="V631" i="1" s="1"/>
  <c r="W631" i="1" s="1"/>
  <c r="T631" i="1" a="1"/>
  <c r="T631" i="1" s="1"/>
  <c r="S127" i="1" a="1"/>
  <c r="S127" i="1" s="1"/>
  <c r="T127" i="1" a="1"/>
  <c r="T127" i="1" s="1"/>
  <c r="S167" i="1" a="1"/>
  <c r="S167" i="1" s="1"/>
  <c r="V167" i="1" s="1"/>
  <c r="W167" i="1" s="1"/>
  <c r="T167" i="1" a="1"/>
  <c r="T167" i="1" s="1"/>
  <c r="S224" i="1" a="1"/>
  <c r="S224" i="1" s="1"/>
  <c r="T224" i="1" a="1"/>
  <c r="T224" i="1" s="1"/>
  <c r="S823" i="1" a="1"/>
  <c r="S823" i="1" s="1"/>
  <c r="V823" i="1" s="1"/>
  <c r="W823" i="1" s="1"/>
  <c r="T823" i="1" a="1"/>
  <c r="T823" i="1" s="1"/>
  <c r="S867" i="1" a="1"/>
  <c r="S867" i="1" s="1"/>
  <c r="T867" i="1" a="1"/>
  <c r="T867" i="1" s="1"/>
  <c r="S906" i="1" a="1"/>
  <c r="S906" i="1" s="1"/>
  <c r="V906" i="1" s="1"/>
  <c r="W906" i="1" s="1"/>
  <c r="T906" i="1" a="1"/>
  <c r="T906" i="1" s="1"/>
  <c r="S130" i="1" a="1"/>
  <c r="S130" i="1" s="1"/>
  <c r="T130" i="1" a="1"/>
  <c r="T130" i="1" s="1"/>
  <c r="S365" i="1" a="1"/>
  <c r="S365" i="1" s="1"/>
  <c r="V365" i="1" s="1"/>
  <c r="W365" i="1" s="1"/>
  <c r="T365" i="1" a="1"/>
  <c r="T365" i="1" s="1"/>
  <c r="S955" i="1" a="1"/>
  <c r="S955" i="1" s="1"/>
  <c r="T955" i="1" a="1"/>
  <c r="T955" i="1" s="1"/>
  <c r="S680" i="1" a="1"/>
  <c r="S680" i="1" s="1"/>
  <c r="T680" i="1" a="1"/>
  <c r="T680" i="1" s="1"/>
  <c r="S104" i="1" a="1"/>
  <c r="S104" i="1" s="1"/>
  <c r="V104" i="1" s="1"/>
  <c r="W104" i="1" s="1"/>
  <c r="T104" i="1" a="1"/>
  <c r="T104" i="1" s="1"/>
  <c r="S307" i="1" a="1"/>
  <c r="S307" i="1" s="1"/>
  <c r="V307" i="1" s="1"/>
  <c r="W307" i="1" s="1"/>
  <c r="T307" i="1" a="1"/>
  <c r="T307" i="1" s="1"/>
  <c r="S492" i="1" a="1"/>
  <c r="S492" i="1" s="1"/>
  <c r="T492" i="1" a="1"/>
  <c r="T492" i="1" s="1"/>
  <c r="S25" i="1" a="1"/>
  <c r="S25" i="1" s="1"/>
  <c r="V25" i="1" s="1"/>
  <c r="W25" i="1" s="1"/>
  <c r="T25" i="1" a="1"/>
  <c r="T25" i="1" s="1"/>
  <c r="S499" i="1" a="1"/>
  <c r="S499" i="1" s="1"/>
  <c r="T499" i="1" a="1"/>
  <c r="T499" i="1" s="1"/>
  <c r="S983" i="1" a="1"/>
  <c r="S983" i="1" s="1"/>
  <c r="V983" i="1" s="1"/>
  <c r="W983" i="1" s="1"/>
  <c r="T983" i="1" a="1"/>
  <c r="T983" i="1" s="1"/>
  <c r="S844" i="1" a="1"/>
  <c r="S844" i="1" s="1"/>
  <c r="T844" i="1" a="1"/>
  <c r="T844" i="1" s="1"/>
  <c r="S215" i="1" a="1"/>
  <c r="S215" i="1" s="1"/>
  <c r="V215" i="1" s="1"/>
  <c r="W215" i="1" s="1"/>
  <c r="T215" i="1" a="1"/>
  <c r="T215" i="1" s="1"/>
  <c r="S311" i="1" a="1"/>
  <c r="S311" i="1" s="1"/>
  <c r="T311" i="1" a="1"/>
  <c r="T311" i="1" s="1"/>
  <c r="S951" i="1" a="1"/>
  <c r="S951" i="1" s="1"/>
  <c r="T951" i="1" a="1"/>
  <c r="T951" i="1" s="1"/>
  <c r="S173" i="1" a="1"/>
  <c r="S173" i="1" s="1"/>
  <c r="V173" i="1" s="1"/>
  <c r="W173" i="1" s="1"/>
  <c r="T173" i="1" a="1"/>
  <c r="T173" i="1" s="1"/>
  <c r="S101" i="1" a="1"/>
  <c r="S101" i="1" s="1"/>
  <c r="V101" i="1" s="1"/>
  <c r="W101" i="1" s="1"/>
  <c r="T101" i="1" a="1"/>
  <c r="T101" i="1" s="1"/>
  <c r="S13" i="1" a="1"/>
  <c r="S13" i="1" s="1"/>
  <c r="T13" i="1" a="1"/>
  <c r="T13" i="1" s="1"/>
  <c r="S52" i="1" a="1"/>
  <c r="S52" i="1" s="1"/>
  <c r="V52" i="1" s="1"/>
  <c r="W52" i="1" s="1"/>
  <c r="T52" i="1" a="1"/>
  <c r="T52" i="1" s="1"/>
  <c r="S304" i="1" a="1"/>
  <c r="S304" i="1" s="1"/>
  <c r="T304" i="1" a="1"/>
  <c r="T304" i="1" s="1"/>
  <c r="S460" i="1" a="1"/>
  <c r="S460" i="1" s="1"/>
  <c r="V460" i="1" s="1"/>
  <c r="W460" i="1" s="1"/>
  <c r="T460" i="1" a="1"/>
  <c r="T460" i="1" s="1"/>
  <c r="T4" i="1" a="1"/>
  <c r="T4" i="1" s="1"/>
  <c r="S376" i="1" a="1"/>
  <c r="S376" i="1" s="1"/>
  <c r="V376" i="1" s="1"/>
  <c r="W376" i="1" s="1"/>
  <c r="T376" i="1" a="1"/>
  <c r="T376" i="1" s="1"/>
  <c r="S241" i="1" a="1"/>
  <c r="S241" i="1" s="1"/>
  <c r="V241" i="1" s="1"/>
  <c r="W241" i="1" s="1"/>
  <c r="T241" i="1" a="1"/>
  <c r="T241" i="1" s="1"/>
  <c r="S131" i="1" a="1"/>
  <c r="S131" i="1" s="1"/>
  <c r="V131" i="1" s="1"/>
  <c r="W131" i="1" s="1"/>
  <c r="T131" i="1" a="1"/>
  <c r="T131" i="1" s="1"/>
  <c r="S956" i="1" a="1"/>
  <c r="S956" i="1" s="1"/>
  <c r="T956" i="1" a="1"/>
  <c r="T956" i="1" s="1"/>
  <c r="S981" i="1" a="1"/>
  <c r="S981" i="1" s="1"/>
  <c r="V981" i="1" s="1"/>
  <c r="W981" i="1" s="1"/>
  <c r="T981" i="1" a="1"/>
  <c r="T981" i="1" s="1"/>
  <c r="S226" i="1" a="1"/>
  <c r="S226" i="1" s="1"/>
  <c r="T226" i="1" a="1"/>
  <c r="T226" i="1" s="1"/>
  <c r="S806" i="1" a="1"/>
  <c r="S806" i="1" s="1"/>
  <c r="V806" i="1" s="1"/>
  <c r="W806" i="1" s="1"/>
  <c r="T806" i="1" a="1"/>
  <c r="T806" i="1" s="1"/>
  <c r="S990" i="1" a="1"/>
  <c r="S990" i="1" s="1"/>
  <c r="T990" i="1" a="1"/>
  <c r="T990" i="1" s="1"/>
  <c r="S774" i="1" a="1"/>
  <c r="S774" i="1" s="1"/>
  <c r="V774" i="1" s="1"/>
  <c r="W774" i="1" s="1"/>
  <c r="T774" i="1" a="1"/>
  <c r="T774" i="1" s="1"/>
  <c r="S355" i="1" a="1"/>
  <c r="S355" i="1" s="1"/>
  <c r="V355" i="1" s="1"/>
  <c r="W355" i="1" s="1"/>
  <c r="T355" i="1" a="1"/>
  <c r="T355" i="1" s="1"/>
  <c r="S393" i="1" a="1"/>
  <c r="S393" i="1" s="1"/>
  <c r="V393" i="1" s="1"/>
  <c r="W393" i="1" s="1"/>
  <c r="T393" i="1" a="1"/>
  <c r="T393" i="1" s="1"/>
  <c r="S118" i="1" a="1"/>
  <c r="S118" i="1" s="1"/>
  <c r="V118" i="1" s="1"/>
  <c r="W118" i="1" s="1"/>
  <c r="T118" i="1" a="1"/>
  <c r="T118" i="1" s="1"/>
  <c r="S969" i="1" a="1"/>
  <c r="S969" i="1" s="1"/>
  <c r="V969" i="1" s="1"/>
  <c r="W969" i="1" s="1"/>
  <c r="T969" i="1" a="1"/>
  <c r="T969" i="1" s="1"/>
  <c r="S706" i="1" a="1"/>
  <c r="S706" i="1" s="1"/>
  <c r="V706" i="1" s="1"/>
  <c r="W706" i="1" s="1"/>
  <c r="T706" i="1" a="1"/>
  <c r="T706" i="1" s="1"/>
  <c r="S619" i="1" a="1"/>
  <c r="S619" i="1" s="1"/>
  <c r="V619" i="1" s="1"/>
  <c r="W619" i="1" s="1"/>
  <c r="T619" i="1" a="1"/>
  <c r="T619" i="1" s="1"/>
  <c r="S822" i="1" a="1"/>
  <c r="S822" i="1" s="1"/>
  <c r="V822" i="1" s="1"/>
  <c r="W822" i="1" s="1"/>
  <c r="T822" i="1" a="1"/>
  <c r="T822" i="1" s="1"/>
  <c r="S411" i="1" a="1"/>
  <c r="S411" i="1" s="1"/>
  <c r="V411" i="1" s="1"/>
  <c r="W411" i="1" s="1"/>
  <c r="T411" i="1" a="1"/>
  <c r="T411" i="1" s="1"/>
  <c r="S530" i="1" a="1"/>
  <c r="S530" i="1" s="1"/>
  <c r="V530" i="1" s="1"/>
  <c r="W530" i="1" s="1"/>
  <c r="T530" i="1" a="1"/>
  <c r="T530" i="1" s="1"/>
  <c r="S375" i="1" a="1"/>
  <c r="S375" i="1" s="1"/>
  <c r="V375" i="1" s="1"/>
  <c r="W375" i="1" s="1"/>
  <c r="T375" i="1" a="1"/>
  <c r="T375" i="1" s="1"/>
  <c r="S918" i="1" a="1"/>
  <c r="S918" i="1" s="1"/>
  <c r="V918" i="1" s="1"/>
  <c r="W918" i="1" s="1"/>
  <c r="T918" i="1" a="1"/>
  <c r="T918" i="1" s="1"/>
  <c r="S722" i="1" a="1"/>
  <c r="S722" i="1" s="1"/>
  <c r="V722" i="1" s="1"/>
  <c r="W722" i="1" s="1"/>
  <c r="T722" i="1" a="1"/>
  <c r="T722" i="1" s="1"/>
  <c r="S146" i="1" a="1"/>
  <c r="S146" i="1" s="1"/>
  <c r="V146" i="1" s="1"/>
  <c r="W146" i="1" s="1"/>
  <c r="T146" i="1" a="1"/>
  <c r="T146" i="1" s="1"/>
  <c r="S417" i="1" a="1"/>
  <c r="S417" i="1" s="1"/>
  <c r="V417" i="1" s="1"/>
  <c r="W417" i="1" s="1"/>
  <c r="T417" i="1" a="1"/>
  <c r="T417" i="1" s="1"/>
  <c r="S358" i="1" a="1"/>
  <c r="S358" i="1" s="1"/>
  <c r="V358" i="1" s="1"/>
  <c r="W358" i="1" s="1"/>
  <c r="T358" i="1" a="1"/>
  <c r="T358" i="1" s="1"/>
  <c r="S473" i="1" a="1"/>
  <c r="S473" i="1" s="1"/>
  <c r="V473" i="1" s="1"/>
  <c r="W473" i="1" s="1"/>
  <c r="T473" i="1" a="1"/>
  <c r="T473" i="1" s="1"/>
  <c r="S450" i="1" a="1"/>
  <c r="S450" i="1" s="1"/>
  <c r="V450" i="1" s="1"/>
  <c r="W450" i="1" s="1"/>
  <c r="T450" i="1" a="1"/>
  <c r="T450" i="1" s="1"/>
  <c r="S688" i="1" a="1"/>
  <c r="S688" i="1" s="1"/>
  <c r="V688" i="1" s="1"/>
  <c r="W688" i="1" s="1"/>
  <c r="T688" i="1" a="1"/>
  <c r="T688" i="1" s="1"/>
  <c r="S857" i="1" a="1"/>
  <c r="S857" i="1" s="1"/>
  <c r="V857" i="1" s="1"/>
  <c r="W857" i="1" s="1"/>
  <c r="T857" i="1" a="1"/>
  <c r="T857" i="1" s="1"/>
  <c r="S190" i="1" a="1"/>
  <c r="S190" i="1" s="1"/>
  <c r="V190" i="1" s="1"/>
  <c r="W190" i="1" s="1"/>
  <c r="T190" i="1" a="1"/>
  <c r="T190" i="1" s="1"/>
  <c r="S558" i="1" a="1"/>
  <c r="S558" i="1" s="1"/>
  <c r="T558" i="1" a="1"/>
  <c r="T558" i="1" s="1"/>
  <c r="S790" i="1" a="1"/>
  <c r="S790" i="1" s="1"/>
  <c r="V790" i="1" s="1"/>
  <c r="W790" i="1" s="1"/>
  <c r="T790" i="1" a="1"/>
  <c r="T790" i="1" s="1"/>
  <c r="S897" i="1" a="1"/>
  <c r="S897" i="1" s="1"/>
  <c r="V897" i="1" s="1"/>
  <c r="W897" i="1" s="1"/>
  <c r="T897" i="1" a="1"/>
  <c r="T897" i="1" s="1"/>
  <c r="S114" i="1" a="1"/>
  <c r="S114" i="1" s="1"/>
  <c r="V114" i="1" s="1"/>
  <c r="W114" i="1" s="1"/>
  <c r="T114" i="1" a="1"/>
  <c r="T114" i="1" s="1"/>
  <c r="S352" i="1" a="1"/>
  <c r="S352" i="1" s="1"/>
  <c r="T352" i="1" a="1"/>
  <c r="T352" i="1" s="1"/>
  <c r="S242" i="1" a="1"/>
  <c r="S242" i="1" s="1"/>
  <c r="V242" i="1" s="1"/>
  <c r="W242" i="1" s="1"/>
  <c r="T242" i="1" a="1"/>
  <c r="T242" i="1" s="1"/>
  <c r="S570" i="1" a="1"/>
  <c r="S570" i="1" s="1"/>
  <c r="V570" i="1" s="1"/>
  <c r="W570" i="1" s="1"/>
  <c r="T570" i="1" a="1"/>
  <c r="T570" i="1" s="1"/>
  <c r="S577" i="1" a="1"/>
  <c r="S577" i="1" s="1"/>
  <c r="V577" i="1" s="1"/>
  <c r="W577" i="1" s="1"/>
  <c r="T577" i="1" a="1"/>
  <c r="T577" i="1" s="1"/>
  <c r="S264" i="1" a="1"/>
  <c r="S264" i="1" s="1"/>
  <c r="V264" i="1" s="1"/>
  <c r="W264" i="1" s="1"/>
  <c r="T264" i="1" a="1"/>
  <c r="T264" i="1" s="1"/>
  <c r="S82" i="1" a="1"/>
  <c r="S82" i="1" s="1"/>
  <c r="V82" i="1" s="1"/>
  <c r="W82" i="1" s="1"/>
  <c r="T82" i="1" a="1"/>
  <c r="T82" i="1" s="1"/>
  <c r="S986" i="1" a="1"/>
  <c r="S986" i="1" s="1"/>
  <c r="V986" i="1" s="1"/>
  <c r="W986" i="1" s="1"/>
  <c r="T986" i="1" a="1"/>
  <c r="T986" i="1" s="1"/>
  <c r="S272" i="1" a="1"/>
  <c r="S272" i="1" s="1"/>
  <c r="V272" i="1" s="1"/>
  <c r="W272" i="1" s="1"/>
  <c r="T272" i="1" a="1"/>
  <c r="T272" i="1" s="1"/>
  <c r="S643" i="1" a="1"/>
  <c r="S643" i="1" s="1"/>
  <c r="V643" i="1" s="1"/>
  <c r="W643" i="1" s="1"/>
  <c r="T643" i="1" a="1"/>
  <c r="T643" i="1" s="1"/>
  <c r="S553" i="1" a="1"/>
  <c r="S553" i="1" s="1"/>
  <c r="V553" i="1" s="1"/>
  <c r="W553" i="1" s="1"/>
  <c r="T553" i="1" a="1"/>
  <c r="T553" i="1" s="1"/>
  <c r="S772" i="1" a="1"/>
  <c r="S772" i="1" s="1"/>
  <c r="V772" i="1" s="1"/>
  <c r="W772" i="1" s="1"/>
  <c r="T772" i="1" a="1"/>
  <c r="T772" i="1" s="1"/>
  <c r="S974" i="1" a="1"/>
  <c r="S974" i="1" s="1"/>
  <c r="V974" i="1" s="1"/>
  <c r="W974" i="1" s="1"/>
  <c r="T974" i="1" a="1"/>
  <c r="T974" i="1" s="1"/>
  <c r="S999" i="1" a="1"/>
  <c r="S999" i="1" s="1"/>
  <c r="V999" i="1" s="1"/>
  <c r="W999" i="1" s="1"/>
  <c r="T999" i="1" a="1"/>
  <c r="T999" i="1" s="1"/>
  <c r="S923" i="1" a="1"/>
  <c r="S923" i="1" s="1"/>
  <c r="V923" i="1" s="1"/>
  <c r="W923" i="1" s="1"/>
  <c r="T923" i="1" a="1"/>
  <c r="T923" i="1" s="1"/>
  <c r="S800" i="1" a="1"/>
  <c r="S800" i="1" s="1"/>
  <c r="T800" i="1" a="1"/>
  <c r="T800" i="1" s="1"/>
  <c r="S753" i="1" a="1"/>
  <c r="S753" i="1" s="1"/>
  <c r="V753" i="1" s="1"/>
  <c r="W753" i="1" s="1"/>
  <c r="T753" i="1" a="1"/>
  <c r="T753" i="1" s="1"/>
  <c r="S873" i="1" a="1"/>
  <c r="S873" i="1" s="1"/>
  <c r="V873" i="1" s="1"/>
  <c r="W873" i="1" s="1"/>
  <c r="T873" i="1" a="1"/>
  <c r="T873" i="1" s="1"/>
  <c r="S752" i="1" a="1"/>
  <c r="S752" i="1" s="1"/>
  <c r="V752" i="1" s="1"/>
  <c r="W752" i="1" s="1"/>
  <c r="T752" i="1" a="1"/>
  <c r="T752" i="1" s="1"/>
  <c r="S422" i="1" a="1"/>
  <c r="S422" i="1" s="1"/>
  <c r="V422" i="1" s="1"/>
  <c r="W422" i="1" s="1"/>
  <c r="T422" i="1" a="1"/>
  <c r="T422" i="1" s="1"/>
  <c r="S178" i="1" a="1"/>
  <c r="S178" i="1" s="1"/>
  <c r="V178" i="1" s="1"/>
  <c r="W178" i="1" s="1"/>
  <c r="T178" i="1" a="1"/>
  <c r="T178" i="1" s="1"/>
  <c r="S564" i="1" a="1"/>
  <c r="S564" i="1" s="1"/>
  <c r="V564" i="1" s="1"/>
  <c r="W564" i="1" s="1"/>
  <c r="T564" i="1" a="1"/>
  <c r="T564" i="1" s="1"/>
  <c r="S42" i="1" a="1"/>
  <c r="S42" i="1" s="1"/>
  <c r="V42" i="1" s="1"/>
  <c r="W42" i="1" s="1"/>
  <c r="T42" i="1" a="1"/>
  <c r="T42" i="1" s="1"/>
  <c r="S505" i="1" a="1"/>
  <c r="S505" i="1" s="1"/>
  <c r="V505" i="1" s="1"/>
  <c r="W505" i="1" s="1"/>
  <c r="T505" i="1" a="1"/>
  <c r="T505" i="1" s="1"/>
  <c r="S298" i="1" a="1"/>
  <c r="S298" i="1" s="1"/>
  <c r="V298" i="1" s="1"/>
  <c r="W298" i="1" s="1"/>
  <c r="T298" i="1" a="1"/>
  <c r="T298" i="1" s="1"/>
  <c r="S826" i="1" a="1"/>
  <c r="S826" i="1" s="1"/>
  <c r="T826" i="1" a="1"/>
  <c r="T826" i="1" s="1"/>
  <c r="S506" i="1" a="1"/>
  <c r="S506" i="1" s="1"/>
  <c r="V506" i="1" s="1"/>
  <c r="W506" i="1" s="1"/>
  <c r="T506" i="1" a="1"/>
  <c r="T506" i="1" s="1"/>
  <c r="S905" i="1" a="1"/>
  <c r="S905" i="1" s="1"/>
  <c r="V905" i="1" s="1"/>
  <c r="W905" i="1" s="1"/>
  <c r="T905" i="1" a="1"/>
  <c r="T905" i="1" s="1"/>
  <c r="S457" i="1" a="1"/>
  <c r="S457" i="1" s="1"/>
  <c r="V457" i="1" s="1"/>
  <c r="W457" i="1" s="1"/>
  <c r="T457" i="1" a="1"/>
  <c r="T457" i="1" s="1"/>
  <c r="S623" i="1" a="1"/>
  <c r="S623" i="1" s="1"/>
  <c r="V623" i="1" s="1"/>
  <c r="W623" i="1" s="1"/>
  <c r="T623" i="1" a="1"/>
  <c r="T623" i="1" s="1"/>
  <c r="S339" i="1" a="1"/>
  <c r="S339" i="1" s="1"/>
  <c r="V339" i="1" s="1"/>
  <c r="W339" i="1" s="1"/>
  <c r="T339" i="1" a="1"/>
  <c r="T339" i="1" s="1"/>
  <c r="S79" i="1" a="1"/>
  <c r="S79" i="1" s="1"/>
  <c r="T79" i="1" a="1"/>
  <c r="T79" i="1" s="1"/>
  <c r="S488" i="1" a="1"/>
  <c r="S488" i="1" s="1"/>
  <c r="V488" i="1" s="1"/>
  <c r="W488" i="1" s="1"/>
  <c r="T488" i="1" a="1"/>
  <c r="T488" i="1" s="1"/>
  <c r="S214" i="1" a="1"/>
  <c r="S214" i="1" s="1"/>
  <c r="V214" i="1" s="1"/>
  <c r="W214" i="1" s="1"/>
  <c r="T214" i="1" a="1"/>
  <c r="T214" i="1" s="1"/>
  <c r="S10" i="1" a="1"/>
  <c r="S10" i="1" s="1"/>
  <c r="V10" i="1" s="1"/>
  <c r="W10" i="1" s="1"/>
  <c r="T10" i="1" a="1"/>
  <c r="T10" i="1" s="1"/>
  <c r="S474" i="1" a="1"/>
  <c r="S474" i="1" s="1"/>
  <c r="V474" i="1" s="1"/>
  <c r="W474" i="1" s="1"/>
  <c r="T474" i="1" a="1"/>
  <c r="T474" i="1" s="1"/>
  <c r="S394" i="1" a="1"/>
  <c r="S394" i="1" s="1"/>
  <c r="V394" i="1" s="1"/>
  <c r="W394" i="1" s="1"/>
  <c r="T394" i="1" a="1"/>
  <c r="T394" i="1" s="1"/>
  <c r="S889" i="1" a="1"/>
  <c r="S889" i="1" s="1"/>
  <c r="V889" i="1" s="1"/>
  <c r="W889" i="1" s="1"/>
  <c r="T889" i="1" a="1"/>
  <c r="T889" i="1" s="1"/>
  <c r="S532" i="1" a="1"/>
  <c r="S532" i="1" s="1"/>
  <c r="V532" i="1" s="1"/>
  <c r="W532" i="1" s="1"/>
  <c r="T532" i="1" a="1"/>
  <c r="T532" i="1" s="1"/>
  <c r="S551" i="1" a="1"/>
  <c r="S551" i="1" s="1"/>
  <c r="V551" i="1" s="1"/>
  <c r="W551" i="1" s="1"/>
  <c r="T551" i="1" a="1"/>
  <c r="T551" i="1" s="1"/>
  <c r="S407" i="1" a="1"/>
  <c r="S407" i="1" s="1"/>
  <c r="V407" i="1" s="1"/>
  <c r="W407" i="1" s="1"/>
  <c r="T407" i="1" a="1"/>
  <c r="T407" i="1" s="1"/>
  <c r="S206" i="1" a="1"/>
  <c r="S206" i="1" s="1"/>
  <c r="V206" i="1" s="1"/>
  <c r="W206" i="1" s="1"/>
  <c r="T206" i="1" a="1"/>
  <c r="T206" i="1" s="1"/>
  <c r="S491" i="1" a="1"/>
  <c r="S491" i="1" s="1"/>
  <c r="V491" i="1" s="1"/>
  <c r="W491" i="1" s="1"/>
  <c r="T491" i="1" a="1"/>
  <c r="T491" i="1" s="1"/>
  <c r="S625" i="1" a="1"/>
  <c r="S625" i="1" s="1"/>
  <c r="V625" i="1" s="1"/>
  <c r="W625" i="1" s="1"/>
  <c r="T625" i="1" a="1"/>
  <c r="T625" i="1" s="1"/>
  <c r="S370" i="1" a="1"/>
  <c r="S370" i="1" s="1"/>
  <c r="V370" i="1" s="1"/>
  <c r="W370" i="1" s="1"/>
  <c r="T370" i="1" a="1"/>
  <c r="T370" i="1" s="1"/>
  <c r="S694" i="1" a="1"/>
  <c r="S694" i="1" s="1"/>
  <c r="V694" i="1" s="1"/>
  <c r="W694" i="1" s="1"/>
  <c r="T694" i="1" a="1"/>
  <c r="T694" i="1" s="1"/>
  <c r="S638" i="1" a="1"/>
  <c r="S638" i="1" s="1"/>
  <c r="V638" i="1" s="1"/>
  <c r="W638" i="1" s="1"/>
  <c r="T638" i="1" a="1"/>
  <c r="T638" i="1" s="1"/>
  <c r="S991" i="1" a="1"/>
  <c r="S991" i="1" s="1"/>
  <c r="T991" i="1" a="1"/>
  <c r="T991" i="1" s="1"/>
  <c r="S939" i="1" a="1"/>
  <c r="S939" i="1" s="1"/>
  <c r="V939" i="1" s="1"/>
  <c r="W939" i="1" s="1"/>
  <c r="T939" i="1" a="1"/>
  <c r="T939" i="1" s="1"/>
  <c r="S789" i="1" a="1"/>
  <c r="S789" i="1" s="1"/>
  <c r="V789" i="1" s="1"/>
  <c r="W789" i="1" s="1"/>
  <c r="T789" i="1" a="1"/>
  <c r="T789" i="1" s="1"/>
  <c r="S368" i="1" a="1"/>
  <c r="S368" i="1" s="1"/>
  <c r="V368" i="1" s="1"/>
  <c r="W368" i="1" s="1"/>
  <c r="T368" i="1" a="1"/>
  <c r="T368" i="1" s="1"/>
  <c r="S409" i="1" a="1"/>
  <c r="S409" i="1" s="1"/>
  <c r="V409" i="1" s="1"/>
  <c r="W409" i="1" s="1"/>
  <c r="T409" i="1" a="1"/>
  <c r="T409" i="1" s="1"/>
  <c r="S650" i="1" a="1"/>
  <c r="S650" i="1" s="1"/>
  <c r="V650" i="1" s="1"/>
  <c r="W650" i="1" s="1"/>
  <c r="T650" i="1" a="1"/>
  <c r="T650" i="1" s="1"/>
  <c r="S620" i="1" a="1"/>
  <c r="S620" i="1" s="1"/>
  <c r="V620" i="1" s="1"/>
  <c r="W620" i="1" s="1"/>
  <c r="T620" i="1" a="1"/>
  <c r="T620" i="1" s="1"/>
  <c r="S626" i="1" a="1"/>
  <c r="S626" i="1" s="1"/>
  <c r="V626" i="1" s="1"/>
  <c r="W626" i="1" s="1"/>
  <c r="T626" i="1" a="1"/>
  <c r="T626" i="1" s="1"/>
  <c r="S378" i="1" a="1"/>
  <c r="S378" i="1" s="1"/>
  <c r="V378" i="1" s="1"/>
  <c r="W378" i="1" s="1"/>
  <c r="T378" i="1" a="1"/>
  <c r="T378" i="1" s="1"/>
  <c r="S829" i="1" a="1"/>
  <c r="S829" i="1" s="1"/>
  <c r="V829" i="1" s="1"/>
  <c r="W829" i="1" s="1"/>
  <c r="T829" i="1" a="1"/>
  <c r="T829" i="1" s="1"/>
  <c r="S186" i="1" a="1"/>
  <c r="S186" i="1" s="1"/>
  <c r="V186" i="1" s="1"/>
  <c r="W186" i="1" s="1"/>
  <c r="T186" i="1" a="1"/>
  <c r="T186" i="1" s="1"/>
  <c r="S86" i="1" a="1"/>
  <c r="S86" i="1" s="1"/>
  <c r="V86" i="1" s="1"/>
  <c r="W86" i="1" s="1"/>
  <c r="T86" i="1" a="1"/>
  <c r="T86" i="1" s="1"/>
  <c r="S83" i="1" a="1"/>
  <c r="S83" i="1" s="1"/>
  <c r="V83" i="1" s="1"/>
  <c r="W83" i="1" s="1"/>
  <c r="T83" i="1" a="1"/>
  <c r="T83" i="1" s="1"/>
  <c r="S692" i="1" a="1"/>
  <c r="S692" i="1" s="1"/>
  <c r="V692" i="1" s="1"/>
  <c r="W692" i="1" s="1"/>
  <c r="T692" i="1" a="1"/>
  <c r="T692" i="1" s="1"/>
  <c r="S900" i="1" a="1"/>
  <c r="S900" i="1" s="1"/>
  <c r="V900" i="1" s="1"/>
  <c r="W900" i="1" s="1"/>
  <c r="T900" i="1" a="1"/>
  <c r="T900" i="1" s="1"/>
  <c r="S105" i="1" a="1"/>
  <c r="S105" i="1" s="1"/>
  <c r="V105" i="1" s="1"/>
  <c r="W105" i="1" s="1"/>
  <c r="T105" i="1" a="1"/>
  <c r="T105" i="1" s="1"/>
  <c r="S452" i="1" a="1"/>
  <c r="S452" i="1" s="1"/>
  <c r="V452" i="1" s="1"/>
  <c r="W452" i="1" s="1"/>
  <c r="T452" i="1" a="1"/>
  <c r="T452" i="1" s="1"/>
  <c r="S135" i="1" a="1"/>
  <c r="S135" i="1" s="1"/>
  <c r="V135" i="1" s="1"/>
  <c r="W135" i="1" s="1"/>
  <c r="T135" i="1" a="1"/>
  <c r="T135" i="1" s="1"/>
  <c r="S518" i="1" a="1"/>
  <c r="S518" i="1" s="1"/>
  <c r="V518" i="1" s="1"/>
  <c r="W518" i="1" s="1"/>
  <c r="T518" i="1" a="1"/>
  <c r="T518" i="1" s="1"/>
  <c r="S400" i="1" a="1"/>
  <c r="S400" i="1" s="1"/>
  <c r="V400" i="1" s="1"/>
  <c r="W400" i="1" s="1"/>
  <c r="T400" i="1" a="1"/>
  <c r="T400" i="1" s="1"/>
  <c r="S137" i="1" a="1"/>
  <c r="S137" i="1" s="1"/>
  <c r="V137" i="1" s="1"/>
  <c r="W137" i="1" s="1"/>
  <c r="T137" i="1" a="1"/>
  <c r="T137" i="1" s="1"/>
  <c r="S102" i="1" a="1"/>
  <c r="S102" i="1" s="1"/>
  <c r="V102" i="1" s="1"/>
  <c r="W102" i="1" s="1"/>
  <c r="T102" i="1" a="1"/>
  <c r="T102" i="1" s="1"/>
  <c r="S361" i="1" a="1"/>
  <c r="S361" i="1" s="1"/>
  <c r="V361" i="1" s="1"/>
  <c r="W361" i="1" s="1"/>
  <c r="T361" i="1" a="1"/>
  <c r="T361" i="1" s="1"/>
  <c r="S814" i="1" a="1"/>
  <c r="S814" i="1" s="1"/>
  <c r="V814" i="1" s="1"/>
  <c r="W814" i="1" s="1"/>
  <c r="T814" i="1" a="1"/>
  <c r="T814" i="1" s="1"/>
  <c r="S181" i="1" a="1"/>
  <c r="S181" i="1" s="1"/>
  <c r="V181" i="1" s="1"/>
  <c r="W181" i="1" s="1"/>
  <c r="T181" i="1" a="1"/>
  <c r="T181" i="1" s="1"/>
  <c r="S661" i="1" a="1"/>
  <c r="S661" i="1" s="1"/>
  <c r="V661" i="1" s="1"/>
  <c r="W661" i="1" s="1"/>
  <c r="T661" i="1" a="1"/>
  <c r="T661" i="1" s="1"/>
  <c r="S552" i="1" a="1"/>
  <c r="S552" i="1" s="1"/>
  <c r="V552" i="1" s="1"/>
  <c r="W552" i="1" s="1"/>
  <c r="T552" i="1" a="1"/>
  <c r="T552" i="1" s="1"/>
  <c r="S381" i="1" a="1"/>
  <c r="S381" i="1" s="1"/>
  <c r="V381" i="1" s="1"/>
  <c r="W381" i="1" s="1"/>
  <c r="T381" i="1" a="1"/>
  <c r="T381" i="1" s="1"/>
  <c r="S595" i="1" a="1"/>
  <c r="S595" i="1" s="1"/>
  <c r="V595" i="1" s="1"/>
  <c r="W595" i="1" s="1"/>
  <c r="T595" i="1" a="1"/>
  <c r="T595" i="1" s="1"/>
  <c r="S225" i="1" a="1"/>
  <c r="S225" i="1" s="1"/>
  <c r="V225" i="1" s="1"/>
  <c r="W225" i="1" s="1"/>
  <c r="T225" i="1" a="1"/>
  <c r="T225" i="1" s="1"/>
  <c r="S994" i="1" a="1"/>
  <c r="S994" i="1" s="1"/>
  <c r="V994" i="1" s="1"/>
  <c r="W994" i="1" s="1"/>
  <c r="T994" i="1" a="1"/>
  <c r="T994" i="1" s="1"/>
  <c r="S222" i="1" a="1"/>
  <c r="S222" i="1" s="1"/>
  <c r="V222" i="1" s="1"/>
  <c r="W222" i="1" s="1"/>
  <c r="T222" i="1" a="1"/>
  <c r="T222" i="1" s="1"/>
  <c r="S526" i="1" a="1"/>
  <c r="S526" i="1" s="1"/>
  <c r="V526" i="1" s="1"/>
  <c r="W526" i="1" s="1"/>
  <c r="T526" i="1" a="1"/>
  <c r="T526" i="1" s="1"/>
  <c r="S62" i="1" a="1"/>
  <c r="S62" i="1" s="1"/>
  <c r="V62" i="1" s="1"/>
  <c r="W62" i="1" s="1"/>
  <c r="T62" i="1" a="1"/>
  <c r="T62" i="1" s="1"/>
  <c r="S850" i="1" a="1"/>
  <c r="S850" i="1" s="1"/>
  <c r="V850" i="1" s="1"/>
  <c r="W850" i="1" s="1"/>
  <c r="T850" i="1" a="1"/>
  <c r="T850" i="1" s="1"/>
  <c r="S442" i="1" a="1"/>
  <c r="S442" i="1" s="1"/>
  <c r="V442" i="1" s="1"/>
  <c r="W442" i="1" s="1"/>
  <c r="T442" i="1" a="1"/>
  <c r="T442" i="1" s="1"/>
  <c r="S765" i="1" a="1"/>
  <c r="S765" i="1" s="1"/>
  <c r="V765" i="1" s="1"/>
  <c r="W765" i="1" s="1"/>
  <c r="T765" i="1" a="1"/>
  <c r="T765" i="1" s="1"/>
  <c r="S662" i="1" a="1"/>
  <c r="S662" i="1" s="1"/>
  <c r="V662" i="1" s="1"/>
  <c r="W662" i="1" s="1"/>
  <c r="T662" i="1" a="1"/>
  <c r="T662" i="1" s="1"/>
  <c r="S267" i="1" a="1"/>
  <c r="S267" i="1" s="1"/>
  <c r="V267" i="1" s="1"/>
  <c r="W267" i="1" s="1"/>
  <c r="T267" i="1" a="1"/>
  <c r="T267" i="1" s="1"/>
  <c r="S6" i="1" a="1"/>
  <c r="S6" i="1" s="1"/>
  <c r="V6" i="1" s="1"/>
  <c r="W6" i="1" s="1"/>
  <c r="T6" i="1" a="1"/>
  <c r="T6" i="1" s="1"/>
  <c r="S306" i="1" a="1"/>
  <c r="S306" i="1" s="1"/>
  <c r="V306" i="1" s="1"/>
  <c r="W306" i="1" s="1"/>
  <c r="T306" i="1" a="1"/>
  <c r="T306" i="1" s="1"/>
  <c r="S547" i="1" a="1"/>
  <c r="S547" i="1" s="1"/>
  <c r="V547" i="1" s="1"/>
  <c r="W547" i="1" s="1"/>
  <c r="T547" i="1" a="1"/>
  <c r="T547" i="1" s="1"/>
  <c r="S337" i="1" a="1"/>
  <c r="S337" i="1" s="1"/>
  <c r="V337" i="1" s="1"/>
  <c r="W337" i="1" s="1"/>
  <c r="T337" i="1" a="1"/>
  <c r="T337" i="1" s="1"/>
  <c r="S462" i="1" a="1"/>
  <c r="S462" i="1" s="1"/>
  <c r="V462" i="1" s="1"/>
  <c r="W462" i="1" s="1"/>
  <c r="T462" i="1" a="1"/>
  <c r="T462" i="1" s="1"/>
  <c r="S439" i="1" a="1"/>
  <c r="S439" i="1" s="1"/>
  <c r="V439" i="1" s="1"/>
  <c r="W439" i="1" s="1"/>
  <c r="T439" i="1" a="1"/>
  <c r="T439" i="1" s="1"/>
  <c r="S169" i="1" a="1"/>
  <c r="S169" i="1" s="1"/>
  <c r="V169" i="1" s="1"/>
  <c r="W169" i="1" s="1"/>
  <c r="T169" i="1" a="1"/>
  <c r="T169" i="1" s="1"/>
  <c r="S275" i="1" a="1"/>
  <c r="S275" i="1" s="1"/>
  <c r="V275" i="1" s="1"/>
  <c r="W275" i="1" s="1"/>
  <c r="T275" i="1" a="1"/>
  <c r="T275" i="1" s="1"/>
  <c r="S827" i="1" a="1"/>
  <c r="S827" i="1" s="1"/>
  <c r="V827" i="1" s="1"/>
  <c r="W827" i="1" s="1"/>
  <c r="T827" i="1" a="1"/>
  <c r="T827" i="1" s="1"/>
  <c r="S869" i="1" a="1"/>
  <c r="S869" i="1" s="1"/>
  <c r="V869" i="1" s="1"/>
  <c r="W869" i="1" s="1"/>
  <c r="T869" i="1" a="1"/>
  <c r="T869" i="1" s="1"/>
  <c r="S500" i="1" a="1"/>
  <c r="S500" i="1" s="1"/>
  <c r="V500" i="1" s="1"/>
  <c r="W500" i="1" s="1"/>
  <c r="T500" i="1" a="1"/>
  <c r="T500" i="1" s="1"/>
  <c r="S286" i="1" a="1"/>
  <c r="S286" i="1" s="1"/>
  <c r="V286" i="1" s="1"/>
  <c r="W286" i="1" s="1"/>
  <c r="T286" i="1" a="1"/>
  <c r="T286" i="1" s="1"/>
  <c r="S985" i="1" a="1"/>
  <c r="S985" i="1" s="1"/>
  <c r="V985" i="1" s="1"/>
  <c r="W985" i="1" s="1"/>
  <c r="T985" i="1" a="1"/>
  <c r="T985" i="1" s="1"/>
  <c r="S50" i="1" a="1"/>
  <c r="S50" i="1" s="1"/>
  <c r="V50" i="1" s="1"/>
  <c r="W50" i="1" s="1"/>
  <c r="T50" i="1" a="1"/>
  <c r="T50" i="1" s="1"/>
  <c r="S855" i="1" a="1"/>
  <c r="S855" i="1" s="1"/>
  <c r="V855" i="1" s="1"/>
  <c r="W855" i="1" s="1"/>
  <c r="T855" i="1" a="1"/>
  <c r="T855" i="1" s="1"/>
  <c r="S237" i="1" a="1"/>
  <c r="S237" i="1" s="1"/>
  <c r="V237" i="1" s="1"/>
  <c r="W237" i="1" s="1"/>
  <c r="T237" i="1" a="1"/>
  <c r="T237" i="1" s="1"/>
  <c r="S811" i="1" a="1"/>
  <c r="S811" i="1" s="1"/>
  <c r="V811" i="1" s="1"/>
  <c r="W811" i="1" s="1"/>
  <c r="T811" i="1" a="1"/>
  <c r="T811" i="1" s="1"/>
  <c r="S550" i="1" a="1"/>
  <c r="S550" i="1" s="1"/>
  <c r="V550" i="1" s="1"/>
  <c r="W550" i="1" s="1"/>
  <c r="T550" i="1" a="1"/>
  <c r="T550" i="1" s="1"/>
  <c r="S840" i="1" a="1"/>
  <c r="S840" i="1" s="1"/>
  <c r="V840" i="1" s="1"/>
  <c r="W840" i="1" s="1"/>
  <c r="T840" i="1" a="1"/>
  <c r="T840" i="1" s="1"/>
  <c r="S63" i="1" a="1"/>
  <c r="S63" i="1" s="1"/>
  <c r="V63" i="1" s="1"/>
  <c r="W63" i="1" s="1"/>
  <c r="T63" i="1" a="1"/>
  <c r="T63" i="1" s="1"/>
  <c r="S484" i="1" a="1"/>
  <c r="S484" i="1" s="1"/>
  <c r="V484" i="1" s="1"/>
  <c r="W484" i="1" s="1"/>
  <c r="T484" i="1" a="1"/>
  <c r="T484" i="1" s="1"/>
  <c r="S615" i="1" a="1"/>
  <c r="S615" i="1" s="1"/>
  <c r="V615" i="1" s="1"/>
  <c r="W615" i="1" s="1"/>
  <c r="T615" i="1" a="1"/>
  <c r="T615" i="1" s="1"/>
  <c r="S180" i="1" a="1"/>
  <c r="S180" i="1" s="1"/>
  <c r="V180" i="1" s="1"/>
  <c r="W180" i="1" s="1"/>
  <c r="T180" i="1" a="1"/>
  <c r="T180" i="1" s="1"/>
  <c r="S257" i="1" a="1"/>
  <c r="S257" i="1" s="1"/>
  <c r="V257" i="1" s="1"/>
  <c r="W257" i="1" s="1"/>
  <c r="T257" i="1" a="1"/>
  <c r="T257" i="1" s="1"/>
  <c r="S415" i="1" a="1"/>
  <c r="S415" i="1" s="1"/>
  <c r="V415" i="1" s="1"/>
  <c r="W415" i="1" s="1"/>
  <c r="T415" i="1" a="1"/>
  <c r="T415" i="1" s="1"/>
  <c r="S964" i="1" a="1"/>
  <c r="S964" i="1" s="1"/>
  <c r="V964" i="1" s="1"/>
  <c r="W964" i="1" s="1"/>
  <c r="T964" i="1" a="1"/>
  <c r="T964" i="1" s="1"/>
  <c r="S68" i="1" a="1"/>
  <c r="S68" i="1" s="1"/>
  <c r="V68" i="1" s="1"/>
  <c r="W68" i="1" s="1"/>
  <c r="T68" i="1" a="1"/>
  <c r="T68" i="1" s="1"/>
  <c r="S749" i="1" a="1"/>
  <c r="S749" i="1" s="1"/>
  <c r="V749" i="1" s="1"/>
  <c r="W749" i="1" s="1"/>
  <c r="T749" i="1" a="1"/>
  <c r="T749" i="1" s="1"/>
  <c r="S876" i="1" a="1"/>
  <c r="S876" i="1" s="1"/>
  <c r="V876" i="1" s="1"/>
  <c r="W876" i="1" s="1"/>
  <c r="T876" i="1" a="1"/>
  <c r="T876" i="1" s="1"/>
  <c r="S566" i="1" a="1"/>
  <c r="S566" i="1" s="1"/>
  <c r="V566" i="1" s="1"/>
  <c r="W566" i="1" s="1"/>
  <c r="T566" i="1" a="1"/>
  <c r="T566" i="1" s="1"/>
  <c r="S947" i="1" a="1"/>
  <c r="S947" i="1" s="1"/>
  <c r="V947" i="1" s="1"/>
  <c r="W947" i="1" s="1"/>
  <c r="T947" i="1" a="1"/>
  <c r="T947" i="1" s="1"/>
  <c r="S144" i="1" a="1"/>
  <c r="S144" i="1" s="1"/>
  <c r="V144" i="1" s="1"/>
  <c r="W144" i="1" s="1"/>
  <c r="T144" i="1" a="1"/>
  <c r="T144" i="1" s="1"/>
  <c r="S646" i="1" a="1"/>
  <c r="S646" i="1" s="1"/>
  <c r="V646" i="1" s="1"/>
  <c r="W646" i="1" s="1"/>
  <c r="T646" i="1" a="1"/>
  <c r="T646" i="1" s="1"/>
  <c r="S44" i="1" a="1"/>
  <c r="S44" i="1" s="1"/>
  <c r="V44" i="1" s="1"/>
  <c r="W44" i="1" s="1"/>
  <c r="T44" i="1" a="1"/>
  <c r="T44" i="1" s="1"/>
  <c r="S48" i="1" a="1"/>
  <c r="S48" i="1" s="1"/>
  <c r="V48" i="1" s="1"/>
  <c r="W48" i="1" s="1"/>
  <c r="T48" i="1" a="1"/>
  <c r="T48" i="1" s="1"/>
  <c r="S357" i="1" a="1"/>
  <c r="S357" i="1" s="1"/>
  <c r="V357" i="1" s="1"/>
  <c r="W357" i="1" s="1"/>
  <c r="T357" i="1" a="1"/>
  <c r="T357" i="1" s="1"/>
  <c r="S420" i="1" a="1"/>
  <c r="S420" i="1" s="1"/>
  <c r="V420" i="1" s="1"/>
  <c r="W420" i="1" s="1"/>
  <c r="T420" i="1" a="1"/>
  <c r="T420" i="1" s="1"/>
  <c r="S9" i="1" a="1"/>
  <c r="S9" i="1" s="1"/>
  <c r="V9" i="1" s="1"/>
  <c r="W9" i="1" s="1"/>
  <c r="T9" i="1" a="1"/>
  <c r="T9" i="1" s="1"/>
  <c r="S276" i="1" a="1"/>
  <c r="S276" i="1" s="1"/>
  <c r="V276" i="1" s="1"/>
  <c r="W276" i="1" s="1"/>
  <c r="T276" i="1" a="1"/>
  <c r="T276" i="1" s="1"/>
  <c r="S395" i="1" a="1"/>
  <c r="S395" i="1" s="1"/>
  <c r="V395" i="1" s="1"/>
  <c r="W395" i="1" s="1"/>
  <c r="T395" i="1" a="1"/>
  <c r="T395" i="1" s="1"/>
  <c r="S438" i="1" a="1"/>
  <c r="S438" i="1" s="1"/>
  <c r="V438" i="1" s="1"/>
  <c r="W438" i="1" s="1"/>
  <c r="T438" i="1" a="1"/>
  <c r="T438" i="1" s="1"/>
  <c r="S693" i="1" a="1"/>
  <c r="S693" i="1" s="1"/>
  <c r="V693" i="1" s="1"/>
  <c r="W693" i="1" s="1"/>
  <c r="T693" i="1" a="1"/>
  <c r="T693" i="1" s="1"/>
  <c r="S574" i="1" a="1"/>
  <c r="S574" i="1" s="1"/>
  <c r="V574" i="1" s="1"/>
  <c r="W574" i="1" s="1"/>
  <c r="T574" i="1" a="1"/>
  <c r="T574" i="1" s="1"/>
  <c r="S416" i="1" a="1"/>
  <c r="S416" i="1" s="1"/>
  <c r="V416" i="1" s="1"/>
  <c r="W416" i="1" s="1"/>
  <c r="T416" i="1" a="1"/>
  <c r="T416" i="1" s="1"/>
  <c r="S109" i="1" a="1"/>
  <c r="S109" i="1" s="1"/>
  <c r="V109" i="1" s="1"/>
  <c r="W109" i="1" s="1"/>
  <c r="T109" i="1" a="1"/>
  <c r="T109" i="1" s="1"/>
  <c r="S943" i="1" a="1"/>
  <c r="S943" i="1" s="1"/>
  <c r="V943" i="1" s="1"/>
  <c r="W943" i="1" s="1"/>
  <c r="T943" i="1" a="1"/>
  <c r="T943" i="1" s="1"/>
  <c r="S220" i="1" a="1"/>
  <c r="S220" i="1" s="1"/>
  <c r="V220" i="1" s="1"/>
  <c r="W220" i="1" s="1"/>
  <c r="T220" i="1" a="1"/>
  <c r="T220" i="1" s="1"/>
  <c r="S533" i="1" a="1"/>
  <c r="S533" i="1" s="1"/>
  <c r="V533" i="1" s="1"/>
  <c r="W533" i="1" s="1"/>
  <c r="T533" i="1" a="1"/>
  <c r="T533" i="1" s="1"/>
  <c r="S808" i="1" a="1"/>
  <c r="S808" i="1" s="1"/>
  <c r="V808" i="1" s="1"/>
  <c r="W808" i="1" s="1"/>
  <c r="T808" i="1" a="1"/>
  <c r="T808" i="1" s="1"/>
  <c r="S982" i="1" a="1"/>
  <c r="S982" i="1" s="1"/>
  <c r="V982" i="1" s="1"/>
  <c r="W982" i="1" s="1"/>
  <c r="T982" i="1" a="1"/>
  <c r="T982" i="1" s="1"/>
  <c r="S678" i="1" a="1"/>
  <c r="S678" i="1" s="1"/>
  <c r="V678" i="1" s="1"/>
  <c r="W678" i="1" s="1"/>
  <c r="T678" i="1" a="1"/>
  <c r="T678" i="1" s="1"/>
  <c r="S54" i="1" a="1"/>
  <c r="S54" i="1" s="1"/>
  <c r="V54" i="1" s="1"/>
  <c r="W54" i="1" s="1"/>
  <c r="T54" i="1" a="1"/>
  <c r="T54" i="1" s="1"/>
  <c r="S757" i="1" a="1"/>
  <c r="S757" i="1" s="1"/>
  <c r="V757" i="1" s="1"/>
  <c r="W757" i="1" s="1"/>
  <c r="T757" i="1" a="1"/>
  <c r="T757" i="1" s="1"/>
  <c r="S724" i="1" a="1"/>
  <c r="S724" i="1" s="1"/>
  <c r="V724" i="1" s="1"/>
  <c r="W724" i="1" s="1"/>
  <c r="T724" i="1" a="1"/>
  <c r="T724" i="1" s="1"/>
  <c r="S975" i="1" a="1"/>
  <c r="S975" i="1" s="1"/>
  <c r="V975" i="1" s="1"/>
  <c r="W975" i="1" s="1"/>
  <c r="T975" i="1" a="1"/>
  <c r="T975" i="1" s="1"/>
  <c r="S941" i="1" a="1"/>
  <c r="S941" i="1" s="1"/>
  <c r="V941" i="1" s="1"/>
  <c r="W941" i="1" s="1"/>
  <c r="T941" i="1" a="1"/>
  <c r="T941" i="1" s="1"/>
  <c r="S963" i="1" a="1"/>
  <c r="S963" i="1" s="1"/>
  <c r="V963" i="1" s="1"/>
  <c r="W963" i="1" s="1"/>
  <c r="T963" i="1" a="1"/>
  <c r="T963" i="1" s="1"/>
  <c r="S231" i="1" a="1"/>
  <c r="S231" i="1" s="1"/>
  <c r="V231" i="1" s="1"/>
  <c r="W231" i="1" s="1"/>
  <c r="T231" i="1" a="1"/>
  <c r="T231" i="1" s="1"/>
  <c r="S250" i="1" a="1"/>
  <c r="S250" i="1" s="1"/>
  <c r="V250" i="1" s="1"/>
  <c r="W250" i="1" s="1"/>
  <c r="T250" i="1" a="1"/>
  <c r="T250" i="1" s="1"/>
  <c r="S403" i="1" a="1"/>
  <c r="S403" i="1" s="1"/>
  <c r="V403" i="1" s="1"/>
  <c r="W403" i="1" s="1"/>
  <c r="T403" i="1" a="1"/>
  <c r="T403" i="1" s="1"/>
  <c r="S404" i="1" a="1"/>
  <c r="S404" i="1" s="1"/>
  <c r="V404" i="1" s="1"/>
  <c r="W404" i="1" s="1"/>
  <c r="T404" i="1" a="1"/>
  <c r="T404" i="1" s="1"/>
  <c r="S11" i="1" a="1"/>
  <c r="S11" i="1" s="1"/>
  <c r="V11" i="1" s="1"/>
  <c r="W11" i="1" s="1"/>
  <c r="T11" i="1" a="1"/>
  <c r="T11" i="1" s="1"/>
  <c r="S717" i="1" a="1"/>
  <c r="S717" i="1" s="1"/>
  <c r="V717" i="1" s="1"/>
  <c r="W717" i="1" s="1"/>
  <c r="T717" i="1" a="1"/>
  <c r="T717" i="1" s="1"/>
  <c r="S34" i="1" a="1"/>
  <c r="S34" i="1" s="1"/>
  <c r="V34" i="1" s="1"/>
  <c r="W34" i="1" s="1"/>
  <c r="T34" i="1" a="1"/>
  <c r="T34" i="1" s="1"/>
  <c r="S430" i="1" a="1"/>
  <c r="S430" i="1" s="1"/>
  <c r="V430" i="1" s="1"/>
  <c r="W430" i="1" s="1"/>
  <c r="T430" i="1" a="1"/>
  <c r="T430" i="1" s="1"/>
  <c r="S240" i="1" a="1"/>
  <c r="S240" i="1" s="1"/>
  <c r="V240" i="1" s="1"/>
  <c r="W240" i="1" s="1"/>
  <c r="T240" i="1" a="1"/>
  <c r="T240" i="1" s="1"/>
  <c r="S556" i="1" a="1"/>
  <c r="S556" i="1" s="1"/>
  <c r="V556" i="1" s="1"/>
  <c r="W556" i="1" s="1"/>
  <c r="T556" i="1" a="1"/>
  <c r="T556" i="1" s="1"/>
  <c r="S115" i="1" a="1"/>
  <c r="S115" i="1" s="1"/>
  <c r="V115" i="1" s="1"/>
  <c r="W115" i="1" s="1"/>
  <c r="T115" i="1" a="1"/>
  <c r="T115" i="1" s="1"/>
  <c r="S730" i="1" a="1"/>
  <c r="S730" i="1" s="1"/>
  <c r="V730" i="1" s="1"/>
  <c r="W730" i="1" s="1"/>
  <c r="T730" i="1" a="1"/>
  <c r="T730" i="1" s="1"/>
  <c r="S656" i="1" a="1"/>
  <c r="S656" i="1" s="1"/>
  <c r="V656" i="1" s="1"/>
  <c r="W656" i="1" s="1"/>
  <c r="T656" i="1" a="1"/>
  <c r="T656" i="1" s="1"/>
  <c r="S495" i="1" a="1"/>
  <c r="S495" i="1" s="1"/>
  <c r="V495" i="1" s="1"/>
  <c r="W495" i="1" s="1"/>
  <c r="T495" i="1" a="1"/>
  <c r="T495" i="1" s="1"/>
  <c r="S740" i="1" a="1"/>
  <c r="S740" i="1" s="1"/>
  <c r="V740" i="1" s="1"/>
  <c r="W740" i="1" s="1"/>
  <c r="T740" i="1" a="1"/>
  <c r="T740" i="1" s="1"/>
  <c r="S467" i="1" a="1"/>
  <c r="S467" i="1" s="1"/>
  <c r="V467" i="1" s="1"/>
  <c r="W467" i="1" s="1"/>
  <c r="T467" i="1" a="1"/>
  <c r="T467" i="1" s="1"/>
  <c r="S927" i="1" a="1"/>
  <c r="S927" i="1" s="1"/>
  <c r="V927" i="1" s="1"/>
  <c r="W927" i="1" s="1"/>
  <c r="T927" i="1" a="1"/>
  <c r="T927" i="1" s="1"/>
  <c r="S59" i="1" a="1"/>
  <c r="S59" i="1" s="1"/>
  <c r="V59" i="1" s="1"/>
  <c r="W59" i="1" s="1"/>
  <c r="T59" i="1" a="1"/>
  <c r="T59" i="1" s="1"/>
  <c r="S278" i="1" a="1"/>
  <c r="S278" i="1" s="1"/>
  <c r="V278" i="1" s="1"/>
  <c r="W278" i="1" s="1"/>
  <c r="T278" i="1" a="1"/>
  <c r="T278" i="1" s="1"/>
  <c r="S140" i="1" a="1"/>
  <c r="S140" i="1" s="1"/>
  <c r="V140" i="1" s="1"/>
  <c r="W140" i="1" s="1"/>
  <c r="T140" i="1" a="1"/>
  <c r="T140" i="1" s="1"/>
  <c r="S647" i="1" a="1"/>
  <c r="S647" i="1" s="1"/>
  <c r="V647" i="1" s="1"/>
  <c r="W647" i="1" s="1"/>
  <c r="T647" i="1" a="1"/>
  <c r="T647" i="1" s="1"/>
  <c r="S910" i="1" a="1"/>
  <c r="S910" i="1" s="1"/>
  <c r="V910" i="1" s="1"/>
  <c r="W910" i="1" s="1"/>
  <c r="T910" i="1" a="1"/>
  <c r="T910" i="1" s="1"/>
  <c r="S463" i="1" a="1"/>
  <c r="S463" i="1" s="1"/>
  <c r="V463" i="1" s="1"/>
  <c r="W463" i="1" s="1"/>
  <c r="T463" i="1" a="1"/>
  <c r="T463" i="1" s="1"/>
  <c r="S846" i="1" a="1"/>
  <c r="S846" i="1" s="1"/>
  <c r="V846" i="1" s="1"/>
  <c r="W846" i="1" s="1"/>
  <c r="T846" i="1" a="1"/>
  <c r="T846" i="1" s="1"/>
  <c r="S607" i="1" a="1"/>
  <c r="S607" i="1" s="1"/>
  <c r="V607" i="1" s="1"/>
  <c r="W607" i="1" s="1"/>
  <c r="T607" i="1" a="1"/>
  <c r="T607" i="1" s="1"/>
  <c r="S660" i="1" a="1"/>
  <c r="S660" i="1" s="1"/>
  <c r="V660" i="1" s="1"/>
  <c r="W660" i="1" s="1"/>
  <c r="T660" i="1" a="1"/>
  <c r="T660" i="1" s="1"/>
  <c r="S665" i="1" a="1"/>
  <c r="S665" i="1" s="1"/>
  <c r="V665" i="1" s="1"/>
  <c r="W665" i="1" s="1"/>
  <c r="T665" i="1" a="1"/>
  <c r="T665" i="1" s="1"/>
  <c r="S108" i="1" a="1"/>
  <c r="S108" i="1" s="1"/>
  <c r="V108" i="1" s="1"/>
  <c r="W108" i="1" s="1"/>
  <c r="T108" i="1" a="1"/>
  <c r="T108" i="1" s="1"/>
  <c r="S777" i="1" a="1"/>
  <c r="S777" i="1" s="1"/>
  <c r="V777" i="1" s="1"/>
  <c r="W777" i="1" s="1"/>
  <c r="T777" i="1" a="1"/>
  <c r="T777" i="1" s="1"/>
  <c r="S207" i="1" a="1"/>
  <c r="S207" i="1" s="1"/>
  <c r="V207" i="1" s="1"/>
  <c r="W207" i="1" s="1"/>
  <c r="T207" i="1" a="1"/>
  <c r="T207" i="1" s="1"/>
  <c r="S421" i="1" a="1"/>
  <c r="S421" i="1" s="1"/>
  <c r="V421" i="1" s="1"/>
  <c r="W421" i="1" s="1"/>
  <c r="T421" i="1" a="1"/>
  <c r="T421" i="1" s="1"/>
  <c r="S698" i="1" a="1"/>
  <c r="S698" i="1" s="1"/>
  <c r="V698" i="1" s="1"/>
  <c r="W698" i="1" s="1"/>
  <c r="T698" i="1" a="1"/>
  <c r="T698" i="1" s="1"/>
  <c r="S651" i="1" a="1"/>
  <c r="S651" i="1" s="1"/>
  <c r="V651" i="1" s="1"/>
  <c r="W651" i="1" s="1"/>
  <c r="T651" i="1" a="1"/>
  <c r="T651" i="1" s="1"/>
  <c r="S454" i="1" a="1"/>
  <c r="S454" i="1" s="1"/>
  <c r="V454" i="1" s="1"/>
  <c r="W454" i="1" s="1"/>
  <c r="T454" i="1" a="1"/>
  <c r="T454" i="1" s="1"/>
  <c r="S821" i="1" a="1"/>
  <c r="S821" i="1" s="1"/>
  <c r="V821" i="1" s="1"/>
  <c r="W821" i="1" s="1"/>
  <c r="T821" i="1" a="1"/>
  <c r="T821" i="1" s="1"/>
  <c r="S451" i="1" a="1"/>
  <c r="S451" i="1" s="1"/>
  <c r="V451" i="1" s="1"/>
  <c r="W451" i="1" s="1"/>
  <c r="T451" i="1" a="1"/>
  <c r="T451" i="1" s="1"/>
  <c r="S371" i="1" a="1"/>
  <c r="S371" i="1" s="1"/>
  <c r="V371" i="1" s="1"/>
  <c r="W371" i="1" s="1"/>
  <c r="T371" i="1" a="1"/>
  <c r="T371" i="1" s="1"/>
  <c r="S601" i="1" a="1"/>
  <c r="S601" i="1" s="1"/>
  <c r="V601" i="1" s="1"/>
  <c r="W601" i="1" s="1"/>
  <c r="T601" i="1" a="1"/>
  <c r="T601" i="1" s="1"/>
  <c r="S791" i="1" a="1"/>
  <c r="S791" i="1" s="1"/>
  <c r="V791" i="1" s="1"/>
  <c r="W791" i="1" s="1"/>
  <c r="T791" i="1" a="1"/>
  <c r="T791" i="1" s="1"/>
  <c r="S997" i="1" a="1"/>
  <c r="S997" i="1" s="1"/>
  <c r="V997" i="1" s="1"/>
  <c r="W997" i="1" s="1"/>
  <c r="T997" i="1" a="1"/>
  <c r="T997" i="1" s="1"/>
  <c r="S239" i="1" a="1"/>
  <c r="S239" i="1" s="1"/>
  <c r="V239" i="1" s="1"/>
  <c r="W239" i="1" s="1"/>
  <c r="T239" i="1" a="1"/>
  <c r="T239" i="1" s="1"/>
  <c r="S343" i="1" a="1"/>
  <c r="S343" i="1" s="1"/>
  <c r="V343" i="1" s="1"/>
  <c r="W343" i="1" s="1"/>
  <c r="T343" i="1" a="1"/>
  <c r="T343" i="1" s="1"/>
  <c r="S280" i="1" a="1"/>
  <c r="S280" i="1" s="1"/>
  <c r="V280" i="1" s="1"/>
  <c r="W280" i="1" s="1"/>
  <c r="T280" i="1" a="1"/>
  <c r="T280" i="1" s="1"/>
  <c r="S627" i="1" a="1"/>
  <c r="S627" i="1" s="1"/>
  <c r="V627" i="1" s="1"/>
  <c r="W627" i="1" s="1"/>
  <c r="T627" i="1" a="1"/>
  <c r="T627" i="1" s="1"/>
  <c r="S245" i="1" a="1"/>
  <c r="S245" i="1" s="1"/>
  <c r="V245" i="1" s="1"/>
  <c r="W245" i="1" s="1"/>
  <c r="T245" i="1" a="1"/>
  <c r="T245" i="1" s="1"/>
  <c r="S588" i="1" a="1"/>
  <c r="S588" i="1" s="1"/>
  <c r="V588" i="1" s="1"/>
  <c r="W588" i="1" s="1"/>
  <c r="T588" i="1" a="1"/>
  <c r="T588" i="1" s="1"/>
  <c r="S583" i="1" a="1"/>
  <c r="S583" i="1" s="1"/>
  <c r="V583" i="1" s="1"/>
  <c r="W583" i="1" s="1"/>
  <c r="T583" i="1" a="1"/>
  <c r="T583" i="1" s="1"/>
  <c r="S147" i="1" a="1"/>
  <c r="S147" i="1" s="1"/>
  <c r="V147" i="1" s="1"/>
  <c r="W147" i="1" s="1"/>
  <c r="T147" i="1" a="1"/>
  <c r="T147" i="1" s="1"/>
  <c r="S300" i="1" a="1"/>
  <c r="S300" i="1" s="1"/>
  <c r="V300" i="1" s="1"/>
  <c r="W300" i="1" s="1"/>
  <c r="T300" i="1" a="1"/>
  <c r="T300" i="1" s="1"/>
  <c r="S379" i="1" a="1"/>
  <c r="S379" i="1" s="1"/>
  <c r="V379" i="1" s="1"/>
  <c r="W379" i="1" s="1"/>
  <c r="T379" i="1" a="1"/>
  <c r="T379" i="1" s="1"/>
  <c r="S783" i="1" a="1"/>
  <c r="S783" i="1" s="1"/>
  <c r="V783" i="1" s="1"/>
  <c r="W783" i="1" s="1"/>
  <c r="T783" i="1" a="1"/>
  <c r="T783" i="1" s="1"/>
  <c r="S629" i="1" a="1"/>
  <c r="S629" i="1" s="1"/>
  <c r="V629" i="1" s="1"/>
  <c r="W629" i="1" s="1"/>
  <c r="T629" i="1" a="1"/>
  <c r="T629" i="1" s="1"/>
  <c r="S209" i="1" a="1"/>
  <c r="S209" i="1" s="1"/>
  <c r="V209" i="1" s="1"/>
  <c r="W209" i="1" s="1"/>
  <c r="T209" i="1" a="1"/>
  <c r="T209" i="1" s="1"/>
  <c r="S202" i="1" a="1"/>
  <c r="S202" i="1" s="1"/>
  <c r="V202" i="1" s="1"/>
  <c r="W202" i="1" s="1"/>
  <c r="T202" i="1" a="1"/>
  <c r="T202" i="1" s="1"/>
  <c r="S338" i="1" a="1"/>
  <c r="S338" i="1" s="1"/>
  <c r="V338" i="1" s="1"/>
  <c r="W338" i="1" s="1"/>
  <c r="T338" i="1" a="1"/>
  <c r="T338" i="1" s="1"/>
  <c r="S58" i="1" a="1"/>
  <c r="S58" i="1" s="1"/>
  <c r="V58" i="1" s="1"/>
  <c r="W58" i="1" s="1"/>
  <c r="T58" i="1" a="1"/>
  <c r="T58" i="1" s="1"/>
  <c r="S636" i="1" a="1"/>
  <c r="S636" i="1" s="1"/>
  <c r="V636" i="1" s="1"/>
  <c r="W636" i="1" s="1"/>
  <c r="T636" i="1" a="1"/>
  <c r="T636" i="1" s="1"/>
  <c r="S252" i="1" a="1"/>
  <c r="S252" i="1" s="1"/>
  <c r="V252" i="1" s="1"/>
  <c r="W252" i="1" s="1"/>
  <c r="T252" i="1" a="1"/>
  <c r="T252" i="1" s="1"/>
  <c r="S211" i="1" a="1"/>
  <c r="S211" i="1" s="1"/>
  <c r="V211" i="1" s="1"/>
  <c r="W211" i="1" s="1"/>
  <c r="T211" i="1" a="1"/>
  <c r="T211" i="1" s="1"/>
  <c r="S996" i="1" a="1"/>
  <c r="S996" i="1" s="1"/>
  <c r="V996" i="1" s="1"/>
  <c r="W996" i="1" s="1"/>
  <c r="T996" i="1" a="1"/>
  <c r="T996" i="1" s="1"/>
  <c r="S887" i="1" a="1"/>
  <c r="S887" i="1" s="1"/>
  <c r="V887" i="1" s="1"/>
  <c r="W887" i="1" s="1"/>
  <c r="T887" i="1" a="1"/>
  <c r="T887" i="1" s="1"/>
  <c r="S903" i="1" a="1"/>
  <c r="S903" i="1" s="1"/>
  <c r="V903" i="1" s="1"/>
  <c r="W903" i="1" s="1"/>
  <c r="T903" i="1" a="1"/>
  <c r="T903" i="1" s="1"/>
  <c r="S53" i="1" a="1"/>
  <c r="S53" i="1" s="1"/>
  <c r="V53" i="1" s="1"/>
  <c r="W53" i="1" s="1"/>
  <c r="T53" i="1" a="1"/>
  <c r="T53" i="1" s="1"/>
  <c r="S596" i="1" a="1"/>
  <c r="S596" i="1" s="1"/>
  <c r="V596" i="1" s="1"/>
  <c r="W596" i="1" s="1"/>
  <c r="T596" i="1" a="1"/>
  <c r="T596" i="1" s="1"/>
  <c r="S924" i="1" a="1"/>
  <c r="S924" i="1" s="1"/>
  <c r="V924" i="1" s="1"/>
  <c r="W924" i="1" s="1"/>
  <c r="T924" i="1" a="1"/>
  <c r="T924" i="1" s="1"/>
  <c r="S57" i="1" a="1"/>
  <c r="S57" i="1" s="1"/>
  <c r="V57" i="1" s="1"/>
  <c r="W57" i="1" s="1"/>
  <c r="T57" i="1" a="1"/>
  <c r="T57" i="1" s="1"/>
  <c r="S815" i="1" a="1"/>
  <c r="S815" i="1" s="1"/>
  <c r="V815" i="1" s="1"/>
  <c r="W815" i="1" s="1"/>
  <c r="T815" i="1" a="1"/>
  <c r="T815" i="1" s="1"/>
  <c r="S67" i="1" a="1"/>
  <c r="S67" i="1" s="1"/>
  <c r="V67" i="1" s="1"/>
  <c r="W67" i="1" s="1"/>
  <c r="T67" i="1" a="1"/>
  <c r="T67" i="1" s="1"/>
  <c r="S64" i="1" a="1"/>
  <c r="S64" i="1" s="1"/>
  <c r="V64" i="1" s="1"/>
  <c r="W64" i="1" s="1"/>
  <c r="T64" i="1" a="1"/>
  <c r="T64" i="1" s="1"/>
  <c r="S163" i="1" a="1"/>
  <c r="S163" i="1" s="1"/>
  <c r="V163" i="1" s="1"/>
  <c r="W163" i="1" s="1"/>
  <c r="T163" i="1" a="1"/>
  <c r="T163" i="1" s="1"/>
  <c r="S65" i="1" a="1"/>
  <c r="S65" i="1" s="1"/>
  <c r="V65" i="1" s="1"/>
  <c r="W65" i="1" s="1"/>
  <c r="T65" i="1" a="1"/>
  <c r="T65" i="1" s="1"/>
  <c r="S931" i="1" a="1"/>
  <c r="S931" i="1" s="1"/>
  <c r="V931" i="1" s="1"/>
  <c r="W931" i="1" s="1"/>
  <c r="T931" i="1" a="1"/>
  <c r="T931" i="1" s="1"/>
  <c r="S511" i="1" a="1"/>
  <c r="S511" i="1" s="1"/>
  <c r="V511" i="1" s="1"/>
  <c r="W511" i="1" s="1"/>
  <c r="T511" i="1" a="1"/>
  <c r="T511" i="1" s="1"/>
  <c r="S517" i="1" a="1"/>
  <c r="S517" i="1" s="1"/>
  <c r="V517" i="1" s="1"/>
  <c r="W517" i="1" s="1"/>
  <c r="T517" i="1" a="1"/>
  <c r="T517" i="1" s="1"/>
  <c r="S179" i="1" a="1"/>
  <c r="S179" i="1" s="1"/>
  <c r="V179" i="1" s="1"/>
  <c r="W179" i="1" s="1"/>
  <c r="T179" i="1" a="1"/>
  <c r="T179" i="1" s="1"/>
  <c r="S302" i="1" a="1"/>
  <c r="S302" i="1" s="1"/>
  <c r="V302" i="1" s="1"/>
  <c r="W302" i="1" s="1"/>
  <c r="T302" i="1" a="1"/>
  <c r="T302" i="1" s="1"/>
  <c r="S859" i="1" a="1"/>
  <c r="S859" i="1" s="1"/>
  <c r="V859" i="1" s="1"/>
  <c r="W859" i="1" s="1"/>
  <c r="T859" i="1" a="1"/>
  <c r="T859" i="1" s="1"/>
  <c r="S689" i="1" a="1"/>
  <c r="S689" i="1" s="1"/>
  <c r="V689" i="1" s="1"/>
  <c r="W689" i="1" s="1"/>
  <c r="T689" i="1" a="1"/>
  <c r="T689" i="1" s="1"/>
  <c r="S721" i="1" a="1"/>
  <c r="S721" i="1" s="1"/>
  <c r="V721" i="1" s="1"/>
  <c r="W721" i="1" s="1"/>
  <c r="T721" i="1" a="1"/>
  <c r="T721" i="1" s="1"/>
  <c r="S702" i="1" a="1"/>
  <c r="S702" i="1" s="1"/>
  <c r="V702" i="1" s="1"/>
  <c r="W702" i="1" s="1"/>
  <c r="T702" i="1" a="1"/>
  <c r="T702" i="1" s="1"/>
  <c r="S781" i="1" a="1"/>
  <c r="S781" i="1" s="1"/>
  <c r="V781" i="1" s="1"/>
  <c r="W781" i="1" s="1"/>
  <c r="T781" i="1" a="1"/>
  <c r="T781" i="1" s="1"/>
  <c r="S198" i="1" a="1"/>
  <c r="S198" i="1" s="1"/>
  <c r="V198" i="1" s="1"/>
  <c r="W198" i="1" s="1"/>
  <c r="T198" i="1" a="1"/>
  <c r="T198" i="1" s="1"/>
  <c r="S385" i="1" a="1"/>
  <c r="S385" i="1" s="1"/>
  <c r="V385" i="1" s="1"/>
  <c r="W385" i="1" s="1"/>
  <c r="T385" i="1" a="1"/>
  <c r="T385" i="1" s="1"/>
  <c r="S362" i="1" a="1"/>
  <c r="S362" i="1" s="1"/>
  <c r="V362" i="1" s="1"/>
  <c r="W362" i="1" s="1"/>
  <c r="T362" i="1" a="1"/>
  <c r="T362" i="1" s="1"/>
  <c r="S725" i="1" a="1"/>
  <c r="S725" i="1" s="1"/>
  <c r="V725" i="1" s="1"/>
  <c r="W725" i="1" s="1"/>
  <c r="T725" i="1" a="1"/>
  <c r="T725" i="1" s="1"/>
  <c r="S657" i="1" a="1"/>
  <c r="S657" i="1" s="1"/>
  <c r="V657" i="1" s="1"/>
  <c r="W657" i="1" s="1"/>
  <c r="T657" i="1" a="1"/>
  <c r="T657" i="1" s="1"/>
  <c r="S894" i="1" a="1"/>
  <c r="S894" i="1" s="1"/>
  <c r="V894" i="1" s="1"/>
  <c r="W894" i="1" s="1"/>
  <c r="T894" i="1" a="1"/>
  <c r="T894" i="1" s="1"/>
  <c r="S349" i="1" a="1"/>
  <c r="S349" i="1" s="1"/>
  <c r="V349" i="1" s="1"/>
  <c r="W349" i="1" s="1"/>
  <c r="T349" i="1" a="1"/>
  <c r="T349" i="1" s="1"/>
  <c r="S204" i="1" a="1"/>
  <c r="S204" i="1" s="1"/>
  <c r="V204" i="1" s="1"/>
  <c r="W204" i="1" s="1"/>
  <c r="T204" i="1" a="1"/>
  <c r="T204" i="1" s="1"/>
  <c r="S429" i="1" a="1"/>
  <c r="S429" i="1" s="1"/>
  <c r="V429" i="1" s="1"/>
  <c r="W429" i="1" s="1"/>
  <c r="T429" i="1" a="1"/>
  <c r="T429" i="1" s="1"/>
  <c r="S126" i="1" a="1"/>
  <c r="S126" i="1" s="1"/>
  <c r="V126" i="1" s="1"/>
  <c r="W126" i="1" s="1"/>
  <c r="T126" i="1" a="1"/>
  <c r="T126" i="1" s="1"/>
  <c r="S609" i="1" a="1"/>
  <c r="S609" i="1" s="1"/>
  <c r="V609" i="1" s="1"/>
  <c r="W609" i="1" s="1"/>
  <c r="T609" i="1" a="1"/>
  <c r="T609" i="1" s="1"/>
  <c r="S525" i="1" a="1"/>
  <c r="S525" i="1" s="1"/>
  <c r="V525" i="1" s="1"/>
  <c r="W525" i="1" s="1"/>
  <c r="T525" i="1" a="1"/>
  <c r="T525" i="1" s="1"/>
  <c r="S793" i="1" a="1"/>
  <c r="S793" i="1" s="1"/>
  <c r="V793" i="1" s="1"/>
  <c r="W793" i="1" s="1"/>
  <c r="T793" i="1" a="1"/>
  <c r="T793" i="1" s="1"/>
  <c r="S645" i="1" a="1"/>
  <c r="S645" i="1" s="1"/>
  <c r="V645" i="1" s="1"/>
  <c r="W645" i="1" s="1"/>
  <c r="T645" i="1" a="1"/>
  <c r="T645" i="1" s="1"/>
  <c r="S270" i="1" a="1"/>
  <c r="S270" i="1" s="1"/>
  <c r="V270" i="1" s="1"/>
  <c r="W270" i="1" s="1"/>
  <c r="T270" i="1" a="1"/>
  <c r="T270" i="1" s="1"/>
  <c r="S464" i="1" a="1"/>
  <c r="S464" i="1" s="1"/>
  <c r="V464" i="1" s="1"/>
  <c r="W464" i="1" s="1"/>
  <c r="T464" i="1" a="1"/>
  <c r="T464" i="1" s="1"/>
  <c r="S593" i="1" a="1"/>
  <c r="S593" i="1" s="1"/>
  <c r="V593" i="1" s="1"/>
  <c r="W593" i="1" s="1"/>
  <c r="T593" i="1" a="1"/>
  <c r="T593" i="1" s="1"/>
  <c r="S835" i="1" a="1"/>
  <c r="S835" i="1" s="1"/>
  <c r="V835" i="1" s="1"/>
  <c r="W835" i="1" s="1"/>
  <c r="T835" i="1" a="1"/>
  <c r="T835" i="1" s="1"/>
  <c r="S465" i="1" a="1"/>
  <c r="S465" i="1" s="1"/>
  <c r="V465" i="1" s="1"/>
  <c r="W465" i="1" s="1"/>
  <c r="T465" i="1" a="1"/>
  <c r="T465" i="1" s="1"/>
  <c r="S784" i="1" a="1"/>
  <c r="S784" i="1" s="1"/>
  <c r="V784" i="1" s="1"/>
  <c r="W784" i="1" s="1"/>
  <c r="T784" i="1" a="1"/>
  <c r="T784" i="1" s="1"/>
  <c r="S254" i="1" a="1"/>
  <c r="S254" i="1" s="1"/>
  <c r="V254" i="1" s="1"/>
  <c r="W254" i="1" s="1"/>
  <c r="T254" i="1" a="1"/>
  <c r="T254" i="1" s="1"/>
  <c r="S162" i="1" a="1"/>
  <c r="S162" i="1" s="1"/>
  <c r="V162" i="1" s="1"/>
  <c r="W162" i="1" s="1"/>
  <c r="T162" i="1" a="1"/>
  <c r="T162" i="1" s="1"/>
  <c r="S936" i="1" a="1"/>
  <c r="S936" i="1" s="1"/>
  <c r="V936" i="1" s="1"/>
  <c r="W936" i="1" s="1"/>
  <c r="T936" i="1" a="1"/>
  <c r="T936" i="1" s="1"/>
  <c r="S359" i="1" a="1"/>
  <c r="S359" i="1" s="1"/>
  <c r="V359" i="1" s="1"/>
  <c r="W359" i="1" s="1"/>
  <c r="T359" i="1" a="1"/>
  <c r="T359" i="1" s="1"/>
  <c r="S132" i="1" a="1"/>
  <c r="S132" i="1" s="1"/>
  <c r="V132" i="1" s="1"/>
  <c r="W132" i="1" s="1"/>
  <c r="T132" i="1" a="1"/>
  <c r="T132" i="1" s="1"/>
  <c r="S445" i="1" a="1"/>
  <c r="S445" i="1" s="1"/>
  <c r="V445" i="1" s="1"/>
  <c r="W445" i="1" s="1"/>
  <c r="T445" i="1" a="1"/>
  <c r="T445" i="1" s="1"/>
  <c r="S268" i="1" a="1"/>
  <c r="S268" i="1" s="1"/>
  <c r="V268" i="1" s="1"/>
  <c r="W268" i="1" s="1"/>
  <c r="T268" i="1" a="1"/>
  <c r="T268" i="1" s="1"/>
  <c r="S820" i="1" a="1"/>
  <c r="S820" i="1" s="1"/>
  <c r="V820" i="1" s="1"/>
  <c r="W820" i="1" s="1"/>
  <c r="T820" i="1" a="1"/>
  <c r="T820" i="1" s="1"/>
  <c r="S466" i="1" a="1"/>
  <c r="S466" i="1" s="1"/>
  <c r="V466" i="1" s="1"/>
  <c r="W466" i="1" s="1"/>
  <c r="T466" i="1" a="1"/>
  <c r="T466" i="1" s="1"/>
  <c r="S542" i="1" a="1"/>
  <c r="S542" i="1" s="1"/>
  <c r="V542" i="1" s="1"/>
  <c r="W542" i="1" s="1"/>
  <c r="T542" i="1" a="1"/>
  <c r="T542" i="1" s="1"/>
  <c r="S392" i="1" a="1"/>
  <c r="S392" i="1" s="1"/>
  <c r="V392" i="1" s="1"/>
  <c r="W392" i="1" s="1"/>
  <c r="T392" i="1" a="1"/>
  <c r="T392" i="1" s="1"/>
  <c r="S76" i="1" a="1"/>
  <c r="S76" i="1" s="1"/>
  <c r="V76" i="1" s="1"/>
  <c r="W76" i="1" s="1"/>
  <c r="T76" i="1" a="1"/>
  <c r="T76" i="1" s="1"/>
  <c r="S708" i="1" a="1"/>
  <c r="S708" i="1" s="1"/>
  <c r="V708" i="1" s="1"/>
  <c r="W708" i="1" s="1"/>
  <c r="T708" i="1" a="1"/>
  <c r="T708" i="1" s="1"/>
  <c r="S549" i="1" a="1"/>
  <c r="S549" i="1" s="1"/>
  <c r="V549" i="1" s="1"/>
  <c r="W549" i="1" s="1"/>
  <c r="T549" i="1" a="1"/>
  <c r="T549" i="1" s="1"/>
  <c r="S434" i="1" a="1"/>
  <c r="S434" i="1" s="1"/>
  <c r="V434" i="1" s="1"/>
  <c r="W434" i="1" s="1"/>
  <c r="T434" i="1" a="1"/>
  <c r="T434" i="1" s="1"/>
  <c r="S19" i="1" a="1"/>
  <c r="S19" i="1" s="1"/>
  <c r="V19" i="1" s="1"/>
  <c r="W19" i="1" s="1"/>
  <c r="T19" i="1" a="1"/>
  <c r="T19" i="1" s="1"/>
  <c r="S103" i="1" a="1"/>
  <c r="S103" i="1" s="1"/>
  <c r="V103" i="1" s="1"/>
  <c r="W103" i="1" s="1"/>
  <c r="T103" i="1" a="1"/>
  <c r="T103" i="1" s="1"/>
  <c r="S663" i="1" a="1"/>
  <c r="S663" i="1" s="1"/>
  <c r="V663" i="1" s="1"/>
  <c r="W663" i="1" s="1"/>
  <c r="T663" i="1" a="1"/>
  <c r="T663" i="1" s="1"/>
  <c r="S435" i="1" a="1"/>
  <c r="S435" i="1" s="1"/>
  <c r="V435" i="1" s="1"/>
  <c r="W435" i="1" s="1"/>
  <c r="T435" i="1" a="1"/>
  <c r="T435" i="1" s="1"/>
  <c r="S386" i="1" a="1"/>
  <c r="S386" i="1" s="1"/>
  <c r="V386" i="1" s="1"/>
  <c r="W386" i="1" s="1"/>
  <c r="T386" i="1" a="1"/>
  <c r="T386" i="1" s="1"/>
  <c r="S565" i="1" a="1"/>
  <c r="S565" i="1" s="1"/>
  <c r="V565" i="1" s="1"/>
  <c r="W565" i="1" s="1"/>
  <c r="T565" i="1" a="1"/>
  <c r="T565" i="1" s="1"/>
  <c r="S529" i="1" a="1"/>
  <c r="S529" i="1" s="1"/>
  <c r="V529" i="1" s="1"/>
  <c r="W529" i="1" s="1"/>
  <c r="T529" i="1" a="1"/>
  <c r="T529" i="1" s="1"/>
  <c r="S709" i="1" a="1"/>
  <c r="S709" i="1" s="1"/>
  <c r="V709" i="1" s="1"/>
  <c r="W709" i="1" s="1"/>
  <c r="T709" i="1" a="1"/>
  <c r="T709" i="1" s="1"/>
  <c r="S196" i="1" a="1"/>
  <c r="S196" i="1" s="1"/>
  <c r="V196" i="1" s="1"/>
  <c r="W196" i="1" s="1"/>
  <c r="T196" i="1" a="1"/>
  <c r="T196" i="1" s="1"/>
  <c r="S296" i="1" a="1"/>
  <c r="S296" i="1" s="1"/>
  <c r="V296" i="1" s="1"/>
  <c r="W296" i="1" s="1"/>
  <c r="T296" i="1" a="1"/>
  <c r="T296" i="1" s="1"/>
  <c r="S459" i="1" a="1"/>
  <c r="S459" i="1" s="1"/>
  <c r="V459" i="1" s="1"/>
  <c r="W459" i="1" s="1"/>
  <c r="T459" i="1" a="1"/>
  <c r="T459" i="1" s="1"/>
  <c r="S727" i="1" a="1"/>
  <c r="S727" i="1" s="1"/>
  <c r="V727" i="1" s="1"/>
  <c r="W727" i="1" s="1"/>
  <c r="T727" i="1" a="1"/>
  <c r="T727" i="1" s="1"/>
  <c r="S287" i="1" a="1"/>
  <c r="S287" i="1" s="1"/>
  <c r="V287" i="1" s="1"/>
  <c r="W287" i="1" s="1"/>
  <c r="T287" i="1" a="1"/>
  <c r="T287" i="1" s="1"/>
  <c r="S560" i="1" a="1"/>
  <c r="S560" i="1" s="1"/>
  <c r="V560" i="1" s="1"/>
  <c r="W560" i="1" s="1"/>
  <c r="T560" i="1" a="1"/>
  <c r="T560" i="1" s="1"/>
  <c r="S249" i="1" a="1"/>
  <c r="S249" i="1" s="1"/>
  <c r="V249" i="1" s="1"/>
  <c r="W249" i="1" s="1"/>
  <c r="T249" i="1" a="1"/>
  <c r="T249" i="1" s="1"/>
  <c r="S199" i="1" a="1"/>
  <c r="S199" i="1" s="1"/>
  <c r="V199" i="1" s="1"/>
  <c r="W199" i="1" s="1"/>
  <c r="T199" i="1" a="1"/>
  <c r="T199" i="1" s="1"/>
  <c r="S613" i="1" a="1"/>
  <c r="S613" i="1" s="1"/>
  <c r="V613" i="1" s="1"/>
  <c r="W613" i="1" s="1"/>
  <c r="T613" i="1" a="1"/>
  <c r="T613" i="1" s="1"/>
  <c r="S346" i="1" a="1"/>
  <c r="S346" i="1" s="1"/>
  <c r="V346" i="1" s="1"/>
  <c r="W346" i="1" s="1"/>
  <c r="T346" i="1" a="1"/>
  <c r="T346" i="1" s="1"/>
  <c r="S812" i="1" a="1"/>
  <c r="S812" i="1" s="1"/>
  <c r="V812" i="1" s="1"/>
  <c r="W812" i="1" s="1"/>
  <c r="T812" i="1" a="1"/>
  <c r="T812" i="1" s="1"/>
  <c r="S682" i="1" a="1"/>
  <c r="S682" i="1" s="1"/>
  <c r="V682" i="1" s="1"/>
  <c r="W682" i="1" s="1"/>
  <c r="T682" i="1" a="1"/>
  <c r="T682" i="1" s="1"/>
  <c r="S622" i="1" a="1"/>
  <c r="S622" i="1" s="1"/>
  <c r="V622" i="1" s="1"/>
  <c r="W622" i="1" s="1"/>
  <c r="T622" i="1" a="1"/>
  <c r="T622" i="1" s="1"/>
  <c r="S197" i="1" a="1"/>
  <c r="S197" i="1" s="1"/>
  <c r="V197" i="1" s="1"/>
  <c r="W197" i="1" s="1"/>
  <c r="T197" i="1" a="1"/>
  <c r="T197" i="1" s="1"/>
  <c r="S758" i="1" a="1"/>
  <c r="S758" i="1" s="1"/>
  <c r="V758" i="1" s="1"/>
  <c r="W758" i="1" s="1"/>
  <c r="T758" i="1" a="1"/>
  <c r="T758" i="1" s="1"/>
  <c r="S148" i="1" a="1"/>
  <c r="S148" i="1" s="1"/>
  <c r="V148" i="1" s="1"/>
  <c r="W148" i="1" s="1"/>
  <c r="T148" i="1" a="1"/>
  <c r="T148" i="1" s="1"/>
  <c r="S143" i="1" a="1"/>
  <c r="S143" i="1" s="1"/>
  <c r="V143" i="1" s="1"/>
  <c r="W143" i="1" s="1"/>
  <c r="T143" i="1" a="1"/>
  <c r="T143" i="1" s="1"/>
  <c r="S243" i="1" a="1"/>
  <c r="S243" i="1" s="1"/>
  <c r="V243" i="1" s="1"/>
  <c r="W243" i="1" s="1"/>
  <c r="T243" i="1" a="1"/>
  <c r="T243" i="1" s="1"/>
  <c r="S227" i="1" a="1"/>
  <c r="S227" i="1" s="1"/>
  <c r="V227" i="1" s="1"/>
  <c r="W227" i="1" s="1"/>
  <c r="T227" i="1" a="1"/>
  <c r="T227" i="1" s="1"/>
  <c r="S95" i="1" a="1"/>
  <c r="S95" i="1" s="1"/>
  <c r="V95" i="1" s="1"/>
  <c r="W95" i="1" s="1"/>
  <c r="T95" i="1" a="1"/>
  <c r="T95" i="1" s="1"/>
  <c r="S606" i="1" a="1"/>
  <c r="S606" i="1" s="1"/>
  <c r="V606" i="1" s="1"/>
  <c r="W606" i="1" s="1"/>
  <c r="T606" i="1" a="1"/>
  <c r="T606" i="1" s="1"/>
  <c r="S697" i="1" a="1"/>
  <c r="S697" i="1" s="1"/>
  <c r="V697" i="1" s="1"/>
  <c r="W697" i="1" s="1"/>
  <c r="T697" i="1" a="1"/>
  <c r="T697" i="1" s="1"/>
  <c r="S219" i="1" a="1"/>
  <c r="S219" i="1" s="1"/>
  <c r="V219" i="1" s="1"/>
  <c r="W219" i="1" s="1"/>
  <c r="T219" i="1" a="1"/>
  <c r="T219" i="1" s="1"/>
  <c r="S546" i="1" a="1"/>
  <c r="S546" i="1" s="1"/>
  <c r="V546" i="1" s="1"/>
  <c r="W546" i="1" s="1"/>
  <c r="T546" i="1" a="1"/>
  <c r="T546" i="1" s="1"/>
  <c r="S39" i="1" a="1"/>
  <c r="S39" i="1" s="1"/>
  <c r="V39" i="1" s="1"/>
  <c r="W39" i="1" s="1"/>
  <c r="T39" i="1" a="1"/>
  <c r="T39" i="1" s="1"/>
  <c r="S208" i="1" a="1"/>
  <c r="S208" i="1" s="1"/>
  <c r="V208" i="1" s="1"/>
  <c r="W208" i="1" s="1"/>
  <c r="T208" i="1" a="1"/>
  <c r="T208" i="1" s="1"/>
  <c r="S953" i="1" a="1"/>
  <c r="S953" i="1" s="1"/>
  <c r="V953" i="1" s="1"/>
  <c r="W953" i="1" s="1"/>
  <c r="T953" i="1" a="1"/>
  <c r="T953" i="1" s="1"/>
  <c r="S182" i="1" a="1"/>
  <c r="S182" i="1" s="1"/>
  <c r="V182" i="1" s="1"/>
  <c r="W182" i="1" s="1"/>
  <c r="T182" i="1" a="1"/>
  <c r="T182" i="1" s="1"/>
  <c r="S288" i="1" a="1"/>
  <c r="S288" i="1" s="1"/>
  <c r="V288" i="1" s="1"/>
  <c r="W288" i="1" s="1"/>
  <c r="T288" i="1" a="1"/>
  <c r="T288" i="1" s="1"/>
  <c r="S600" i="1" a="1"/>
  <c r="S600" i="1" s="1"/>
  <c r="V600" i="1" s="1"/>
  <c r="W600" i="1" s="1"/>
  <c r="T600" i="1" a="1"/>
  <c r="T600" i="1" s="1"/>
  <c r="S282" i="1" a="1"/>
  <c r="S282" i="1" s="1"/>
  <c r="V282" i="1" s="1"/>
  <c r="W282" i="1" s="1"/>
  <c r="T282" i="1" a="1"/>
  <c r="T282" i="1" s="1"/>
  <c r="S33" i="1" a="1"/>
  <c r="S33" i="1" s="1"/>
  <c r="V33" i="1" s="1"/>
  <c r="W33" i="1" s="1"/>
  <c r="T33" i="1" a="1"/>
  <c r="T33" i="1" s="1"/>
  <c r="S120" i="1" a="1"/>
  <c r="S120" i="1" s="1"/>
  <c r="V120" i="1" s="1"/>
  <c r="W120" i="1" s="1"/>
  <c r="T120" i="1" a="1"/>
  <c r="T120" i="1" s="1"/>
  <c r="S801" i="1" a="1"/>
  <c r="S801" i="1" s="1"/>
  <c r="V801" i="1" s="1"/>
  <c r="W801" i="1" s="1"/>
  <c r="T801" i="1" a="1"/>
  <c r="T801" i="1" s="1"/>
  <c r="S585" i="1" a="1"/>
  <c r="S585" i="1" s="1"/>
  <c r="V585" i="1" s="1"/>
  <c r="W585" i="1" s="1"/>
  <c r="T585" i="1" a="1"/>
  <c r="T585" i="1" s="1"/>
  <c r="S819" i="1" a="1"/>
  <c r="S819" i="1" s="1"/>
  <c r="V819" i="1" s="1"/>
  <c r="W819" i="1" s="1"/>
  <c r="T819" i="1" a="1"/>
  <c r="T819" i="1" s="1"/>
  <c r="S616" i="1" a="1"/>
  <c r="S616" i="1" s="1"/>
  <c r="V616" i="1" s="1"/>
  <c r="W616" i="1" s="1"/>
  <c r="T616" i="1" a="1"/>
  <c r="T616" i="1" s="1"/>
  <c r="S274" i="1" a="1"/>
  <c r="S274" i="1" s="1"/>
  <c r="V274" i="1" s="1"/>
  <c r="W274" i="1" s="1"/>
  <c r="T274" i="1" a="1"/>
  <c r="T274" i="1" s="1"/>
  <c r="S967" i="1" a="1"/>
  <c r="S967" i="1" s="1"/>
  <c r="V967" i="1" s="1"/>
  <c r="W967" i="1" s="1"/>
  <c r="T967" i="1" a="1"/>
  <c r="T967" i="1" s="1"/>
  <c r="S544" i="1" a="1"/>
  <c r="S544" i="1" s="1"/>
  <c r="V544" i="1" s="1"/>
  <c r="W544" i="1" s="1"/>
  <c r="T544" i="1" a="1"/>
  <c r="T544" i="1" s="1"/>
  <c r="S667" i="1" a="1"/>
  <c r="S667" i="1" s="1"/>
  <c r="V667" i="1" s="1"/>
  <c r="W667" i="1" s="1"/>
  <c r="T667" i="1" a="1"/>
  <c r="T667" i="1" s="1"/>
  <c r="S589" i="1" a="1"/>
  <c r="S589" i="1" s="1"/>
  <c r="V589" i="1" s="1"/>
  <c r="W589" i="1" s="1"/>
  <c r="T589" i="1" a="1"/>
  <c r="T589" i="1" s="1"/>
  <c r="S925" i="1" a="1"/>
  <c r="S925" i="1" s="1"/>
  <c r="V925" i="1" s="1"/>
  <c r="W925" i="1" s="1"/>
  <c r="T925" i="1" a="1"/>
  <c r="T925" i="1" s="1"/>
  <c r="S993" i="1" a="1"/>
  <c r="S993" i="1" s="1"/>
  <c r="V993" i="1" s="1"/>
  <c r="W993" i="1" s="1"/>
  <c r="T993" i="1" a="1"/>
  <c r="T993" i="1" s="1"/>
  <c r="S768" i="1" a="1"/>
  <c r="S768" i="1" s="1"/>
  <c r="V768" i="1" s="1"/>
  <c r="W768" i="1" s="1"/>
  <c r="T768" i="1" a="1"/>
  <c r="T768" i="1" s="1"/>
  <c r="S896" i="1" a="1"/>
  <c r="S896" i="1" s="1"/>
  <c r="V896" i="1" s="1"/>
  <c r="W896" i="1" s="1"/>
  <c r="T896" i="1" a="1"/>
  <c r="T896" i="1" s="1"/>
  <c r="S621" i="1" a="1"/>
  <c r="S621" i="1" s="1"/>
  <c r="V621" i="1" s="1"/>
  <c r="W621" i="1" s="1"/>
  <c r="T621" i="1" a="1"/>
  <c r="T621" i="1" s="1"/>
  <c r="S853" i="1" a="1"/>
  <c r="S853" i="1" s="1"/>
  <c r="V853" i="1" s="1"/>
  <c r="W853" i="1" s="1"/>
  <c r="T853" i="1" a="1"/>
  <c r="T853" i="1" s="1"/>
  <c r="S807" i="1" a="1"/>
  <c r="S807" i="1" s="1"/>
  <c r="V807" i="1" s="1"/>
  <c r="W807" i="1" s="1"/>
  <c r="T807" i="1" a="1"/>
  <c r="T807" i="1" s="1"/>
  <c r="S888" i="1" a="1"/>
  <c r="S888" i="1" s="1"/>
  <c r="V888" i="1" s="1"/>
  <c r="W888" i="1" s="1"/>
  <c r="T888" i="1" a="1"/>
  <c r="T888" i="1" s="1"/>
  <c r="S24" i="1" a="1"/>
  <c r="S24" i="1" s="1"/>
  <c r="V24" i="1" s="1"/>
  <c r="W24" i="1" s="1"/>
  <c r="T24" i="1" a="1"/>
  <c r="T24" i="1" s="1"/>
  <c r="S72" i="1" a="1"/>
  <c r="S72" i="1" s="1"/>
  <c r="V72" i="1" s="1"/>
  <c r="W72" i="1" s="1"/>
  <c r="T72" i="1" a="1"/>
  <c r="T72" i="1" s="1"/>
  <c r="S602" i="1" a="1"/>
  <c r="S602" i="1" s="1"/>
  <c r="V602" i="1" s="1"/>
  <c r="W602" i="1" s="1"/>
  <c r="T602" i="1" a="1"/>
  <c r="T602" i="1" s="1"/>
  <c r="S960" i="1" a="1"/>
  <c r="S960" i="1" s="1"/>
  <c r="V960" i="1" s="1"/>
  <c r="W960" i="1" s="1"/>
  <c r="T960" i="1" a="1"/>
  <c r="T960" i="1" s="1"/>
  <c r="S766" i="1" a="1"/>
  <c r="S766" i="1" s="1"/>
  <c r="V766" i="1" s="1"/>
  <c r="W766" i="1" s="1"/>
  <c r="T766" i="1" a="1"/>
  <c r="T766" i="1" s="1"/>
  <c r="S872" i="1" a="1"/>
  <c r="S872" i="1" s="1"/>
  <c r="V872" i="1" s="1"/>
  <c r="W872" i="1" s="1"/>
  <c r="T872" i="1" a="1"/>
  <c r="T872" i="1" s="1"/>
  <c r="S670" i="1" a="1"/>
  <c r="S670" i="1" s="1"/>
  <c r="V670" i="1" s="1"/>
  <c r="W670" i="1" s="1"/>
  <c r="T670" i="1" a="1"/>
  <c r="T670" i="1" s="1"/>
  <c r="S809" i="1" a="1"/>
  <c r="S809" i="1" s="1"/>
  <c r="V809" i="1" s="1"/>
  <c r="W809" i="1" s="1"/>
  <c r="T809" i="1" a="1"/>
  <c r="T809" i="1" s="1"/>
  <c r="S723" i="1" a="1"/>
  <c r="S723" i="1" s="1"/>
  <c r="V723" i="1" s="1"/>
  <c r="W723" i="1" s="1"/>
  <c r="T723" i="1" a="1"/>
  <c r="T723" i="1" s="1"/>
  <c r="S914" i="1" a="1"/>
  <c r="S914" i="1" s="1"/>
  <c r="V914" i="1" s="1"/>
  <c r="W914" i="1" s="1"/>
  <c r="T914" i="1" a="1"/>
  <c r="T914" i="1" s="1"/>
  <c r="S341" i="1" a="1"/>
  <c r="S341" i="1" s="1"/>
  <c r="V341" i="1" s="1"/>
  <c r="W341" i="1" s="1"/>
  <c r="T341" i="1" a="1"/>
  <c r="T341" i="1" s="1"/>
  <c r="S486" i="1" a="1"/>
  <c r="S486" i="1" s="1"/>
  <c r="V486" i="1" s="1"/>
  <c r="W486" i="1" s="1"/>
  <c r="T486" i="1" a="1"/>
  <c r="T486" i="1" s="1"/>
  <c r="S603" i="1" a="1"/>
  <c r="S603" i="1" s="1"/>
  <c r="V603" i="1" s="1"/>
  <c r="W603" i="1" s="1"/>
  <c r="T603" i="1" a="1"/>
  <c r="T603" i="1" s="1"/>
  <c r="S490" i="1" a="1"/>
  <c r="S490" i="1" s="1"/>
  <c r="V490" i="1" s="1"/>
  <c r="W490" i="1" s="1"/>
  <c r="T490" i="1" a="1"/>
  <c r="T490" i="1" s="1"/>
  <c r="S354" i="1" a="1"/>
  <c r="S354" i="1" s="1"/>
  <c r="V354" i="1" s="1"/>
  <c r="W354" i="1" s="1"/>
  <c r="T354" i="1" a="1"/>
  <c r="T354" i="1" s="1"/>
  <c r="S862" i="1" a="1"/>
  <c r="S862" i="1" s="1"/>
  <c r="V862" i="1" s="1"/>
  <c r="W862" i="1" s="1"/>
  <c r="T862" i="1" a="1"/>
  <c r="T862" i="1" s="1"/>
  <c r="S632" i="1" a="1"/>
  <c r="S632" i="1" s="1"/>
  <c r="V632" i="1" s="1"/>
  <c r="W632" i="1" s="1"/>
  <c r="T632" i="1" a="1"/>
  <c r="T632" i="1" s="1"/>
  <c r="S733" i="1" a="1"/>
  <c r="S733" i="1" s="1"/>
  <c r="V733" i="1" s="1"/>
  <c r="W733" i="1" s="1"/>
  <c r="T733" i="1" a="1"/>
  <c r="T733" i="1" s="1"/>
  <c r="S797" i="1" a="1"/>
  <c r="S797" i="1" s="1"/>
  <c r="V797" i="1" s="1"/>
  <c r="W797" i="1" s="1"/>
  <c r="T797" i="1" a="1"/>
  <c r="T797" i="1" s="1"/>
  <c r="S734" i="1" a="1"/>
  <c r="S734" i="1" s="1"/>
  <c r="V734" i="1" s="1"/>
  <c r="W734" i="1" s="1"/>
  <c r="T734" i="1" a="1"/>
  <c r="T734" i="1" s="1"/>
  <c r="S856" i="1" a="1"/>
  <c r="S856" i="1" s="1"/>
  <c r="V856" i="1" s="1"/>
  <c r="W856" i="1" s="1"/>
  <c r="T856" i="1" a="1"/>
  <c r="T856" i="1" s="1"/>
  <c r="S880" i="1" a="1"/>
  <c r="S880" i="1" s="1"/>
  <c r="V880" i="1" s="1"/>
  <c r="W880" i="1" s="1"/>
  <c r="T880" i="1" a="1"/>
  <c r="T880" i="1" s="1"/>
  <c r="S961" i="1" a="1"/>
  <c r="S961" i="1" s="1"/>
  <c r="V961" i="1" s="1"/>
  <c r="W961" i="1" s="1"/>
  <c r="T961" i="1" a="1"/>
  <c r="T961" i="1" s="1"/>
  <c r="S301" i="1" a="1"/>
  <c r="S301" i="1" s="1"/>
  <c r="V301" i="1" s="1"/>
  <c r="W301" i="1" s="1"/>
  <c r="T301" i="1" a="1"/>
  <c r="T301" i="1" s="1"/>
  <c r="S836" i="1" a="1"/>
  <c r="S836" i="1" s="1"/>
  <c r="V836" i="1" s="1"/>
  <c r="W836" i="1" s="1"/>
  <c r="T836" i="1" a="1"/>
  <c r="T836" i="1" s="1"/>
  <c r="S729" i="1" a="1"/>
  <c r="S729" i="1" s="1"/>
  <c r="V729" i="1" s="1"/>
  <c r="W729" i="1" s="1"/>
  <c r="T729" i="1" a="1"/>
  <c r="T729" i="1" s="1"/>
  <c r="S402" i="1" a="1"/>
  <c r="S402" i="1" s="1"/>
  <c r="V402" i="1" s="1"/>
  <c r="W402" i="1" s="1"/>
  <c r="T402" i="1" a="1"/>
  <c r="T402" i="1" s="1"/>
  <c r="S681" i="1" a="1"/>
  <c r="S681" i="1" s="1"/>
  <c r="V681" i="1" s="1"/>
  <c r="W681" i="1" s="1"/>
  <c r="T681" i="1" a="1"/>
  <c r="T681" i="1" s="1"/>
  <c r="S584" i="1" a="1"/>
  <c r="S584" i="1" s="1"/>
  <c r="V584" i="1" s="1"/>
  <c r="W584" i="1" s="1"/>
  <c r="T584" i="1" a="1"/>
  <c r="T584" i="1" s="1"/>
  <c r="S851" i="1" a="1"/>
  <c r="S851" i="1" s="1"/>
  <c r="V851" i="1" s="1"/>
  <c r="W851" i="1" s="1"/>
  <c r="T851" i="1" a="1"/>
  <c r="T851" i="1" s="1"/>
  <c r="S440" i="1" a="1"/>
  <c r="S440" i="1" s="1"/>
  <c r="V440" i="1" s="1"/>
  <c r="W440" i="1" s="1"/>
  <c r="T440" i="1" a="1"/>
  <c r="T440" i="1" s="1"/>
  <c r="S345" i="1" a="1"/>
  <c r="S345" i="1" s="1"/>
  <c r="V345" i="1" s="1"/>
  <c r="W345" i="1" s="1"/>
  <c r="T345" i="1" a="1"/>
  <c r="T345" i="1" s="1"/>
  <c r="S612" i="1" a="1"/>
  <c r="S612" i="1" s="1"/>
  <c r="V612" i="1" s="1"/>
  <c r="W612" i="1" s="1"/>
  <c r="T612" i="1" a="1"/>
  <c r="T612" i="1" s="1"/>
  <c r="S519" i="1" a="1"/>
  <c r="S519" i="1" s="1"/>
  <c r="V519" i="1" s="1"/>
  <c r="W519" i="1" s="1"/>
  <c r="T519" i="1" a="1"/>
  <c r="T519" i="1" s="1"/>
  <c r="S471" i="1" a="1"/>
  <c r="S471" i="1" s="1"/>
  <c r="V471" i="1" s="1"/>
  <c r="W471" i="1" s="1"/>
  <c r="T471" i="1" a="1"/>
  <c r="T471" i="1" s="1"/>
  <c r="S928" i="1" a="1"/>
  <c r="S928" i="1" s="1"/>
  <c r="V928" i="1" s="1"/>
  <c r="W928" i="1" s="1"/>
  <c r="T928" i="1" a="1"/>
  <c r="T928" i="1" s="1"/>
  <c r="S668" i="1" a="1"/>
  <c r="S668" i="1" s="1"/>
  <c r="V668" i="1" s="1"/>
  <c r="W668" i="1" s="1"/>
  <c r="T668" i="1" a="1"/>
  <c r="T668" i="1" s="1"/>
  <c r="S683" i="1" a="1"/>
  <c r="S683" i="1" s="1"/>
  <c r="V683" i="1" s="1"/>
  <c r="W683" i="1" s="1"/>
  <c r="T683" i="1" a="1"/>
  <c r="T683" i="1" s="1"/>
  <c r="S441" i="1" a="1"/>
  <c r="S441" i="1" s="1"/>
  <c r="V441" i="1" s="1"/>
  <c r="W441" i="1" s="1"/>
  <c r="T441" i="1" a="1"/>
  <c r="T441" i="1" s="1"/>
  <c r="S842" i="1" a="1"/>
  <c r="S842" i="1" s="1"/>
  <c r="V842" i="1" s="1"/>
  <c r="W842" i="1" s="1"/>
  <c r="T842" i="1" a="1"/>
  <c r="T842" i="1" s="1"/>
  <c r="S482" i="1" a="1"/>
  <c r="S482" i="1" s="1"/>
  <c r="V482" i="1" s="1"/>
  <c r="W482" i="1" s="1"/>
  <c r="T482" i="1" a="1"/>
  <c r="T482" i="1" s="1"/>
  <c r="S418" i="1" a="1"/>
  <c r="S418" i="1" s="1"/>
  <c r="V418" i="1" s="1"/>
  <c r="W418" i="1" s="1"/>
  <c r="T418" i="1" a="1"/>
  <c r="T418" i="1" s="1"/>
  <c r="S281" i="1" a="1"/>
  <c r="S281" i="1" s="1"/>
  <c r="V281" i="1" s="1"/>
  <c r="W281" i="1" s="1"/>
  <c r="T281" i="1" a="1"/>
  <c r="T281" i="1" s="1"/>
  <c r="S978" i="1" a="1"/>
  <c r="S978" i="1" s="1"/>
  <c r="V978" i="1" s="1"/>
  <c r="W978" i="1" s="1"/>
  <c r="T978" i="1" a="1"/>
  <c r="T978" i="1" s="1"/>
  <c r="S579" i="1" a="1"/>
  <c r="S579" i="1" s="1"/>
  <c r="V579" i="1" s="1"/>
  <c r="W579" i="1" s="1"/>
  <c r="T579" i="1" a="1"/>
  <c r="T579" i="1" s="1"/>
  <c r="S141" i="1" a="1"/>
  <c r="S141" i="1" s="1"/>
  <c r="V141" i="1" s="1"/>
  <c r="W141" i="1" s="1"/>
  <c r="T141" i="1" a="1"/>
  <c r="T141" i="1" s="1"/>
  <c r="S637" i="1" a="1"/>
  <c r="S637" i="1" s="1"/>
  <c r="V637" i="1" s="1"/>
  <c r="W637" i="1" s="1"/>
  <c r="T637" i="1" a="1"/>
  <c r="T637" i="1" s="1"/>
  <c r="S262" i="1" a="1"/>
  <c r="S262" i="1" s="1"/>
  <c r="V262" i="1" s="1"/>
  <c r="W262" i="1" s="1"/>
  <c r="T262" i="1" a="1"/>
  <c r="T262" i="1" s="1"/>
  <c r="S898" i="1" a="1"/>
  <c r="S898" i="1" s="1"/>
  <c r="V898" i="1" s="1"/>
  <c r="W898" i="1" s="1"/>
  <c r="T898" i="1" a="1"/>
  <c r="T898" i="1" s="1"/>
  <c r="S410" i="1" a="1"/>
  <c r="S410" i="1" s="1"/>
  <c r="V410" i="1" s="1"/>
  <c r="W410" i="1" s="1"/>
  <c r="T410" i="1" a="1"/>
  <c r="T410" i="1" s="1"/>
  <c r="S303" i="1" a="1"/>
  <c r="S303" i="1" s="1"/>
  <c r="V303" i="1" s="1"/>
  <c r="W303" i="1" s="1"/>
  <c r="T303" i="1" a="1"/>
  <c r="T303" i="1" s="1"/>
  <c r="S989" i="1" a="1"/>
  <c r="S989" i="1" s="1"/>
  <c r="V989" i="1" s="1"/>
  <c r="W989" i="1" s="1"/>
  <c r="T989" i="1" a="1"/>
  <c r="T989" i="1" s="1"/>
  <c r="S655" i="1" a="1"/>
  <c r="S655" i="1" s="1"/>
  <c r="V655" i="1" s="1"/>
  <c r="W655" i="1" s="1"/>
  <c r="T655" i="1" a="1"/>
  <c r="T655" i="1" s="1"/>
  <c r="S372" i="1" a="1"/>
  <c r="S372" i="1" s="1"/>
  <c r="V372" i="1" s="1"/>
  <c r="W372" i="1" s="1"/>
  <c r="T372" i="1" a="1"/>
  <c r="T372" i="1" s="1"/>
  <c r="S690" i="1" a="1"/>
  <c r="S690" i="1" s="1"/>
  <c r="V690" i="1" s="1"/>
  <c r="W690" i="1" s="1"/>
  <c r="T690" i="1" a="1"/>
  <c r="T690" i="1" s="1"/>
  <c r="S614" i="1" a="1"/>
  <c r="S614" i="1" s="1"/>
  <c r="V614" i="1" s="1"/>
  <c r="W614" i="1" s="1"/>
  <c r="T614" i="1" a="1"/>
  <c r="T614" i="1" s="1"/>
  <c r="S861" i="1" a="1"/>
  <c r="S861" i="1" s="1"/>
  <c r="V861" i="1" s="1"/>
  <c r="W861" i="1" s="1"/>
  <c r="T861" i="1" a="1"/>
  <c r="T861" i="1" s="1"/>
  <c r="S69" i="1" a="1"/>
  <c r="S69" i="1" s="1"/>
  <c r="V69" i="1" s="1"/>
  <c r="W69" i="1" s="1"/>
  <c r="T69" i="1" a="1"/>
  <c r="T69" i="1" s="1"/>
  <c r="S858" i="1" a="1"/>
  <c r="S858" i="1" s="1"/>
  <c r="V858" i="1" s="1"/>
  <c r="W858" i="1" s="1"/>
  <c r="T858" i="1" a="1"/>
  <c r="T858" i="1" s="1"/>
  <c r="S773" i="1" a="1"/>
  <c r="S773" i="1" s="1"/>
  <c r="V773" i="1" s="1"/>
  <c r="W773" i="1" s="1"/>
  <c r="T773" i="1" a="1"/>
  <c r="T773" i="1" s="1"/>
  <c r="S628" i="1" a="1"/>
  <c r="S628" i="1" s="1"/>
  <c r="V628" i="1" s="1"/>
  <c r="W628" i="1" s="1"/>
  <c r="T628" i="1" a="1"/>
  <c r="T628" i="1" s="1"/>
  <c r="S334" i="1" a="1"/>
  <c r="S334" i="1" s="1"/>
  <c r="V334" i="1" s="1"/>
  <c r="W334" i="1" s="1"/>
  <c r="T334" i="1" a="1"/>
  <c r="T334" i="1" s="1"/>
  <c r="S624" i="1" a="1"/>
  <c r="S624" i="1" s="1"/>
  <c r="V624" i="1" s="1"/>
  <c r="W624" i="1" s="1"/>
  <c r="T624" i="1" a="1"/>
  <c r="T624" i="1" s="1"/>
  <c r="S373" i="1" a="1"/>
  <c r="S373" i="1" s="1"/>
  <c r="V373" i="1" s="1"/>
  <c r="W373" i="1" s="1"/>
  <c r="T373" i="1" a="1"/>
  <c r="T373" i="1" s="1"/>
  <c r="S16" i="1" a="1"/>
  <c r="S16" i="1" s="1"/>
  <c r="V16" i="1" s="1"/>
  <c r="W16" i="1" s="1"/>
  <c r="T16" i="1" a="1"/>
  <c r="T16" i="1" s="1"/>
  <c r="S26" i="1" a="1"/>
  <c r="S26" i="1" s="1"/>
  <c r="V26" i="1" s="1"/>
  <c r="W26" i="1" s="1"/>
  <c r="T26" i="1" a="1"/>
  <c r="T26" i="1" s="1"/>
  <c r="S324" i="1" a="1"/>
  <c r="S324" i="1" s="1"/>
  <c r="V324" i="1" s="1"/>
  <c r="W324" i="1" s="1"/>
  <c r="T324" i="1" a="1"/>
  <c r="T324" i="1" s="1"/>
  <c r="S885" i="1" a="1"/>
  <c r="S885" i="1" s="1"/>
  <c r="V885" i="1" s="1"/>
  <c r="W885" i="1" s="1"/>
  <c r="T885" i="1" a="1"/>
  <c r="T885" i="1" s="1"/>
  <c r="S731" i="1" a="1"/>
  <c r="S731" i="1" s="1"/>
  <c r="V731" i="1" s="1"/>
  <c r="W731" i="1" s="1"/>
  <c r="T731" i="1" a="1"/>
  <c r="T731" i="1" s="1"/>
  <c r="S309" i="1" a="1"/>
  <c r="S309" i="1" s="1"/>
  <c r="V309" i="1" s="1"/>
  <c r="W309" i="1" s="1"/>
  <c r="T309" i="1" a="1"/>
  <c r="T309" i="1" s="1"/>
  <c r="S586" i="1" a="1"/>
  <c r="S586" i="1" s="1"/>
  <c r="V586" i="1" s="1"/>
  <c r="W586" i="1" s="1"/>
  <c r="T586" i="1" a="1"/>
  <c r="T586" i="1" s="1"/>
  <c r="S322" i="1" a="1"/>
  <c r="S322" i="1" s="1"/>
  <c r="V322" i="1" s="1"/>
  <c r="W322" i="1" s="1"/>
  <c r="T322" i="1" a="1"/>
  <c r="T322" i="1" s="1"/>
  <c r="S253" i="1" a="1"/>
  <c r="S253" i="1" s="1"/>
  <c r="V253" i="1" s="1"/>
  <c r="W253" i="1" s="1"/>
  <c r="T253" i="1" a="1"/>
  <c r="T253" i="1" s="1"/>
  <c r="S99" i="1" a="1"/>
  <c r="S99" i="1" s="1"/>
  <c r="V99" i="1" s="1"/>
  <c r="W99" i="1" s="1"/>
  <c r="T99" i="1" a="1"/>
  <c r="T99" i="1" s="1"/>
  <c r="S289" i="1" a="1"/>
  <c r="S289" i="1" s="1"/>
  <c r="V289" i="1" s="1"/>
  <c r="W289" i="1" s="1"/>
  <c r="T289" i="1" a="1"/>
  <c r="T289" i="1" s="1"/>
  <c r="S314" i="1" a="1"/>
  <c r="S314" i="1" s="1"/>
  <c r="V314" i="1" s="1"/>
  <c r="W314" i="1" s="1"/>
  <c r="T314" i="1" a="1"/>
  <c r="T314" i="1" s="1"/>
  <c r="S229" i="1" a="1"/>
  <c r="S229" i="1" s="1"/>
  <c r="V229" i="1" s="1"/>
  <c r="W229" i="1" s="1"/>
  <c r="T229" i="1" a="1"/>
  <c r="T229" i="1" s="1"/>
  <c r="S152" i="1" a="1"/>
  <c r="S152" i="1" s="1"/>
  <c r="V152" i="1" s="1"/>
  <c r="W152" i="1" s="1"/>
  <c r="T152" i="1" a="1"/>
  <c r="T152" i="1" s="1"/>
  <c r="S785" i="1" a="1"/>
  <c r="S785" i="1" s="1"/>
  <c r="V785" i="1" s="1"/>
  <c r="W785" i="1" s="1"/>
  <c r="T785" i="1" a="1"/>
  <c r="T785" i="1" s="1"/>
  <c r="S37" i="1" a="1"/>
  <c r="S37" i="1" s="1"/>
  <c r="V37" i="1" s="1"/>
  <c r="W37" i="1" s="1"/>
  <c r="T37" i="1" a="1"/>
  <c r="T37" i="1" s="1"/>
  <c r="S754" i="1" a="1"/>
  <c r="S754" i="1" s="1"/>
  <c r="V754" i="1" s="1"/>
  <c r="W754" i="1" s="1"/>
  <c r="T754" i="1" a="1"/>
  <c r="T754" i="1" s="1"/>
  <c r="S340" i="1" a="1"/>
  <c r="S340" i="1" s="1"/>
  <c r="V340" i="1" s="1"/>
  <c r="W340" i="1" s="1"/>
  <c r="T340" i="1" a="1"/>
  <c r="T340" i="1" s="1"/>
  <c r="S968" i="1" a="1"/>
  <c r="S968" i="1" s="1"/>
  <c r="V968" i="1" s="1"/>
  <c r="W968" i="1" s="1"/>
  <c r="T968" i="1" a="1"/>
  <c r="T968" i="1" s="1"/>
  <c r="S940" i="1" a="1"/>
  <c r="S940" i="1" s="1"/>
  <c r="V940" i="1" s="1"/>
  <c r="W940" i="1" s="1"/>
  <c r="T940" i="1" a="1"/>
  <c r="T940" i="1" s="1"/>
  <c r="S30" i="1" a="1"/>
  <c r="S30" i="1" s="1"/>
  <c r="V30" i="1" s="1"/>
  <c r="W30" i="1" s="1"/>
  <c r="T30" i="1" a="1"/>
  <c r="T30" i="1" s="1"/>
  <c r="S170" i="1" a="1"/>
  <c r="S170" i="1" s="1"/>
  <c r="V170" i="1" s="1"/>
  <c r="W170" i="1" s="1"/>
  <c r="T170" i="1" a="1"/>
  <c r="T170" i="1" s="1"/>
  <c r="S110" i="1" a="1"/>
  <c r="S110" i="1" s="1"/>
  <c r="V110" i="1" s="1"/>
  <c r="W110" i="1" s="1"/>
  <c r="T110" i="1" a="1"/>
  <c r="T110" i="1" s="1"/>
  <c r="S904" i="1" a="1"/>
  <c r="S904" i="1" s="1"/>
  <c r="V904" i="1" s="1"/>
  <c r="W904" i="1" s="1"/>
  <c r="T904" i="1" a="1"/>
  <c r="T904" i="1" s="1"/>
  <c r="S398" i="1" a="1"/>
  <c r="S398" i="1" s="1"/>
  <c r="V398" i="1" s="1"/>
  <c r="W398" i="1" s="1"/>
  <c r="T398" i="1" a="1"/>
  <c r="T398" i="1" s="1"/>
  <c r="S285" i="1" a="1"/>
  <c r="S285" i="1" s="1"/>
  <c r="V285" i="1" s="1"/>
  <c r="W285" i="1" s="1"/>
  <c r="T285" i="1" a="1"/>
  <c r="T285" i="1" s="1"/>
  <c r="S259" i="1" a="1"/>
  <c r="S259" i="1" s="1"/>
  <c r="V259" i="1" s="1"/>
  <c r="W259" i="1" s="1"/>
  <c r="T259" i="1" a="1"/>
  <c r="T259" i="1" s="1"/>
  <c r="S891" i="1" a="1"/>
  <c r="S891" i="1" s="1"/>
  <c r="V891" i="1" s="1"/>
  <c r="W891" i="1" s="1"/>
  <c r="T891" i="1" a="1"/>
  <c r="T891" i="1" s="1"/>
  <c r="S718" i="1" a="1"/>
  <c r="S718" i="1" s="1"/>
  <c r="V718" i="1" s="1"/>
  <c r="W718" i="1" s="1"/>
  <c r="T718" i="1" a="1"/>
  <c r="T718" i="1" s="1"/>
  <c r="S824" i="1" a="1"/>
  <c r="S824" i="1" s="1"/>
  <c r="V824" i="1" s="1"/>
  <c r="W824" i="1" s="1"/>
  <c r="T824" i="1" a="1"/>
  <c r="T824" i="1" s="1"/>
  <c r="S383" i="1" a="1"/>
  <c r="S383" i="1" s="1"/>
  <c r="V383" i="1" s="1"/>
  <c r="W383" i="1" s="1"/>
  <c r="T383" i="1" a="1"/>
  <c r="T383" i="1" s="1"/>
  <c r="S816" i="1" a="1"/>
  <c r="S816" i="1" s="1"/>
  <c r="V816" i="1" s="1"/>
  <c r="W816" i="1" s="1"/>
  <c r="T816" i="1" a="1"/>
  <c r="T816" i="1" s="1"/>
  <c r="S236" i="1" a="1"/>
  <c r="S236" i="1" s="1"/>
  <c r="V236" i="1" s="1"/>
  <c r="W236" i="1" s="1"/>
  <c r="T236" i="1" a="1"/>
  <c r="T236" i="1" s="1"/>
  <c r="S501" i="1" a="1"/>
  <c r="S501" i="1" s="1"/>
  <c r="V501" i="1" s="1"/>
  <c r="W501" i="1" s="1"/>
  <c r="T501" i="1" a="1"/>
  <c r="T501" i="1" s="1"/>
  <c r="S38" i="1" a="1"/>
  <c r="S38" i="1" s="1"/>
  <c r="V38" i="1" s="1"/>
  <c r="W38" i="1" s="1"/>
  <c r="T38" i="1" a="1"/>
  <c r="T38" i="1" s="1"/>
  <c r="S312" i="1" a="1"/>
  <c r="S312" i="1" s="1"/>
  <c r="V312" i="1" s="1"/>
  <c r="W312" i="1" s="1"/>
  <c r="T312" i="1" a="1"/>
  <c r="T312" i="1" s="1"/>
  <c r="S946" i="1" a="1"/>
  <c r="S946" i="1" s="1"/>
  <c r="V946" i="1" s="1"/>
  <c r="W946" i="1" s="1"/>
  <c r="T946" i="1" a="1"/>
  <c r="T946" i="1" s="1"/>
  <c r="S926" i="1" a="1"/>
  <c r="S926" i="1" s="1"/>
  <c r="V926" i="1" s="1"/>
  <c r="W926" i="1" s="1"/>
  <c r="T926" i="1" a="1"/>
  <c r="T926" i="1" s="1"/>
  <c r="S483" i="1" a="1"/>
  <c r="S483" i="1" s="1"/>
  <c r="V483" i="1" s="1"/>
  <c r="W483" i="1" s="1"/>
  <c r="T483" i="1" a="1"/>
  <c r="T483" i="1" s="1"/>
  <c r="S455" i="1" a="1"/>
  <c r="S455" i="1" s="1"/>
  <c r="V455" i="1" s="1"/>
  <c r="W455" i="1" s="1"/>
  <c r="T455" i="1" a="1"/>
  <c r="T455" i="1" s="1"/>
  <c r="S728" i="1" a="1"/>
  <c r="S728" i="1" s="1"/>
  <c r="V728" i="1" s="1"/>
  <c r="W728" i="1" s="1"/>
  <c r="T728" i="1" a="1"/>
  <c r="T728" i="1" s="1"/>
  <c r="S745" i="1" a="1"/>
  <c r="S745" i="1" s="1"/>
  <c r="V745" i="1" s="1"/>
  <c r="W745" i="1" s="1"/>
  <c r="T745" i="1" a="1"/>
  <c r="T745" i="1" s="1"/>
  <c r="S751" i="1" a="1"/>
  <c r="S751" i="1" s="1"/>
  <c r="V751" i="1" s="1"/>
  <c r="W751" i="1" s="1"/>
  <c r="T751" i="1" a="1"/>
  <c r="T751" i="1" s="1"/>
  <c r="S972" i="1" a="1"/>
  <c r="S972" i="1" s="1"/>
  <c r="V972" i="1" s="1"/>
  <c r="W972" i="1" s="1"/>
  <c r="T972" i="1" a="1"/>
  <c r="T972" i="1" s="1"/>
  <c r="S562" i="1" a="1"/>
  <c r="S562" i="1" s="1"/>
  <c r="V562" i="1" s="1"/>
  <c r="W562" i="1" s="1"/>
  <c r="T562" i="1" a="1"/>
  <c r="T562" i="1" s="1"/>
  <c r="S333" i="1" a="1"/>
  <c r="S333" i="1" s="1"/>
  <c r="V333" i="1" s="1"/>
  <c r="W333" i="1" s="1"/>
  <c r="T333" i="1" a="1"/>
  <c r="T333" i="1" s="1"/>
  <c r="S921" i="1" a="1"/>
  <c r="S921" i="1" s="1"/>
  <c r="V921" i="1" s="1"/>
  <c r="W921" i="1" s="1"/>
  <c r="T921" i="1" a="1"/>
  <c r="T921" i="1" s="1"/>
  <c r="S639" i="1" a="1"/>
  <c r="S639" i="1" s="1"/>
  <c r="V639" i="1" s="1"/>
  <c r="W639" i="1" s="1"/>
  <c r="T639" i="1" a="1"/>
  <c r="T639" i="1" s="1"/>
  <c r="S344" i="1" a="1"/>
  <c r="S344" i="1" s="1"/>
  <c r="V344" i="1" s="1"/>
  <c r="W344" i="1" s="1"/>
  <c r="T344" i="1" a="1"/>
  <c r="T344" i="1" s="1"/>
  <c r="S711" i="1" a="1"/>
  <c r="S711" i="1" s="1"/>
  <c r="V711" i="1" s="1"/>
  <c r="W711" i="1" s="1"/>
  <c r="T711" i="1" a="1"/>
  <c r="T711" i="1" s="1"/>
  <c r="S47" i="1" a="1"/>
  <c r="S47" i="1" s="1"/>
  <c r="V47" i="1" s="1"/>
  <c r="W47" i="1" s="1"/>
  <c r="T47" i="1" a="1"/>
  <c r="T47" i="1" s="1"/>
  <c r="S111" i="1" a="1"/>
  <c r="S111" i="1" s="1"/>
  <c r="V111" i="1" s="1"/>
  <c r="W111" i="1" s="1"/>
  <c r="T111" i="1" a="1"/>
  <c r="T111" i="1" s="1"/>
  <c r="S153" i="1" a="1"/>
  <c r="S153" i="1" s="1"/>
  <c r="V153" i="1" s="1"/>
  <c r="W153" i="1" s="1"/>
  <c r="T153" i="1" a="1"/>
  <c r="T153" i="1" s="1"/>
  <c r="S176" i="1" a="1"/>
  <c r="S176" i="1" s="1"/>
  <c r="V176" i="1" s="1"/>
  <c r="W176" i="1" s="1"/>
  <c r="T176" i="1" a="1"/>
  <c r="T176" i="1" s="1"/>
  <c r="S738" i="1" a="1"/>
  <c r="S738" i="1" s="1"/>
  <c r="V738" i="1" s="1"/>
  <c r="W738" i="1" s="1"/>
  <c r="T738" i="1" a="1"/>
  <c r="T738" i="1" s="1"/>
  <c r="S599" i="1" a="1"/>
  <c r="S599" i="1" s="1"/>
  <c r="V599" i="1" s="1"/>
  <c r="W599" i="1" s="1"/>
  <c r="T599" i="1" a="1"/>
  <c r="T599" i="1" s="1"/>
  <c r="S737" i="1" a="1"/>
  <c r="S737" i="1" s="1"/>
  <c r="V737" i="1" s="1"/>
  <c r="W737" i="1" s="1"/>
  <c r="T737" i="1" a="1"/>
  <c r="T737" i="1" s="1"/>
  <c r="S480" i="1" a="1"/>
  <c r="S480" i="1" s="1"/>
  <c r="V480" i="1" s="1"/>
  <c r="W480" i="1" s="1"/>
  <c r="T480" i="1" a="1"/>
  <c r="T480" i="1" s="1"/>
  <c r="S779" i="1" a="1"/>
  <c r="S779" i="1" s="1"/>
  <c r="V779" i="1" s="1"/>
  <c r="W779" i="1" s="1"/>
  <c r="T779" i="1" a="1"/>
  <c r="T779" i="1" s="1"/>
  <c r="S377" i="1" a="1"/>
  <c r="S377" i="1" s="1"/>
  <c r="V377" i="1" s="1"/>
  <c r="W377" i="1" s="1"/>
  <c r="T377" i="1" a="1"/>
  <c r="T377" i="1" s="1"/>
  <c r="S145" i="1" a="1"/>
  <c r="S145" i="1" s="1"/>
  <c r="V145" i="1" s="1"/>
  <c r="W145" i="1" s="1"/>
  <c r="T145" i="1" a="1"/>
  <c r="T145" i="1" s="1"/>
  <c r="S22" i="1" a="1"/>
  <c r="S22" i="1" s="1"/>
  <c r="V22" i="1" s="1"/>
  <c r="W22" i="1" s="1"/>
  <c r="T22" i="1" a="1"/>
  <c r="T22" i="1" s="1"/>
  <c r="S860" i="1" a="1"/>
  <c r="S860" i="1" s="1"/>
  <c r="V860" i="1" s="1"/>
  <c r="W860" i="1" s="1"/>
  <c r="T860" i="1" a="1"/>
  <c r="T860" i="1" s="1"/>
  <c r="S741" i="1" a="1"/>
  <c r="S741" i="1" s="1"/>
  <c r="V741" i="1" s="1"/>
  <c r="W741" i="1" s="1"/>
  <c r="T741" i="1" a="1"/>
  <c r="T741" i="1" s="1"/>
  <c r="S41" i="1" a="1"/>
  <c r="S41" i="1" s="1"/>
  <c r="V41" i="1" s="1"/>
  <c r="W41" i="1" s="1"/>
  <c r="T41" i="1" a="1"/>
  <c r="T41" i="1" s="1"/>
  <c r="S348" i="1" a="1"/>
  <c r="S348" i="1" s="1"/>
  <c r="V348" i="1" s="1"/>
  <c r="W348" i="1" s="1"/>
  <c r="T348" i="1" a="1"/>
  <c r="T348" i="1" s="1"/>
  <c r="S221" i="1" a="1"/>
  <c r="S221" i="1" s="1"/>
  <c r="V221" i="1" s="1"/>
  <c r="W221" i="1" s="1"/>
  <c r="T221" i="1" a="1"/>
  <c r="T221" i="1" s="1"/>
  <c r="S954" i="1" a="1"/>
  <c r="S954" i="1" s="1"/>
  <c r="V954" i="1" s="1"/>
  <c r="W954" i="1" s="1"/>
  <c r="T954" i="1" a="1"/>
  <c r="T954" i="1" s="1"/>
  <c r="S412" i="1" a="1"/>
  <c r="S412" i="1" s="1"/>
  <c r="V412" i="1" s="1"/>
  <c r="W412" i="1" s="1"/>
  <c r="T412" i="1" a="1"/>
  <c r="T412" i="1" s="1"/>
  <c r="S136" i="1" a="1"/>
  <c r="S136" i="1" s="1"/>
  <c r="V136" i="1" s="1"/>
  <c r="W136" i="1" s="1"/>
  <c r="T136" i="1" a="1"/>
  <c r="T136" i="1" s="1"/>
  <c r="S315" i="1" a="1"/>
  <c r="S315" i="1" s="1"/>
  <c r="V315" i="1" s="1"/>
  <c r="W315" i="1" s="1"/>
  <c r="T315" i="1" a="1"/>
  <c r="T315" i="1" s="1"/>
  <c r="S8" i="1" a="1"/>
  <c r="S8" i="1" s="1"/>
  <c r="V8" i="1" s="1"/>
  <c r="W8" i="1" s="1"/>
  <c r="T8" i="1" a="1"/>
  <c r="T8" i="1" s="1"/>
  <c r="S432" i="1" a="1"/>
  <c r="S432" i="1" s="1"/>
  <c r="V432" i="1" s="1"/>
  <c r="W432" i="1" s="1"/>
  <c r="T432" i="1" a="1"/>
  <c r="T432" i="1" s="1"/>
  <c r="S679" i="1" a="1"/>
  <c r="S679" i="1" s="1"/>
  <c r="V679" i="1" s="1"/>
  <c r="W679" i="1" s="1"/>
  <c r="T679" i="1" a="1"/>
  <c r="T679" i="1" s="1"/>
  <c r="S555" i="1" a="1"/>
  <c r="S555" i="1" s="1"/>
  <c r="V555" i="1" s="1"/>
  <c r="W555" i="1" s="1"/>
  <c r="T555" i="1" a="1"/>
  <c r="T555" i="1" s="1"/>
  <c r="S899" i="1" a="1"/>
  <c r="S899" i="1" s="1"/>
  <c r="V899" i="1" s="1"/>
  <c r="W899" i="1" s="1"/>
  <c r="T899" i="1" a="1"/>
  <c r="T899" i="1" s="1"/>
  <c r="S879" i="1" a="1"/>
  <c r="S879" i="1" s="1"/>
  <c r="V879" i="1" s="1"/>
  <c r="W879" i="1" s="1"/>
  <c r="T879" i="1" a="1"/>
  <c r="T879" i="1" s="1"/>
  <c r="S85" i="1" a="1"/>
  <c r="S85" i="1" s="1"/>
  <c r="V85" i="1" s="1"/>
  <c r="W85" i="1" s="1"/>
  <c r="T85" i="1" a="1"/>
  <c r="T85" i="1" s="1"/>
  <c r="S543" i="1" a="1"/>
  <c r="S543" i="1" s="1"/>
  <c r="V543" i="1" s="1"/>
  <c r="W543" i="1" s="1"/>
  <c r="T543" i="1" a="1"/>
  <c r="T543" i="1" s="1"/>
  <c r="S468" i="1" a="1"/>
  <c r="S468" i="1" s="1"/>
  <c r="V468" i="1" s="1"/>
  <c r="W468" i="1" s="1"/>
  <c r="T468" i="1" a="1"/>
  <c r="T468" i="1" s="1"/>
  <c r="S634" i="1" a="1"/>
  <c r="S634" i="1" s="1"/>
  <c r="V634" i="1" s="1"/>
  <c r="W634" i="1" s="1"/>
  <c r="T634" i="1" a="1"/>
  <c r="T634" i="1" s="1"/>
  <c r="S744" i="1" a="1"/>
  <c r="S744" i="1" s="1"/>
  <c r="V744" i="1" s="1"/>
  <c r="W744" i="1" s="1"/>
  <c r="T744" i="1" a="1"/>
  <c r="T744" i="1" s="1"/>
  <c r="S317" i="1" a="1"/>
  <c r="S317" i="1" s="1"/>
  <c r="V317" i="1" s="1"/>
  <c r="W317" i="1" s="1"/>
  <c r="T317" i="1" a="1"/>
  <c r="T317" i="1" s="1"/>
  <c r="S750" i="1" a="1"/>
  <c r="S750" i="1" s="1"/>
  <c r="V750" i="1" s="1"/>
  <c r="W750" i="1" s="1"/>
  <c r="T750" i="1" a="1"/>
  <c r="T750" i="1" s="1"/>
  <c r="S436" i="1" a="1"/>
  <c r="S436" i="1" s="1"/>
  <c r="V436" i="1" s="1"/>
  <c r="W436" i="1" s="1"/>
  <c r="T436" i="1" a="1"/>
  <c r="T436" i="1" s="1"/>
  <c r="S21" i="1" a="1"/>
  <c r="S21" i="1" s="1"/>
  <c r="V21" i="1" s="1"/>
  <c r="W21" i="1" s="1"/>
  <c r="T21" i="1" a="1"/>
  <c r="T21" i="1" s="1"/>
  <c r="S279" i="1" a="1"/>
  <c r="S279" i="1" s="1"/>
  <c r="V279" i="1" s="1"/>
  <c r="W279" i="1" s="1"/>
  <c r="T279" i="1" a="1"/>
  <c r="T279" i="1" s="1"/>
  <c r="S794" i="1" a="1"/>
  <c r="S794" i="1" s="1"/>
  <c r="V794" i="1" s="1"/>
  <c r="W794" i="1" s="1"/>
  <c r="T794" i="1" a="1"/>
  <c r="T794" i="1" s="1"/>
  <c r="S191" i="1" a="1"/>
  <c r="S191" i="1" s="1"/>
  <c r="V191" i="1" s="1"/>
  <c r="W191" i="1" s="1"/>
  <c r="T191" i="1" a="1"/>
  <c r="T191" i="1" s="1"/>
  <c r="S804" i="1" a="1"/>
  <c r="S804" i="1" s="1"/>
  <c r="V804" i="1" s="1"/>
  <c r="W804" i="1" s="1"/>
  <c r="T804" i="1" a="1"/>
  <c r="T804" i="1" s="1"/>
  <c r="S571" i="1" a="1"/>
  <c r="S571" i="1" s="1"/>
  <c r="V571" i="1" s="1"/>
  <c r="W571" i="1" s="1"/>
  <c r="T571" i="1" a="1"/>
  <c r="T571" i="1" s="1"/>
  <c r="S716" i="1" a="1"/>
  <c r="S716" i="1" s="1"/>
  <c r="V716" i="1" s="1"/>
  <c r="W716" i="1" s="1"/>
  <c r="T716" i="1" a="1"/>
  <c r="T716" i="1" s="1"/>
  <c r="S863" i="1" a="1"/>
  <c r="S863" i="1" s="1"/>
  <c r="V863" i="1" s="1"/>
  <c r="W863" i="1" s="1"/>
  <c r="T863" i="1" a="1"/>
  <c r="T863" i="1" s="1"/>
  <c r="S316" i="1" a="1"/>
  <c r="S316" i="1" s="1"/>
  <c r="V316" i="1" s="1"/>
  <c r="W316" i="1" s="1"/>
  <c r="T316" i="1" a="1"/>
  <c r="T316" i="1" s="1"/>
  <c r="S671" i="1" a="1"/>
  <c r="S671" i="1" s="1"/>
  <c r="V671" i="1" s="1"/>
  <c r="W671" i="1" s="1"/>
  <c r="T671" i="1" a="1"/>
  <c r="T671" i="1" s="1"/>
  <c r="S88" i="1" a="1"/>
  <c r="S88" i="1" s="1"/>
  <c r="V88" i="1" s="1"/>
  <c r="W88" i="1" s="1"/>
  <c r="T88" i="1" a="1"/>
  <c r="T88" i="1" s="1"/>
  <c r="S347" i="1" a="1"/>
  <c r="S347" i="1" s="1"/>
  <c r="V347" i="1" s="1"/>
  <c r="W347" i="1" s="1"/>
  <c r="T347" i="1" a="1"/>
  <c r="T347" i="1" s="1"/>
  <c r="S405" i="1" a="1"/>
  <c r="S405" i="1" s="1"/>
  <c r="V405" i="1" s="1"/>
  <c r="W405" i="1" s="1"/>
  <c r="T405" i="1" a="1"/>
  <c r="T405" i="1" s="1"/>
  <c r="S715" i="1" a="1"/>
  <c r="S715" i="1" s="1"/>
  <c r="V715" i="1" s="1"/>
  <c r="W715" i="1" s="1"/>
  <c r="T715" i="1" a="1"/>
  <c r="T715" i="1" s="1"/>
  <c r="S96" i="1" a="1"/>
  <c r="S96" i="1" s="1"/>
  <c r="V96" i="1" s="1"/>
  <c r="W96" i="1" s="1"/>
  <c r="T96" i="1" a="1"/>
  <c r="T96" i="1" s="1"/>
  <c r="S92" i="1" a="1"/>
  <c r="S92" i="1" s="1"/>
  <c r="V92" i="1" s="1"/>
  <c r="W92" i="1" s="1"/>
  <c r="T92" i="1" a="1"/>
  <c r="T92" i="1" s="1"/>
  <c r="S437" i="1" a="1"/>
  <c r="S437" i="1" s="1"/>
  <c r="V437" i="1" s="1"/>
  <c r="W437" i="1" s="1"/>
  <c r="T437" i="1" a="1"/>
  <c r="T437" i="1" s="1"/>
  <c r="S414" i="1" a="1"/>
  <c r="S414" i="1" s="1"/>
  <c r="V414" i="1" s="1"/>
  <c r="W414" i="1" s="1"/>
  <c r="T414" i="1" a="1"/>
  <c r="T414" i="1" s="1"/>
  <c r="S61" i="1" a="1"/>
  <c r="S61" i="1" s="1"/>
  <c r="V61" i="1" s="1"/>
  <c r="W61" i="1" s="1"/>
  <c r="T61" i="1" a="1"/>
  <c r="T61" i="1" s="1"/>
  <c r="S200" i="1" a="1"/>
  <c r="S200" i="1" s="1"/>
  <c r="V200" i="1" s="1"/>
  <c r="W200" i="1" s="1"/>
  <c r="T200" i="1" a="1"/>
  <c r="T200" i="1" s="1"/>
  <c r="S883" i="1" a="1"/>
  <c r="S883" i="1" s="1"/>
  <c r="V883" i="1" s="1"/>
  <c r="W883" i="1" s="1"/>
  <c r="T883" i="1" a="1"/>
  <c r="T883" i="1" s="1"/>
  <c r="S666" i="1" a="1"/>
  <c r="S666" i="1" s="1"/>
  <c r="V666" i="1" s="1"/>
  <c r="W666" i="1" s="1"/>
  <c r="T666" i="1" a="1"/>
  <c r="T666" i="1" s="1"/>
  <c r="S363" i="1" a="1"/>
  <c r="S363" i="1" s="1"/>
  <c r="V363" i="1" s="1"/>
  <c r="W363" i="1" s="1"/>
  <c r="T363" i="1" a="1"/>
  <c r="T363" i="1" s="1"/>
  <c r="S590" i="1" a="1"/>
  <c r="S590" i="1" s="1"/>
  <c r="V590" i="1" s="1"/>
  <c r="W590" i="1" s="1"/>
  <c r="T590" i="1" a="1"/>
  <c r="T590" i="1" s="1"/>
  <c r="S496" i="1" a="1"/>
  <c r="S496" i="1" s="1"/>
  <c r="V496" i="1" s="1"/>
  <c r="W496" i="1" s="1"/>
  <c r="T496" i="1" a="1"/>
  <c r="T496" i="1" s="1"/>
  <c r="S323" i="1" a="1"/>
  <c r="S323" i="1" s="1"/>
  <c r="V323" i="1" s="1"/>
  <c r="W323" i="1" s="1"/>
  <c r="T323" i="1" a="1"/>
  <c r="T323" i="1" s="1"/>
  <c r="S31" i="1" a="1"/>
  <c r="S31" i="1" s="1"/>
  <c r="V31" i="1" s="1"/>
  <c r="W31" i="1" s="1"/>
  <c r="T31" i="1" a="1"/>
  <c r="T31" i="1" s="1"/>
  <c r="S971" i="1" a="1"/>
  <c r="S971" i="1" s="1"/>
  <c r="V971" i="1" s="1"/>
  <c r="W971" i="1" s="1"/>
  <c r="T971" i="1" a="1"/>
  <c r="T971" i="1" s="1"/>
  <c r="S803" i="1" a="1"/>
  <c r="S803" i="1" s="1"/>
  <c r="V803" i="1" s="1"/>
  <c r="W803" i="1" s="1"/>
  <c r="T803" i="1" a="1"/>
  <c r="T803" i="1" s="1"/>
  <c r="S561" i="1" a="1"/>
  <c r="S561" i="1" s="1"/>
  <c r="V561" i="1" s="1"/>
  <c r="W561" i="1" s="1"/>
  <c r="T561" i="1" a="1"/>
  <c r="T561" i="1" s="1"/>
  <c r="S611" i="1" a="1"/>
  <c r="S611" i="1" s="1"/>
  <c r="V611" i="1" s="1"/>
  <c r="W611" i="1" s="1"/>
  <c r="T611" i="1" a="1"/>
  <c r="T611" i="1" s="1"/>
  <c r="S328" i="1" a="1"/>
  <c r="S328" i="1" s="1"/>
  <c r="V328" i="1" s="1"/>
  <c r="W328" i="1" s="1"/>
  <c r="T328" i="1" a="1"/>
  <c r="T328" i="1" s="1"/>
  <c r="S743" i="1" a="1"/>
  <c r="S743" i="1" s="1"/>
  <c r="V743" i="1" s="1"/>
  <c r="W743" i="1" s="1"/>
  <c r="T743" i="1" a="1"/>
  <c r="T743" i="1" s="1"/>
  <c r="S949" i="1" a="1"/>
  <c r="S949" i="1" s="1"/>
  <c r="V949" i="1" s="1"/>
  <c r="W949" i="1" s="1"/>
  <c r="T949" i="1" a="1"/>
  <c r="T949" i="1" s="1"/>
  <c r="S739" i="1" a="1"/>
  <c r="S739" i="1" s="1"/>
  <c r="V739" i="1" s="1"/>
  <c r="W739" i="1" s="1"/>
  <c r="T739" i="1" a="1"/>
  <c r="T739" i="1" s="1"/>
  <c r="S55" i="1" a="1"/>
  <c r="S55" i="1" s="1"/>
  <c r="V55" i="1" s="1"/>
  <c r="W55" i="1" s="1"/>
  <c r="T55" i="1" a="1"/>
  <c r="T55" i="1" s="1"/>
  <c r="S244" i="1" a="1"/>
  <c r="S244" i="1" s="1"/>
  <c r="V244" i="1" s="1"/>
  <c r="W244" i="1" s="1"/>
  <c r="T244" i="1" a="1"/>
  <c r="T244" i="1" s="1"/>
  <c r="S251" i="1" a="1"/>
  <c r="S251" i="1" s="1"/>
  <c r="V251" i="1" s="1"/>
  <c r="W251" i="1" s="1"/>
  <c r="T251" i="1" a="1"/>
  <c r="T251" i="1" s="1"/>
  <c r="S431" i="1" a="1"/>
  <c r="S431" i="1" s="1"/>
  <c r="V431" i="1" s="1"/>
  <c r="W431" i="1" s="1"/>
  <c r="T431" i="1" a="1"/>
  <c r="T431" i="1" s="1"/>
  <c r="S45" i="1" a="1"/>
  <c r="S45" i="1" s="1"/>
  <c r="V45" i="1" s="1"/>
  <c r="W45" i="1" s="1"/>
  <c r="T45" i="1" a="1"/>
  <c r="T45" i="1" s="1"/>
  <c r="S20" i="1" a="1"/>
  <c r="S20" i="1" s="1"/>
  <c r="V20" i="1" s="1"/>
  <c r="W20" i="1" s="1"/>
  <c r="T20" i="1" a="1"/>
  <c r="T20" i="1" s="1"/>
  <c r="S756" i="1" a="1"/>
  <c r="S756" i="1" s="1"/>
  <c r="V756" i="1" s="1"/>
  <c r="W756" i="1" s="1"/>
  <c r="T756" i="1" a="1"/>
  <c r="T756" i="1" s="1"/>
  <c r="S580" i="1" a="1"/>
  <c r="S580" i="1" s="1"/>
  <c r="V580" i="1" s="1"/>
  <c r="W580" i="1" s="1"/>
  <c r="T580" i="1" a="1"/>
  <c r="T580" i="1" s="1"/>
  <c r="S396" i="1" a="1"/>
  <c r="S396" i="1" s="1"/>
  <c r="V396" i="1" s="1"/>
  <c r="W396" i="1" s="1"/>
  <c r="T396" i="1" a="1"/>
  <c r="T396" i="1" s="1"/>
  <c r="S895" i="1" a="1"/>
  <c r="S895" i="1" s="1"/>
  <c r="V895" i="1" s="1"/>
  <c r="W895" i="1" s="1"/>
  <c r="T895" i="1" a="1"/>
  <c r="T895" i="1" s="1"/>
  <c r="S216" i="1" a="1"/>
  <c r="S216" i="1" s="1"/>
  <c r="V216" i="1" s="1"/>
  <c r="W216" i="1" s="1"/>
  <c r="T216" i="1" a="1"/>
  <c r="T216" i="1" s="1"/>
  <c r="S399" i="1" a="1"/>
  <c r="S399" i="1" s="1"/>
  <c r="V399" i="1" s="1"/>
  <c r="W399" i="1" s="1"/>
  <c r="T399" i="1" a="1"/>
  <c r="T399" i="1" s="1"/>
  <c r="S871" i="1" a="1"/>
  <c r="S871" i="1" s="1"/>
  <c r="V871" i="1" s="1"/>
  <c r="W871" i="1" s="1"/>
  <c r="T871" i="1" a="1"/>
  <c r="T871" i="1" s="1"/>
  <c r="S12" i="1" a="1"/>
  <c r="S12" i="1" s="1"/>
  <c r="V12" i="1" s="1"/>
  <c r="W12" i="1" s="1"/>
  <c r="T12" i="1" a="1"/>
  <c r="T12" i="1" s="1"/>
  <c r="S575" i="1" a="1"/>
  <c r="S575" i="1" s="1"/>
  <c r="V575" i="1" s="1"/>
  <c r="W575" i="1" s="1"/>
  <c r="T575" i="1" a="1"/>
  <c r="T575" i="1" s="1"/>
  <c r="S848" i="1" a="1"/>
  <c r="S848" i="1" s="1"/>
  <c r="V848" i="1" s="1"/>
  <c r="W848" i="1" s="1"/>
  <c r="T848" i="1" a="1"/>
  <c r="T848" i="1" s="1"/>
  <c r="S183" i="1" a="1"/>
  <c r="S183" i="1" s="1"/>
  <c r="V183" i="1" s="1"/>
  <c r="W183" i="1" s="1"/>
  <c r="T183" i="1" a="1"/>
  <c r="T183" i="1" s="1"/>
  <c r="S852" i="1" a="1"/>
  <c r="S852" i="1" s="1"/>
  <c r="V852" i="1" s="1"/>
  <c r="W852" i="1" s="1"/>
  <c r="T852" i="1" a="1"/>
  <c r="T852" i="1" s="1"/>
  <c r="S123" i="1" a="1"/>
  <c r="S123" i="1" s="1"/>
  <c r="V123" i="1" s="1"/>
  <c r="W123" i="1" s="1"/>
  <c r="T123" i="1" a="1"/>
  <c r="T123" i="1" s="1"/>
  <c r="S988" i="1" a="1"/>
  <c r="S988" i="1" s="1"/>
  <c r="V988" i="1" s="1"/>
  <c r="W988" i="1" s="1"/>
  <c r="T988" i="1" a="1"/>
  <c r="T988" i="1" s="1"/>
  <c r="S265" i="1" a="1"/>
  <c r="S265" i="1" s="1"/>
  <c r="V265" i="1" s="1"/>
  <c r="W265" i="1" s="1"/>
  <c r="T265" i="1" a="1"/>
  <c r="T265" i="1" s="1"/>
  <c r="S297" i="1" a="1"/>
  <c r="S297" i="1" s="1"/>
  <c r="V297" i="1" s="1"/>
  <c r="W297" i="1" s="1"/>
  <c r="T297" i="1" a="1"/>
  <c r="T297" i="1" s="1"/>
  <c r="S423" i="1" a="1"/>
  <c r="S423" i="1" s="1"/>
  <c r="V423" i="1" s="1"/>
  <c r="W423" i="1" s="1"/>
  <c r="T423" i="1" a="1"/>
  <c r="T423" i="1" s="1"/>
  <c r="S831" i="1" a="1"/>
  <c r="S831" i="1" s="1"/>
  <c r="V831" i="1" s="1"/>
  <c r="W831" i="1" s="1"/>
  <c r="T831" i="1" a="1"/>
  <c r="T831" i="1" s="1"/>
  <c r="S536" i="1" a="1"/>
  <c r="S536" i="1" s="1"/>
  <c r="V536" i="1" s="1"/>
  <c r="W536" i="1" s="1"/>
  <c r="T536" i="1" a="1"/>
  <c r="T536" i="1" s="1"/>
  <c r="S554" i="1" a="1"/>
  <c r="S554" i="1" s="1"/>
  <c r="V554" i="1" s="1"/>
  <c r="W554" i="1" s="1"/>
  <c r="T554" i="1" a="1"/>
  <c r="T554" i="1" s="1"/>
  <c r="S150" i="1" a="1"/>
  <c r="S150" i="1" s="1"/>
  <c r="V150" i="1" s="1"/>
  <c r="W150" i="1" s="1"/>
  <c r="T150" i="1" a="1"/>
  <c r="T150" i="1" s="1"/>
  <c r="S481" i="1" a="1"/>
  <c r="S481" i="1" s="1"/>
  <c r="V481" i="1" s="1"/>
  <c r="W481" i="1" s="1"/>
  <c r="T481" i="1" a="1"/>
  <c r="T481" i="1" s="1"/>
  <c r="S382" i="1" a="1"/>
  <c r="S382" i="1" s="1"/>
  <c r="V382" i="1" s="1"/>
  <c r="W382" i="1" s="1"/>
  <c r="T382" i="1" a="1"/>
  <c r="T382" i="1" s="1"/>
  <c r="S290" i="1" a="1"/>
  <c r="S290" i="1" s="1"/>
  <c r="V290" i="1" s="1"/>
  <c r="W290" i="1" s="1"/>
  <c r="T290" i="1" a="1"/>
  <c r="T290" i="1" s="1"/>
  <c r="S523" i="1" a="1"/>
  <c r="S523" i="1" s="1"/>
  <c r="V523" i="1" s="1"/>
  <c r="W523" i="1" s="1"/>
  <c r="T523" i="1" a="1"/>
  <c r="T523" i="1" s="1"/>
  <c r="S508" i="1" a="1"/>
  <c r="S508" i="1" s="1"/>
  <c r="V508" i="1" s="1"/>
  <c r="W508" i="1" s="1"/>
  <c r="T508" i="1" a="1"/>
  <c r="T508" i="1" s="1"/>
  <c r="S764" i="1" a="1"/>
  <c r="S764" i="1" s="1"/>
  <c r="V764" i="1" s="1"/>
  <c r="W764" i="1" s="1"/>
  <c r="T764" i="1" a="1"/>
  <c r="T764" i="1" s="1"/>
  <c r="S356" i="1" a="1"/>
  <c r="S356" i="1" s="1"/>
  <c r="V356" i="1" s="1"/>
  <c r="W356" i="1" s="1"/>
  <c r="T356" i="1" a="1"/>
  <c r="T356" i="1" s="1"/>
  <c r="S165" i="1" a="1"/>
  <c r="S165" i="1" s="1"/>
  <c r="V165" i="1" s="1"/>
  <c r="W165" i="1" s="1"/>
  <c r="T165" i="1" a="1"/>
  <c r="T165" i="1" s="1"/>
  <c r="S839" i="1" a="1"/>
  <c r="S839" i="1" s="1"/>
  <c r="V839" i="1" s="1"/>
  <c r="W839" i="1" s="1"/>
  <c r="T839" i="1" a="1"/>
  <c r="T839" i="1" s="1"/>
  <c r="S223" i="1" a="1"/>
  <c r="S223" i="1" s="1"/>
  <c r="V223" i="1" s="1"/>
  <c r="W223" i="1" s="1"/>
  <c r="T223" i="1" a="1"/>
  <c r="T223" i="1" s="1"/>
  <c r="S479" i="1" a="1"/>
  <c r="S479" i="1" s="1"/>
  <c r="V479" i="1" s="1"/>
  <c r="W479" i="1" s="1"/>
  <c r="T479" i="1" a="1"/>
  <c r="T479" i="1" s="1"/>
  <c r="S795" i="1" a="1"/>
  <c r="S795" i="1" s="1"/>
  <c r="V795" i="1" s="1"/>
  <c r="W795" i="1" s="1"/>
  <c r="T795" i="1" a="1"/>
  <c r="T795" i="1" s="1"/>
  <c r="S271" i="1" a="1"/>
  <c r="S271" i="1" s="1"/>
  <c r="V271" i="1" s="1"/>
  <c r="W271" i="1" s="1"/>
  <c r="T271" i="1" a="1"/>
  <c r="T271" i="1" s="1"/>
  <c r="V478" i="1"/>
  <c r="W478" i="1" s="1"/>
  <c r="V138" i="1"/>
  <c r="W138" i="1" s="1"/>
  <c r="V598" i="1"/>
  <c r="W598" i="1" s="1"/>
  <c r="V192" i="1"/>
  <c r="W192" i="1" s="1"/>
  <c r="V563" i="1"/>
  <c r="W563" i="1" s="1"/>
  <c r="V497" i="1"/>
  <c r="W497" i="1" s="1"/>
  <c r="V710" i="1"/>
  <c r="W710" i="1" s="1"/>
  <c r="V832" i="1"/>
  <c r="W832" i="1" s="1"/>
  <c r="V841" i="1"/>
  <c r="W841" i="1" s="1"/>
  <c r="V878" i="1"/>
  <c r="W878" i="1" s="1"/>
  <c r="V907" i="1"/>
  <c r="W907" i="1" s="1"/>
  <c r="V576" i="1"/>
  <c r="W576" i="1" s="1"/>
  <c r="V66" i="1"/>
  <c r="W66" i="1" s="1"/>
  <c r="V93" i="1"/>
  <c r="W93" i="1" s="1"/>
  <c r="V538" i="1"/>
  <c r="W538" i="1" s="1"/>
  <c r="V559" i="1"/>
  <c r="W559" i="1" s="1"/>
  <c r="V127" i="1"/>
  <c r="W127" i="1" s="1"/>
  <c r="V224" i="1"/>
  <c r="W224" i="1" s="1"/>
  <c r="V87" i="1"/>
  <c r="W87" i="1" s="1"/>
  <c r="V534" i="1"/>
  <c r="W534" i="1" s="1"/>
  <c r="V955" i="1"/>
  <c r="W955" i="1" s="1"/>
  <c r="V327" i="1"/>
  <c r="W327" i="1" s="1"/>
  <c r="V664" i="1"/>
  <c r="W664" i="1" s="1"/>
  <c r="V269" i="1"/>
  <c r="W269" i="1" s="1"/>
  <c r="V516" i="1"/>
  <c r="W516" i="1" s="1"/>
  <c r="V380" i="1"/>
  <c r="W380" i="1" s="1"/>
  <c r="V277" i="1"/>
  <c r="W277" i="1" s="1"/>
  <c r="V908" i="1"/>
  <c r="W908" i="1" s="1"/>
  <c r="V915" i="1"/>
  <c r="W915" i="1" s="1"/>
  <c r="V77" i="1"/>
  <c r="W77" i="1" s="1"/>
  <c r="V154" i="1"/>
  <c r="W154" i="1" s="1"/>
  <c r="V830" i="1"/>
  <c r="W830" i="1" s="1"/>
  <c r="V695" i="1"/>
  <c r="W695" i="1" s="1"/>
  <c r="V648" i="1"/>
  <c r="W648" i="1" s="1"/>
  <c r="V321" i="1"/>
  <c r="W321" i="1" s="1"/>
  <c r="V425" i="1"/>
  <c r="W425" i="1" s="1"/>
  <c r="V78" i="1"/>
  <c r="W78" i="1" s="1"/>
  <c r="V760" i="1"/>
  <c r="W760" i="1" s="1"/>
  <c r="V569" i="1"/>
  <c r="W569" i="1" s="1"/>
  <c r="V970" i="1"/>
  <c r="W970" i="1" s="1"/>
  <c r="V649" i="1"/>
  <c r="W649" i="1" s="1"/>
  <c r="V746" i="1"/>
  <c r="W746" i="1" s="1"/>
  <c r="V845" i="1"/>
  <c r="W845" i="1" s="1"/>
  <c r="V930" i="1"/>
  <c r="W930" i="1" s="1"/>
  <c r="V877" i="1"/>
  <c r="W877" i="1" s="1"/>
  <c r="V390" i="1"/>
  <c r="W390" i="1" s="1"/>
  <c r="V29" i="1"/>
  <c r="W29" i="1" s="1"/>
  <c r="V817" i="1"/>
  <c r="W817" i="1" s="1"/>
  <c r="V49" i="1"/>
  <c r="W49" i="1" s="1"/>
  <c r="V40" i="1"/>
  <c r="W40" i="1" s="1"/>
  <c r="V43" i="1"/>
  <c r="W43" i="1" s="1"/>
  <c r="V802" i="1"/>
  <c r="W802" i="1" s="1"/>
  <c r="V308" i="1"/>
  <c r="W308" i="1" s="1"/>
  <c r="V448" i="1"/>
  <c r="W448" i="1" s="1"/>
  <c r="V233" i="1"/>
  <c r="W233" i="1" s="1"/>
  <c r="V293" i="1"/>
  <c r="W293" i="1" s="1"/>
  <c r="V984" i="1"/>
  <c r="W984" i="1" s="1"/>
  <c r="V299" i="1"/>
  <c r="W299" i="1" s="1"/>
  <c r="V158" i="1"/>
  <c r="W158" i="1" s="1"/>
  <c r="V124" i="1"/>
  <c r="W124" i="1" s="1"/>
  <c r="V771" i="1"/>
  <c r="W771" i="1" s="1"/>
  <c r="V151" i="1"/>
  <c r="W151" i="1" s="1"/>
  <c r="V677" i="1"/>
  <c r="W677" i="1" s="1"/>
  <c r="V27" i="1"/>
  <c r="W27" i="1" s="1"/>
  <c r="V188" i="1"/>
  <c r="W188" i="1" s="1"/>
  <c r="V712" i="1"/>
  <c r="W712" i="1" s="1"/>
  <c r="V874" i="1"/>
  <c r="W874" i="1" s="1"/>
  <c r="V121" i="1"/>
  <c r="W121" i="1" s="1"/>
  <c r="V336" i="1"/>
  <c r="W336" i="1" s="1"/>
  <c r="V834" i="1"/>
  <c r="W834" i="1" s="1"/>
  <c r="V882" i="1"/>
  <c r="W882" i="1" s="1"/>
  <c r="V742" i="1"/>
  <c r="W742" i="1" s="1"/>
  <c r="V805" i="1"/>
  <c r="W805" i="1" s="1"/>
  <c r="V707" i="1"/>
  <c r="W707" i="1" s="1"/>
  <c r="V81" i="1"/>
  <c r="W81" i="1" s="1"/>
  <c r="V205" i="1"/>
  <c r="W205" i="1" s="1"/>
  <c r="V696" i="1"/>
  <c r="W696" i="1" s="1"/>
  <c r="V133" i="1"/>
  <c r="W133" i="1" s="1"/>
  <c r="V213" i="1"/>
  <c r="W213" i="1" s="1"/>
  <c r="V944" i="1"/>
  <c r="W944" i="1" s="1"/>
  <c r="V160" i="1"/>
  <c r="W160" i="1" s="1"/>
  <c r="V283" i="1"/>
  <c r="W283" i="1" s="1"/>
  <c r="V374" i="1"/>
  <c r="W374" i="1" s="1"/>
  <c r="V161" i="1"/>
  <c r="W161" i="1" s="1"/>
  <c r="V28" i="1"/>
  <c r="W28" i="1" s="1"/>
  <c r="V776" i="1"/>
  <c r="W776" i="1" s="1"/>
  <c r="V476" i="1"/>
  <c r="W476" i="1" s="1"/>
  <c r="V367" i="1"/>
  <c r="W367" i="1" s="1"/>
  <c r="V71" i="1"/>
  <c r="W71" i="1" s="1"/>
  <c r="V763" i="1"/>
  <c r="W763" i="1" s="1"/>
  <c r="V428" i="1"/>
  <c r="W428" i="1" s="1"/>
  <c r="V884" i="1"/>
  <c r="W884" i="1" s="1"/>
  <c r="V234" i="1"/>
  <c r="W234" i="1" s="1"/>
  <c r="V528" i="1"/>
  <c r="W528" i="1" s="1"/>
  <c r="V35" i="1"/>
  <c r="W35" i="1" s="1"/>
  <c r="V674" i="1"/>
  <c r="W674" i="1" s="1"/>
  <c r="V684" i="1"/>
  <c r="W684" i="1" s="1"/>
  <c r="V965" i="1"/>
  <c r="W965" i="1" s="1"/>
  <c r="V913" i="1"/>
  <c r="W913" i="1" s="1"/>
  <c r="V17" i="1"/>
  <c r="W17" i="1" s="1"/>
  <c r="V521" i="1"/>
  <c r="W521" i="1" s="1"/>
  <c r="V60" i="1"/>
  <c r="W60" i="1" s="1"/>
  <c r="V732" i="1"/>
  <c r="W732" i="1" s="1"/>
  <c r="V796" i="1"/>
  <c r="W796" i="1" s="1"/>
  <c r="V397" i="1"/>
  <c r="W397" i="1" s="1"/>
  <c r="V699" i="1"/>
  <c r="W699" i="1" s="1"/>
  <c r="V719" i="1"/>
  <c r="W719" i="1" s="1"/>
  <c r="V700" i="1"/>
  <c r="W700" i="1" s="1"/>
  <c r="V172" i="1"/>
  <c r="W172" i="1" s="1"/>
  <c r="V919" i="1"/>
  <c r="W919" i="1" s="1"/>
  <c r="V735" i="1"/>
  <c r="W735" i="1" s="1"/>
  <c r="V107" i="1"/>
  <c r="W107" i="1" s="1"/>
  <c r="V159" i="1"/>
  <c r="W159" i="1" s="1"/>
  <c r="V364" i="1"/>
  <c r="W364" i="1" s="1"/>
  <c r="V604" i="1"/>
  <c r="W604" i="1" s="1"/>
  <c r="V659" i="1"/>
  <c r="W659" i="1" s="1"/>
  <c r="V687" i="1"/>
  <c r="W687" i="1" s="1"/>
  <c r="V350" i="1"/>
  <c r="W350" i="1" s="1"/>
  <c r="V610" i="1"/>
  <c r="W610" i="1" s="1"/>
  <c r="V747" i="1"/>
  <c r="W747" i="1" s="1"/>
  <c r="V932" i="1"/>
  <c r="W932" i="1" s="1"/>
  <c r="V449" i="1"/>
  <c r="W449" i="1" s="1"/>
  <c r="V32" i="1"/>
  <c r="W32" i="1" s="1"/>
  <c r="V864" i="1"/>
  <c r="W864" i="1" s="1"/>
  <c r="V875" i="1"/>
  <c r="W875" i="1" s="1"/>
  <c r="V886" i="1"/>
  <c r="W886" i="1" s="1"/>
  <c r="V477" i="1"/>
  <c r="W477" i="1" s="1"/>
  <c r="V266" i="1"/>
  <c r="W266" i="1" s="1"/>
  <c r="V260" i="1"/>
  <c r="W260" i="1" s="1"/>
  <c r="V502" i="1"/>
  <c r="W502" i="1" s="1"/>
  <c r="V310" i="1"/>
  <c r="W310" i="1" s="1"/>
  <c r="V535" i="1"/>
  <c r="W535" i="1" s="1"/>
  <c r="V332" i="1"/>
  <c r="W332" i="1" s="1"/>
  <c r="V70" i="1"/>
  <c r="W70" i="1" s="1"/>
  <c r="V217" i="1"/>
  <c r="W217" i="1" s="1"/>
  <c r="V548" i="1"/>
  <c r="W548" i="1" s="1"/>
  <c r="V762" i="1"/>
  <c r="W762" i="1" s="1"/>
  <c r="V427" i="1"/>
  <c r="W427" i="1" s="1"/>
  <c r="V952" i="1"/>
  <c r="W952" i="1" s="1"/>
  <c r="V325" i="1"/>
  <c r="W325" i="1" s="1"/>
  <c r="V352" i="1"/>
  <c r="W352" i="1" s="1"/>
  <c r="V79" i="1"/>
  <c r="W79" i="1" s="1"/>
  <c r="V7" i="1"/>
  <c r="W7" i="1" s="1"/>
  <c r="V258" i="1"/>
  <c r="W258" i="1" s="1"/>
  <c r="V893" i="1"/>
  <c r="W893" i="1" s="1"/>
  <c r="V704" i="1"/>
  <c r="W704" i="1" s="1"/>
  <c r="V406" i="1"/>
  <c r="W406" i="1" s="1"/>
  <c r="V509" i="1"/>
  <c r="W509" i="1" s="1"/>
  <c r="V641" i="1"/>
  <c r="W641" i="1" s="1"/>
  <c r="V652" i="1"/>
  <c r="W652" i="1" s="1"/>
  <c r="V513" i="1"/>
  <c r="W513" i="1" s="1"/>
  <c r="V813" i="1"/>
  <c r="W813" i="1" s="1"/>
  <c r="V736" i="1"/>
  <c r="W736" i="1" s="1"/>
  <c r="V504" i="1"/>
  <c r="W504" i="1" s="1"/>
  <c r="V541" i="1"/>
  <c r="W541" i="1" s="1"/>
  <c r="V313" i="1"/>
  <c r="W313" i="1" s="1"/>
  <c r="V18" i="1"/>
  <c r="W18" i="1" s="1"/>
  <c r="V413" i="1"/>
  <c r="W413" i="1" s="1"/>
  <c r="V408" i="1"/>
  <c r="W408" i="1" s="1"/>
  <c r="V351" i="1"/>
  <c r="W351" i="1" s="1"/>
  <c r="V515" i="1"/>
  <c r="W515" i="1" s="1"/>
  <c r="V973" i="1"/>
  <c r="W973" i="1" s="1"/>
  <c r="V156" i="1"/>
  <c r="W156" i="1" s="1"/>
  <c r="V56" i="1"/>
  <c r="W56" i="1" s="1"/>
  <c r="V759" i="1"/>
  <c r="W759" i="1" s="1"/>
  <c r="V582" i="1"/>
  <c r="W582" i="1" s="1"/>
  <c r="V189" i="1"/>
  <c r="W189" i="1" s="1"/>
  <c r="V701" i="1"/>
  <c r="W701" i="1" s="1"/>
  <c r="V247" i="1"/>
  <c r="W247" i="1" s="1"/>
  <c r="V320" i="1"/>
  <c r="W320" i="1" s="1"/>
  <c r="V291" i="1"/>
  <c r="W291" i="1" s="1"/>
  <c r="V134" i="1"/>
  <c r="W134" i="1" s="1"/>
  <c r="V443" i="1"/>
  <c r="W443" i="1" s="1"/>
  <c r="V980" i="1"/>
  <c r="W980" i="1" s="1"/>
  <c r="V142" i="1"/>
  <c r="W142" i="1" s="1"/>
  <c r="V686" i="1"/>
  <c r="W686" i="1" s="1"/>
  <c r="V675" i="1"/>
  <c r="W675" i="1" s="1"/>
  <c r="V84" i="1"/>
  <c r="W84" i="1" s="1"/>
  <c r="V426" i="1"/>
  <c r="W426" i="1" s="1"/>
  <c r="V89" i="1"/>
  <c r="W89" i="1" s="1"/>
  <c r="V294" i="1"/>
  <c r="W294" i="1" s="1"/>
  <c r="V912" i="1"/>
  <c r="W912" i="1" s="1"/>
  <c r="V870" i="1"/>
  <c r="W870" i="1" s="1"/>
  <c r="V937" i="1"/>
  <c r="W937" i="1" s="1"/>
  <c r="V998" i="1"/>
  <c r="W998" i="1" s="1"/>
  <c r="V494" i="1"/>
  <c r="W494" i="1" s="1"/>
  <c r="V933" i="1"/>
  <c r="W933" i="1" s="1"/>
  <c r="V977" i="1"/>
  <c r="W977" i="1" s="1"/>
  <c r="V230" i="1"/>
  <c r="W230" i="1" s="1"/>
  <c r="V489" i="1"/>
  <c r="W489" i="1" s="1"/>
  <c r="V424" i="1"/>
  <c r="W424" i="1" s="1"/>
  <c r="V673" i="1"/>
  <c r="W673" i="1" s="1"/>
  <c r="V174" i="1"/>
  <c r="W174" i="1" s="1"/>
  <c r="V458" i="1"/>
  <c r="W458" i="1" s="1"/>
  <c r="V934" i="1"/>
  <c r="W934" i="1" s="1"/>
  <c r="V74" i="1"/>
  <c r="W74" i="1" s="1"/>
  <c r="V726" i="1"/>
  <c r="W726" i="1" s="1"/>
  <c r="V419" i="1"/>
  <c r="W419" i="1" s="1"/>
  <c r="V780" i="1"/>
  <c r="W780" i="1" s="1"/>
  <c r="V539" i="1"/>
  <c r="W539" i="1" s="1"/>
  <c r="V557" i="1"/>
  <c r="W557" i="1" s="1"/>
  <c r="V185" i="1"/>
  <c r="W185" i="1" s="1"/>
  <c r="V524" i="1"/>
  <c r="W524" i="1" s="1"/>
  <c r="Q5" i="1"/>
  <c r="V444" i="1"/>
  <c r="W444" i="1" s="1"/>
  <c r="V792" i="1"/>
  <c r="W792" i="1" s="1"/>
  <c r="V248" i="1"/>
  <c r="W248" i="1" s="1"/>
  <c r="V833" i="1"/>
  <c r="W833" i="1" s="1"/>
  <c r="V838" i="1"/>
  <c r="W838" i="1" s="1"/>
  <c r="V705" i="1"/>
  <c r="W705" i="1" s="1"/>
  <c r="V617" i="1"/>
  <c r="W617" i="1" s="1"/>
  <c r="V890" i="1"/>
  <c r="W890" i="1" s="1"/>
  <c r="V97" i="1"/>
  <c r="W97" i="1" s="1"/>
  <c r="V976" i="1"/>
  <c r="W976" i="1" s="1"/>
  <c r="V318" i="1"/>
  <c r="W318" i="1" s="1"/>
  <c r="V917" i="1"/>
  <c r="W917" i="1" s="1"/>
  <c r="V929" i="1"/>
  <c r="W929" i="1" s="1"/>
  <c r="V51" i="1"/>
  <c r="W51" i="1" s="1"/>
  <c r="V232" i="1"/>
  <c r="W232" i="1" s="1"/>
  <c r="V520" i="1"/>
  <c r="W520" i="1" s="1"/>
  <c r="V957" i="1"/>
  <c r="W957" i="1" s="1"/>
  <c r="V778" i="1"/>
  <c r="W778" i="1" s="1"/>
  <c r="V194" i="1"/>
  <c r="W194" i="1" s="1"/>
  <c r="V761" i="1"/>
  <c r="W761" i="1" s="1"/>
  <c r="V654" i="1"/>
  <c r="W654" i="1" s="1"/>
  <c r="V228" i="1"/>
  <c r="W228" i="1" s="1"/>
  <c r="V98" i="1"/>
  <c r="W98" i="1" s="1"/>
  <c r="V713" i="1"/>
  <c r="W713" i="1" s="1"/>
  <c r="V246" i="1"/>
  <c r="W246" i="1" s="1"/>
  <c r="V73" i="1"/>
  <c r="W73" i="1" s="1"/>
  <c r="V825" i="1"/>
  <c r="W825" i="1" s="1"/>
  <c r="V446" i="1"/>
  <c r="W446" i="1" s="1"/>
  <c r="V201" i="1"/>
  <c r="W201" i="1" s="1"/>
  <c r="V755" i="1"/>
  <c r="W755" i="1" s="1"/>
  <c r="V578" i="1"/>
  <c r="W578" i="1" s="1"/>
  <c r="V945" i="1"/>
  <c r="W945" i="1" s="1"/>
  <c r="V238" i="1"/>
  <c r="W238" i="1" s="1"/>
  <c r="V866" i="1"/>
  <c r="W866" i="1" s="1"/>
  <c r="V90" i="1"/>
  <c r="W90" i="1" s="1"/>
  <c r="V112" i="1"/>
  <c r="W112" i="1" s="1"/>
  <c r="V295" i="1"/>
  <c r="W295" i="1" s="1"/>
  <c r="V100" i="1"/>
  <c r="W100" i="1" s="1"/>
  <c r="V128" i="1"/>
  <c r="W128" i="1" s="1"/>
  <c r="V592" i="1"/>
  <c r="W592" i="1" s="1"/>
  <c r="V75" i="1"/>
  <c r="W75" i="1" s="1"/>
  <c r="V990" i="1"/>
  <c r="W990" i="1" s="1"/>
  <c r="V956" i="1"/>
  <c r="W956" i="1" s="1"/>
  <c r="V168" i="1"/>
  <c r="W168" i="1" s="1"/>
  <c r="V226" i="1"/>
  <c r="W226" i="1" s="1"/>
  <c r="V522" i="1"/>
  <c r="W522" i="1" s="1"/>
  <c r="V461" i="1"/>
  <c r="W461" i="1" s="1"/>
  <c r="V558" i="1"/>
  <c r="W558" i="1" s="1"/>
  <c r="V962" i="1"/>
  <c r="W962" i="1" s="1"/>
  <c r="V80" i="1"/>
  <c r="W80" i="1" s="1"/>
  <c r="V512" i="1"/>
  <c r="W512" i="1" s="1"/>
  <c r="V469" i="1"/>
  <c r="W469" i="1" s="1"/>
  <c r="V353" i="1"/>
  <c r="W353" i="1" s="1"/>
  <c r="V800" i="1"/>
  <c r="W800" i="1" s="1"/>
  <c r="V685" i="1"/>
  <c r="W685" i="1" s="1"/>
  <c r="V669" i="1"/>
  <c r="W669" i="1" s="1"/>
  <c r="V472" i="1"/>
  <c r="W472" i="1" s="1"/>
  <c r="V177" i="1"/>
  <c r="W177" i="1" s="1"/>
  <c r="V331" i="1"/>
  <c r="W331" i="1" s="1"/>
  <c r="V826" i="1"/>
  <c r="W826" i="1" s="1"/>
  <c r="V922" i="1"/>
  <c r="W922" i="1" s="1"/>
  <c r="V475" i="1"/>
  <c r="W475" i="1" s="1"/>
  <c r="V342" i="1"/>
  <c r="W342" i="1" s="1"/>
  <c r="V470" i="1"/>
  <c r="W470" i="1" s="1"/>
  <c r="V184" i="1"/>
  <c r="W184" i="1" s="1"/>
  <c r="V203" i="1"/>
  <c r="W203" i="1" s="1"/>
  <c r="V992" i="1"/>
  <c r="W992" i="1" s="1"/>
  <c r="V122" i="1"/>
  <c r="W122" i="1" s="1"/>
  <c r="V125" i="1"/>
  <c r="W125" i="1" s="1"/>
  <c r="V36" i="1"/>
  <c r="W36" i="1" s="1"/>
  <c r="V635" i="1"/>
  <c r="W635" i="1" s="1"/>
  <c r="V14" i="1"/>
  <c r="W14" i="1" s="1"/>
  <c r="V369" i="1"/>
  <c r="W369" i="1" s="1"/>
  <c r="V991" i="1"/>
  <c r="W991" i="1" s="1"/>
  <c r="V573" i="1"/>
  <c r="W573" i="1" s="1"/>
  <c r="V193" i="1"/>
  <c r="W193" i="1" s="1"/>
  <c r="V714" i="1"/>
  <c r="W714" i="1" s="1"/>
  <c r="V587" i="1"/>
  <c r="W587" i="1" s="1"/>
  <c r="V545" i="1"/>
  <c r="W545" i="1" s="1"/>
  <c r="V995" i="1"/>
  <c r="W995" i="1" s="1"/>
  <c r="V498" i="1"/>
  <c r="W498" i="1" s="1"/>
  <c r="V453" i="1"/>
  <c r="W453" i="1" s="1"/>
  <c r="V568" i="1"/>
  <c r="W568" i="1" s="1"/>
  <c r="V210" i="1"/>
  <c r="W210" i="1" s="1"/>
  <c r="V892" i="1"/>
  <c r="W892" i="1" s="1"/>
  <c r="V493" i="1"/>
  <c r="W493" i="1" s="1"/>
  <c r="V94" i="1"/>
  <c r="W94" i="1" s="1"/>
  <c r="V782" i="1"/>
  <c r="W782" i="1" s="1"/>
  <c r="V640" i="1"/>
  <c r="W640" i="1" s="1"/>
  <c r="V775" i="1"/>
  <c r="W775" i="1" s="1"/>
  <c r="V958" i="1"/>
  <c r="W958" i="1" s="1"/>
  <c r="V987" i="1"/>
  <c r="W987" i="1" s="1"/>
  <c r="V447" i="1"/>
  <c r="W447" i="1" s="1"/>
  <c r="V292" i="1"/>
  <c r="W292" i="1" s="1"/>
  <c r="V139" i="1"/>
  <c r="W139" i="1" s="1"/>
  <c r="V503" i="1"/>
  <c r="W503" i="1" s="1"/>
  <c r="V360" i="1"/>
  <c r="W360" i="1" s="1"/>
  <c r="V256" i="1"/>
  <c r="W256" i="1" s="1"/>
  <c r="V389" i="1"/>
  <c r="W389" i="1" s="1"/>
  <c r="V935" i="1"/>
  <c r="W935" i="1" s="1"/>
  <c r="V527" i="1"/>
  <c r="W527" i="1" s="1"/>
  <c r="V676" i="1"/>
  <c r="W676" i="1" s="1"/>
  <c r="V653" i="1"/>
  <c r="W653" i="1" s="1"/>
  <c r="V901" i="1"/>
  <c r="W901" i="1" s="1"/>
  <c r="V537" i="1"/>
  <c r="W537" i="1" s="1"/>
  <c r="V235" i="1"/>
  <c r="W235" i="1" s="1"/>
  <c r="V284" i="1"/>
  <c r="W284" i="1" s="1"/>
  <c r="V485" i="1"/>
  <c r="W485" i="1" s="1"/>
  <c r="V487" i="1"/>
  <c r="W487" i="1" s="1"/>
  <c r="V881" i="1"/>
  <c r="W881" i="1" s="1"/>
  <c r="V46" i="1"/>
  <c r="W46" i="1" s="1"/>
  <c r="V966" i="1"/>
  <c r="W966" i="1" s="1"/>
  <c r="V633" i="1"/>
  <c r="W633" i="1" s="1"/>
  <c r="V608" i="1"/>
  <c r="W608" i="1" s="1"/>
  <c r="V909" i="1"/>
  <c r="W909" i="1" s="1"/>
  <c r="V319" i="1"/>
  <c r="W319" i="1" s="1"/>
  <c r="V672" i="1"/>
  <c r="W672" i="1" s="1"/>
  <c r="V810" i="1"/>
  <c r="W810" i="1" s="1"/>
  <c r="V703" i="1"/>
  <c r="W703" i="1" s="1"/>
  <c r="V329" i="1"/>
  <c r="W329" i="1" s="1"/>
  <c r="V581" i="1"/>
  <c r="W581" i="1" s="1"/>
  <c r="V787" i="1"/>
  <c r="W787" i="1" s="1"/>
  <c r="V117" i="1"/>
  <c r="W117" i="1" s="1"/>
  <c r="V116" i="1"/>
  <c r="W116" i="1" s="1"/>
  <c r="V456" i="1"/>
  <c r="W456" i="1" s="1"/>
  <c r="V15" i="1"/>
  <c r="W15" i="1" s="1"/>
  <c r="V720" i="1"/>
  <c r="W720" i="1" s="1"/>
  <c r="V113" i="1"/>
  <c r="W113" i="1" s="1"/>
  <c r="V305" i="1"/>
  <c r="W305" i="1" s="1"/>
  <c r="V818" i="1"/>
  <c r="W818" i="1" s="1"/>
  <c r="V847" i="1"/>
  <c r="W847" i="1" s="1"/>
  <c r="V335" i="1"/>
  <c r="W335" i="1" s="1"/>
  <c r="V171" i="1"/>
  <c r="W171" i="1" s="1"/>
  <c r="V948" i="1"/>
  <c r="W948" i="1" s="1"/>
  <c r="V157" i="1"/>
  <c r="W157" i="1" s="1"/>
  <c r="V119" i="1"/>
  <c r="W119" i="1" s="1"/>
  <c r="V330" i="1"/>
  <c r="W330" i="1" s="1"/>
  <c r="V391" i="1"/>
  <c r="W391" i="1" s="1"/>
  <c r="V979" i="1"/>
  <c r="W979" i="1" s="1"/>
  <c r="V950" i="1"/>
  <c r="W950" i="1" s="1"/>
  <c r="V531" i="1"/>
  <c r="W531" i="1" s="1"/>
  <c r="V867" i="1"/>
  <c r="W867" i="1" s="1"/>
  <c r="V843" i="1"/>
  <c r="W843" i="1" s="1"/>
  <c r="V591" i="1"/>
  <c r="W591" i="1" s="1"/>
  <c r="V166" i="1"/>
  <c r="W166" i="1" s="1"/>
  <c r="V865" i="1"/>
  <c r="W865" i="1" s="1"/>
  <c r="V597" i="1"/>
  <c r="W597" i="1" s="1"/>
  <c r="V384" i="1"/>
  <c r="W384" i="1" s="1"/>
  <c r="V911" i="1"/>
  <c r="W911" i="1" s="1"/>
  <c r="V854" i="1"/>
  <c r="W854" i="1" s="1"/>
  <c r="V618" i="1"/>
  <c r="W618" i="1" s="1"/>
  <c r="V129" i="1"/>
  <c r="W129" i="1" s="1"/>
  <c r="V388" i="1"/>
  <c r="W388" i="1" s="1"/>
  <c r="V788" i="1"/>
  <c r="W788" i="1" s="1"/>
  <c r="V195" i="1"/>
  <c r="W195" i="1" s="1"/>
  <c r="V130" i="1"/>
  <c r="W130" i="1" s="1"/>
  <c r="V326" i="1"/>
  <c r="W326" i="1" s="1"/>
  <c r="V680" i="1"/>
  <c r="W680" i="1" s="1"/>
  <c r="V492" i="1"/>
  <c r="W492" i="1" s="1"/>
  <c r="V507" i="1"/>
  <c r="W507" i="1" s="1"/>
  <c r="V187" i="1"/>
  <c r="W187" i="1" s="1"/>
  <c r="V91" i="1"/>
  <c r="W91" i="1" s="1"/>
  <c r="V938" i="1"/>
  <c r="W938" i="1" s="1"/>
  <c r="V959" i="1"/>
  <c r="W959" i="1" s="1"/>
  <c r="V401" i="1"/>
  <c r="W401" i="1" s="1"/>
  <c r="V769" i="1"/>
  <c r="W769" i="1" s="1"/>
  <c r="V828" i="1"/>
  <c r="W828" i="1" s="1"/>
  <c r="V849" i="1"/>
  <c r="W849" i="1" s="1"/>
  <c r="V212" i="1"/>
  <c r="W212" i="1" s="1"/>
  <c r="V499" i="1"/>
  <c r="W499" i="1" s="1"/>
  <c r="V540" i="1"/>
  <c r="W540" i="1" s="1"/>
  <c r="V23" i="1"/>
  <c r="W23" i="1" s="1"/>
  <c r="V748" i="1"/>
  <c r="W748" i="1" s="1"/>
  <c r="V844" i="1"/>
  <c r="W844" i="1" s="1"/>
  <c r="V149" i="1"/>
  <c r="W149" i="1" s="1"/>
  <c r="V13" i="1"/>
  <c r="W13" i="1" s="1"/>
  <c r="V767" i="1"/>
  <c r="W767" i="1" s="1"/>
  <c r="V644" i="1"/>
  <c r="W644" i="1" s="1"/>
  <c r="V311" i="1"/>
  <c r="W311" i="1" s="1"/>
  <c r="V514" i="1"/>
  <c r="W514" i="1" s="1"/>
  <c r="V951" i="1"/>
  <c r="W951" i="1" s="1"/>
  <c r="V273" i="1"/>
  <c r="W273" i="1" s="1"/>
  <c r="V304" i="1"/>
  <c r="W304" i="1" s="1"/>
  <c r="V798" i="1"/>
  <c r="W798" i="1" s="1"/>
  <c r="V164" i="1"/>
  <c r="W164" i="1" s="1"/>
  <c r="V218" i="1"/>
  <c r="W218" i="1" s="1"/>
  <c r="V4" i="1"/>
  <c r="W4" i="1" s="1"/>
  <c r="V770" i="1"/>
  <c r="W770" i="1" s="1"/>
  <c r="V799" i="1"/>
  <c r="W799" i="1" s="1"/>
  <c r="V387" i="1"/>
  <c r="W387" i="1" s="1"/>
  <c r="V572" i="1"/>
  <c r="W572" i="1" s="1"/>
  <c r="V510" i="1"/>
  <c r="W510" i="1" s="1"/>
  <c r="S5" i="1" l="1" a="1"/>
  <c r="S5" i="1" s="1"/>
  <c r="V5" i="1" s="1"/>
  <c r="W5" i="1" s="1"/>
  <c r="T5" i="1" a="1"/>
  <c r="T5" i="1" s="1"/>
  <c r="Q3" i="1"/>
  <c r="S3" i="1" l="1" a="1"/>
  <c r="S3" i="1" s="1"/>
  <c r="V3" i="1" s="1"/>
  <c r="W3" i="1" s="1"/>
  <c r="T3" i="1" a="1"/>
  <c r="T3" i="1" s="1"/>
  <c r="A2" i="4" s="1" a="1"/>
  <c r="A2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<sst xmlns="http://schemas.openxmlformats.org/spreadsheetml/2006/main" count="777" uniqueCount="624">
  <si>
    <t>Basic Rate of Pay</t>
  </si>
  <si>
    <t>Overtime</t>
  </si>
  <si>
    <t>Employee Name</t>
  </si>
  <si>
    <t>Employee Position</t>
  </si>
  <si>
    <t>Pay Slip Period From:</t>
  </si>
  <si>
    <t>Pay Slip Period To:</t>
  </si>
  <si>
    <t>Employer Name</t>
  </si>
  <si>
    <t>Overtime Hours</t>
  </si>
  <si>
    <t>Basic Earnings</t>
  </si>
  <si>
    <t>Tax</t>
  </si>
  <si>
    <t>NIS - Employee</t>
  </si>
  <si>
    <t>NIS - Employer</t>
  </si>
  <si>
    <t>Health Surcharge</t>
  </si>
  <si>
    <t>Net Pay</t>
  </si>
  <si>
    <t xml:space="preserve">Cash in hand </t>
  </si>
  <si>
    <t>Earnings Class</t>
  </si>
  <si>
    <t>Weekly Earnings Lower</t>
  </si>
  <si>
    <t>Weekly Earnings Upper</t>
  </si>
  <si>
    <t>Total Weekly Contribution</t>
  </si>
  <si>
    <t>I</t>
  </si>
  <si>
    <t>II</t>
  </si>
  <si>
    <t>III</t>
  </si>
  <si>
    <t>IV</t>
  </si>
  <si>
    <t>V</t>
  </si>
  <si>
    <t>VI</t>
  </si>
  <si>
    <t>VII</t>
  </si>
  <si>
    <t>VIII</t>
  </si>
  <si>
    <t>IX</t>
  </si>
  <si>
    <t>X</t>
  </si>
  <si>
    <t>XI</t>
  </si>
  <si>
    <t>XII</t>
  </si>
  <si>
    <t>XIII</t>
  </si>
  <si>
    <t>XIV</t>
  </si>
  <si>
    <t>XV</t>
  </si>
  <si>
    <t>XVI</t>
  </si>
  <si>
    <t>NIS Period From</t>
  </si>
  <si>
    <t>NIS Period To</t>
  </si>
  <si>
    <t>Pay Slip Period:</t>
  </si>
  <si>
    <t>Deductions</t>
  </si>
  <si>
    <t>Total</t>
  </si>
  <si>
    <t>Deduction Type</t>
  </si>
  <si>
    <t>NIS</t>
  </si>
  <si>
    <t>Employee Start</t>
  </si>
  <si>
    <t>Employee End</t>
  </si>
  <si>
    <t>Employee NIS Number</t>
  </si>
  <si>
    <t>Leave Type</t>
  </si>
  <si>
    <t>Leave Period From</t>
  </si>
  <si>
    <t>Leave Period To</t>
  </si>
  <si>
    <t>Employee Leave (Y/N)</t>
  </si>
  <si>
    <t>Yes</t>
  </si>
  <si>
    <t>No</t>
  </si>
  <si>
    <t>Employee ID</t>
  </si>
  <si>
    <t>Notes (If Applicable)</t>
  </si>
  <si>
    <t>Pay Frequency</t>
  </si>
  <si>
    <t>Daily</t>
  </si>
  <si>
    <t>Weekly</t>
  </si>
  <si>
    <t>Fortnightly</t>
  </si>
  <si>
    <t>Monthly</t>
  </si>
  <si>
    <t>LeaveType</t>
  </si>
  <si>
    <t>PaidFlag</t>
  </si>
  <si>
    <t>MinMonthsPaid</t>
  </si>
  <si>
    <t>Comment</t>
  </si>
  <si>
    <t>Sick</t>
  </si>
  <si>
    <t>Conditional</t>
  </si>
  <si>
    <t>&lt; 6 months = no pay</t>
  </si>
  <si>
    <t>Vacation</t>
  </si>
  <si>
    <t>always paid</t>
  </si>
  <si>
    <t>Injury</t>
  </si>
  <si>
    <t>confirm policy</t>
  </si>
  <si>
    <t>Maternity</t>
  </si>
  <si>
    <t>Unpaid</t>
  </si>
  <si>
    <t>always no pay</t>
  </si>
  <si>
    <t>Pay Status</t>
  </si>
  <si>
    <t>Payable Flag</t>
  </si>
  <si>
    <t>PayPeriodID</t>
  </si>
  <si>
    <t>PeriodStart</t>
  </si>
  <si>
    <t>PeriodEnd</t>
  </si>
  <si>
    <t>PayFrequency</t>
  </si>
  <si>
    <t>WeekNo</t>
  </si>
  <si>
    <t>Month</t>
  </si>
  <si>
    <t>Year</t>
  </si>
  <si>
    <t>W2026-01</t>
  </si>
  <si>
    <t>W2026-02</t>
  </si>
  <si>
    <t>W2026-03</t>
  </si>
  <si>
    <t>W2026-04</t>
  </si>
  <si>
    <t>W2026-05</t>
  </si>
  <si>
    <t>W2026-06</t>
  </si>
  <si>
    <t>W2026-07</t>
  </si>
  <si>
    <t>W2026-08</t>
  </si>
  <si>
    <t>W2026-09</t>
  </si>
  <si>
    <t>W2026-10</t>
  </si>
  <si>
    <t>W2026-11</t>
  </si>
  <si>
    <t>W2026-12</t>
  </si>
  <si>
    <t>W2026-13</t>
  </si>
  <si>
    <t>W2026-14</t>
  </si>
  <si>
    <t>W2026-15</t>
  </si>
  <si>
    <t>W2026-16</t>
  </si>
  <si>
    <t>W2026-17</t>
  </si>
  <si>
    <t>W2026-18</t>
  </si>
  <si>
    <t>W2026-19</t>
  </si>
  <si>
    <t>W2026-20</t>
  </si>
  <si>
    <t>W2026-21</t>
  </si>
  <si>
    <t>W2026-22</t>
  </si>
  <si>
    <t>W2026-23</t>
  </si>
  <si>
    <t>W2026-24</t>
  </si>
  <si>
    <t>W2026-25</t>
  </si>
  <si>
    <t>W2026-26</t>
  </si>
  <si>
    <t>W2026-27</t>
  </si>
  <si>
    <t>W2026-28</t>
  </si>
  <si>
    <t>W2026-29</t>
  </si>
  <si>
    <t>W2026-30</t>
  </si>
  <si>
    <t>W2026-31</t>
  </si>
  <si>
    <t>W2026-32</t>
  </si>
  <si>
    <t>W2026-33</t>
  </si>
  <si>
    <t>W2026-34</t>
  </si>
  <si>
    <t>W2026-35</t>
  </si>
  <si>
    <t>W2026-36</t>
  </si>
  <si>
    <t>W2026-37</t>
  </si>
  <si>
    <t>W2026-38</t>
  </si>
  <si>
    <t>W2026-39</t>
  </si>
  <si>
    <t>W2026-40</t>
  </si>
  <si>
    <t>W2026-41</t>
  </si>
  <si>
    <t>W2026-42</t>
  </si>
  <si>
    <t>W2026-43</t>
  </si>
  <si>
    <t>W2026-44</t>
  </si>
  <si>
    <t>W2026-45</t>
  </si>
  <si>
    <t>W2026-46</t>
  </si>
  <si>
    <t>W2026-47</t>
  </si>
  <si>
    <t>W2026-48</t>
  </si>
  <si>
    <t>W2026-49</t>
  </si>
  <si>
    <t>W2026-50</t>
  </si>
  <si>
    <t>W2026-51</t>
  </si>
  <si>
    <t>W2026-52</t>
  </si>
  <si>
    <t xml:space="preserve">Payroll Master 
</t>
  </si>
  <si>
    <t>Pay Period ID</t>
  </si>
  <si>
    <t>DefaultPayType</t>
  </si>
  <si>
    <t>MinMonthsForPay</t>
  </si>
  <si>
    <t>PayRule</t>
  </si>
  <si>
    <t>Paid</t>
  </si>
  <si>
    <t>Full</t>
  </si>
  <si>
    <t>FullIfEligibleElseUnpaid</t>
  </si>
  <si>
    <t>Tiered</t>
  </si>
  <si>
    <t>1MFull_2MHalf</t>
  </si>
  <si>
    <t>Pay Factor</t>
  </si>
  <si>
    <t>Employees Weekly Contribution</t>
  </si>
  <si>
    <t>Monthly Earnings Lower</t>
  </si>
  <si>
    <t>Monthly Earnings Upper</t>
  </si>
  <si>
    <t>Allowance 1</t>
  </si>
  <si>
    <t>Allowance 2</t>
  </si>
  <si>
    <t>Allowance 3</t>
  </si>
  <si>
    <t>Allowance 4</t>
  </si>
  <si>
    <t>Allowance 5</t>
  </si>
  <si>
    <t xml:space="preserve">Basic Pay Rules - </t>
  </si>
  <si>
    <t>Employee works a standard 40 hours per week</t>
  </si>
  <si>
    <t xml:space="preserve">Overtime Rules - </t>
  </si>
  <si>
    <t>At the end of the week, hours in excess of 40 hours, will be classed as overtime</t>
  </si>
  <si>
    <t>Standard Hours of work</t>
  </si>
  <si>
    <t>&gt;40 - 40</t>
  </si>
  <si>
    <t>Employee Names</t>
  </si>
  <si>
    <t>2026-01-05</t>
  </si>
  <si>
    <t>2026-01-06</t>
  </si>
  <si>
    <t>2026-01-07</t>
  </si>
  <si>
    <t>2026-01-08</t>
  </si>
  <si>
    <t>2026-01-09</t>
  </si>
  <si>
    <t>2026-01-10</t>
  </si>
  <si>
    <t>2026-01-11</t>
  </si>
  <si>
    <t>2026-01-12</t>
  </si>
  <si>
    <t>2026-01-13</t>
  </si>
  <si>
    <t>2026-01-14</t>
  </si>
  <si>
    <t>2026-01-15</t>
  </si>
  <si>
    <t>2026-01-16</t>
  </si>
  <si>
    <t>2026-01-17</t>
  </si>
  <si>
    <t>2026-01-18</t>
  </si>
  <si>
    <t>2026-01-19</t>
  </si>
  <si>
    <t>2026-01-20</t>
  </si>
  <si>
    <t>2026-01-21</t>
  </si>
  <si>
    <t>2026-01-22</t>
  </si>
  <si>
    <t>2026-01-23</t>
  </si>
  <si>
    <t>2026-01-24</t>
  </si>
  <si>
    <t>2026-01-25</t>
  </si>
  <si>
    <t>2026-01-26</t>
  </si>
  <si>
    <t>2026-01-27</t>
  </si>
  <si>
    <t>2026-01-28</t>
  </si>
  <si>
    <t>2026-01-29</t>
  </si>
  <si>
    <t>2026-01-30</t>
  </si>
  <si>
    <t>2026-01-31</t>
  </si>
  <si>
    <t>2026-02-01</t>
  </si>
  <si>
    <t>2026-02-02</t>
  </si>
  <si>
    <t>2026-02-03</t>
  </si>
  <si>
    <t>2026-02-04</t>
  </si>
  <si>
    <t>2026-02-05</t>
  </si>
  <si>
    <t>2026-02-06</t>
  </si>
  <si>
    <t>2026-02-07</t>
  </si>
  <si>
    <t>2026-02-08</t>
  </si>
  <si>
    <t>2026-02-09</t>
  </si>
  <si>
    <t>2026-02-10</t>
  </si>
  <si>
    <t>2026-02-11</t>
  </si>
  <si>
    <t>2026-02-12</t>
  </si>
  <si>
    <t>2026-02-13</t>
  </si>
  <si>
    <t>2026-02-14</t>
  </si>
  <si>
    <t>2026-02-15</t>
  </si>
  <si>
    <t>2026-02-16</t>
  </si>
  <si>
    <t>2026-02-17</t>
  </si>
  <si>
    <t>2026-02-18</t>
  </si>
  <si>
    <t>2026-02-19</t>
  </si>
  <si>
    <t>2026-02-20</t>
  </si>
  <si>
    <t>2026-02-21</t>
  </si>
  <si>
    <t>2026-02-22</t>
  </si>
  <si>
    <t>2026-02-23</t>
  </si>
  <si>
    <t>2026-02-24</t>
  </si>
  <si>
    <t>2026-02-25</t>
  </si>
  <si>
    <t>2026-02-26</t>
  </si>
  <si>
    <t>2026-02-27</t>
  </si>
  <si>
    <t>2026-02-28</t>
  </si>
  <si>
    <t>2026-03-01</t>
  </si>
  <si>
    <t>2026-03-02</t>
  </si>
  <si>
    <t>2026-03-03</t>
  </si>
  <si>
    <t>2026-03-04</t>
  </si>
  <si>
    <t>2026-03-05</t>
  </si>
  <si>
    <t>2026-03-06</t>
  </si>
  <si>
    <t>2026-03-07</t>
  </si>
  <si>
    <t>2026-03-08</t>
  </si>
  <si>
    <t>2026-03-09</t>
  </si>
  <si>
    <t>2026-03-10</t>
  </si>
  <si>
    <t>2026-03-11</t>
  </si>
  <si>
    <t>2026-03-12</t>
  </si>
  <si>
    <t>2026-03-13</t>
  </si>
  <si>
    <t>2026-03-14</t>
  </si>
  <si>
    <t>2026-03-15</t>
  </si>
  <si>
    <t>2026-03-16</t>
  </si>
  <si>
    <t>2026-03-17</t>
  </si>
  <si>
    <t>2026-03-18</t>
  </si>
  <si>
    <t>2026-03-19</t>
  </si>
  <si>
    <t>2026-03-20</t>
  </si>
  <si>
    <t>2026-03-21</t>
  </si>
  <si>
    <t>2026-03-22</t>
  </si>
  <si>
    <t>2026-03-23</t>
  </si>
  <si>
    <t>2026-03-24</t>
  </si>
  <si>
    <t>2026-03-25</t>
  </si>
  <si>
    <t>2026-03-26</t>
  </si>
  <si>
    <t>2026-03-27</t>
  </si>
  <si>
    <t>2026-03-28</t>
  </si>
  <si>
    <t>2026-03-29</t>
  </si>
  <si>
    <t>2026-03-30</t>
  </si>
  <si>
    <t>2026-03-31</t>
  </si>
  <si>
    <t>2026-04-01</t>
  </si>
  <si>
    <t>2026-04-02</t>
  </si>
  <si>
    <t>2026-04-03</t>
  </si>
  <si>
    <t>2026-04-04</t>
  </si>
  <si>
    <t>2026-04-05</t>
  </si>
  <si>
    <t>Subtotal13</t>
  </si>
  <si>
    <t>2026-04-06</t>
  </si>
  <si>
    <t>2026-04-07</t>
  </si>
  <si>
    <t>2026-04-08</t>
  </si>
  <si>
    <t>2026-04-09</t>
  </si>
  <si>
    <t>2026-04-10</t>
  </si>
  <si>
    <t>2026-04-11</t>
  </si>
  <si>
    <t>2026-04-12</t>
  </si>
  <si>
    <t>Subtotal14</t>
  </si>
  <si>
    <t>2026-04-13</t>
  </si>
  <si>
    <t>2026-04-14</t>
  </si>
  <si>
    <t>2026-04-15</t>
  </si>
  <si>
    <t>2026-04-16</t>
  </si>
  <si>
    <t>2026-04-17</t>
  </si>
  <si>
    <t>2026-04-18</t>
  </si>
  <si>
    <t>2026-04-19</t>
  </si>
  <si>
    <t>Subtotal15</t>
  </si>
  <si>
    <t>2026-04-20</t>
  </si>
  <si>
    <t>2026-04-21</t>
  </si>
  <si>
    <t>2026-04-22</t>
  </si>
  <si>
    <t>2026-04-23</t>
  </si>
  <si>
    <t>2026-04-24</t>
  </si>
  <si>
    <t>2026-04-25</t>
  </si>
  <si>
    <t>2026-04-26</t>
  </si>
  <si>
    <t>Subtotal16</t>
  </si>
  <si>
    <t>2026-04-27</t>
  </si>
  <si>
    <t>2026-04-28</t>
  </si>
  <si>
    <t>2026-04-29</t>
  </si>
  <si>
    <t>2026-04-30</t>
  </si>
  <si>
    <t>2026-05-01</t>
  </si>
  <si>
    <t>2026-05-02</t>
  </si>
  <si>
    <t>2026-05-03</t>
  </si>
  <si>
    <t>Subtotal17</t>
  </si>
  <si>
    <t>2026-05-04</t>
  </si>
  <si>
    <t>2026-05-05</t>
  </si>
  <si>
    <t>2026-05-06</t>
  </si>
  <si>
    <t>2026-05-07</t>
  </si>
  <si>
    <t>2026-05-08</t>
  </si>
  <si>
    <t>2026-05-09</t>
  </si>
  <si>
    <t>2026-05-10</t>
  </si>
  <si>
    <t>Subtotal18</t>
  </si>
  <si>
    <t>2026-05-11</t>
  </si>
  <si>
    <t>2026-05-12</t>
  </si>
  <si>
    <t>2026-05-13</t>
  </si>
  <si>
    <t>2026-05-14</t>
  </si>
  <si>
    <t>2026-05-15</t>
  </si>
  <si>
    <t>2026-05-16</t>
  </si>
  <si>
    <t>2026-05-17</t>
  </si>
  <si>
    <t>Subtotal19</t>
  </si>
  <si>
    <t>2026-05-18</t>
  </si>
  <si>
    <t>2026-05-19</t>
  </si>
  <si>
    <t>2026-05-20</t>
  </si>
  <si>
    <t>2026-05-21</t>
  </si>
  <si>
    <t>2026-05-22</t>
  </si>
  <si>
    <t>2026-05-23</t>
  </si>
  <si>
    <t>2026-05-24</t>
  </si>
  <si>
    <t>Subtotal20</t>
  </si>
  <si>
    <t>2026-05-25</t>
  </si>
  <si>
    <t>2026-05-26</t>
  </si>
  <si>
    <t>2026-05-27</t>
  </si>
  <si>
    <t>2026-05-28</t>
  </si>
  <si>
    <t>2026-05-29</t>
  </si>
  <si>
    <t>2026-05-30</t>
  </si>
  <si>
    <t>2026-05-31</t>
  </si>
  <si>
    <t>Subtotal21</t>
  </si>
  <si>
    <t>2026-06-01</t>
  </si>
  <si>
    <t>2026-06-02</t>
  </si>
  <si>
    <t>2026-06-03</t>
  </si>
  <si>
    <t>2026-06-04</t>
  </si>
  <si>
    <t>2026-06-05</t>
  </si>
  <si>
    <t>2026-06-06</t>
  </si>
  <si>
    <t>2026-06-07</t>
  </si>
  <si>
    <t>Subtotal22</t>
  </si>
  <si>
    <t>2026-06-08</t>
  </si>
  <si>
    <t>2026-06-09</t>
  </si>
  <si>
    <t>2026-06-10</t>
  </si>
  <si>
    <t>2026-06-11</t>
  </si>
  <si>
    <t>2026-06-12</t>
  </si>
  <si>
    <t>2026-06-13</t>
  </si>
  <si>
    <t>2026-06-14</t>
  </si>
  <si>
    <t>Subtotal23</t>
  </si>
  <si>
    <t>2026-06-15</t>
  </si>
  <si>
    <t>2026-06-16</t>
  </si>
  <si>
    <t>2026-06-17</t>
  </si>
  <si>
    <t>2026-06-18</t>
  </si>
  <si>
    <t>2026-06-19</t>
  </si>
  <si>
    <t>2026-06-20</t>
  </si>
  <si>
    <t>2026-06-21</t>
  </si>
  <si>
    <t>Subtotal24</t>
  </si>
  <si>
    <t>2026-06-22</t>
  </si>
  <si>
    <t>2026-06-23</t>
  </si>
  <si>
    <t>2026-06-24</t>
  </si>
  <si>
    <t>2026-06-25</t>
  </si>
  <si>
    <t>2026-06-26</t>
  </si>
  <si>
    <t>2026-06-27</t>
  </si>
  <si>
    <t>2026-06-28</t>
  </si>
  <si>
    <t>Subtotal25</t>
  </si>
  <si>
    <t>2026-06-29</t>
  </si>
  <si>
    <t>2026-06-30</t>
  </si>
  <si>
    <t>2026-07-01</t>
  </si>
  <si>
    <t>2026-07-02</t>
  </si>
  <si>
    <t>2026-07-03</t>
  </si>
  <si>
    <t>2026-07-04</t>
  </si>
  <si>
    <t>2026-07-05</t>
  </si>
  <si>
    <t>Subtotal26</t>
  </si>
  <si>
    <t>2026-07-06</t>
  </si>
  <si>
    <t>2026-07-07</t>
  </si>
  <si>
    <t>2026-07-08</t>
  </si>
  <si>
    <t>2026-07-09</t>
  </si>
  <si>
    <t>2026-07-10</t>
  </si>
  <si>
    <t>2026-07-11</t>
  </si>
  <si>
    <t>2026-07-12</t>
  </si>
  <si>
    <t>Subtotal27</t>
  </si>
  <si>
    <t>2026-07-13</t>
  </si>
  <si>
    <t>2026-07-14</t>
  </si>
  <si>
    <t>2026-07-15</t>
  </si>
  <si>
    <t>2026-07-16</t>
  </si>
  <si>
    <t>2026-07-17</t>
  </si>
  <si>
    <t>2026-07-18</t>
  </si>
  <si>
    <t>2026-07-19</t>
  </si>
  <si>
    <t>Subtotal28</t>
  </si>
  <si>
    <t>2026-07-20</t>
  </si>
  <si>
    <t>2026-07-21</t>
  </si>
  <si>
    <t>2026-07-22</t>
  </si>
  <si>
    <t>2026-07-23</t>
  </si>
  <si>
    <t>2026-07-24</t>
  </si>
  <si>
    <t>2026-07-25</t>
  </si>
  <si>
    <t>2026-07-26</t>
  </si>
  <si>
    <t>Subtotal29</t>
  </si>
  <si>
    <t>2026-07-27</t>
  </si>
  <si>
    <t>2026-07-28</t>
  </si>
  <si>
    <t>2026-07-29</t>
  </si>
  <si>
    <t>2026-07-30</t>
  </si>
  <si>
    <t>2026-07-31</t>
  </si>
  <si>
    <t>2026-08-01</t>
  </si>
  <si>
    <t>2026-08-02</t>
  </si>
  <si>
    <t>Subtotal30</t>
  </si>
  <si>
    <t>2026-08-03</t>
  </si>
  <si>
    <t>2026-08-04</t>
  </si>
  <si>
    <t>2026-08-05</t>
  </si>
  <si>
    <t>2026-08-06</t>
  </si>
  <si>
    <t>2026-08-07</t>
  </si>
  <si>
    <t>2026-08-08</t>
  </si>
  <si>
    <t>2026-08-09</t>
  </si>
  <si>
    <t>Subtotal31</t>
  </si>
  <si>
    <t>2026-08-10</t>
  </si>
  <si>
    <t>2026-08-11</t>
  </si>
  <si>
    <t>2026-08-12</t>
  </si>
  <si>
    <t>2026-08-13</t>
  </si>
  <si>
    <t>2026-08-14</t>
  </si>
  <si>
    <t>2026-08-15</t>
  </si>
  <si>
    <t>2026-08-16</t>
  </si>
  <si>
    <t>Subtotal32</t>
  </si>
  <si>
    <t>2026-08-17</t>
  </si>
  <si>
    <t>2026-08-18</t>
  </si>
  <si>
    <t>2026-08-19</t>
  </si>
  <si>
    <t>2026-08-20</t>
  </si>
  <si>
    <t>2026-08-21</t>
  </si>
  <si>
    <t>2026-08-22</t>
  </si>
  <si>
    <t>2026-08-23</t>
  </si>
  <si>
    <t>Subtotal33</t>
  </si>
  <si>
    <t>2026-08-24</t>
  </si>
  <si>
    <t>2026-08-25</t>
  </si>
  <si>
    <t>2026-08-26</t>
  </si>
  <si>
    <t>2026-08-27</t>
  </si>
  <si>
    <t>2026-08-28</t>
  </si>
  <si>
    <t>2026-08-29</t>
  </si>
  <si>
    <t>2026-08-30</t>
  </si>
  <si>
    <t>Subtotal34</t>
  </si>
  <si>
    <t>2026-08-31</t>
  </si>
  <si>
    <t>2026-09-01</t>
  </si>
  <si>
    <t>2026-09-02</t>
  </si>
  <si>
    <t>2026-09-03</t>
  </si>
  <si>
    <t>2026-09-04</t>
  </si>
  <si>
    <t>2026-09-05</t>
  </si>
  <si>
    <t>2026-09-06</t>
  </si>
  <si>
    <t>Subtotal35</t>
  </si>
  <si>
    <t>2026-09-07</t>
  </si>
  <si>
    <t>2026-09-08</t>
  </si>
  <si>
    <t>2026-09-09</t>
  </si>
  <si>
    <t>2026-09-10</t>
  </si>
  <si>
    <t>2026-09-11</t>
  </si>
  <si>
    <t>2026-09-12</t>
  </si>
  <si>
    <t>2026-09-13</t>
  </si>
  <si>
    <t>Subtotal36</t>
  </si>
  <si>
    <t>2026-09-14</t>
  </si>
  <si>
    <t>2026-09-15</t>
  </si>
  <si>
    <t>2026-09-16</t>
  </si>
  <si>
    <t>2026-09-17</t>
  </si>
  <si>
    <t>2026-09-18</t>
  </si>
  <si>
    <t>2026-09-19</t>
  </si>
  <si>
    <t>2026-09-20</t>
  </si>
  <si>
    <t>Subtotal37</t>
  </si>
  <si>
    <t>2026-09-21</t>
  </si>
  <si>
    <t>2026-09-22</t>
  </si>
  <si>
    <t>2026-09-23</t>
  </si>
  <si>
    <t>2026-09-24</t>
  </si>
  <si>
    <t>2026-09-25</t>
  </si>
  <si>
    <t>2026-09-26</t>
  </si>
  <si>
    <t>2026-09-27</t>
  </si>
  <si>
    <t>Subtotal38</t>
  </si>
  <si>
    <t>2026-09-28</t>
  </si>
  <si>
    <t>2026-09-29</t>
  </si>
  <si>
    <t>2026-09-30</t>
  </si>
  <si>
    <t>2026-10-01</t>
  </si>
  <si>
    <t>2026-10-02</t>
  </si>
  <si>
    <t>2026-10-03</t>
  </si>
  <si>
    <t>2026-10-04</t>
  </si>
  <si>
    <t>Subtotal39</t>
  </si>
  <si>
    <t>2026-10-05</t>
  </si>
  <si>
    <t>2026-10-06</t>
  </si>
  <si>
    <t>2026-10-07</t>
  </si>
  <si>
    <t>2026-10-08</t>
  </si>
  <si>
    <t>2026-10-09</t>
  </si>
  <si>
    <t>2026-10-10</t>
  </si>
  <si>
    <t>2026-10-11</t>
  </si>
  <si>
    <t>Subtotal40</t>
  </si>
  <si>
    <t>2026-10-12</t>
  </si>
  <si>
    <t>2026-10-13</t>
  </si>
  <si>
    <t>2026-10-14</t>
  </si>
  <si>
    <t>2026-10-15</t>
  </si>
  <si>
    <t>2026-10-16</t>
  </si>
  <si>
    <t>2026-10-17</t>
  </si>
  <si>
    <t>2026-10-18</t>
  </si>
  <si>
    <t>Subtotal41</t>
  </si>
  <si>
    <t>2026-10-19</t>
  </si>
  <si>
    <t>2026-10-20</t>
  </si>
  <si>
    <t>2026-10-21</t>
  </si>
  <si>
    <t>2026-10-22</t>
  </si>
  <si>
    <t>2026-10-23</t>
  </si>
  <si>
    <t>2026-10-24</t>
  </si>
  <si>
    <t>2026-10-25</t>
  </si>
  <si>
    <t>Subtotal42</t>
  </si>
  <si>
    <t>2026-10-26</t>
  </si>
  <si>
    <t>2026-10-27</t>
  </si>
  <si>
    <t>2026-10-28</t>
  </si>
  <si>
    <t>2026-10-29</t>
  </si>
  <si>
    <t>2026-10-30</t>
  </si>
  <si>
    <t>2026-10-31</t>
  </si>
  <si>
    <t>2026-11-01</t>
  </si>
  <si>
    <t>Subtotal43</t>
  </si>
  <si>
    <t>2026-11-02</t>
  </si>
  <si>
    <t>2026-11-03</t>
  </si>
  <si>
    <t>2026-11-04</t>
  </si>
  <si>
    <t>2026-11-05</t>
  </si>
  <si>
    <t>2026-11-06</t>
  </si>
  <si>
    <t>2026-11-07</t>
  </si>
  <si>
    <t>2026-11-08</t>
  </si>
  <si>
    <t>Subtotal44</t>
  </si>
  <si>
    <t>2026-11-09</t>
  </si>
  <si>
    <t>2026-11-10</t>
  </si>
  <si>
    <t>2026-11-11</t>
  </si>
  <si>
    <t>2026-11-12</t>
  </si>
  <si>
    <t>2026-11-13</t>
  </si>
  <si>
    <t>2026-11-14</t>
  </si>
  <si>
    <t>2026-11-15</t>
  </si>
  <si>
    <t>Subtotal45</t>
  </si>
  <si>
    <t>2026-11-16</t>
  </si>
  <si>
    <t>2026-11-17</t>
  </si>
  <si>
    <t>2026-11-18</t>
  </si>
  <si>
    <t>2026-11-19</t>
  </si>
  <si>
    <t>2026-11-20</t>
  </si>
  <si>
    <t>2026-11-21</t>
  </si>
  <si>
    <t>2026-11-22</t>
  </si>
  <si>
    <t>Subtotal46</t>
  </si>
  <si>
    <t>2026-11-23</t>
  </si>
  <si>
    <t>2026-11-24</t>
  </si>
  <si>
    <t>2026-11-25</t>
  </si>
  <si>
    <t>2026-11-26</t>
  </si>
  <si>
    <t>2026-11-27</t>
  </si>
  <si>
    <t>2026-11-28</t>
  </si>
  <si>
    <t>2026-11-29</t>
  </si>
  <si>
    <t>Subtotal47</t>
  </si>
  <si>
    <t>2026-11-30</t>
  </si>
  <si>
    <t>2026-12-01</t>
  </si>
  <si>
    <t>2026-12-02</t>
  </si>
  <si>
    <t>2026-12-03</t>
  </si>
  <si>
    <t>2026-12-04</t>
  </si>
  <si>
    <t>2026-12-05</t>
  </si>
  <si>
    <t>2026-12-06</t>
  </si>
  <si>
    <t>Subtotal48</t>
  </si>
  <si>
    <t>2026-12-07</t>
  </si>
  <si>
    <t>2026-12-08</t>
  </si>
  <si>
    <t>2026-12-09</t>
  </si>
  <si>
    <t>2026-12-10</t>
  </si>
  <si>
    <t>2026-12-11</t>
  </si>
  <si>
    <t>2026-12-12</t>
  </si>
  <si>
    <t>2026-12-13</t>
  </si>
  <si>
    <t>Subtotal49</t>
  </si>
  <si>
    <t>2026-12-14</t>
  </si>
  <si>
    <t>2026-12-15</t>
  </si>
  <si>
    <t>2026-12-16</t>
  </si>
  <si>
    <t>2026-12-17</t>
  </si>
  <si>
    <t>2026-12-18</t>
  </si>
  <si>
    <t>2026-12-19</t>
  </si>
  <si>
    <t>2026-12-20</t>
  </si>
  <si>
    <t>Subtotal50</t>
  </si>
  <si>
    <t>2026-12-21</t>
  </si>
  <si>
    <t>2026-12-22</t>
  </si>
  <si>
    <t>2026-12-23</t>
  </si>
  <si>
    <t>2026-12-24</t>
  </si>
  <si>
    <t>2026-12-25</t>
  </si>
  <si>
    <t>2026-12-26</t>
  </si>
  <si>
    <t>2026-12-27</t>
  </si>
  <si>
    <t>Subtotal51</t>
  </si>
  <si>
    <t>2026-12-28</t>
  </si>
  <si>
    <t>2026-12-29</t>
  </si>
  <si>
    <t>2026-12-30</t>
  </si>
  <si>
    <t>2026-12-31</t>
  </si>
  <si>
    <t>2027-01-01</t>
  </si>
  <si>
    <t>2027-01-02</t>
  </si>
  <si>
    <t>2027-01-03</t>
  </si>
  <si>
    <t>Subtotal52</t>
  </si>
  <si>
    <t>Total Hours Worked</t>
  </si>
  <si>
    <t>Basic Hours</t>
  </si>
  <si>
    <t>Allowances</t>
  </si>
  <si>
    <t>Basic Pay</t>
  </si>
  <si>
    <t>Overtime Rate</t>
  </si>
  <si>
    <t>Tax Rule</t>
  </si>
  <si>
    <t>Personal Allowance</t>
  </si>
  <si>
    <t>NIS (70% of annual NIS</t>
  </si>
  <si>
    <t>Subtotal</t>
  </si>
  <si>
    <t xml:space="preserve">Annual gross salary </t>
  </si>
  <si>
    <t>Taxable Amount</t>
  </si>
  <si>
    <t>PAYE</t>
  </si>
  <si>
    <t>Monthly PAYE</t>
  </si>
  <si>
    <t>Values</t>
  </si>
  <si>
    <t xml:space="preserve"> to </t>
  </si>
  <si>
    <t>EmployeeID</t>
  </si>
  <si>
    <t>MonthlyPAYE</t>
  </si>
  <si>
    <t>AnnualGross</t>
  </si>
  <si>
    <t>AnnualNIS70</t>
  </si>
  <si>
    <t>TaxLastUpdated</t>
  </si>
  <si>
    <t>Monthly Salary</t>
  </si>
  <si>
    <t>Allowances 1</t>
  </si>
  <si>
    <t>Allowances 2</t>
  </si>
  <si>
    <t>Allowances 3</t>
  </si>
  <si>
    <t>Allowances 4</t>
  </si>
  <si>
    <t>Allowances 5</t>
  </si>
  <si>
    <t>Gross Pay</t>
  </si>
  <si>
    <t>Position</t>
  </si>
  <si>
    <t>Generate to Payroll History</t>
  </si>
  <si>
    <t>Cash in hand</t>
  </si>
  <si>
    <t xml:space="preserve">Posted Timestamp </t>
  </si>
  <si>
    <t xml:space="preserve">Posted By </t>
  </si>
  <si>
    <t>POSTED</t>
  </si>
  <si>
    <t>Total Basic Earnings</t>
  </si>
  <si>
    <t>Total NIS - Employee</t>
  </si>
  <si>
    <t>Total NIS - Employer</t>
  </si>
  <si>
    <t>Total Health Surcharge</t>
  </si>
  <si>
    <t>Total Net Pay</t>
  </si>
  <si>
    <t>Total Employer Cost</t>
  </si>
  <si>
    <t>Type of Service</t>
  </si>
  <si>
    <t>Contract of Service</t>
  </si>
  <si>
    <t>Contract for Service</t>
  </si>
  <si>
    <t>Leave Type (Sick, Vacation, Unpaid, etc.)</t>
  </si>
  <si>
    <t>Leave Start Date</t>
  </si>
  <si>
    <t>Leave End Date</t>
  </si>
  <si>
    <t>Paid Leave? (Y/N) ← important</t>
  </si>
  <si>
    <t>% Pay (optional; e.g., 100%, 50%)</t>
  </si>
  <si>
    <t>Notes (optional)</t>
  </si>
  <si>
    <t>Manager</t>
  </si>
  <si>
    <t>John Doe</t>
  </si>
  <si>
    <t>Pay</t>
  </si>
  <si>
    <t>starj</t>
  </si>
  <si>
    <t>Sum of Employee ID</t>
  </si>
  <si>
    <t>Sum of Basic Pay</t>
  </si>
  <si>
    <t>Sum of Basic Earnings</t>
  </si>
  <si>
    <t>Sum of NIS - Employee</t>
  </si>
  <si>
    <t>Sum of NIS - Employer</t>
  </si>
  <si>
    <t>Sum of Health Surcharge</t>
  </si>
  <si>
    <t>Sum of Net Pay</t>
  </si>
  <si>
    <t>Grand Total</t>
  </si>
  <si>
    <t>Hungry Heroes X Hero's Diner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</si>
</sst>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yyyy\-mm\-dd;@"/>
    <numFmt numFmtId="165" formatCode="dd\-mmm\-yyyy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color rgb="FF000000"/>
      <name val="Verdana"/>
      <family val="2"/>
    </font>
    <font>
      <sz val="8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theme="0"/>
      <name val="Aptos Narrow"/>
      <family val="2"/>
      <scheme val="minor"/>
    </font>
    <font>
      <u val="singleAccounting"/>
      <sz val="11"/>
      <color theme="1"/>
      <name val="Aptos Narrow"/>
      <family val="2"/>
      <scheme val="minor"/>
    </font>
    <font>
      <b/>
      <sz val="11"/>
      <color rgb="FF444444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2">
    <xf numFmtId="0" fontId="0" fillId="0" borderId="0" xfId="0"/>
    <xf numFmtId="0" fontId="2" fillId="0" borderId="0" xfId="0" applyFont="1" applyAlignment="1">
      <alignment horizontal="center" vertical="center"/>
    </xf>
    <xf numFmtId="44" fontId="2" fillId="0" borderId="0" xfId="1" applyFont="1" applyAlignment="1">
      <alignment horizontal="center" vertical="center"/>
    </xf>
    <xf numFmtId="44" fontId="0" fillId="0" borderId="0" xfId="1" applyFont="1"/>
    <xf numFmtId="0" fontId="2" fillId="0" borderId="2" xfId="0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44" fontId="2" fillId="0" borderId="2" xfId="1" applyFont="1" applyBorder="1" applyAlignment="1">
      <alignment horizontal="center"/>
    </xf>
    <xf numFmtId="0" fontId="2" fillId="0" borderId="0" xfId="0" applyFont="1"/>
    <xf numFmtId="8" fontId="5" fillId="3" borderId="2" xfId="0" applyNumberFormat="1" applyFont="1" applyFill="1" applyBorder="1" applyAlignment="1">
      <alignment horizontal="center" vertical="center"/>
    </xf>
    <xf numFmtId="164" fontId="5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8" fontId="4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8" fontId="5" fillId="3" borderId="4" xfId="0" applyNumberFormat="1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8" fontId="4" fillId="0" borderId="9" xfId="0" applyNumberFormat="1" applyFont="1" applyBorder="1" applyAlignment="1">
      <alignment horizontal="center"/>
    </xf>
    <xf numFmtId="8" fontId="5" fillId="3" borderId="9" xfId="0" applyNumberFormat="1" applyFont="1" applyFill="1" applyBorder="1" applyAlignment="1">
      <alignment horizontal="center" vertical="center"/>
    </xf>
    <xf numFmtId="8" fontId="5" fillId="3" borderId="10" xfId="0" applyNumberFormat="1" applyFont="1" applyFill="1" applyBorder="1" applyAlignment="1">
      <alignment horizontal="center" vertical="center"/>
    </xf>
    <xf numFmtId="0" fontId="0" fillId="0" borderId="1" xfId="0" applyBorder="1"/>
    <xf numFmtId="44" fontId="2" fillId="0" borderId="6" xfId="1" applyFont="1" applyBorder="1" applyAlignment="1">
      <alignment horizontal="center"/>
    </xf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  <xf numFmtId="164" fontId="0" fillId="0" borderId="0" xfId="0" applyNumberFormat="1" applyAlignment="1">
      <alignment horizontal="center"/>
    </xf>
    <xf numFmtId="7" fontId="0" fillId="0" borderId="0" xfId="0" applyNumberFormat="1"/>
    <xf numFmtId="0" fontId="9" fillId="0" borderId="0" xfId="0" applyFont="1"/>
    <xf numFmtId="0" fontId="2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44" fontId="0" fillId="0" borderId="2" xfId="1" applyFont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10" fillId="4" borderId="5" xfId="0" applyFont="1" applyFill="1" applyBorder="1" applyAlignment="1">
      <alignment horizontal="center"/>
    </xf>
    <xf numFmtId="44" fontId="10" fillId="4" borderId="6" xfId="1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 wrapText="1"/>
    </xf>
    <xf numFmtId="164" fontId="0" fillId="0" borderId="0" xfId="0" applyNumberFormat="1" applyAlignment="1">
      <alignment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1" fontId="0" fillId="0" borderId="0" xfId="0" applyNumberFormat="1"/>
    <xf numFmtId="1" fontId="0" fillId="5" borderId="12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2" fillId="2" borderId="0" xfId="0" applyNumberFormat="1" applyFont="1" applyFill="1" applyAlignment="1">
      <alignment horizontal="center" vertical="center" wrapText="1"/>
    </xf>
    <xf numFmtId="1" fontId="2" fillId="0" borderId="2" xfId="0" applyNumberFormat="1" applyFont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0" fillId="0" borderId="0" xfId="0" quotePrefix="1" applyAlignment="1">
      <alignment horizontal="center"/>
    </xf>
    <xf numFmtId="44" fontId="0" fillId="0" borderId="0" xfId="1" quotePrefix="1" applyFont="1"/>
    <xf numFmtId="44" fontId="10" fillId="4" borderId="7" xfId="1" applyFont="1" applyFill="1" applyBorder="1" applyAlignment="1">
      <alignment horizontal="center" vertical="center"/>
    </xf>
    <xf numFmtId="44" fontId="0" fillId="5" borderId="2" xfId="1" applyFont="1" applyFill="1" applyBorder="1" applyAlignment="1">
      <alignment horizontal="center"/>
    </xf>
    <xf numFmtId="44" fontId="0" fillId="0" borderId="2" xfId="1" applyFont="1" applyBorder="1"/>
    <xf numFmtId="44" fontId="11" fillId="0" borderId="2" xfId="1" applyFont="1" applyBorder="1"/>
    <xf numFmtId="0" fontId="0" fillId="0" borderId="2" xfId="0" applyBorder="1"/>
    <xf numFmtId="0" fontId="0" fillId="0" borderId="10" xfId="0" applyBorder="1"/>
    <xf numFmtId="0" fontId="0" fillId="0" borderId="11" xfId="0" applyBorder="1"/>
    <xf numFmtId="0" fontId="0" fillId="0" borderId="0" xfId="0" applyAlignment="1">
      <alignment horizontal="center" vertical="center" wrapText="1"/>
    </xf>
    <xf numFmtId="164" fontId="2" fillId="0" borderId="0" xfId="0" applyNumberFormat="1" applyFont="1"/>
    <xf numFmtId="164" fontId="2" fillId="0" borderId="5" xfId="0" applyNumberFormat="1" applyFont="1" applyBorder="1"/>
    <xf numFmtId="164" fontId="2" fillId="0" borderId="6" xfId="0" applyNumberFormat="1" applyFont="1" applyBorder="1"/>
    <xf numFmtId="164" fontId="2" fillId="0" borderId="7" xfId="0" applyNumberFormat="1" applyFont="1" applyBorder="1"/>
    <xf numFmtId="0" fontId="0" fillId="0" borderId="4" xfId="0" applyBorder="1"/>
    <xf numFmtId="0" fontId="0" fillId="0" borderId="9" xfId="0" applyBorder="1"/>
    <xf numFmtId="1" fontId="8" fillId="4" borderId="14" xfId="0" applyNumberFormat="1" applyFont="1" applyFill="1" applyBorder="1" applyAlignment="1">
      <alignment horizontal="center"/>
    </xf>
    <xf numFmtId="164" fontId="10" fillId="4" borderId="13" xfId="0" applyNumberFormat="1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44" fontId="0" fillId="0" borderId="0" xfId="0" applyNumberFormat="1"/>
    <xf numFmtId="164" fontId="0" fillId="0" borderId="0" xfId="1" applyNumberFormat="1" applyFont="1"/>
    <xf numFmtId="0" fontId="2" fillId="0" borderId="2" xfId="0" applyFont="1" applyBorder="1"/>
    <xf numFmtId="44" fontId="2" fillId="0" borderId="2" xfId="1" applyFont="1" applyBorder="1"/>
    <xf numFmtId="44" fontId="0" fillId="0" borderId="1" xfId="1" applyFont="1" applyBorder="1"/>
    <xf numFmtId="44" fontId="0" fillId="0" borderId="15" xfId="1" applyFont="1" applyBorder="1"/>
    <xf numFmtId="0" fontId="2" fillId="0" borderId="18" xfId="0" applyFont="1" applyBorder="1"/>
    <xf numFmtId="0" fontId="2" fillId="0" borderId="19" xfId="0" applyFont="1" applyBorder="1"/>
    <xf numFmtId="0" fontId="0" fillId="0" borderId="18" xfId="0" applyBorder="1"/>
    <xf numFmtId="7" fontId="0" fillId="0" borderId="19" xfId="0" applyNumberFormat="1" applyBorder="1"/>
    <xf numFmtId="0" fontId="7" fillId="0" borderId="18" xfId="0" applyFont="1" applyBorder="1"/>
    <xf numFmtId="44" fontId="0" fillId="0" borderId="19" xfId="1" applyFont="1" applyBorder="1"/>
    <xf numFmtId="0" fontId="0" fillId="0" borderId="19" xfId="0" applyBorder="1"/>
    <xf numFmtId="7" fontId="2" fillId="0" borderId="19" xfId="1" applyNumberFormat="1" applyFont="1" applyBorder="1"/>
    <xf numFmtId="0" fontId="2" fillId="0" borderId="20" xfId="0" applyFont="1" applyBorder="1"/>
    <xf numFmtId="7" fontId="12" fillId="0" borderId="21" xfId="0" applyNumberFormat="1" applyFont="1" applyBorder="1"/>
    <xf numFmtId="7" fontId="0" fillId="0" borderId="19" xfId="1" applyNumberFormat="1" applyFont="1" applyBorder="1"/>
    <xf numFmtId="44" fontId="2" fillId="0" borderId="19" xfId="1" applyFont="1" applyBorder="1"/>
    <xf numFmtId="0" fontId="0" fillId="0" borderId="20" xfId="0" applyBorder="1"/>
    <xf numFmtId="0" fontId="0" fillId="0" borderId="23" xfId="0" applyBorder="1"/>
    <xf numFmtId="0" fontId="0" fillId="0" borderId="21" xfId="0" applyBorder="1"/>
    <xf numFmtId="0" fontId="2" fillId="0" borderId="16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8" fillId="4" borderId="24" xfId="0" applyFont="1" applyFill="1" applyBorder="1" applyAlignment="1">
      <alignment horizontal="center" vertical="center" wrapText="1"/>
    </xf>
    <xf numFmtId="1" fontId="8" fillId="4" borderId="25" xfId="0" applyNumberFormat="1" applyFont="1" applyFill="1" applyBorder="1" applyAlignment="1">
      <alignment horizontal="center"/>
    </xf>
    <xf numFmtId="164" fontId="10" fillId="4" borderId="1" xfId="0" applyNumberFormat="1" applyFont="1" applyFill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5" fontId="0" fillId="0" borderId="0" xfId="0" applyNumberFormat="1"/>
    <xf numFmtId="4" fontId="0" fillId="0" borderId="0" xfId="0" applyNumberFormat="1"/>
    <xf numFmtId="165" fontId="2" fillId="0" borderId="0" xfId="0" applyNumberFormat="1" applyFont="1"/>
    <xf numFmtId="4" fontId="2" fillId="0" borderId="0" xfId="0" applyNumberFormat="1" applyFont="1"/>
    <xf numFmtId="1" fontId="2" fillId="0" borderId="0" xfId="0" applyNumberFormat="1" applyFont="1"/>
    <xf numFmtId="14" fontId="0" fillId="0" borderId="0" xfId="0" applyNumberFormat="1"/>
    <xf numFmtId="22" fontId="0" fillId="0" borderId="0" xfId="0" applyNumberFormat="1"/>
    <xf numFmtId="4" fontId="0" fillId="0" borderId="0" xfId="1" applyNumberFormat="1" applyFont="1"/>
    <xf numFmtId="49" fontId="0" fillId="0" borderId="0" xfId="0" applyNumberFormat="1"/>
    <xf numFmtId="44" fontId="1" fillId="0" borderId="2" xfId="1" applyFont="1" applyBorder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2" borderId="0" xfId="0" applyFont="1" applyFill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532"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numFmt numFmtId="12" formatCode="&quot;$&quot;#,##0.00_);[Red]\(&quot;$&quot;#,##0.00\)"/>
      <fill>
        <patternFill patternType="solid">
          <fgColor rgb="FF000000"/>
          <bgColor rgb="FFFFCC9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numFmt numFmtId="12" formatCode="&quot;$&quot;#,##0.00_);[Red]\(&quot;$&quot;#,##0.00\)"/>
      <fill>
        <patternFill patternType="solid">
          <fgColor rgb="FF000000"/>
          <bgColor rgb="FFFFCC9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numFmt numFmtId="164" formatCode="yyyy\-mm\-dd;@"/>
      <fill>
        <patternFill patternType="solid">
          <fgColor rgb="FF000000"/>
          <bgColor rgb="FFFFCC9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numFmt numFmtId="164" formatCode="yyyy\-mm\-dd;@"/>
      <fill>
        <patternFill patternType="solid">
          <fgColor rgb="FF000000"/>
          <bgColor rgb="FFFFCC9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</dxf>
    <dxf>
      <border outline="0">
        <top style="thin">
          <color theme="4" tint="0.39997558519241921"/>
        </top>
      </border>
    </dxf>
    <dxf>
      <alignment horizontal="general" vertical="center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yyyy\-mm\-dd;@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64" formatCode="yyyy\-mm\-dd;@"/>
      <alignment horizontal="general" vertical="center" textRotation="0" wrapText="1" indent="0" justifyLastLine="0" shrinkToFit="0" readingOrder="0"/>
    </dxf>
    <dxf>
      <numFmt numFmtId="164" formatCode="yyyy\-mm\-dd;@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1" indent="0" justifyLastLine="0" shrinkToFit="0" readingOrder="0"/>
    </dxf>
    <dxf>
      <numFmt numFmtId="164" formatCode="yyyy\-mm\-dd;@"/>
    </dxf>
    <dxf>
      <numFmt numFmtId="164" formatCode="yyyy\-mm\-dd;@"/>
    </dxf>
    <dxf>
      <alignment horizontal="center" vertical="bottom" textRotation="0" wrapText="0" indent="0" justifyLastLine="0" shrinkToFit="0" readingOrder="0"/>
    </dxf>
    <dxf>
      <numFmt numFmtId="164" formatCode="yyyy\-mm\-dd;@"/>
      <alignment horizontal="center" vertical="bottom" textRotation="0" wrapText="0" indent="0" justifyLastLine="0" shrinkToFit="0" readingOrder="0"/>
    </dxf>
    <dxf>
      <numFmt numFmtId="164" formatCode="yyyy\-mm\-d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yyyy\-mm\-dd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yyyy\-mm\-dd;@"/>
      <alignment horizontal="center" vertical="bottom" textRotation="0" wrapText="0" indent="0" justifyLastLine="0" shrinkToFit="0" readingOrder="0"/>
    </dxf>
    <dxf>
      <numFmt numFmtId="164" formatCode="yyyy\-mm\-dd;@"/>
      <alignment horizontal="center" vertical="bottom" textRotation="0" wrapText="0" indent="0" justifyLastLine="0" shrinkToFit="0" readingOrder="0"/>
    </dxf>
    <dxf>
      <numFmt numFmtId="164" formatCode="yyyy\-mm\-d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Aptos Narrow"/>
        <family val="2"/>
        <scheme val="minor"/>
      </font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yyyy\-mm\-dd;@"/>
      <alignment horizontal="center" vertical="bottom" textRotation="0" wrapText="0" indent="0" justifyLastLine="0" shrinkToFit="0" readingOrder="0"/>
    </dxf>
    <dxf>
      <numFmt numFmtId="164" formatCode="yyyy\-mm\-dd;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1</v>
    <v>5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45E82B-2EEB-4A97-9B11-C2C975516D0A}" name="tblLeaveRules" displayName="tblLeaveRules" ref="A1:D6" totalsRowShown="0">
  <autoFilter ref="A1:D6" xr:uid="{0445E82B-2EEB-4A97-9B11-C2C975516D0A}"/>
  <tableColumns count="4">
    <tableColumn id="1" xr3:uid="{3A1DC6E6-15F8-4546-A5A9-EA43DBA88785}" name="LeaveType" dataDxfId="504"/>
    <tableColumn id="2" xr3:uid="{A27466E9-FF0E-4E21-B956-DBDA98629405}" name="PaidFlag" dataDxfId="503"/>
    <tableColumn id="3" xr3:uid="{E8D2BC6E-8623-459E-890F-95BB4913DFD9}" name="MinMonthsPaid" dataDxfId="502"/>
    <tableColumn id="4" xr3:uid="{9A8A23E5-5213-48DA-A8D1-D4B9A64FF348}" name="Comment" dataDxfId="5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F672EA-522A-4DB3-81B9-D481F6F0CA16}" name="tblPayFrequency" displayName="tblPayFrequency" ref="F1:F5" totalsRowShown="0" headerRowDxfId="500">
  <autoFilter ref="F1:F5" xr:uid="{FDF672EA-522A-4DB3-81B9-D481F6F0CA16}"/>
  <tableColumns count="1">
    <tableColumn id="1" xr3:uid="{DE05B230-F52E-4A96-ABC7-746D1568D1CD}" name="Pay Frequ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2C24593-EAA0-4073-B440-2E97272F259F}" name="tblPositionandPayRate" displayName="tblPositionandPayRate" ref="H1:O13" totalsRowShown="0" headerRowBorderDxfId="499" tableBorderDxfId="498">
  <autoFilter ref="H1:O13" xr:uid="{B2C24593-EAA0-4073-B440-2E97272F259F}"/>
  <tableColumns count="8">
    <tableColumn id="1" xr3:uid="{BB9A5882-7DE9-4068-BC69-70D6B3B3FD69}" name="Employee Position" dataDxfId="497"/>
    <tableColumn id="2" xr3:uid="{045C7C87-A464-4D1E-AA78-2E63829F9EDF}" name="Basic Rate of Pay" dataDxfId="496" dataCellStyle="Currency"/>
    <tableColumn id="3" xr3:uid="{86B6C4C4-9F55-4EE8-96A0-BAECAB772CDA}" name="Overtime" dataDxfId="495" dataCellStyle="Currency"/>
    <tableColumn id="4" xr3:uid="{CF89AA40-79FD-48AE-89B9-20BB61746726}" name="Allowance 1" dataDxfId="494" dataCellStyle="Currency"/>
    <tableColumn id="5" xr3:uid="{99593E43-D95C-4780-8DA3-EAB253A728A4}" name="Allowance 2" dataDxfId="493" dataCellStyle="Currency"/>
    <tableColumn id="6" xr3:uid="{480D3CC2-D634-4070-AC87-1DD064D7BE26}" name="Allowance 3" dataDxfId="492" dataCellStyle="Currency"/>
    <tableColumn id="7" xr3:uid="{B8AB949A-2BBB-4131-841D-761DC6334FC3}" name="Allowance 4" dataDxfId="491" dataCellStyle="Currency"/>
    <tableColumn id="8" xr3:uid="{C07853CA-2383-44FC-BF5B-478F3FA7A01A}" name="Allowance 5" dataDxfId="490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F09CDB-30C0-4AD4-87A3-E90DE48E683E}" name="tblBasicandOT" displayName="tblBasicandOT" ref="A10:D12" totalsRowShown="0" dataDxfId="489">
  <autoFilter ref="A10:D12" xr:uid="{CBF09CDB-30C0-4AD4-87A3-E90DE48E683E}"/>
  <tableColumns count="4">
    <tableColumn id="1" xr3:uid="{F25030B1-0D66-44CC-8DA5-CE543E5A0AB5}" name="Basic Pay Rules - " dataDxfId="488"/>
    <tableColumn id="2" xr3:uid="{3C4DD979-7074-40A9-AA0E-8D0AFE5BF7C9}" name="Overtime Rules - " dataDxfId="487"/>
    <tableColumn id="3" xr3:uid="{F6C2A706-0CE5-428A-9A75-8ACA2D9F7A8C}" name="Standard Hours of work" dataDxfId="486"/>
    <tableColumn id="4" xr3:uid="{97CDDA91-1ECD-4DA2-A8DF-9C14B8B6C307}" name="Overtime" dataDxfId="48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D317771-63F1-4516-B146-DB3770642ADE}" name="tblTaxRule" displayName="tblTaxRule" ref="C16:D23" totalsRowShown="0">
  <autoFilter ref="C16:D23" xr:uid="{8D317771-63F1-4516-B146-DB3770642ADE}"/>
  <tableColumns count="2">
    <tableColumn id="1" xr3:uid="{616882EA-AF82-4AE6-9E9C-158618AD5908}" name="Tax Rule"/>
    <tableColumn id="2" xr3:uid="{629F45BB-0856-4F3F-B97C-730320A9B233}" name="Values" dataDxfId="484" dataCellStyle="Currenc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F5C5FE1-2231-424F-ACA1-04808446CF87}" name="tblTypeofService" displayName="tblTypeofService" ref="F7:F9" totalsRowShown="0">
  <autoFilter ref="F7:F9" xr:uid="{DF5C5FE1-2231-424F-ACA1-04808446CF87}"/>
  <tableColumns count="1">
    <tableColumn id="1" xr3:uid="{F1A38688-2BE8-4DAC-BE70-EAC5F631AC82}" name="Type of Service" dataDxfId="48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D72408E-B5A8-4E7C-817D-F507CDBE8AB7}" name="Table18" displayName="Table18" ref="F11:F13" totalsRowShown="0">
  <autoFilter ref="F11:F13" xr:uid="{CD72408E-B5A8-4E7C-817D-F507CDBE8AB7}"/>
  <tableColumns count="1">
    <tableColumn id="1" xr3:uid="{8ECB3BF8-C990-48D4-857E-5B483968D93C}" name="Employer 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FE7F-7C3E-4ECE-9F0C-58C51602338F}" name="tblEmployee" displayName="tblEmployee" ref="A1:P999" totalsRowShown="0" headerRowDxfId="482" dataDxfId="481">
  <autoFilter ref="A1:P999" xr:uid="{90AAFE7F-7C3E-4ECE-9F0C-58C51602338F}"/>
  <tableColumns count="16">
    <tableColumn id="1" xr3:uid="{57280366-0F0F-4637-8D09-A2760F26EA6E}" name="Employee ID" dataDxfId="480"/>
    <tableColumn id="6" xr3:uid="{CD5F4898-644D-4A0C-90A3-B52B7A70122F}" name="Employee Name" dataDxfId="479"/>
    <tableColumn id="2" xr3:uid="{0CAB37B9-C274-4694-881A-47A473602A65}" name="Employee Position" dataDxfId="478"/>
    <tableColumn id="3" xr3:uid="{FE2F5126-1071-4457-AF0E-A177748E1304}" name="Employee Start" dataDxfId="477"/>
    <tableColumn id="4" xr3:uid="{852AFB39-FB5D-4448-8535-FFA66BB623DE}" name="Employee End" dataDxfId="476"/>
    <tableColumn id="8" xr3:uid="{D47F347F-4B00-491A-A53C-B2F258A0E85E}" name="Pay Frequency" dataDxfId="475"/>
    <tableColumn id="15" xr3:uid="{E623D475-BF79-49AC-9671-740787E56718}" name="Pay Status" dataDxfId="474">
      <calculatedColumnFormula>IF(tblEmployee[[#This Row],[Payable Flag]]="Y","Pay","No Pay")</calculatedColumnFormula>
    </tableColumn>
    <tableColumn id="16" xr3:uid="{6C533157-4B36-4BE8-83B6-D67EB9B00825}" name="Payable Flag" dataDxfId="473">
      <calculatedColumnFormula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calculatedColumnFormula>
    </tableColumn>
    <tableColumn id="13" xr3:uid="{0DA4D603-7AE7-47A4-981C-49F7C5A60899}" name="Pay Factor" dataDxfId="472">
      <calculatedColumnFormula>IF(tblEmployee[[#This Row],[Payable Flag]]="N",0,1)</calculatedColumnFormula>
    </tableColumn>
    <tableColumn id="14" xr3:uid="{87BB8CB0-455E-4904-85F2-A9E29E9DE983}" name="Type of Service" dataDxfId="471"/>
    <tableColumn id="5" xr3:uid="{E8BF4C36-9260-43F7-894C-475A6C8A8D42}" name="Employee NIS Number" dataDxfId="470"/>
    <tableColumn id="12" xr3:uid="{6E9F6EE3-DA7B-4385-B55E-A04CF43836FA}" name="Employee Leave (Y/N)" dataDxfId="469"/>
    <tableColumn id="11" xr3:uid="{32810328-6DD1-4CCA-B258-B3F01186400E}" name="Leave Type" dataDxfId="468"/>
    <tableColumn id="9" xr3:uid="{B9918C7C-9D30-40BD-BD04-3956745C2AB0}" name="Leave Period From" dataDxfId="467"/>
    <tableColumn id="10" xr3:uid="{FA925451-6288-4A35-8D09-4302A5DB3BC2}" name="Leave Period To" dataDxfId="466"/>
    <tableColumn id="7" xr3:uid="{C94CBFDD-278B-4DA8-AD54-7A4FB71A2189}" name="Notes (If Applicable)" dataDxfId="4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C0D56E8-A23C-4BA0-8C35-FD8DA83BB344}" name="tblLeave" displayName="tblLeave" ref="A1:G4" totalsRowShown="0">
  <autoFilter ref="A1:G4" xr:uid="{BC0D56E8-A23C-4BA0-8C35-FD8DA83BB344}"/>
  <tableColumns count="7">
    <tableColumn id="1" xr3:uid="{6AEE6450-0980-4494-8094-6254388876F0}" name="Employee ID"/>
    <tableColumn id="2" xr3:uid="{E7171D8A-23D0-4FCE-850F-7E7B108BC135}" name="Leave Type (Sick, Vacation, Unpaid, etc.)"/>
    <tableColumn id="3" xr3:uid="{CA2948A4-9575-4499-B873-3D5D5B041535}" name="Leave Start Date" dataDxfId="464"/>
    <tableColumn id="4" xr3:uid="{564630E2-09F0-4F31-BA85-529461C80382}" name="Leave End Date" dataDxfId="463"/>
    <tableColumn id="5" xr3:uid="{14A7491C-FCB2-42C6-9E29-553CE8C540FD}" name="Paid Leave? (Y/N) ← important"/>
    <tableColumn id="6" xr3:uid="{7BEE0716-2866-4B96-8C97-2C765CC31EE8}" name="% Pay (optional; e.g., 100%, 50%)"/>
    <tableColumn id="7" xr3:uid="{B2DFD148-4AA3-4FB3-B5AD-C48AB86FC805}" name="Notes (optional)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B484590-8C5B-4CD0-B730-730F6B33832F}" name="tblPayCalendar" displayName="tblPayCalendar" ref="A1:G53" totalsRowShown="0" headerRowDxfId="462" dataDxfId="461">
  <autoFilter ref="A1:G53" xr:uid="{CB484590-8C5B-4CD0-B730-730F6B33832F}"/>
  <tableColumns count="7">
    <tableColumn id="1" xr3:uid="{74424AE7-93EF-4774-A114-948367C83B33}" name="PayPeriodID" dataDxfId="460"/>
    <tableColumn id="2" xr3:uid="{80AF2889-13B0-4BBB-B86F-8583E86ED1B7}" name="PeriodStart" dataDxfId="459"/>
    <tableColumn id="3" xr3:uid="{17964EB7-2AB0-4C4F-A5AA-82B11950062E}" name="PeriodEnd" dataDxfId="458"/>
    <tableColumn id="4" xr3:uid="{3F4BD733-540A-448A-894A-F7E914721875}" name="PayFrequency" dataDxfId="457"/>
    <tableColumn id="5" xr3:uid="{931ADBFD-2EFB-4FFC-8449-DBB5B456DD98}" name="WeekNo" dataDxfId="456"/>
    <tableColumn id="6" xr3:uid="{5E53469E-F3DD-4218-AB2A-6901DE3A8BEC}" name="Month" dataDxfId="455"/>
    <tableColumn id="7" xr3:uid="{2BD8B3A6-AC00-432E-97E3-4E42458839C4}" name="Year" dataDxfId="45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9B36A4D-B42B-47B3-9804-A96D5BAE6E3C}" name="tblHoursWorked" displayName="tblHoursWorked" ref="A1:PB15" totalsRowShown="0" headerRowDxfId="453" headerRowBorderDxfId="452" tableBorderDxfId="451" totalsRowBorderDxfId="450">
  <autoFilter ref="A1:PB15" xr:uid="{B9B36A4D-B42B-47B3-9804-A96D5BAE6E3C}"/>
  <tableColumns count="418">
    <tableColumn id="419" xr3:uid="{C0E6A4A4-DAD7-44F9-BF1C-27A400F70B6A}" name="Employee ID" dataDxfId="449">
      <calculatedColumnFormula array="1">_xlfn.LET(_xlpm.lst,_xlfn._xlws.FILTER(tblEmployee[Employee ID],(tblEmployee[Pay Frequency]&lt;&gt;"Monthly")*(tblEmployee[Employee Start]&lt;&gt;"")*(tblEmployee[Employee End]="")),IFERROR(INDEX(_xlpm.lst,ROWS($A$2:A2)),""))</calculatedColumnFormula>
    </tableColumn>
    <tableColumn id="1" xr3:uid="{D1592DD0-A9E0-400F-92E8-CD31AE7B9171}" name="Employee Names" dataDxfId="448"/>
    <tableColumn id="2" xr3:uid="{7D6C7D91-9D98-43CD-B544-5541CFE27DF9}" name="2026-01-05" dataDxfId="447"/>
    <tableColumn id="3" xr3:uid="{FC491463-3916-4E94-9D85-BE799020E98E}" name="2026-01-06" dataDxfId="446"/>
    <tableColumn id="4" xr3:uid="{1F10C156-9A15-4B2F-9F08-4AE58F107A30}" name="2026-01-07" dataDxfId="445"/>
    <tableColumn id="5" xr3:uid="{EBCE3A20-7154-44CC-A71B-A7D3C5AE1583}" name="2026-01-08" dataDxfId="444"/>
    <tableColumn id="6" xr3:uid="{29CE242B-8F01-48F2-8D35-1E288E9C76C7}" name="2026-01-09" dataDxfId="443"/>
    <tableColumn id="7" xr3:uid="{E2507FB4-991B-4DC6-A7AA-A938129BBC93}" name="2026-01-10" dataDxfId="442"/>
    <tableColumn id="8" xr3:uid="{8C2EA5A9-CFFB-46ED-9E53-7506FB6FA3BD}" name="2026-01-11" dataDxfId="441"/>
    <tableColumn id="9" xr3:uid="{BAAF92D5-AF47-42F7-8417-89B330188142}" name="W2026-01" dataDxfId="440">
      <calculatedColumnFormula>SUM(C2:I2)</calculatedColumnFormula>
    </tableColumn>
    <tableColumn id="10" xr3:uid="{89FCCE99-2B90-4792-85FB-1D9CFA04664B}" name="2026-01-12" dataDxfId="439"/>
    <tableColumn id="11" xr3:uid="{8894333E-53E9-40E0-9094-A13B07585048}" name="2026-01-13" dataDxfId="438"/>
    <tableColumn id="12" xr3:uid="{C14F6123-EAFA-42AF-9074-90972461D051}" name="2026-01-14" dataDxfId="437"/>
    <tableColumn id="13" xr3:uid="{D70F620B-3F17-4A99-B929-01AB8D4BF64A}" name="2026-01-15" dataDxfId="436"/>
    <tableColumn id="14" xr3:uid="{F3ED8E6C-A364-41A0-86AE-924D51154F1A}" name="2026-01-16" dataDxfId="435"/>
    <tableColumn id="15" xr3:uid="{E6E0706D-FC1D-40D1-BF3A-E24A0F289054}" name="2026-01-17" dataDxfId="434"/>
    <tableColumn id="16" xr3:uid="{2C233C11-EE2A-4501-84A9-E0F2876F9196}" name="2026-01-18" dataDxfId="433"/>
    <tableColumn id="17" xr3:uid="{18B6B5F5-0EBA-4309-A5E9-89D5066FBB2D}" name="W2026-02" dataDxfId="432">
      <calculatedColumnFormula>SUM(K2:Q2)</calculatedColumnFormula>
    </tableColumn>
    <tableColumn id="18" xr3:uid="{5F925BD8-82BC-473B-98BC-BF7E33F462FB}" name="2026-01-19" dataDxfId="431"/>
    <tableColumn id="19" xr3:uid="{3FDB8C6F-2E76-47A8-B5CB-F1B9C1FD3702}" name="2026-01-20" dataDxfId="430"/>
    <tableColumn id="20" xr3:uid="{598ECC7B-5591-4523-8FB6-2BA3C8671413}" name="2026-01-21" dataDxfId="429"/>
    <tableColumn id="21" xr3:uid="{64868922-9E0A-4C2B-9EE9-10007F57B785}" name="2026-01-22" dataDxfId="428"/>
    <tableColumn id="22" xr3:uid="{73670A17-EB24-4ECE-9E08-C9301F6B1E50}" name="2026-01-23" dataDxfId="427"/>
    <tableColumn id="23" xr3:uid="{12885D27-D380-486F-9D75-ABAC42CC3E40}" name="2026-01-24" dataDxfId="426"/>
    <tableColumn id="24" xr3:uid="{966E96E2-F702-4381-A2CB-CC03C12DF888}" name="2026-01-25" dataDxfId="425"/>
    <tableColumn id="25" xr3:uid="{4F5D8D86-E20C-42D8-A21F-4575EEA41D8E}" name="W2026-03" dataDxfId="424">
      <calculatedColumnFormula>SUM(S2:Y2)</calculatedColumnFormula>
    </tableColumn>
    <tableColumn id="26" xr3:uid="{7DEDEEB1-B83B-4262-8A53-5F159B601FB6}" name="2026-01-26" dataDxfId="423"/>
    <tableColumn id="27" xr3:uid="{49CB16C0-79EA-401B-85B2-ED5292C78A23}" name="2026-01-27" dataDxfId="422"/>
    <tableColumn id="28" xr3:uid="{83FA88EE-DD0B-4571-8E3A-C410A590E34F}" name="2026-01-28" dataDxfId="421"/>
    <tableColumn id="29" xr3:uid="{E202237B-978D-4389-9A25-2C89F6A68C4C}" name="2026-01-29" dataDxfId="420"/>
    <tableColumn id="30" xr3:uid="{0F0AE659-796F-4725-9229-AD16466CB97E}" name="2026-01-30" dataDxfId="419"/>
    <tableColumn id="31" xr3:uid="{E97599E3-BC5E-4235-A60D-15B8DF8D31B7}" name="2026-01-31" dataDxfId="418"/>
    <tableColumn id="32" xr3:uid="{5C4C2526-916A-425A-AB40-8431FF2DC1FF}" name="2026-02-01" dataDxfId="417"/>
    <tableColumn id="33" xr3:uid="{A4ECA0CF-43AD-40CC-9E14-C780F2C606F4}" name="W2026-04" dataDxfId="416">
      <calculatedColumnFormula>SUM(AA2:AG2)</calculatedColumnFormula>
    </tableColumn>
    <tableColumn id="34" xr3:uid="{157C73ED-F339-42EB-9D2A-C525708B42EB}" name="2026-02-02" dataDxfId="415"/>
    <tableColumn id="35" xr3:uid="{8B7FF407-18D9-4278-9C15-45F814E5A6D9}" name="2026-02-03" dataDxfId="414"/>
    <tableColumn id="36" xr3:uid="{B51FA345-F108-4C6C-9EB2-BEC55D07408E}" name="2026-02-04" dataDxfId="413"/>
    <tableColumn id="37" xr3:uid="{517664CD-D6DA-4221-8D25-E4A8DB952357}" name="2026-02-05" dataDxfId="412"/>
    <tableColumn id="38" xr3:uid="{546906ED-7099-45B1-9BD8-87EC2E88DECC}" name="2026-02-06" dataDxfId="411"/>
    <tableColumn id="39" xr3:uid="{E13E834A-1094-479B-B872-632ADEE38314}" name="2026-02-07" dataDxfId="410"/>
    <tableColumn id="40" xr3:uid="{82F208C9-F2C5-4C82-B872-0A9AED1E99E9}" name="2026-02-08" dataDxfId="409"/>
    <tableColumn id="41" xr3:uid="{C0F51D55-688B-4882-AD53-35F32D28ABFE}" name="W2026-05" dataDxfId="408">
      <calculatedColumnFormula>SUM(AI2:AO2)</calculatedColumnFormula>
    </tableColumn>
    <tableColumn id="42" xr3:uid="{BB3A70FE-175E-4929-9491-F5B5BBC5AC33}" name="2026-02-09" dataDxfId="407"/>
    <tableColumn id="43" xr3:uid="{487C7DBA-0235-4023-8B80-B4EE7D5D4DC4}" name="2026-02-10" dataDxfId="406"/>
    <tableColumn id="44" xr3:uid="{7EBA6744-63B1-49FF-8450-FECE016634B4}" name="2026-02-11" dataDxfId="405"/>
    <tableColumn id="45" xr3:uid="{AC423B59-1E68-47B3-BE6D-F3ED6AC71364}" name="2026-02-12" dataDxfId="404"/>
    <tableColumn id="46" xr3:uid="{5EDAB59E-2CF7-4CAB-930E-7503275836EE}" name="2026-02-13" dataDxfId="403"/>
    <tableColumn id="47" xr3:uid="{FA3675FD-0E3C-4D23-8DCA-9D47E9E08BD0}" name="2026-02-14" dataDxfId="402"/>
    <tableColumn id="48" xr3:uid="{6822BF34-A98B-454E-9DD9-A03B75174AB7}" name="2026-02-15" dataDxfId="401"/>
    <tableColumn id="49" xr3:uid="{36FCBE6F-033E-47A3-AEFC-DB5BCB2E0148}" name="W2026-06" dataDxfId="400">
      <calculatedColumnFormula>SUM(AQ2:AW2)</calculatedColumnFormula>
    </tableColumn>
    <tableColumn id="50" xr3:uid="{4FE93ADA-EE43-4D5F-8742-393B9AC88B26}" name="2026-02-16" dataDxfId="399"/>
    <tableColumn id="51" xr3:uid="{B70BE7B2-CC9D-49A0-9F5F-770FA4E412DB}" name="2026-02-17" dataDxfId="398"/>
    <tableColumn id="52" xr3:uid="{DD310D46-07F3-453F-A9FB-36C7711CE2C3}" name="2026-02-18" dataDxfId="397"/>
    <tableColumn id="53" xr3:uid="{24AFA2EB-01CD-4DBE-9853-72A677252CD2}" name="2026-02-19" dataDxfId="396"/>
    <tableColumn id="54" xr3:uid="{D4577B3B-6484-45CD-982E-6DE35D9DEB0F}" name="2026-02-20" dataDxfId="395"/>
    <tableColumn id="55" xr3:uid="{566C5D66-E71A-4AD4-9A1C-7B9BF17800C5}" name="2026-02-21" dataDxfId="394"/>
    <tableColumn id="56" xr3:uid="{8B24B9B5-190B-4C97-BA8A-60542342E43B}" name="2026-02-22" dataDxfId="393"/>
    <tableColumn id="57" xr3:uid="{A96862DB-AE61-4C99-9642-305F1F38F1E7}" name="W2026-07" dataDxfId="392">
      <calculatedColumnFormula>SUM(AY2:BE2)</calculatedColumnFormula>
    </tableColumn>
    <tableColumn id="58" xr3:uid="{4DFBD844-663B-40A2-91B7-B22139283897}" name="2026-02-23" dataDxfId="391"/>
    <tableColumn id="59" xr3:uid="{3570976D-9C65-41F2-9D8E-972CD58545C7}" name="2026-02-24" dataDxfId="390"/>
    <tableColumn id="60" xr3:uid="{611752C2-297F-42DD-80BF-7377E1A70E1B}" name="2026-02-25" dataDxfId="389"/>
    <tableColumn id="61" xr3:uid="{928130D2-69A0-4BE6-ADFD-C4A6ABCF8221}" name="2026-02-26" dataDxfId="388"/>
    <tableColumn id="62" xr3:uid="{C7173EB1-6CD4-4348-BC0E-17052F0B5D71}" name="2026-02-27" dataDxfId="387"/>
    <tableColumn id="63" xr3:uid="{8A476AEF-28D2-4C00-8F1C-612CED168B66}" name="2026-02-28" dataDxfId="386"/>
    <tableColumn id="64" xr3:uid="{08B80EAD-10DB-4B44-966C-F71377C72CDA}" name="2026-03-01" dataDxfId="385"/>
    <tableColumn id="65" xr3:uid="{8AF0616B-1CD0-4EBB-AFB0-3812737B00F8}" name="W2026-08" dataDxfId="384">
      <calculatedColumnFormula>SUM(BG2:BM2)</calculatedColumnFormula>
    </tableColumn>
    <tableColumn id="66" xr3:uid="{1D817CE7-9FD0-47F2-A6CE-A43C5AEA4033}" name="2026-03-02" dataDxfId="383"/>
    <tableColumn id="67" xr3:uid="{90DEC48D-9F37-4BD9-8368-DF3E87E2CD0B}" name="2026-03-03" dataDxfId="382"/>
    <tableColumn id="68" xr3:uid="{2D22881A-9F7B-4250-AB5C-F6E4EA82D623}" name="2026-03-04" dataDxfId="381"/>
    <tableColumn id="69" xr3:uid="{45870ED5-D059-4B49-8D92-6A313D19A8DC}" name="2026-03-05" dataDxfId="380"/>
    <tableColumn id="70" xr3:uid="{395138F7-6EDB-4B19-8DB4-470F929EBC9A}" name="2026-03-06" dataDxfId="379"/>
    <tableColumn id="71" xr3:uid="{31A5BECA-1283-4EA3-912E-FB93A522FF0F}" name="2026-03-07" dataDxfId="378"/>
    <tableColumn id="72" xr3:uid="{8249C304-0F7A-4E3D-A683-CBB94680F320}" name="2026-03-08" dataDxfId="377"/>
    <tableColumn id="73" xr3:uid="{D60B0FFD-A3DD-4EFD-B5F7-B48B46933758}" name="W2026-09" dataDxfId="376">
      <calculatedColumnFormula>SUM(BO2:BU2)</calculatedColumnFormula>
    </tableColumn>
    <tableColumn id="74" xr3:uid="{F4235CE8-1802-42F1-B490-891CA99ADE7D}" name="2026-03-09" dataDxfId="375"/>
    <tableColumn id="75" xr3:uid="{41D76ED4-215C-41C6-9FE8-A9EBE8D0B5A5}" name="2026-03-10" dataDxfId="374"/>
    <tableColumn id="76" xr3:uid="{87A34068-616D-45A5-BCEF-6C2CBA0DFD94}" name="2026-03-11" dataDxfId="373"/>
    <tableColumn id="77" xr3:uid="{B453611F-9719-49E9-BACF-0B6A05F2941F}" name="2026-03-12" dataDxfId="372"/>
    <tableColumn id="78" xr3:uid="{DD9619F3-639E-42FE-8D15-08D84595DAE6}" name="2026-03-13" dataDxfId="371"/>
    <tableColumn id="79" xr3:uid="{364EE3F6-B9F6-4FFB-A8B2-B7201F4D94F5}" name="2026-03-14" dataDxfId="370"/>
    <tableColumn id="80" xr3:uid="{102FD649-64CE-4361-82FE-9E219F3D9EB3}" name="2026-03-15" dataDxfId="369"/>
    <tableColumn id="81" xr3:uid="{925260C2-C117-4006-A956-9A6C7BD9322C}" name="W2026-10" dataDxfId="368">
      <calculatedColumnFormula>SUM(BW2:CC2)</calculatedColumnFormula>
    </tableColumn>
    <tableColumn id="82" xr3:uid="{3EBD9D36-E0F0-4045-B023-4A75162D4096}" name="2026-03-16" dataDxfId="367"/>
    <tableColumn id="83" xr3:uid="{326755C7-DFDF-4B46-B4A3-5E0DFA85DF2A}" name="2026-03-17" dataDxfId="366"/>
    <tableColumn id="84" xr3:uid="{48028A2C-B254-4D4E-AA47-5846291739D0}" name="2026-03-18" dataDxfId="365"/>
    <tableColumn id="85" xr3:uid="{EFEDF44B-4CA7-464D-AFF4-2DF2565E506B}" name="2026-03-19" dataDxfId="364"/>
    <tableColumn id="86" xr3:uid="{7CE8A17D-ABBE-4E5F-9306-4FF0CD9396DC}" name="2026-03-20" dataDxfId="363"/>
    <tableColumn id="87" xr3:uid="{B40B2D8A-2389-4BF9-AA5E-14D2E7FD9745}" name="2026-03-21" dataDxfId="362"/>
    <tableColumn id="88" xr3:uid="{859BC6CB-0FF3-4D6F-9712-44AB9D84EB0D}" name="2026-03-22" dataDxfId="361"/>
    <tableColumn id="89" xr3:uid="{2FD0A7D6-8215-42F7-9881-E1B906C4BBFC}" name="W2026-11" dataDxfId="360">
      <calculatedColumnFormula>SUM(CE2:CK2)</calculatedColumnFormula>
    </tableColumn>
    <tableColumn id="90" xr3:uid="{8724A4E0-EC7B-4BB3-AA47-D98592BACD45}" name="2026-03-23" dataDxfId="359"/>
    <tableColumn id="91" xr3:uid="{2D404FAA-2661-48E4-9BF6-97833DDE6DF3}" name="2026-03-24" dataDxfId="358"/>
    <tableColumn id="92" xr3:uid="{27CEA359-48AB-422B-BCCA-182DE0B1CA85}" name="2026-03-25" dataDxfId="357"/>
    <tableColumn id="93" xr3:uid="{EC7F5CD8-E589-4E83-8D6D-8B3BAAFED0EE}" name="2026-03-26" dataDxfId="356"/>
    <tableColumn id="94" xr3:uid="{257816A9-A97E-4F08-AD9C-84BE87F69B18}" name="2026-03-27" dataDxfId="355"/>
    <tableColumn id="95" xr3:uid="{AC53A4CE-0E98-46CE-8CE2-CF2D09AB2FF8}" name="2026-03-28" dataDxfId="354"/>
    <tableColumn id="96" xr3:uid="{BC98774F-56BB-402D-9A58-54812200D3D9}" name="2026-03-29" dataDxfId="353"/>
    <tableColumn id="97" xr3:uid="{34A6D520-40B0-413F-B5CD-8A19C4306923}" name="W2026-12" dataDxfId="352">
      <calculatedColumnFormula>SUM(CM2:CS2)</calculatedColumnFormula>
    </tableColumn>
    <tableColumn id="98" xr3:uid="{5FD0EC50-1CB0-4659-9512-2411C1346C7F}" name="2026-03-30" dataDxfId="351"/>
    <tableColumn id="99" xr3:uid="{EA0DAB0E-4DBD-4308-8B92-EE9646C73269}" name="2026-03-31" dataDxfId="350"/>
    <tableColumn id="100" xr3:uid="{BD739775-07FE-4A75-8886-45EA1385837A}" name="2026-04-01" dataDxfId="349"/>
    <tableColumn id="101" xr3:uid="{786FE9FA-C168-4EDE-862C-ADFE0A246071}" name="2026-04-02" dataDxfId="348"/>
    <tableColumn id="102" xr3:uid="{047663B6-3AE4-4E0E-9820-345A00CFFA93}" name="2026-04-03" dataDxfId="347"/>
    <tableColumn id="103" xr3:uid="{7B47D096-079F-46A7-93C7-B2ED93AE8F74}" name="2026-04-04" dataDxfId="346"/>
    <tableColumn id="104" xr3:uid="{E73F549E-B64F-4F69-816A-6A8EFDB1E6BB}" name="2026-04-05" dataDxfId="345"/>
    <tableColumn id="105" xr3:uid="{42EE70A9-3FCE-46AC-8B1A-53CE54F0A024}" name="Subtotal13" dataDxfId="344">
      <calculatedColumnFormula>SUM(CU2:DA2)</calculatedColumnFormula>
    </tableColumn>
    <tableColumn id="106" xr3:uid="{60BCD1E2-F90E-4577-9205-3E4E6FBB5AC8}" name="2026-04-06" dataDxfId="343"/>
    <tableColumn id="107" xr3:uid="{2B5857D9-CB97-412A-867E-FA5F09B50F9D}" name="2026-04-07" dataDxfId="342"/>
    <tableColumn id="108" xr3:uid="{FAB379E1-3980-49AF-B98D-843438BFFBDD}" name="2026-04-08" dataDxfId="341"/>
    <tableColumn id="109" xr3:uid="{2C76612C-47E6-41CA-8129-EA4DEC961910}" name="2026-04-09" dataDxfId="340"/>
    <tableColumn id="110" xr3:uid="{97BBBD80-F627-4B18-A77C-0A3CA4E37D2E}" name="2026-04-10" dataDxfId="339"/>
    <tableColumn id="111" xr3:uid="{3A8E47AD-09A1-4C11-A107-83C69D860354}" name="2026-04-11" dataDxfId="338"/>
    <tableColumn id="112" xr3:uid="{2116840B-B9DD-46E2-8D5B-525A86BB69AF}" name="2026-04-12" dataDxfId="337"/>
    <tableColumn id="113" xr3:uid="{F5D81B52-6345-4B20-9E60-50D069FF04C9}" name="Subtotal14" dataDxfId="336"/>
    <tableColumn id="114" xr3:uid="{DF127D67-10BC-4A41-9AAF-D15FC60014DC}" name="2026-04-13" dataDxfId="335"/>
    <tableColumn id="115" xr3:uid="{228FEE44-A186-4C9E-B66E-5FF9A796B259}" name="2026-04-14" dataDxfId="334"/>
    <tableColumn id="116" xr3:uid="{47E2CE52-A6F5-43CA-A0DB-2A91E6848176}" name="2026-04-15" dataDxfId="333"/>
    <tableColumn id="117" xr3:uid="{DD0041FF-9A51-4151-AA98-998E87B711B9}" name="2026-04-16" dataDxfId="332"/>
    <tableColumn id="118" xr3:uid="{20BA73D5-18BE-49F8-AF79-291340D545F9}" name="2026-04-17" dataDxfId="331"/>
    <tableColumn id="119" xr3:uid="{0A7A3E78-8B08-46FC-A91B-3E6A526B7FAA}" name="2026-04-18" dataDxfId="330"/>
    <tableColumn id="120" xr3:uid="{F7AD09C5-CFEB-4E3F-BBAB-64E8916B278C}" name="2026-04-19" dataDxfId="329"/>
    <tableColumn id="121" xr3:uid="{399C3A4B-9FEE-4F31-8E70-C94A3F18E17B}" name="Subtotal15" dataDxfId="328"/>
    <tableColumn id="122" xr3:uid="{8B6E149B-78E6-4CED-8E1B-584E5A86BE6E}" name="2026-04-20" dataDxfId="327"/>
    <tableColumn id="123" xr3:uid="{50F39494-A497-4D14-81B4-F2118AEA567F}" name="2026-04-21" dataDxfId="326"/>
    <tableColumn id="124" xr3:uid="{C31044C4-7903-4923-894B-3E9898EB550D}" name="2026-04-22" dataDxfId="325"/>
    <tableColumn id="125" xr3:uid="{C24430F9-0606-452A-9C9D-43139A700095}" name="2026-04-23" dataDxfId="324"/>
    <tableColumn id="126" xr3:uid="{3853E0DE-5F68-433E-9F1A-F0AFB39A7A93}" name="2026-04-24" dataDxfId="323"/>
    <tableColumn id="127" xr3:uid="{214B56CF-34E1-4967-8F60-8ECCF235F03D}" name="2026-04-25" dataDxfId="322"/>
    <tableColumn id="128" xr3:uid="{8192B73F-AF7F-4007-8231-C1968073A2D0}" name="2026-04-26" dataDxfId="321"/>
    <tableColumn id="129" xr3:uid="{200B19D3-207B-42E2-AA06-C0E86E91BD39}" name="Subtotal16" dataDxfId="320"/>
    <tableColumn id="130" xr3:uid="{5AAB9ADE-4669-4C34-8358-6F7C46AF0A35}" name="2026-04-27" dataDxfId="319"/>
    <tableColumn id="131" xr3:uid="{B347ABE7-6E20-4721-809B-EE13B5816BC6}" name="2026-04-28" dataDxfId="318"/>
    <tableColumn id="132" xr3:uid="{0A327DB9-658D-4783-AD3D-7AE696FE1345}" name="2026-04-29" dataDxfId="317"/>
    <tableColumn id="133" xr3:uid="{448CEE9A-26A0-4160-86F7-A2E831A53405}" name="2026-04-30" dataDxfId="316"/>
    <tableColumn id="134" xr3:uid="{82B46AE8-51BC-49C4-8FD0-C234B01D3B62}" name="2026-05-01" dataDxfId="315"/>
    <tableColumn id="135" xr3:uid="{BAFA3185-0540-48BF-BE29-B46B5BBE02B5}" name="2026-05-02" dataDxfId="314"/>
    <tableColumn id="136" xr3:uid="{BED86FD7-779C-403E-B929-ECC05A91F9D2}" name="2026-05-03" dataDxfId="313"/>
    <tableColumn id="137" xr3:uid="{8BA1339D-6FDF-4052-85E0-B4E117E1EF58}" name="Subtotal17" dataDxfId="312"/>
    <tableColumn id="138" xr3:uid="{0A569A33-6659-48D9-A046-41C10FB91A1E}" name="2026-05-04" dataDxfId="311"/>
    <tableColumn id="139" xr3:uid="{38959F02-B7F3-4352-907A-D3BEB5699B76}" name="2026-05-05" dataDxfId="310"/>
    <tableColumn id="140" xr3:uid="{DC97FB0F-5A8F-4C3B-8D58-464735CB84D3}" name="2026-05-06" dataDxfId="309"/>
    <tableColumn id="141" xr3:uid="{FC3FDFF7-A924-4FA7-9642-BB5E7FAFDE72}" name="2026-05-07" dataDxfId="308"/>
    <tableColumn id="142" xr3:uid="{89CDB80D-BAC6-4786-AE21-2BA13ADE1499}" name="2026-05-08" dataDxfId="307"/>
    <tableColumn id="143" xr3:uid="{C57D6903-9CA6-4E64-BA9F-995031AAC664}" name="2026-05-09" dataDxfId="306"/>
    <tableColumn id="144" xr3:uid="{C1460013-6DA2-4494-BD5F-AD73DFDCD5B0}" name="2026-05-10" dataDxfId="305"/>
    <tableColumn id="145" xr3:uid="{A5C9AAA6-0BB0-4DA6-BE8B-3F95F635AE93}" name="Subtotal18" dataDxfId="304"/>
    <tableColumn id="146" xr3:uid="{55858CEF-062F-4A55-9B2E-F1EA69EB3EFC}" name="2026-05-11" dataDxfId="303"/>
    <tableColumn id="147" xr3:uid="{0E3DE8E7-79B4-4C1F-978C-B953529D4A33}" name="2026-05-12" dataDxfId="302"/>
    <tableColumn id="148" xr3:uid="{87E97648-DD01-4596-A3FF-B55270E3D95F}" name="2026-05-13" dataDxfId="301"/>
    <tableColumn id="149" xr3:uid="{3CFD6C0B-3D27-4D68-90AF-52AC871BF8AE}" name="2026-05-14" dataDxfId="300"/>
    <tableColumn id="150" xr3:uid="{7CBD9F53-362E-49A1-AE88-6F93212173FD}" name="2026-05-15" dataDxfId="299"/>
    <tableColumn id="151" xr3:uid="{0D0373C7-F584-4628-A951-A6358457043D}" name="2026-05-16" dataDxfId="298"/>
    <tableColumn id="152" xr3:uid="{B526FC0D-0576-4645-9058-971A2F7356E4}" name="2026-05-17" dataDxfId="297"/>
    <tableColumn id="153" xr3:uid="{B259B30D-B5BC-4C3B-82BD-FCB8288CC597}" name="Subtotal19" dataDxfId="296"/>
    <tableColumn id="154" xr3:uid="{E11D2C69-2230-4D28-A0AD-5E55193BD9D8}" name="2026-05-18" dataDxfId="295"/>
    <tableColumn id="155" xr3:uid="{C88BE052-4FA0-449E-9415-711EDC0AA5BA}" name="2026-05-19" dataDxfId="294"/>
    <tableColumn id="156" xr3:uid="{78ECD85F-28A0-44B8-8D20-CBA9D08A99C2}" name="2026-05-20" dataDxfId="293"/>
    <tableColumn id="157" xr3:uid="{2575DDF6-7E7C-4338-B2C6-33403BA23E4D}" name="2026-05-21" dataDxfId="292"/>
    <tableColumn id="158" xr3:uid="{4C692586-30F9-4E4D-B113-2A54C5013DE6}" name="2026-05-22" dataDxfId="291"/>
    <tableColumn id="159" xr3:uid="{718B5894-23A8-435B-B3A3-8C761AFB07BA}" name="2026-05-23" dataDxfId="290"/>
    <tableColumn id="160" xr3:uid="{1C7C1237-EAE8-4513-8B25-858118189B48}" name="2026-05-24" dataDxfId="289"/>
    <tableColumn id="161" xr3:uid="{4E7E6CA9-0317-4DE7-BC22-6BD0850585B8}" name="Subtotal20" dataDxfId="288"/>
    <tableColumn id="162" xr3:uid="{FF24CFF7-A07B-4B8E-BD9E-9329EB6FEBFE}" name="2026-05-25" dataDxfId="287"/>
    <tableColumn id="163" xr3:uid="{3F353FFD-F670-4DCB-9D4E-B47C2A12826B}" name="2026-05-26" dataDxfId="286"/>
    <tableColumn id="164" xr3:uid="{724D7D50-F007-46B6-8949-C48967217B65}" name="2026-05-27" dataDxfId="285"/>
    <tableColumn id="165" xr3:uid="{C0CAAEE6-88CF-4523-810A-6AFDAB6DECE7}" name="2026-05-28" dataDxfId="284"/>
    <tableColumn id="166" xr3:uid="{4712F28E-6307-49BF-8076-CC5D01B95DF8}" name="2026-05-29" dataDxfId="283"/>
    <tableColumn id="167" xr3:uid="{D09AE02E-C6E8-4D95-ADA2-C1C92A4ECC94}" name="2026-05-30" dataDxfId="282"/>
    <tableColumn id="168" xr3:uid="{64C432C3-FF67-40D6-BA59-6A3CBED3F688}" name="2026-05-31" dataDxfId="281"/>
    <tableColumn id="169" xr3:uid="{8B9B954B-9694-4BB0-BF73-B44F34631869}" name="Subtotal21" dataDxfId="280"/>
    <tableColumn id="170" xr3:uid="{32828639-D009-4145-AE62-029577BD379D}" name="2026-06-01" dataDxfId="279"/>
    <tableColumn id="171" xr3:uid="{DDC6CFAB-6177-4972-B25D-C4E56AC2409A}" name="2026-06-02" dataDxfId="278"/>
    <tableColumn id="172" xr3:uid="{94D2EF07-2374-4700-B197-2032481B66B8}" name="2026-06-03" dataDxfId="277"/>
    <tableColumn id="173" xr3:uid="{D301C1D9-E045-4E59-9D7C-6ED29CBB425B}" name="2026-06-04" dataDxfId="276"/>
    <tableColumn id="174" xr3:uid="{298E90C9-EFA4-4D0F-91C3-38B8A6B66DF6}" name="2026-06-05" dataDxfId="275"/>
    <tableColumn id="175" xr3:uid="{D1D3B83F-9AC7-411E-B484-E206AEEA572C}" name="2026-06-06" dataDxfId="274"/>
    <tableColumn id="176" xr3:uid="{7D7175AD-2DB2-456D-A553-6B77697CBF6B}" name="2026-06-07" dataDxfId="273"/>
    <tableColumn id="177" xr3:uid="{5E651DE7-15B8-4AAD-8DD3-9547AFC8CB17}" name="Subtotal22" dataDxfId="272"/>
    <tableColumn id="178" xr3:uid="{C3478F32-BE24-4587-AC4C-2E9153C6A108}" name="2026-06-08" dataDxfId="271"/>
    <tableColumn id="179" xr3:uid="{F40EF064-FA91-4726-89D9-7ACBA831F734}" name="2026-06-09" dataDxfId="270"/>
    <tableColumn id="180" xr3:uid="{B69E3008-F6CE-40D9-A494-93AD690A9549}" name="2026-06-10" dataDxfId="269"/>
    <tableColumn id="181" xr3:uid="{86D1E3FD-6EE3-440B-A356-E8D49174FF01}" name="2026-06-11" dataDxfId="268"/>
    <tableColumn id="182" xr3:uid="{E9EEFA5A-8E71-46CB-9D43-308EA0758979}" name="2026-06-12" dataDxfId="267"/>
    <tableColumn id="183" xr3:uid="{46373A5D-D463-45D9-B6FB-34A68E4B9EAC}" name="2026-06-13" dataDxfId="266"/>
    <tableColumn id="184" xr3:uid="{B4329F00-206B-44A1-BBA2-FA47CDFBDA79}" name="2026-06-14" dataDxfId="265"/>
    <tableColumn id="185" xr3:uid="{8B7F2F46-803E-439C-822E-A38251095572}" name="Subtotal23" dataDxfId="264"/>
    <tableColumn id="186" xr3:uid="{926E2314-91E0-4679-94E4-D5CDEF02D2B9}" name="2026-06-15" dataDxfId="263"/>
    <tableColumn id="187" xr3:uid="{C9DB57C9-2F9C-4F80-95C8-E1B6C296D16F}" name="2026-06-16" dataDxfId="262"/>
    <tableColumn id="188" xr3:uid="{F25DF6F5-75EF-42F1-A787-0696CA5575F9}" name="2026-06-17" dataDxfId="261"/>
    <tableColumn id="189" xr3:uid="{1E8B1649-1670-43D1-A5B9-F2B8AC80C224}" name="2026-06-18" dataDxfId="260"/>
    <tableColumn id="190" xr3:uid="{DED39289-03C4-4F2F-BF50-15BFC75056AF}" name="2026-06-19" dataDxfId="259"/>
    <tableColumn id="191" xr3:uid="{ABC1CDF6-6BAE-4A62-8E34-3F75409741AF}" name="2026-06-20" dataDxfId="258"/>
    <tableColumn id="192" xr3:uid="{F7A5E6B7-59E9-40E5-908C-54EE3E86AA99}" name="2026-06-21" dataDxfId="257"/>
    <tableColumn id="193" xr3:uid="{B6D87A4D-25D8-43CA-8A48-AC8F191A30B9}" name="Subtotal24" dataDxfId="256"/>
    <tableColumn id="194" xr3:uid="{C98C0865-76AC-4CC5-9289-AB7B78E7F70F}" name="2026-06-22" dataDxfId="255"/>
    <tableColumn id="195" xr3:uid="{8F9966E1-7CC0-4E58-9EC6-7D3CECEBBB46}" name="2026-06-23" dataDxfId="254"/>
    <tableColumn id="196" xr3:uid="{06CA0B8A-781E-490F-8075-55A34249B20B}" name="2026-06-24" dataDxfId="253"/>
    <tableColumn id="197" xr3:uid="{C0A07886-D1E4-4EFD-8E43-F9DB127BA2EF}" name="2026-06-25" dataDxfId="252"/>
    <tableColumn id="198" xr3:uid="{DB91E3A9-A244-418B-88EF-811F432EA8E1}" name="2026-06-26" dataDxfId="251"/>
    <tableColumn id="199" xr3:uid="{6CB90CA4-3D55-40E5-8F98-CCBC25B0EEEC}" name="2026-06-27" dataDxfId="250"/>
    <tableColumn id="200" xr3:uid="{F801EDA5-27B4-449A-B1DF-7B9925D96C13}" name="2026-06-28" dataDxfId="249"/>
    <tableColumn id="201" xr3:uid="{DAF02E88-9F06-4EA9-83C1-DA0C664DD6AE}" name="Subtotal25" dataDxfId="248"/>
    <tableColumn id="202" xr3:uid="{E0B4F9C4-13EA-422B-9068-D7DBF249C34E}" name="2026-06-29" dataDxfId="247"/>
    <tableColumn id="203" xr3:uid="{3B8FE935-3CDB-4B6A-A449-31A05E827F75}" name="2026-06-30" dataDxfId="246"/>
    <tableColumn id="204" xr3:uid="{E67F6716-AB6C-4D8D-AB64-9E831EBCB89F}" name="2026-07-01" dataDxfId="245"/>
    <tableColumn id="205" xr3:uid="{96CF98A0-7657-466E-BC37-2349FE65A6CF}" name="2026-07-02" dataDxfId="244"/>
    <tableColumn id="206" xr3:uid="{3F3EBF65-F7B3-407E-86D2-2373EB67DD79}" name="2026-07-03" dataDxfId="243"/>
    <tableColumn id="207" xr3:uid="{9560D45D-536D-4250-B7E3-3C423B076593}" name="2026-07-04" dataDxfId="242"/>
    <tableColumn id="208" xr3:uid="{BCC7CC8A-EE5B-4870-ACF0-24341C1F007A}" name="2026-07-05" dataDxfId="241"/>
    <tableColumn id="209" xr3:uid="{5A7259BD-C721-4E9B-8140-37821AA0BCC8}" name="Subtotal26" dataDxfId="240"/>
    <tableColumn id="210" xr3:uid="{A5EF5EC5-185A-452A-8502-1742002420D6}" name="2026-07-06" dataDxfId="239"/>
    <tableColumn id="211" xr3:uid="{BA09B175-92B7-40D5-9CBC-FCBA3845CED0}" name="2026-07-07" dataDxfId="238"/>
    <tableColumn id="212" xr3:uid="{5BF7ED98-14E1-4F5B-90F5-D26008564FD6}" name="2026-07-08" dataDxfId="237"/>
    <tableColumn id="213" xr3:uid="{5818C4BC-733B-4EE8-B78E-C823B09B1042}" name="2026-07-09" dataDxfId="236"/>
    <tableColumn id="214" xr3:uid="{423A863E-9A02-4CFD-82B2-E3100975A59D}" name="2026-07-10" dataDxfId="235"/>
    <tableColumn id="215" xr3:uid="{D20F9914-1DE0-4029-9C2E-4CACEFFB22EB}" name="2026-07-11" dataDxfId="234"/>
    <tableColumn id="216" xr3:uid="{98FF457D-2A6B-4B1C-8C2E-DB5380DF9642}" name="2026-07-12" dataDxfId="233"/>
    <tableColumn id="217" xr3:uid="{25CB13C9-C330-4AB7-B47C-4D8910F879A9}" name="Subtotal27" dataDxfId="232"/>
    <tableColumn id="218" xr3:uid="{6534C0F8-9EB0-42F6-8B6D-1A57BE1FD7E0}" name="2026-07-13" dataDxfId="231"/>
    <tableColumn id="219" xr3:uid="{ABB98026-9B0F-43E1-BCBE-18EBE309FFCA}" name="2026-07-14" dataDxfId="230"/>
    <tableColumn id="220" xr3:uid="{1A75C5B4-5A1F-439F-B3C5-CBCA7DDC30AD}" name="2026-07-15" dataDxfId="229"/>
    <tableColumn id="221" xr3:uid="{221C7C40-9C23-463B-AEE5-C829F2949CEF}" name="2026-07-16" dataDxfId="228"/>
    <tableColumn id="222" xr3:uid="{DEB2934C-2DF5-44E1-BE1D-B955475EE96C}" name="2026-07-17" dataDxfId="227"/>
    <tableColumn id="223" xr3:uid="{F259CCCA-2828-4140-8B99-8B63BCB4D00B}" name="2026-07-18" dataDxfId="226"/>
    <tableColumn id="224" xr3:uid="{596BB693-06DE-47FE-BA62-DE9736763651}" name="2026-07-19" dataDxfId="225"/>
    <tableColumn id="225" xr3:uid="{1B30E4FB-CB89-433D-93E7-04404EF42ED4}" name="Subtotal28" dataDxfId="224"/>
    <tableColumn id="226" xr3:uid="{C74C7834-9C25-4760-9615-67B99098847B}" name="2026-07-20" dataDxfId="223"/>
    <tableColumn id="227" xr3:uid="{8B7447A0-B4F9-4043-B94F-7F5C3044E70A}" name="2026-07-21" dataDxfId="222"/>
    <tableColumn id="228" xr3:uid="{8182FEB6-282E-4D50-96CD-DF0C66F40347}" name="2026-07-22" dataDxfId="221"/>
    <tableColumn id="229" xr3:uid="{8469DF82-D563-4DCA-A2E6-CA4D6017DA73}" name="2026-07-23" dataDxfId="220"/>
    <tableColumn id="230" xr3:uid="{BC499D75-710C-44D2-A144-AF047184EBA1}" name="2026-07-24" dataDxfId="219"/>
    <tableColumn id="231" xr3:uid="{BE945FF7-1A0C-4AEF-80BF-832986E257EB}" name="2026-07-25" dataDxfId="218"/>
    <tableColumn id="232" xr3:uid="{787E03C8-C922-410D-B697-096C1B8704F3}" name="2026-07-26" dataDxfId="217"/>
    <tableColumn id="233" xr3:uid="{A6A4F5AE-42FE-48FB-A71D-453C0839AF04}" name="Subtotal29" dataDxfId="216"/>
    <tableColumn id="234" xr3:uid="{9A85AC68-B0BE-42A6-BFD6-DFB810B97E96}" name="2026-07-27" dataDxfId="215"/>
    <tableColumn id="235" xr3:uid="{C6AA9C0C-27E0-4FE3-B269-E9E4D4B5F072}" name="2026-07-28" dataDxfId="214"/>
    <tableColumn id="236" xr3:uid="{F9D9050B-B49D-4B0C-B6AC-FC2EDB0032D1}" name="2026-07-29" dataDxfId="213"/>
    <tableColumn id="237" xr3:uid="{4DEE39BE-C2CB-4980-B1FF-ECD3CA8DC54D}" name="2026-07-30" dataDxfId="212"/>
    <tableColumn id="238" xr3:uid="{F92BC193-8ADD-4CCF-B47A-76FE0619B99C}" name="2026-07-31" dataDxfId="211"/>
    <tableColumn id="239" xr3:uid="{FCB32C90-E829-4BA1-9AB8-DE2D6603C3B4}" name="2026-08-01" dataDxfId="210"/>
    <tableColumn id="240" xr3:uid="{04212344-A28E-4AA8-8A78-8A6427380C9A}" name="2026-08-02" dataDxfId="209"/>
    <tableColumn id="241" xr3:uid="{F4212492-AEBC-4B50-887E-A4ADD46C6D67}" name="Subtotal30" dataDxfId="208"/>
    <tableColumn id="242" xr3:uid="{33BD350B-196A-41C5-B422-3DB5AC8D69EA}" name="2026-08-03" dataDxfId="207"/>
    <tableColumn id="243" xr3:uid="{A0F40F48-ABF8-451C-A695-DD5AC8E84278}" name="2026-08-04" dataDxfId="206"/>
    <tableColumn id="244" xr3:uid="{15C27558-46A1-4697-9A56-38CE25727B75}" name="2026-08-05" dataDxfId="205"/>
    <tableColumn id="245" xr3:uid="{AB6935B6-3883-42DF-B437-3A2DB5C24228}" name="2026-08-06" dataDxfId="204"/>
    <tableColumn id="246" xr3:uid="{6DE0A773-F13A-4D66-8F09-BFBB4E50A208}" name="2026-08-07" dataDxfId="203"/>
    <tableColumn id="247" xr3:uid="{C9CA3DFA-9910-4949-980B-D6BE81059962}" name="2026-08-08" dataDxfId="202"/>
    <tableColumn id="248" xr3:uid="{CF55CEA6-3663-45AA-84CC-57A5081ECA85}" name="2026-08-09" dataDxfId="201"/>
    <tableColumn id="249" xr3:uid="{EDFA9F2B-0A3F-4573-A6B8-A8091651F5FF}" name="Subtotal31" dataDxfId="200"/>
    <tableColumn id="250" xr3:uid="{C0925A86-64A8-4F4A-B70A-40B0E8D14E08}" name="2026-08-10" dataDxfId="199"/>
    <tableColumn id="251" xr3:uid="{0F2B7DC1-6FE9-4E46-B892-BD09518D3DEC}" name="2026-08-11" dataDxfId="198"/>
    <tableColumn id="252" xr3:uid="{30843046-E259-4AD2-B60C-52881D1CBBCE}" name="2026-08-12" dataDxfId="197"/>
    <tableColumn id="253" xr3:uid="{FD20AA76-E2A2-4CB7-8782-E4C44235A879}" name="2026-08-13" dataDxfId="196"/>
    <tableColumn id="254" xr3:uid="{F2C699A3-B7E4-4192-85A8-2A6200ED4BEB}" name="2026-08-14" dataDxfId="195"/>
    <tableColumn id="255" xr3:uid="{5438D7C1-02FA-4EFD-8BA4-CCCFD407594D}" name="2026-08-15" dataDxfId="194"/>
    <tableColumn id="256" xr3:uid="{ED880439-18A7-469E-BF86-D13A09980FE7}" name="2026-08-16" dataDxfId="193"/>
    <tableColumn id="257" xr3:uid="{F4C4B7AB-9C7A-47AF-8D41-51CA6BC15A51}" name="Subtotal32" dataDxfId="192"/>
    <tableColumn id="258" xr3:uid="{320B2BA8-84A9-4B46-88AE-D39BEDE44C68}" name="2026-08-17" dataDxfId="191"/>
    <tableColumn id="259" xr3:uid="{0E768CD5-A365-4875-A125-18F4D8F4A42F}" name="2026-08-18" dataDxfId="190"/>
    <tableColumn id="260" xr3:uid="{FEB6D4BE-8E0B-4170-9E20-C62CD1053B21}" name="2026-08-19" dataDxfId="189"/>
    <tableColumn id="261" xr3:uid="{251C505C-0823-4DBA-8C52-3137A2DE582A}" name="2026-08-20" dataDxfId="188"/>
    <tableColumn id="262" xr3:uid="{06FBEFA4-4999-4DC0-8716-F13B4DF38225}" name="2026-08-21" dataDxfId="187"/>
    <tableColumn id="263" xr3:uid="{4529000F-ADCA-4A20-B0F9-4A235FAB7C72}" name="2026-08-22" dataDxfId="186"/>
    <tableColumn id="264" xr3:uid="{0DBDBD8D-6320-473C-980E-0C46C3D080AD}" name="2026-08-23" dataDxfId="185"/>
    <tableColumn id="265" xr3:uid="{430D3840-5CB9-4D61-BCED-4259D7A2EFC7}" name="Subtotal33" dataDxfId="184"/>
    <tableColumn id="266" xr3:uid="{6650789E-D0C4-456B-AEE0-8EDA0E1C603C}" name="2026-08-24" dataDxfId="183"/>
    <tableColumn id="267" xr3:uid="{83981203-BF35-4719-814B-EF4D07CAD003}" name="2026-08-25" dataDxfId="182"/>
    <tableColumn id="268" xr3:uid="{27FDF8AF-37EC-4FD2-8CDA-2E2BE1846BD4}" name="2026-08-26" dataDxfId="181"/>
    <tableColumn id="269" xr3:uid="{41545631-92CF-4C36-83DF-5096F34276A5}" name="2026-08-27" dataDxfId="180"/>
    <tableColumn id="270" xr3:uid="{D83C807D-08D5-4874-9C26-05B9E432B382}" name="2026-08-28" dataDxfId="179"/>
    <tableColumn id="271" xr3:uid="{C49AB63B-FFB8-4423-83DD-ED9D1A20CB55}" name="2026-08-29" dataDxfId="178"/>
    <tableColumn id="272" xr3:uid="{3D179CCE-11E7-439C-8377-D8DA5C60ADA2}" name="2026-08-30" dataDxfId="177"/>
    <tableColumn id="273" xr3:uid="{A0288E8D-7CD3-4986-8540-04AAAE8E549B}" name="Subtotal34" dataDxfId="176"/>
    <tableColumn id="274" xr3:uid="{E9D71D10-4B74-468A-B17E-22109816F246}" name="2026-08-31" dataDxfId="175"/>
    <tableColumn id="275" xr3:uid="{EFAD1260-D7B8-47F8-8EF5-8D4B3ED54E2B}" name="2026-09-01" dataDxfId="174"/>
    <tableColumn id="276" xr3:uid="{ABF5131B-90DA-4712-8C77-0A8E6D78C7D2}" name="2026-09-02" dataDxfId="173"/>
    <tableColumn id="277" xr3:uid="{1F2106B7-2C51-483A-9B03-5C49809A7606}" name="2026-09-03" dataDxfId="172"/>
    <tableColumn id="278" xr3:uid="{4C4EB128-E0F1-4EA7-A031-4903C06819BF}" name="2026-09-04" dataDxfId="171"/>
    <tableColumn id="279" xr3:uid="{721DED6C-789C-427A-9FA3-8595BB1C01D3}" name="2026-09-05" dataDxfId="170"/>
    <tableColumn id="280" xr3:uid="{FAC0BD83-5E44-4A41-AEC1-0E326247BA77}" name="2026-09-06" dataDxfId="169"/>
    <tableColumn id="281" xr3:uid="{1D1EE7D2-69E0-4E9A-94CA-B1330C1A0B42}" name="Subtotal35" dataDxfId="168"/>
    <tableColumn id="282" xr3:uid="{B62E6851-99AB-491C-86A9-90FF07AFF443}" name="2026-09-07" dataDxfId="167"/>
    <tableColumn id="283" xr3:uid="{D086848E-2F34-412B-B817-BD6DF9AD4827}" name="2026-09-08" dataDxfId="166"/>
    <tableColumn id="284" xr3:uid="{AC2CE2A7-DE18-48C5-BD9A-247031FDA944}" name="2026-09-09" dataDxfId="165"/>
    <tableColumn id="285" xr3:uid="{44E1892D-72A9-448F-8F55-CAD9E8C08F71}" name="2026-09-10" dataDxfId="164"/>
    <tableColumn id="286" xr3:uid="{F1948DFA-FB06-4761-A62A-D89495F4CD6A}" name="2026-09-11" dataDxfId="163"/>
    <tableColumn id="287" xr3:uid="{C5406168-412A-4A92-B387-4AC2605BEC46}" name="2026-09-12" dataDxfId="162"/>
    <tableColumn id="288" xr3:uid="{6E57F71A-9E27-4DCE-A815-AD0721F894DC}" name="2026-09-13" dataDxfId="161"/>
    <tableColumn id="289" xr3:uid="{86B254CE-0DE9-480C-B4AF-A98404072B66}" name="Subtotal36" dataDxfId="160"/>
    <tableColumn id="290" xr3:uid="{A5CB70A0-400F-46D6-AA39-E4AE5AB2EA6B}" name="2026-09-14" dataDxfId="159"/>
    <tableColumn id="291" xr3:uid="{3ABDDEC7-0896-4F2B-9C34-1BC8857B6077}" name="2026-09-15" dataDxfId="158"/>
    <tableColumn id="292" xr3:uid="{DC5DE999-971C-477F-9155-76121EDB9F74}" name="2026-09-16" dataDxfId="157"/>
    <tableColumn id="293" xr3:uid="{7629D8EB-C7D7-4B7F-865A-FC6C07AAAD87}" name="2026-09-17" dataDxfId="156"/>
    <tableColumn id="294" xr3:uid="{986E6D56-4894-404E-86A5-F22C683A0A7E}" name="2026-09-18" dataDxfId="155"/>
    <tableColumn id="295" xr3:uid="{30A93EE3-1838-4057-A685-BF04D239FAD5}" name="2026-09-19" dataDxfId="154"/>
    <tableColumn id="296" xr3:uid="{E65BCFF5-601C-415A-ACEA-7F446D3EB284}" name="2026-09-20" dataDxfId="153"/>
    <tableColumn id="297" xr3:uid="{D1C78F74-12B7-42D8-8C8C-69C81A77C406}" name="Subtotal37" dataDxfId="152"/>
    <tableColumn id="298" xr3:uid="{20A3513E-F36A-4881-BB0B-7BF24633165F}" name="2026-09-21" dataDxfId="151"/>
    <tableColumn id="299" xr3:uid="{93B036A1-B054-445B-ACD8-D1D21496BB1E}" name="2026-09-22" dataDxfId="150"/>
    <tableColumn id="300" xr3:uid="{BBD51521-79F1-4707-82F1-7406046081B8}" name="2026-09-23" dataDxfId="149"/>
    <tableColumn id="301" xr3:uid="{A9D35000-2491-48FB-BAA3-520D0FD543D3}" name="2026-09-24" dataDxfId="148"/>
    <tableColumn id="302" xr3:uid="{A0F3B063-9361-4E0A-B0F3-3514E32B8055}" name="2026-09-25" dataDxfId="147"/>
    <tableColumn id="303" xr3:uid="{A7019886-FD2B-41C7-BBE2-06ADDA0CFC3E}" name="2026-09-26" dataDxfId="146"/>
    <tableColumn id="304" xr3:uid="{480B5767-DD21-4079-AD1F-F82284E4CB1F}" name="2026-09-27" dataDxfId="145"/>
    <tableColumn id="305" xr3:uid="{D960AE16-D8A0-4887-B84B-4D65732D65E4}" name="Subtotal38" dataDxfId="144"/>
    <tableColumn id="306" xr3:uid="{D3988DE2-2DF1-4D76-A574-56C43C0598D3}" name="2026-09-28" dataDxfId="143"/>
    <tableColumn id="307" xr3:uid="{E14F25A4-FC0D-404A-BD1C-3F3E5F7EF6D4}" name="2026-09-29" dataDxfId="142"/>
    <tableColumn id="308" xr3:uid="{F99969B7-329D-4F9E-BDB5-B079F9F6F926}" name="2026-09-30" dataDxfId="141"/>
    <tableColumn id="309" xr3:uid="{84014266-23B6-4EFD-9821-8D22CF7EB9A6}" name="2026-10-01" dataDxfId="140"/>
    <tableColumn id="310" xr3:uid="{3859B8EB-C16A-4C47-85B5-D2FE1D91830B}" name="2026-10-02" dataDxfId="139"/>
    <tableColumn id="311" xr3:uid="{7F207228-235F-40A1-95FF-BA9F90B6EA17}" name="2026-10-03" dataDxfId="138"/>
    <tableColumn id="312" xr3:uid="{155C6FD1-76E8-4F6F-AB09-CD89873E55A8}" name="2026-10-04" dataDxfId="137"/>
    <tableColumn id="313" xr3:uid="{41D6A09D-4A77-4CBF-9986-806208394B45}" name="Subtotal39" dataDxfId="136"/>
    <tableColumn id="314" xr3:uid="{34B20B9C-AEC5-447B-A908-482F315A6767}" name="2026-10-05" dataDxfId="135"/>
    <tableColumn id="315" xr3:uid="{FAEB7F29-4AD1-427F-98E8-8712C5287A1D}" name="2026-10-06" dataDxfId="134"/>
    <tableColumn id="316" xr3:uid="{33D99A7E-5978-4152-A1DC-0948DD069DD2}" name="2026-10-07" dataDxfId="133"/>
    <tableColumn id="317" xr3:uid="{BBDDA125-E63E-4AA7-8456-D1116972B53B}" name="2026-10-08" dataDxfId="132"/>
    <tableColumn id="318" xr3:uid="{EC364581-8B87-49FB-94CE-6817F83767F1}" name="2026-10-09" dataDxfId="131"/>
    <tableColumn id="319" xr3:uid="{E53A16E6-E5CB-4CDA-AEF0-02B55B0379E9}" name="2026-10-10" dataDxfId="130"/>
    <tableColumn id="320" xr3:uid="{B2E56A95-65D4-469D-ACA7-4DF268FC6DFA}" name="2026-10-11" dataDxfId="129"/>
    <tableColumn id="321" xr3:uid="{63EDCA73-EBBC-43A2-A0A5-5E808365F74F}" name="Subtotal40" dataDxfId="128"/>
    <tableColumn id="322" xr3:uid="{FC8C2E50-9C90-4451-8787-453CEDB9F5B3}" name="2026-10-12" dataDxfId="127"/>
    <tableColumn id="323" xr3:uid="{04D48A5E-1B17-4FEA-A0EB-E4DE64B4CE77}" name="2026-10-13" dataDxfId="126"/>
    <tableColumn id="324" xr3:uid="{7F7C4361-C3F9-4F66-8F00-F3A653A753F8}" name="2026-10-14" dataDxfId="125"/>
    <tableColumn id="325" xr3:uid="{4E412513-4EF0-4E18-A860-4C64D2DF9418}" name="2026-10-15" dataDxfId="124"/>
    <tableColumn id="326" xr3:uid="{7DC90ED6-0C09-4A2D-A1FE-A9A838B6C498}" name="2026-10-16" dataDxfId="123"/>
    <tableColumn id="327" xr3:uid="{034A3B43-BEA1-4EC2-8D8C-73F8DAC632EA}" name="2026-10-17" dataDxfId="122"/>
    <tableColumn id="328" xr3:uid="{5681D377-B2AC-471A-ACF2-24230AFED04F}" name="2026-10-18" dataDxfId="121"/>
    <tableColumn id="329" xr3:uid="{FE41B547-B1B6-457A-A5FB-5A1A0963DDD7}" name="Subtotal41" dataDxfId="120"/>
    <tableColumn id="330" xr3:uid="{82B720EB-3C8D-4B47-B52D-19EC170509AF}" name="2026-10-19" dataDxfId="119"/>
    <tableColumn id="331" xr3:uid="{E6BA41C0-646E-40E5-9AD0-722E29DB0DA0}" name="2026-10-20" dataDxfId="118"/>
    <tableColumn id="332" xr3:uid="{65308A25-C092-4975-BF43-3DFC22F88902}" name="2026-10-21" dataDxfId="117"/>
    <tableColumn id="333" xr3:uid="{260D1A35-4AA6-4096-BBA8-88498583A37E}" name="2026-10-22" dataDxfId="116"/>
    <tableColumn id="334" xr3:uid="{F8929227-63C3-4E77-9341-10D76F1B9150}" name="2026-10-23" dataDxfId="115"/>
    <tableColumn id="335" xr3:uid="{825CF97A-EB46-4696-950E-D3D69E31B7DD}" name="2026-10-24" dataDxfId="114"/>
    <tableColumn id="336" xr3:uid="{198125C5-A1F0-4780-8C92-CB8AC8A61A67}" name="2026-10-25" dataDxfId="113"/>
    <tableColumn id="337" xr3:uid="{E94FA5C3-F594-4FB2-9763-27A9E3B289C3}" name="Subtotal42" dataDxfId="112"/>
    <tableColumn id="338" xr3:uid="{3D79C1C1-830E-45EE-B9D0-EAC1D6089311}" name="2026-10-26" dataDxfId="111"/>
    <tableColumn id="339" xr3:uid="{5837BBEA-70BD-46E8-A619-73785353F79F}" name="2026-10-27" dataDxfId="110"/>
    <tableColumn id="340" xr3:uid="{8846D157-76B0-4DA0-988B-E91210319538}" name="2026-10-28" dataDxfId="109"/>
    <tableColumn id="341" xr3:uid="{C88ABD74-0DC0-4FC7-8B33-4A1955622B5E}" name="2026-10-29" dataDxfId="108"/>
    <tableColumn id="342" xr3:uid="{1BF6C52B-B3C8-4060-B4B7-BB472A338024}" name="2026-10-30" dataDxfId="107"/>
    <tableColumn id="343" xr3:uid="{2A2396CE-2E42-430F-A130-0A761A94F79C}" name="2026-10-31" dataDxfId="106"/>
    <tableColumn id="344" xr3:uid="{DC0228A9-78AF-4F31-B3EA-3AE3E154B313}" name="2026-11-01" dataDxfId="105"/>
    <tableColumn id="345" xr3:uid="{B3D56729-1987-4999-9252-E25604166074}" name="Subtotal43" dataDxfId="104"/>
    <tableColumn id="346" xr3:uid="{734217C4-A219-40F7-9D2C-762350C11E6E}" name="2026-11-02" dataDxfId="103"/>
    <tableColumn id="347" xr3:uid="{31264C39-0ED3-4EC9-9BB0-FDB2245572B6}" name="2026-11-03" dataDxfId="102"/>
    <tableColumn id="348" xr3:uid="{78E0E563-A5B2-4456-8C57-57BC49DB177B}" name="2026-11-04" dataDxfId="101"/>
    <tableColumn id="349" xr3:uid="{CB238058-815F-4F0A-84E4-E031C7656291}" name="2026-11-05" dataDxfId="100"/>
    <tableColumn id="350" xr3:uid="{FB4C8735-BFE3-4254-9DE0-EF02657F4785}" name="2026-11-06" dataDxfId="99"/>
    <tableColumn id="351" xr3:uid="{F6051500-2362-4C15-AAA8-41BFAA037DAB}" name="2026-11-07" dataDxfId="98"/>
    <tableColumn id="352" xr3:uid="{ABDD747F-A22D-41D6-9A6C-6BA8C64F3E42}" name="2026-11-08" dataDxfId="97"/>
    <tableColumn id="353" xr3:uid="{FD4F3432-D19C-4B2C-9B95-C36F2C71585E}" name="Subtotal44" dataDxfId="96"/>
    <tableColumn id="354" xr3:uid="{FE2BD3FC-CEAB-4101-A8F2-EF6D34A6CAA2}" name="2026-11-09" dataDxfId="95"/>
    <tableColumn id="355" xr3:uid="{2F1A394C-D469-4817-9330-2B5D7F5F0993}" name="2026-11-10" dataDxfId="94"/>
    <tableColumn id="356" xr3:uid="{1DE836E7-C8D6-4F76-8AD1-587771516FDA}" name="2026-11-11" dataDxfId="93"/>
    <tableColumn id="357" xr3:uid="{F35940D4-546E-4DBE-9230-F054CA20467B}" name="2026-11-12" dataDxfId="92"/>
    <tableColumn id="358" xr3:uid="{9E51A0F2-591A-4FE6-A1E7-832172B3EDDC}" name="2026-11-13" dataDxfId="91"/>
    <tableColumn id="359" xr3:uid="{6F40953B-F3E7-4F8B-9B58-D6DDE16D3975}" name="2026-11-14" dataDxfId="90"/>
    <tableColumn id="360" xr3:uid="{60F8F582-FB3F-4A25-A633-600C5921E778}" name="2026-11-15" dataDxfId="89"/>
    <tableColumn id="361" xr3:uid="{DF817BA1-7DAA-4E2D-9EFC-071C6A31EBEE}" name="Subtotal45" dataDxfId="88"/>
    <tableColumn id="362" xr3:uid="{6D0AF73F-1208-4D88-BDA0-8A9053B8EA42}" name="2026-11-16" dataDxfId="87"/>
    <tableColumn id="363" xr3:uid="{9AB2BF34-73B9-4BFB-BD17-F38FFE263F8A}" name="2026-11-17" dataDxfId="86"/>
    <tableColumn id="364" xr3:uid="{182AD9E7-BCC2-41B7-9198-514428870032}" name="2026-11-18" dataDxfId="85"/>
    <tableColumn id="365" xr3:uid="{7BC035EB-07E2-42D0-B59B-54F659293F0E}" name="2026-11-19" dataDxfId="84"/>
    <tableColumn id="366" xr3:uid="{3EC735DD-6A82-4099-932B-C627B04DB48D}" name="2026-11-20" dataDxfId="83"/>
    <tableColumn id="367" xr3:uid="{2C623FC1-A83A-486D-BB23-9AA85BDF9392}" name="2026-11-21" dataDxfId="82"/>
    <tableColumn id="368" xr3:uid="{7BAC8106-0079-4D1E-A8DD-DF18A07E0B07}" name="2026-11-22" dataDxfId="81"/>
    <tableColumn id="369" xr3:uid="{019BE027-6248-4CF8-8A3F-1A759D785D56}" name="Subtotal46" dataDxfId="80"/>
    <tableColumn id="370" xr3:uid="{01368CF5-5A30-4CA3-A90B-4B320066E051}" name="2026-11-23" dataDxfId="79"/>
    <tableColumn id="371" xr3:uid="{76F36CB0-E073-46ED-8C43-376FDC1DC926}" name="2026-11-24" dataDxfId="78"/>
    <tableColumn id="372" xr3:uid="{2FF54B46-BDC7-453A-8957-255325D76B4E}" name="2026-11-25" dataDxfId="77"/>
    <tableColumn id="373" xr3:uid="{A59433EC-4508-47C1-AB12-8D87907E5D34}" name="2026-11-26" dataDxfId="76"/>
    <tableColumn id="374" xr3:uid="{58265B8B-7E68-4BAE-B2AD-04EA05165F6C}" name="2026-11-27" dataDxfId="75"/>
    <tableColumn id="375" xr3:uid="{2C31EF02-D074-4A85-BCE1-2EF7AC8B9DBC}" name="2026-11-28" dataDxfId="74"/>
    <tableColumn id="376" xr3:uid="{9DBB7DEE-A4F7-4A2E-ABC8-B99115925A98}" name="2026-11-29" dataDxfId="73"/>
    <tableColumn id="377" xr3:uid="{E5FA6312-F94E-4C57-9FDA-D8A9E94C6F4B}" name="Subtotal47" dataDxfId="72"/>
    <tableColumn id="378" xr3:uid="{92D657F2-FD35-4202-9007-2839FE6A8C9B}" name="2026-11-30" dataDxfId="71"/>
    <tableColumn id="379" xr3:uid="{09DC9FB3-2E41-40DA-96BF-465B7ADA8D54}" name="2026-12-01" dataDxfId="70"/>
    <tableColumn id="380" xr3:uid="{D94478EC-1586-4616-8AF2-59D512AFE447}" name="2026-12-02" dataDxfId="69"/>
    <tableColumn id="381" xr3:uid="{7190E0E7-D21C-4AEF-81AE-DAB968A0FCC8}" name="2026-12-03" dataDxfId="68"/>
    <tableColumn id="382" xr3:uid="{493A37EB-4A69-4A64-AFAF-6E80D9C80676}" name="2026-12-04" dataDxfId="67"/>
    <tableColumn id="383" xr3:uid="{650D424C-6AF7-40D9-8A86-1136C8446896}" name="2026-12-05" dataDxfId="66"/>
    <tableColumn id="384" xr3:uid="{BA1F3769-25BF-45F7-882F-6BE9BD5958DF}" name="2026-12-06" dataDxfId="65"/>
    <tableColumn id="385" xr3:uid="{F54B5D80-34E9-421B-A065-BD0148D83F6C}" name="Subtotal48" dataDxfId="64"/>
    <tableColumn id="386" xr3:uid="{5BE93559-395A-4092-A089-19B78E3E0F0C}" name="2026-12-07" dataDxfId="63"/>
    <tableColumn id="387" xr3:uid="{C368D3A3-C7EB-4B0A-BFD3-57E048CE9709}" name="2026-12-08" dataDxfId="62"/>
    <tableColumn id="388" xr3:uid="{56F4D9F2-21ED-448E-BF54-EB4EA9002B1E}" name="2026-12-09" dataDxfId="61"/>
    <tableColumn id="389" xr3:uid="{856DAAB2-10C3-4A70-9D0D-A53526D9D8BA}" name="2026-12-10" dataDxfId="60"/>
    <tableColumn id="390" xr3:uid="{A04BA707-493D-41C6-9D34-64CD796B08BD}" name="2026-12-11" dataDxfId="59"/>
    <tableColumn id="391" xr3:uid="{9966C6E4-1AE7-4075-A9D8-AD0F3A536516}" name="2026-12-12" dataDxfId="58"/>
    <tableColumn id="392" xr3:uid="{70D3F24A-4E0D-4D65-83F5-D7AAC405D09D}" name="2026-12-13" dataDxfId="57"/>
    <tableColumn id="393" xr3:uid="{54088DF3-928C-434D-A66B-41E0C30575E0}" name="Subtotal49" dataDxfId="56"/>
    <tableColumn id="394" xr3:uid="{0A7E08FC-922A-40ED-A316-315638A3BD78}" name="2026-12-14" dataDxfId="55"/>
    <tableColumn id="395" xr3:uid="{CB7DF780-AE3F-498B-99EB-DAB9A87F50CD}" name="2026-12-15" dataDxfId="54"/>
    <tableColumn id="396" xr3:uid="{09AC0B0A-8822-40A1-88BA-D9E4DB4FE1D5}" name="2026-12-16" dataDxfId="53"/>
    <tableColumn id="397" xr3:uid="{854F781E-97D0-41F0-99F1-5F5064B48C5A}" name="2026-12-17" dataDxfId="52"/>
    <tableColumn id="398" xr3:uid="{6BC1B2EB-51BC-49AD-87CA-8F0ED001B9DF}" name="2026-12-18" dataDxfId="51"/>
    <tableColumn id="399" xr3:uid="{6EAEBEC9-7185-4244-B1F9-79B598A1E1FE}" name="2026-12-19" dataDxfId="50"/>
    <tableColumn id="400" xr3:uid="{962752F4-F162-471F-901B-B17DCEB015D3}" name="2026-12-20" dataDxfId="49"/>
    <tableColumn id="401" xr3:uid="{BEF22CA2-57F1-42E4-8E45-95249D6DD4C4}" name="Subtotal50" dataDxfId="48"/>
    <tableColumn id="402" xr3:uid="{39CEA2F5-A157-438E-ACDE-0ECE674D2D16}" name="2026-12-21" dataDxfId="47"/>
    <tableColumn id="403" xr3:uid="{51EE4B39-DEEE-4732-8601-F6C19A3E2913}" name="2026-12-22" dataDxfId="46"/>
    <tableColumn id="404" xr3:uid="{16826545-7EB7-41C1-B6B2-F1F8600D2EFB}" name="2026-12-23" dataDxfId="45"/>
    <tableColumn id="405" xr3:uid="{8161C65F-FB76-4714-A60D-4C86E0A6220A}" name="2026-12-24" dataDxfId="44"/>
    <tableColumn id="406" xr3:uid="{549F0334-11E8-41E8-A962-4434EB793DA0}" name="2026-12-25" dataDxfId="43"/>
    <tableColumn id="407" xr3:uid="{7920DAF2-CB30-4708-AD96-1E031BA9D86F}" name="2026-12-26" dataDxfId="42"/>
    <tableColumn id="408" xr3:uid="{4F8B4DF3-5C4A-41D7-A4CA-50EDD80362F9}" name="2026-12-27" dataDxfId="41"/>
    <tableColumn id="409" xr3:uid="{725E81A0-0E7A-41C8-A581-B97B386DD73C}" name="Subtotal51" dataDxfId="40"/>
    <tableColumn id="410" xr3:uid="{A6FC04CA-6231-45FF-8BBF-46780D48ACC0}" name="2026-12-28" dataDxfId="39"/>
    <tableColumn id="411" xr3:uid="{060A977D-2C42-4DA3-8984-4615212F9189}" name="2026-12-29" dataDxfId="38"/>
    <tableColumn id="412" xr3:uid="{9FDAFB11-BACF-40EF-87E0-F8791127C1A1}" name="2026-12-30" dataDxfId="37"/>
    <tableColumn id="413" xr3:uid="{2FE18524-D9AB-40D0-BD7D-5BEF5A86EC07}" name="2026-12-31" dataDxfId="36"/>
    <tableColumn id="414" xr3:uid="{F9147277-6A08-42EE-9D4C-4C31544052C9}" name="2027-01-01" dataDxfId="35"/>
    <tableColumn id="415" xr3:uid="{89F7D3A1-46D8-40D0-9400-2BCF3A63A017}" name="2027-01-02" dataDxfId="34"/>
    <tableColumn id="416" xr3:uid="{06B16245-3BC2-4237-B03C-3C6E98AD3B70}" name="2027-01-03" dataDxfId="33"/>
    <tableColumn id="417" xr3:uid="{87BC7222-0E61-4A0C-A8B6-603367A8BE09}" name="Subtotal52" dataDxfId="3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E4EBCE9-4D53-4AB0-943A-4F15F9349B3E}" name="tblHoursLedger" displayName="tblHoursLedger" ref="A64:F116" totalsRowShown="0">
  <autoFilter ref="A64:F116" xr:uid="{BE4EBCE9-4D53-4AB0-943A-4F15F9349B3E}"/>
  <tableColumns count="6">
    <tableColumn id="1" xr3:uid="{EC305D29-D08C-4EFE-9254-B5152CB8C4CC}" name="PayPeriodID" dataDxfId="31"/>
    <tableColumn id="3" xr3:uid="{53EB9AC3-A77D-4EA1-B8E9-5AC609554A7A}" name="Employee ID"/>
    <tableColumn id="4" xr3:uid="{157F3566-BF2A-459D-AD87-1B81E3504E03}" name="Pay Frequency"/>
    <tableColumn id="5" xr3:uid="{7133B2B0-8DB0-4D26-A281-8F6B82E0CAD8}" name="Total Hours Worked">
      <calculatedColumnFormula array="1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calculatedColumnFormula>
    </tableColumn>
    <tableColumn id="6" xr3:uid="{0F4B8A1D-4E06-47AD-AC15-A02001DE9E5B}" name="Basic Hours">
      <calculatedColumnFormula>MIN(40,tblHoursLedger[[#This Row],[Total Hours Worked]])</calculatedColumnFormula>
    </tableColumn>
    <tableColumn id="7" xr3:uid="{A2D5D0B4-F075-4AA1-BF66-29AD91851D0E}" name="Overtime Hours">
      <calculatedColumnFormula>tblHoursLedger[[#This Row],[Total Hours Worked]]-tblHoursLedger[[#This Row],[Basic Hours]]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0D542-6059-4D49-9D0F-15E151D9BBC7}" name="tblMonthlyPaid" displayName="tblMonthlyPaid" ref="I64:T67" totalsRowShown="0" tableBorderDxfId="30">
  <autoFilter ref="I64:T67" xr:uid="{DAA0D542-6059-4D49-9D0F-15E151D9BBC7}"/>
  <tableColumns count="12">
    <tableColumn id="1" xr3:uid="{03E7FF3B-F731-45CF-93ED-B447C4013969}" name="PayPeriodID"/>
    <tableColumn id="2" xr3:uid="{E9FB2B51-241A-4936-B218-0DB70E78BC7D}" name="Employee ID"/>
    <tableColumn id="3" xr3:uid="{BBC78D07-B819-4685-A07B-393C14F68D4A}" name="Pay Frequency" dataDxfId="29">
      <calculatedColumnFormula>IF(tblMonthlyPaid[[#This Row],[Employee ID]]="","",
   _xlfn.XLOOKUP(tblMonthlyPaid[[#This Row],[Employee ID]], tblEmployee[Employee ID], tblEmployee[Pay Frequency], "")
)</calculatedColumnFormula>
    </tableColumn>
    <tableColumn id="13" xr3:uid="{E0EBF61B-E034-4382-9D0C-E50CA6F41553}" name="Position">
      <calculatedColumnFormula>IF(_xlfn.XLOOKUP(tblMonthlyPaid[[#This Row],[Employee ID]],tblEmployee[Employee ID],tblEmployee[Pay Frequency],"")="Monthly", _xlfn.XLOOKUP(tblMonthlyPaid[[#This Row],[Employee ID]],tblEmployee[Employee ID],tblEmployee[Employee Position],""),"")</calculatedColumnFormula>
    </tableColumn>
    <tableColumn id="4" xr3:uid="{4CC4D442-FE71-40C8-A997-0FEF464E9DD9}" name="Monthly Salary">
      <calculatedColumnFormula>_xlfn.XLOOKUP(tblMonthlyPaid[[#This Row],[Position]],tblPositionandPayRate[Employee Position],tblPositionandPayRate[Basic Rate of Pay],0)</calculatedColumnFormula>
    </tableColumn>
    <tableColumn id="5" xr3:uid="{75F7D6A6-F0F7-4DFF-BDF8-7C8C20E72BF3}" name="Overtime">
      <calculatedColumnFormula>_xlfn.XLOOKUP(tblMonthlyPaid[[#This Row],[Position]], tblPositionandPayRate[Employee Position], tblPositionandPayRate[Overtime], 0)</calculatedColumnFormula>
    </tableColumn>
    <tableColumn id="6" xr3:uid="{0EA3BE6F-E483-48D3-847B-8498724FED05}" name="Allowances 1">
      <calculatedColumnFormula>_xlfn.XLOOKUP(tblMonthlyPaid[[#This Row],[Position]], tblPositionandPayRate[Employee Position], tblPositionandPayRate[Allowance 1], 0)</calculatedColumnFormula>
    </tableColumn>
    <tableColumn id="7" xr3:uid="{AD8C1C84-D1A9-405F-AE63-C66AD11E165E}" name="Allowances 2">
      <calculatedColumnFormula>_xlfn.XLOOKUP(tblMonthlyPaid[[#This Row],[Position]], tblPositionandPayRate[Employee Position], tblPositionandPayRate[Allowance 2], 0)</calculatedColumnFormula>
    </tableColumn>
    <tableColumn id="8" xr3:uid="{126FFC85-B455-4D20-A4CA-65599CDD7B19}" name="Allowances 3">
      <calculatedColumnFormula>_xlfn.XLOOKUP(tblMonthlyPaid[[#This Row],[Position]], tblPositionandPayRate[Employee Position], tblPositionandPayRate[Allowance 3], 0)</calculatedColumnFormula>
    </tableColumn>
    <tableColumn id="9" xr3:uid="{AE1F0E89-0132-4A21-B3D8-DCCC2735AF85}" name="Allowances 4">
      <calculatedColumnFormula>_xlfn.XLOOKUP(tblMonthlyPaid[[#This Row],[Position]], tblPositionandPayRate[Employee Position], tblPositionandPayRate[Allowance 4], 0)</calculatedColumnFormula>
    </tableColumn>
    <tableColumn id="10" xr3:uid="{07F04B04-3444-4FB9-B948-A85BD76D22A2}" name="Allowances 5"/>
    <tableColumn id="11" xr3:uid="{8877C431-4BE2-4E15-9687-0F07755ECC98}" name="Gross Pay">
      <calculatedColumnFormula>SUM(tblMonthlyPaid[[#This Row],[Monthly Salary]:[Allowances 5]])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A198B07-6A85-4DD4-AE3D-3D43D1FFBF48}" name="tblEmployeeTax" displayName="tblEmployeeTax" ref="A1:E2" insertRow="1" totalsRowShown="0" headerRowDxfId="28">
  <autoFilter ref="A1:E2" xr:uid="{AA198B07-6A85-4DD4-AE3D-3D43D1FFBF48}"/>
  <tableColumns count="5">
    <tableColumn id="1" xr3:uid="{E1EEE234-7661-4DEA-A4D5-A63F3D603DF8}" name="EmployeeID"/>
    <tableColumn id="2" xr3:uid="{24889C41-D229-4992-8F5F-D9BAAE3669EB}" name="MonthlyPAYE"/>
    <tableColumn id="3" xr3:uid="{507D856D-746F-425F-AB34-95014CB84AE6}" name="AnnualGross"/>
    <tableColumn id="4" xr3:uid="{4CCD8B73-1408-41D8-8BE3-BD2B81873A72}" name="AnnualNIS70" dataDxfId="27" dataCellStyle="Currency"/>
    <tableColumn id="5" xr3:uid="{B6C6D44A-4893-416E-8879-12039CCBE817}" name="TaxLastUpdated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2C9F62E-E632-4ABB-B0B3-54503B7C9CF2}" name="tblPayrollMaster" displayName="tblPayrollMaster" ref="A2:X999" totalsRowShown="0" headerRowDxfId="531" dataDxfId="529" headerRowBorderDxfId="530">
  <autoFilter ref="A2:X999" xr:uid="{62C9F62E-E632-4ABB-B0B3-54503B7C9CF2}"/>
  <tableColumns count="24">
    <tableColumn id="1" xr3:uid="{66CD66CA-C03D-4019-80C4-7ED92CACAB37}" name="Employee ID" dataDxfId="528"/>
    <tableColumn id="19" xr3:uid="{FC567BC8-8FD8-4F20-9113-626F21DEEA23}" name="Employee Name" dataDxfId="527">
      <calculatedColumnFormula>_xlfn.XLOOKUP(tblPayrollMaster[[#This Row],[Employee ID]],tblEmployee[Employee ID],tblEmployee[Employee Name],"")</calculatedColumnFormula>
    </tableColumn>
    <tableColumn id="14" xr3:uid="{23F72841-623D-49FC-AF4E-033EF5364928}" name="Employee Position" dataDxfId="526">
      <calculatedColumnFormula>_xlfn.XLOOKUP(tblPayrollMaster[[#This Row],[Employee ID]],tblEmployee[Employee ID],tblEmployee[Employee Position],"")</calculatedColumnFormula>
    </tableColumn>
    <tableColumn id="20" xr3:uid="{18D0FB7F-CE7A-44F3-B6D6-845216958B6D}" name="Pay Status" dataDxfId="525">
      <calculatedColumnFormula>_xlfn.XLOOKUP(tblPayrollMaster[[#This Row],[Employee ID]], tblEmployee[Employee ID], tblEmployee[Pay Status], "Pay")</calculatedColumnFormula>
    </tableColumn>
    <tableColumn id="21" xr3:uid="{ED5A6DBE-BA79-4306-AD24-7807C1289610}" name="Payable Flag" dataDxfId="524">
      <calculatedColumnFormula>_xlfn.XLOOKUP(tblPayrollMaster[[#This Row],[Employee ID]], tblEmployee[Employee ID], tblEmployee[Payable Flag], "Y")</calculatedColumnFormula>
    </tableColumn>
    <tableColumn id="17" xr3:uid="{5738CA2D-63A3-4314-84A1-11B2EE394C39}" name="Pay Factor" dataDxfId="523">
      <calculatedColumnFormula>IF(tblPayrollMaster[[#This Row],[Payable Flag]]="N",0,_xlfn.XLOOKUP(tblPayrollMaster[[#This Row],[Employee ID]],tblEmployee[Employee ID],tblEmployee[Pay Factor],1))</calculatedColumnFormula>
    </tableColumn>
    <tableColumn id="2" xr3:uid="{03ABA4ED-162A-49E6-B5D6-2BDCAFB1EBFE}" name="Pay Slip Period From:" dataDxfId="522">
      <calculatedColumnFormula array="1">IF(tblPayrollMaster[[#This Row],[Employee ID]]="","",_xlfn.XLOOKUP(selPayPeriodID,tblPayCalendar[PayPeriodID],tblPayCalendar[PeriodStart],""))</calculatedColumnFormula>
    </tableColumn>
    <tableColumn id="3" xr3:uid="{CA168D9A-F8E4-44CD-9BEB-105F31A97B12}" name="Pay Slip Period To:" dataDxfId="521">
      <calculatedColumnFormula array="1">IF(tblPayrollMaster[[#This Row],[Employee ID]]="","",_xlfn.XLOOKUP(selPayPeriodID,tblPayCalendar[PayPeriodID],tblPayCalendar[PeriodEnd],""))</calculatedColumnFormula>
    </tableColumn>
    <tableColumn id="4" xr3:uid="{CE12363A-92AD-412F-955F-AC920AF0C0B0}" name="Employer Name" dataDxfId="520"/>
    <tableColumn id="5" xr3:uid="{F4F0F0A1-365F-4AFD-AA5F-E64E76C4C3A3}" name="Basic Pay" dataDxfId="519" dataCellStyle="Currency">
      <calculatedColumnFormula array="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calculatedColumnFormula>
    </tableColumn>
    <tableColumn id="12" xr3:uid="{EF49880C-5205-4E58-9B66-0C1B2177226A}" name="Overtime Rate" dataDxfId="518" dataCellStyle="Currency">
      <calculatedColumnFormula>_xlfn.XLOOKUP(tblPayrollMaster[[#This Row],[Employee Position]],tblPositionandPayRate[Employee Position],tblPositionandPayRate[Overtime], " ")</calculatedColumnFormula>
    </tableColumn>
    <tableColumn id="22" xr3:uid="{5B4616F6-E6E5-45C2-BD24-B3B435216851}" name="Allowance 1" dataDxfId="517" dataCellStyle="Currency">
      <calculatedColumnFormula>_xlfn.XLOOKUP(tblPayrollMaster[[#This Row],[Employee Position]],tblPositionandPayRate[Employee Position],tblPositionandPayRate[Allowance 1],0)*tblPayrollMaster[[#This Row],[Pay Factor]]</calculatedColumnFormula>
    </tableColumn>
    <tableColumn id="26" xr3:uid="{6B89D6EF-8139-4998-8AB2-76BCB9D75025}" name="Allowance 2" dataDxfId="516" dataCellStyle="Currency">
      <calculatedColumnFormula>_xlfn.XLOOKUP(tblPayrollMaster[[#This Row],[Employee Position]],tblPositionandPayRate[Employee Position],tblPositionandPayRate[Allowance 2],0)*tblPayrollMaster[[#This Row],[Pay Factor]]</calculatedColumnFormula>
    </tableColumn>
    <tableColumn id="27" xr3:uid="{799E9E33-82C4-42B4-B854-A95F4EEB392B}" name="Allowance 3" dataDxfId="515" dataCellStyle="Currency">
      <calculatedColumnFormula>_xlfn.XLOOKUP(tblPayrollMaster[[#This Row],[Employee Position]],tblPositionandPayRate[Employee Position],tblPositionandPayRate[Allowance 3],0)*tblPayrollMaster[[#This Row],[Pay Factor]]</calculatedColumnFormula>
    </tableColumn>
    <tableColumn id="28" xr3:uid="{24C3445C-E2B7-4912-BF16-1925D11EF347}" name="Allowance 4" dataDxfId="514" dataCellStyle="Currency">
      <calculatedColumnFormula>_xlfn.XLOOKUP(tblPayrollMaster[[#This Row],[Employee Position]],tblPositionandPayRate[Employee Position],tblPositionandPayRate[Allowance 4],0)*tblPayrollMaster[[#This Row],[Pay Factor]]</calculatedColumnFormula>
    </tableColumn>
    <tableColumn id="29" xr3:uid="{64B4035D-67AF-496F-AF9E-C62AD2D5EBAC}" name="Allowance 5" dataDxfId="513" dataCellStyle="Currency">
      <calculatedColumnFormula>_xlfn.XLOOKUP(tblPayrollMaster[[#This Row],[Employee Position]],tblPositionandPayRate[Employee Position],tblPositionandPayRate[Allowance 5],0)*tblPayrollMaster[[#This Row],[Pay Factor]]</calculatedColumnFormula>
    </tableColumn>
    <tableColumn id="13" xr3:uid="{4935FE96-26D1-4BF3-96EE-400E17B30294}" name="Basic Earnings" dataDxfId="512" dataCellStyle="Currency">
      <calculatedColumnFormula>SUM(tblPayrollMaster[[#This Row],[Basic Pay]:[Allowance 5]])</calculatedColumnFormula>
    </tableColumn>
    <tableColumn id="6" xr3:uid="{E791B7BD-B962-4DC1-A17F-DDF20B53062F}" name="Tax" dataDxfId="511" dataCellStyle="Currency">
      <calculatedColumnFormula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calculatedColumnFormula>
    </tableColumn>
    <tableColumn id="7" xr3:uid="{2B73E799-B27F-44E2-BD41-3E851DD2A342}" name="NIS - Employee" dataDxfId="510" dataCellStyle="Currency">
      <calculatedColumnFormula array="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calculatedColumnFormula>
    </tableColumn>
    <tableColumn id="8" xr3:uid="{4EF2C556-7575-406E-B1D5-C15068E2662E}" name="NIS - Employer" dataDxfId="509" dataCellStyle="Currency">
      <calculatedColumnFormula array="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calculatedColumnFormula>
    </tableColumn>
    <tableColumn id="9" xr3:uid="{0DF8A7B8-D22B-4902-A24C-9B5DA3ED767F}" name="Health Surcharge" dataDxfId="508" dataCellStyle="Currency"/>
    <tableColumn id="10" xr3:uid="{945E382F-31AC-4879-9BCA-37AC339382D9}" name="Net Pay" dataDxfId="507" dataCellStyle="Currency">
      <calculatedColumnFormula>tblPayrollMaster[[#This Row],[Basic Earnings]]-tblPayrollMaster[[#This Row],[Tax]]-tblPayrollMaster[[#This Row],[NIS - Employee]]-tblPayrollMaster[[#This Row],[Health Surcharge]]</calculatedColumnFormula>
    </tableColumn>
    <tableColumn id="11" xr3:uid="{F3916B44-1CEE-4AC8-BB15-0DB3F64489ED}" name="Cash in hand " dataDxfId="506" dataCellStyle="Currency">
      <calculatedColumnFormula>tblPayrollMaster[[#This Row],[Net Pay]]</calculatedColumnFormula>
    </tableColumn>
    <tableColumn id="15" xr3:uid="{048AB622-AE5A-41F7-BB59-9F2B54CDDC6D}" name="Generate to Payroll History" dataDxfId="505" dataCellStyle="Currency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563F813-09F5-4BB0-B71F-8BCA58B01CD0}" name="tblPayrollHistory" displayName="tblPayrollHistory" ref="A1:Y2" totalsRowShown="0">
  <autoFilter ref="A1:Y2" xr:uid="{B563F813-09F5-4BB0-B71F-8BCA58B01CD0}"/>
  <tableColumns count="25">
    <tableColumn id="1" xr3:uid="{43913131-87B7-4868-BEAD-FE1EF507B538}" name="Pay Period ID"/>
    <tableColumn id="2" xr3:uid="{E44591E5-5E6B-4EC3-9FFD-BC900DF3EBBC}" name="Employee ID"/>
    <tableColumn id="3" xr3:uid="{66CF413A-F92F-44E3-A5D8-226D1DA55EF8}" name="Employee Name"/>
    <tableColumn id="4" xr3:uid="{D3208FC3-C959-4DCA-BDEC-8652E608E2A6}" name="Employee Position"/>
    <tableColumn id="5" xr3:uid="{15FADF0A-06FF-45D5-87D2-01BE18EE8E8D}" name="Pay Status"/>
    <tableColumn id="6" xr3:uid="{B62BC587-9074-4122-8262-FD53ECD05ABE}" name="Pay Factor"/>
    <tableColumn id="7" xr3:uid="{8F644866-43B8-4C12-9CEF-AA5E52A1E40E}" name="Pay Slip Period From:"/>
    <tableColumn id="8" xr3:uid="{8E2B6AF7-9458-42A9-8270-560D16955D26}" name="Pay Slip Period To:"/>
    <tableColumn id="9" xr3:uid="{47E07C40-2EA8-4A6B-BCBB-2A57D7B42E92}" name="Employer Name"/>
    <tableColumn id="10" xr3:uid="{310C9F45-B989-4FDA-BA33-5C0F0F6B3D5D}" name="Basic Pay"/>
    <tableColumn id="11" xr3:uid="{B609FC3B-1E9C-4A70-8DD7-D1809658BB33}" name="Overtime Rate"/>
    <tableColumn id="12" xr3:uid="{DBF2BEA5-4120-4671-94F9-17408E1A61E8}" name="Allowance 1"/>
    <tableColumn id="13" xr3:uid="{6B2F54E0-6B36-4640-A76B-095130BFC293}" name="Allowance 2"/>
    <tableColumn id="14" xr3:uid="{0DDE7CD3-1EBA-4637-9862-285BC9BBE7A0}" name="Allowance 3"/>
    <tableColumn id="15" xr3:uid="{904AFDF5-9709-420D-8AC3-1C487EC89E59}" name="Allowance 4"/>
    <tableColumn id="16" xr3:uid="{A8E6310E-A407-4399-96C0-487551A0034B}" name="Allowance 5"/>
    <tableColumn id="17" xr3:uid="{7529EA53-AA7F-4A54-991A-2859CBA8E8ED}" name="Basic Earnings"/>
    <tableColumn id="18" xr3:uid="{7453AEDD-A3CE-4738-9D2F-A2F6F02A42B2}" name="Tax"/>
    <tableColumn id="19" xr3:uid="{DB83351B-237A-446D-8423-0B90938524CA}" name="NIS - Employee"/>
    <tableColumn id="20" xr3:uid="{26F636F6-CB5B-4C66-836D-C876D7BBFA02}" name="NIS - Employer"/>
    <tableColumn id="21" xr3:uid="{0CEC287C-A175-42D2-B18D-F14DB0423F22}" name="Health Surcharge"/>
    <tableColumn id="22" xr3:uid="{2B00DE30-EBBB-437F-A1C8-5001D36D2814}" name="Net Pay"/>
    <tableColumn id="23" xr3:uid="{F390AB87-BE43-48F4-859B-A59AE867EC95}" name="Cash in hand"/>
    <tableColumn id="24" xr3:uid="{30179D7C-6368-4A43-B2D7-06D17BCDEAAB}" name="Posted Timestamp "/>
    <tableColumn id="25" xr3:uid="{0BCD8907-ADEA-4516-AEDE-D4280FBC8D62}" name="Posted By 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A11787B-2D1F-4842-8272-F9AF2D18FBBE}" name="tblEmployeeSummary" displayName="tblEmployeeSummary" ref="A1:H2" insertRow="1" totalsRowShown="0">
  <autoFilter ref="A1:H2" xr:uid="{AA11787B-2D1F-4842-8272-F9AF2D18FBBE}"/>
  <tableColumns count="8">
    <tableColumn id="1" xr3:uid="{360C17B7-E63C-4946-B535-D787681D0AED}" name="Employee ID" dataDxfId="26"/>
    <tableColumn id="2" xr3:uid="{021EFBDE-A10B-4C97-9E60-D48F05872F99}" name="Employee Name" dataDxfId="25"/>
    <tableColumn id="3" xr3:uid="{FDF7AC4F-11DD-403C-B991-A95024319E4D}" name="Total Basic Earnings" dataDxfId="24"/>
    <tableColumn id="4" xr3:uid="{11A15785-BB51-43AA-B637-1C7145253E0F}" name="Total NIS - Employee" dataDxfId="23"/>
    <tableColumn id="5" xr3:uid="{233875A4-4AE7-4073-9E17-B1CBEDD09869}" name="Total NIS - Employer" dataDxfId="22"/>
    <tableColumn id="6" xr3:uid="{E92FDF8E-9150-4C24-99EB-27C6F6DA3B7A}" name="Total Health Surcharge" dataDxfId="21"/>
    <tableColumn id="7" xr3:uid="{F7B24F49-4A19-4A53-8F37-4D9809461E70}" name="Total Net Pay" dataDxfId="20" dataCellStyle="Currency"/>
    <tableColumn id="8" xr3:uid="{4548BC5F-D5F8-40FE-A391-375D0EF16F9A}" name="Total Employer Cost" dataDxfId="19" dataCellStyle="Currency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FC3214-C59A-4C46-B121-B87B0B8BEE7F}" name="tblNISRate" displayName="tblNISRate" ref="A1:I17" totalsRowShown="0" headerRowDxfId="18" headerRowBorderDxfId="17" tableBorderDxfId="16" totalsRowBorderDxfId="15">
  <autoFilter ref="A1:I17" xr:uid="{AFFC3214-C59A-4C46-B121-B87B0B8BEE7F}"/>
  <tableColumns count="9">
    <tableColumn id="1" xr3:uid="{5D324BE1-B649-489D-A288-C58B3559CE33}" name="Earnings Class" dataDxfId="14"/>
    <tableColumn id="2" xr3:uid="{F5CD2B58-3130-406F-B80E-0E64E6E86381}" name="NIS Period From" dataDxfId="13"/>
    <tableColumn id="3" xr3:uid="{3D0BD4BA-EECE-4A14-87C7-40546CEFB691}" name="NIS Period To" dataDxfId="12"/>
    <tableColumn id="4" xr3:uid="{E2FAF0BF-E092-463C-B9CB-A3F2FEE25130}" name="Weekly Earnings Lower" dataDxfId="11"/>
    <tableColumn id="5" xr3:uid="{F4D89591-C7E9-494C-B1BC-F319256EA7F2}" name="Weekly Earnings Upper" dataDxfId="10"/>
    <tableColumn id="8" xr3:uid="{E7ED5005-AB04-44E2-B7CD-8056A3FB7446}" name="Monthly Earnings Lower" dataDxfId="9"/>
    <tableColumn id="9" xr3:uid="{9A00A28F-F531-4C70-873C-DC6B558397E6}" name="Monthly Earnings Upper" dataDxfId="8"/>
    <tableColumn id="6" xr3:uid="{9AC6D8AB-4E98-4C89-B084-E3ADFBB22A59}" name="Employees Weekly Contribution" dataDxfId="7"/>
    <tableColumn id="7" xr3:uid="{F7C93FF4-6858-4162-9F60-8B5F1BB1F265}" name="Total Weekly Contribution" dataDxfId="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9A582EF-674A-4184-89EF-AA8C495044ED}" name="tblLeavePolicy11" displayName="tblLeavePolicy11" ref="A1:D5" totalsRowShown="0" headerRowDxfId="5" dataDxfId="4">
  <autoFilter ref="A1:D5" xr:uid="{E9A582EF-674A-4184-89EF-AA8C495044ED}"/>
  <tableColumns count="4">
    <tableColumn id="1" xr3:uid="{0B6CD92F-E27E-46F1-BFE8-DF49DD2692DB}" name="LeaveType" dataDxfId="3"/>
    <tableColumn id="2" xr3:uid="{12C53C6B-6A0E-4C66-8407-F14E0A9EC84D}" name="DefaultPayType" dataDxfId="2"/>
    <tableColumn id="3" xr3:uid="{F1A8F6B3-E021-47E8-8524-8920179C43A2}" name="MinMonthsForPay" dataDxfId="1"/>
    <tableColumn id="4" xr3:uid="{0C51DCA8-E669-4341-8407-ED13A85A0575}" name="PayRu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34C97-08C8-46F1-BD37-FE2C8770FD93}">
  <sheetPr codeName="Sheet7"/>
  <dimension ref="A1:O30"/>
  <sheetViews>
    <sheetView topLeftCell="D1" workbookViewId="0">
      <selection activeCell="H2" sqref="H2:O6"/>
    </sheetView>
  </sheetViews>
  <sheetFormatPr defaultColWidth="24.28515625" defaultRowHeight="15" x14ac:dyDescent="0.25"/>
  <cols>
    <col min="1" max="1" width="18.85546875" bestFit="1" customWidth="1"/>
    <col min="2" max="2" width="23.140625" bestFit="1" customWidth="1"/>
    <col min="3" max="3" width="24.5703125" bestFit="1" customWidth="1"/>
    <col min="4" max="4" width="18.5703125" bestFit="1" customWidth="1"/>
    <col min="6" max="6" width="30.140625" bestFit="1" customWidth="1"/>
    <col min="7" max="7" width="9.140625"/>
    <col min="8" max="8" width="22.7109375" bestFit="1" customWidth="1"/>
    <col min="9" max="9" width="22.42578125" style="3" bestFit="1" customWidth="1"/>
    <col min="10" max="10" width="14" style="3" bestFit="1" customWidth="1"/>
    <col min="11" max="15" width="24.28515625" style="3"/>
  </cols>
  <sheetData>
    <row r="1" spans="1:15" ht="17.25" x14ac:dyDescent="0.4">
      <c r="A1" s="30" t="s">
        <v>58</v>
      </c>
      <c r="B1" s="32" t="s">
        <v>59</v>
      </c>
      <c r="C1" s="32" t="s">
        <v>60</v>
      </c>
      <c r="D1" s="30" t="s">
        <v>61</v>
      </c>
      <c r="F1" s="28" t="s">
        <v>53</v>
      </c>
      <c r="G1" s="28"/>
      <c r="H1" s="36" t="s">
        <v>3</v>
      </c>
      <c r="I1" s="37" t="s">
        <v>0</v>
      </c>
      <c r="J1" s="52" t="s">
        <v>1</v>
      </c>
      <c r="K1" s="55" t="s">
        <v>147</v>
      </c>
      <c r="L1" s="55" t="s">
        <v>148</v>
      </c>
      <c r="M1" s="55" t="s">
        <v>149</v>
      </c>
      <c r="N1" s="55" t="s">
        <v>150</v>
      </c>
      <c r="O1" s="55" t="s">
        <v>151</v>
      </c>
    </row>
    <row r="2" spans="1:15" x14ac:dyDescent="0.25">
      <c r="A2" s="33" t="s">
        <v>62</v>
      </c>
      <c r="B2" s="31" t="s">
        <v>63</v>
      </c>
      <c r="C2" s="31">
        <v>6</v>
      </c>
      <c r="D2" s="33" t="s">
        <v>64</v>
      </c>
      <c r="F2" t="s">
        <v>54</v>
      </c>
      <c r="H2" s="106"/>
      <c r="I2" s="107"/>
      <c r="J2" s="107"/>
      <c r="K2" s="54"/>
      <c r="L2" s="54"/>
      <c r="M2" s="54"/>
      <c r="N2" s="54"/>
      <c r="O2" s="54"/>
    </row>
    <row r="3" spans="1:15" x14ac:dyDescent="0.25">
      <c r="A3" s="33" t="s">
        <v>65</v>
      </c>
      <c r="B3" s="31" t="s">
        <v>49</v>
      </c>
      <c r="C3" s="31">
        <v>0</v>
      </c>
      <c r="D3" s="33" t="s">
        <v>66</v>
      </c>
      <c r="F3" t="s">
        <v>55</v>
      </c>
      <c r="H3" s="108"/>
      <c r="I3" s="34"/>
      <c r="J3" s="34"/>
      <c r="K3" s="54"/>
      <c r="L3" s="54"/>
      <c r="M3" s="54"/>
      <c r="N3" s="54"/>
      <c r="O3" s="54"/>
    </row>
    <row r="4" spans="1:15" x14ac:dyDescent="0.25">
      <c r="A4" s="33" t="s">
        <v>67</v>
      </c>
      <c r="B4" s="31" t="s">
        <v>49</v>
      </c>
      <c r="C4" s="31">
        <v>0</v>
      </c>
      <c r="D4" s="33" t="s">
        <v>68</v>
      </c>
      <c r="F4" t="s">
        <v>56</v>
      </c>
      <c r="H4" s="109"/>
      <c r="I4" s="53"/>
      <c r="J4" s="53"/>
      <c r="K4" s="54"/>
      <c r="L4" s="54"/>
      <c r="M4" s="54"/>
      <c r="N4" s="54"/>
      <c r="O4" s="54"/>
    </row>
    <row r="5" spans="1:15" x14ac:dyDescent="0.25">
      <c r="A5" s="33" t="s">
        <v>69</v>
      </c>
      <c r="B5" s="31" t="s">
        <v>49</v>
      </c>
      <c r="C5" s="31">
        <v>0</v>
      </c>
      <c r="D5" s="33" t="s">
        <v>68</v>
      </c>
      <c r="F5" t="s">
        <v>57</v>
      </c>
      <c r="H5" s="110"/>
      <c r="I5" s="34"/>
      <c r="J5" s="34"/>
      <c r="K5" s="54"/>
      <c r="L5" s="54"/>
      <c r="M5" s="54"/>
      <c r="N5" s="54"/>
      <c r="O5" s="54"/>
    </row>
    <row r="6" spans="1:15" x14ac:dyDescent="0.25">
      <c r="A6" s="33" t="s">
        <v>70</v>
      </c>
      <c r="B6" s="31" t="s">
        <v>50</v>
      </c>
      <c r="C6" s="31">
        <v>0</v>
      </c>
      <c r="D6" s="33" t="s">
        <v>71</v>
      </c>
      <c r="H6" s="109"/>
      <c r="I6" s="53"/>
      <c r="J6" s="53"/>
      <c r="K6" s="54"/>
      <c r="L6" s="54"/>
      <c r="M6" s="54"/>
      <c r="N6" s="54"/>
      <c r="O6" s="54"/>
    </row>
    <row r="7" spans="1:15" x14ac:dyDescent="0.25">
      <c r="F7" t="s">
        <v>602</v>
      </c>
      <c r="H7" s="110"/>
      <c r="I7" s="34"/>
      <c r="J7" s="34"/>
      <c r="K7" s="54"/>
      <c r="L7" s="54"/>
      <c r="M7" s="54"/>
      <c r="N7" s="54"/>
      <c r="O7" s="54"/>
    </row>
    <row r="8" spans="1:15" x14ac:dyDescent="0.25">
      <c r="F8" s="69" t="s">
        <v>603</v>
      </c>
      <c r="H8" s="109"/>
      <c r="I8" s="53"/>
      <c r="J8" s="53"/>
      <c r="K8" s="54"/>
      <c r="L8" s="54"/>
      <c r="M8" s="54"/>
      <c r="N8" s="54"/>
      <c r="O8" s="54"/>
    </row>
    <row r="9" spans="1:15" x14ac:dyDescent="0.25">
      <c r="F9" s="69" t="s">
        <v>604</v>
      </c>
      <c r="H9" s="110"/>
      <c r="I9" s="34"/>
      <c r="J9" s="34"/>
      <c r="K9" s="54"/>
      <c r="L9" s="54"/>
      <c r="M9" s="54"/>
      <c r="N9" s="54"/>
      <c r="O9" s="54"/>
    </row>
    <row r="10" spans="1:15" x14ac:dyDescent="0.25">
      <c r="A10" t="s">
        <v>152</v>
      </c>
      <c r="B10" t="s">
        <v>154</v>
      </c>
      <c r="C10" t="s">
        <v>156</v>
      </c>
      <c r="D10" t="s">
        <v>1</v>
      </c>
      <c r="H10" s="109"/>
      <c r="I10" s="53"/>
      <c r="J10" s="53"/>
      <c r="K10" s="54"/>
      <c r="L10" s="54"/>
      <c r="M10" s="54"/>
      <c r="N10" s="54"/>
      <c r="O10" s="54"/>
    </row>
    <row r="11" spans="1:15" ht="60" x14ac:dyDescent="0.25">
      <c r="A11" s="59" t="s">
        <v>153</v>
      </c>
      <c r="B11" s="59" t="s">
        <v>155</v>
      </c>
      <c r="C11" s="59">
        <v>40</v>
      </c>
      <c r="D11" s="59" t="s">
        <v>157</v>
      </c>
      <c r="F11" t="s">
        <v>6</v>
      </c>
      <c r="H11" s="110"/>
      <c r="I11" s="34"/>
      <c r="J11" s="34"/>
      <c r="K11" s="54"/>
      <c r="L11" s="54"/>
      <c r="M11" s="54"/>
      <c r="N11" s="54"/>
      <c r="O11" s="54"/>
    </row>
    <row r="12" spans="1:15" x14ac:dyDescent="0.25">
      <c r="A12" s="59"/>
      <c r="B12" s="59"/>
      <c r="C12" s="59"/>
      <c r="D12" s="59"/>
      <c r="F12" t="s">
        <v>623</v>
      </c>
      <c r="H12" s="109"/>
      <c r="I12" s="53"/>
      <c r="J12" s="53"/>
      <c r="K12" s="54"/>
      <c r="L12" s="54"/>
      <c r="M12" s="54"/>
      <c r="N12" s="54"/>
      <c r="O12" s="54"/>
    </row>
    <row r="13" spans="1:15" x14ac:dyDescent="0.25">
      <c r="H13" s="110"/>
      <c r="I13" s="34"/>
      <c r="J13" s="34"/>
      <c r="K13" s="54"/>
      <c r="L13" s="54"/>
      <c r="M13" s="54"/>
      <c r="N13" s="54"/>
      <c r="O13" s="54"/>
    </row>
    <row r="16" spans="1:15" x14ac:dyDescent="0.25">
      <c r="C16" t="s">
        <v>568</v>
      </c>
      <c r="D16" t="s">
        <v>576</v>
      </c>
    </row>
    <row r="17" spans="3:4" x14ac:dyDescent="0.25">
      <c r="C17" t="s">
        <v>569</v>
      </c>
      <c r="D17" s="3">
        <v>90000</v>
      </c>
    </row>
    <row r="18" spans="3:4" x14ac:dyDescent="0.25">
      <c r="C18" t="s">
        <v>570</v>
      </c>
      <c r="D18" s="73">
        <v>0</v>
      </c>
    </row>
    <row r="19" spans="3:4" x14ac:dyDescent="0.25">
      <c r="C19" t="s">
        <v>571</v>
      </c>
      <c r="D19" s="3">
        <f>D17+D18</f>
        <v>90000</v>
      </c>
    </row>
    <row r="20" spans="3:4" x14ac:dyDescent="0.25">
      <c r="C20" t="s">
        <v>572</v>
      </c>
      <c r="D20" s="73">
        <v>0</v>
      </c>
    </row>
    <row r="21" spans="3:4" x14ac:dyDescent="0.25">
      <c r="C21" t="s">
        <v>573</v>
      </c>
      <c r="D21" s="3">
        <f>D20-D17</f>
        <v>-90000</v>
      </c>
    </row>
    <row r="22" spans="3:4" x14ac:dyDescent="0.25">
      <c r="C22" t="s">
        <v>574</v>
      </c>
      <c r="D22" s="3">
        <f>D21*0.25</f>
        <v>-22500</v>
      </c>
    </row>
    <row r="23" spans="3:4" ht="15.75" thickBot="1" x14ac:dyDescent="0.3">
      <c r="C23" t="s">
        <v>575</v>
      </c>
      <c r="D23" s="74">
        <f>D22/12</f>
        <v>-1875</v>
      </c>
    </row>
    <row r="24" spans="3:4" ht="15.75" thickTop="1" x14ac:dyDescent="0.25">
      <c r="D24" s="3"/>
    </row>
    <row r="25" spans="3:4" x14ac:dyDescent="0.25">
      <c r="D25" s="3"/>
    </row>
    <row r="26" spans="3:4" x14ac:dyDescent="0.25">
      <c r="D26" s="3"/>
    </row>
    <row r="27" spans="3:4" x14ac:dyDescent="0.25">
      <c r="D27" s="3"/>
    </row>
    <row r="28" spans="3:4" x14ac:dyDescent="0.25">
      <c r="D28" s="3"/>
    </row>
    <row r="29" spans="3:4" x14ac:dyDescent="0.25">
      <c r="D29" s="3"/>
    </row>
    <row r="30" spans="3:4" x14ac:dyDescent="0.25">
      <c r="D30" s="3"/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96865-2DFA-4D70-AD6D-EDF0057A9F4E}">
  <sheetPr codeName="Sheet5"/>
  <dimension ref="A1:P999"/>
  <sheetViews>
    <sheetView workbookViewId="0">
      <pane ySplit="1" topLeftCell="A2" activePane="bottomLeft" state="frozen"/>
      <selection pane="bottomLeft" activeCell="E7" sqref="E7"/>
    </sheetView>
  </sheetViews>
  <sheetFormatPr defaultRowHeight="15" x14ac:dyDescent="0.25"/>
  <cols>
    <col min="1" max="1" width="17" style="45" bestFit="1" customWidth="1"/>
    <col min="2" max="2" width="20.42578125" style="24" bestFit="1" customWidth="1"/>
    <col min="3" max="3" width="22.7109375" style="24" bestFit="1" customWidth="1"/>
    <col min="4" max="4" width="19.42578125" style="26" bestFit="1" customWidth="1"/>
    <col min="5" max="5" width="18.5703125" style="26" bestFit="1" customWidth="1"/>
    <col min="6" max="6" width="18.7109375" style="26" bestFit="1" customWidth="1"/>
    <col min="7" max="7" width="14.85546875" style="26" bestFit="1" customWidth="1"/>
    <col min="8" max="8" width="16.5703125" style="26" bestFit="1" customWidth="1"/>
    <col min="9" max="9" width="14.7109375" style="26" bestFit="1" customWidth="1"/>
    <col min="10" max="10" width="19.42578125" style="26" bestFit="1" customWidth="1"/>
    <col min="11" max="11" width="26.28515625" style="24" bestFit="1" customWidth="1"/>
    <col min="12" max="12" width="25.7109375" style="24" bestFit="1" customWidth="1"/>
    <col min="13" max="13" width="15.5703125" style="24" bestFit="1" customWidth="1"/>
    <col min="14" max="14" width="22.42578125" style="26" bestFit="1" customWidth="1"/>
    <col min="15" max="15" width="19.85546875" style="26" bestFit="1" customWidth="1"/>
    <col min="16" max="16" width="24.28515625" style="24" bestFit="1" customWidth="1"/>
    <col min="17" max="16384" width="9.140625" style="24"/>
  </cols>
  <sheetData>
    <row r="1" spans="1:16" s="41" customFormat="1" x14ac:dyDescent="0.25">
      <c r="A1" s="45" t="s">
        <v>51</v>
      </c>
      <c r="B1" s="41" t="s">
        <v>2</v>
      </c>
      <c r="C1" s="41" t="s">
        <v>3</v>
      </c>
      <c r="D1" s="48" t="s">
        <v>42</v>
      </c>
      <c r="E1" s="48" t="s">
        <v>43</v>
      </c>
      <c r="F1" s="48" t="s">
        <v>53</v>
      </c>
      <c r="G1" s="42" t="s">
        <v>72</v>
      </c>
      <c r="H1" s="42" t="s">
        <v>73</v>
      </c>
      <c r="I1" s="41" t="s">
        <v>143</v>
      </c>
      <c r="J1" s="24" t="s">
        <v>602</v>
      </c>
      <c r="K1" s="41" t="s">
        <v>44</v>
      </c>
      <c r="L1" s="41" t="s">
        <v>48</v>
      </c>
      <c r="M1" s="41" t="s">
        <v>45</v>
      </c>
      <c r="N1" s="48" t="s">
        <v>46</v>
      </c>
      <c r="O1" s="48" t="s">
        <v>47</v>
      </c>
      <c r="P1" s="41" t="s">
        <v>52</v>
      </c>
    </row>
    <row r="2" spans="1:16" x14ac:dyDescent="0.25">
      <c r="A2" s="44"/>
      <c r="G2" s="24" t="str">
        <f>IF(tblEmployee[[#This Row],[Payable Flag]]="Y","Pay","No Pay")</f>
        <v>No Pay</v>
      </c>
      <c r="H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" s="24">
        <f>IF(tblEmployee[[#This Row],[Payable Flag]]="N",0,1)</f>
        <v>0</v>
      </c>
      <c r="J2" s="24"/>
      <c r="N2" s="49"/>
      <c r="O2" s="48"/>
    </row>
    <row r="3" spans="1:16" x14ac:dyDescent="0.25">
      <c r="A3" s="44"/>
      <c r="G3" s="26" t="str">
        <f>IF(tblEmployee[[#This Row],[Payable Flag]]="Y","Pay","No Pay")</f>
        <v>No Pay</v>
      </c>
      <c r="H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" s="24">
        <f>IF(tblEmployee[[#This Row],[Payable Flag]]="N",0,1)</f>
        <v>0</v>
      </c>
      <c r="J3" s="24"/>
    </row>
    <row r="4" spans="1:16" x14ac:dyDescent="0.25">
      <c r="G4" s="26" t="str">
        <f>IF(tblEmployee[[#This Row],[Payable Flag]]="Y","Pay","No Pay")</f>
        <v>No Pay</v>
      </c>
      <c r="H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" s="24">
        <f>IF(tblEmployee[[#This Row],[Payable Flag]]="N",0,1)</f>
        <v>0</v>
      </c>
      <c r="J4" s="24"/>
      <c r="K4" s="50"/>
    </row>
    <row r="5" spans="1:16" x14ac:dyDescent="0.25">
      <c r="G5" s="24" t="str">
        <f>IF(tblEmployee[[#This Row],[Payable Flag]]="Y","Pay","No Pay")</f>
        <v>No Pay</v>
      </c>
      <c r="H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" s="24">
        <f>IF(tblEmployee[[#This Row],[Payable Flag]]="N",0,1)</f>
        <v>0</v>
      </c>
      <c r="J5" s="24"/>
    </row>
    <row r="6" spans="1:16" x14ac:dyDescent="0.25">
      <c r="G6" s="24" t="str">
        <f>IF(tblEmployee[[#This Row],[Payable Flag]]="Y","Pay","No Pay")</f>
        <v>No Pay</v>
      </c>
      <c r="H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" s="24">
        <f>IF(tblEmployee[[#This Row],[Payable Flag]]="N",0,1)</f>
        <v>0</v>
      </c>
      <c r="J6" s="24"/>
    </row>
    <row r="7" spans="1:16" x14ac:dyDescent="0.25">
      <c r="G7" s="24" t="str">
        <f>IF(tblEmployee[[#This Row],[Payable Flag]]="Y","Pay","No Pay")</f>
        <v>No Pay</v>
      </c>
      <c r="H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" s="24">
        <f>IF(tblEmployee[[#This Row],[Payable Flag]]="N",0,1)</f>
        <v>0</v>
      </c>
      <c r="J7" s="24"/>
    </row>
    <row r="8" spans="1:16" x14ac:dyDescent="0.25">
      <c r="G8" s="24" t="str">
        <f>IF(tblEmployee[[#This Row],[Payable Flag]]="Y","Pay","No Pay")</f>
        <v>No Pay</v>
      </c>
      <c r="H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" s="24">
        <f>IF(tblEmployee[[#This Row],[Payable Flag]]="N",0,1)</f>
        <v>0</v>
      </c>
      <c r="J8" s="24"/>
    </row>
    <row r="9" spans="1:16" x14ac:dyDescent="0.25">
      <c r="G9" s="24" t="str">
        <f>IF(tblEmployee[[#This Row],[Payable Flag]]="Y","Pay","No Pay")</f>
        <v>No Pay</v>
      </c>
      <c r="H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" s="24">
        <f>IF(tblEmployee[[#This Row],[Payable Flag]]="N",0,1)</f>
        <v>0</v>
      </c>
      <c r="J9" s="24"/>
    </row>
    <row r="10" spans="1:16" x14ac:dyDescent="0.25">
      <c r="G10" s="24" t="str">
        <f>IF(tblEmployee[[#This Row],[Payable Flag]]="Y","Pay","No Pay")</f>
        <v>No Pay</v>
      </c>
      <c r="H1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0" s="24">
        <f>IF(tblEmployee[[#This Row],[Payable Flag]]="N",0,1)</f>
        <v>0</v>
      </c>
      <c r="J10" s="24"/>
    </row>
    <row r="11" spans="1:16" x14ac:dyDescent="0.25">
      <c r="G11" s="24" t="str">
        <f>IF(tblEmployee[[#This Row],[Payable Flag]]="Y","Pay","No Pay")</f>
        <v>No Pay</v>
      </c>
      <c r="H1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1" s="24">
        <f>IF(tblEmployee[[#This Row],[Payable Flag]]="N",0,1)</f>
        <v>0</v>
      </c>
      <c r="J11" s="24"/>
    </row>
    <row r="12" spans="1:16" x14ac:dyDescent="0.25">
      <c r="G12" s="24" t="str">
        <f>IF(tblEmployee[[#This Row],[Payable Flag]]="Y","Pay","No Pay")</f>
        <v>No Pay</v>
      </c>
      <c r="H1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2" s="24">
        <f>IF(tblEmployee[[#This Row],[Payable Flag]]="N",0,1)</f>
        <v>0</v>
      </c>
      <c r="J12" s="24"/>
    </row>
    <row r="13" spans="1:16" x14ac:dyDescent="0.25">
      <c r="G13" s="24" t="str">
        <f>IF(tblEmployee[[#This Row],[Payable Flag]]="Y","Pay","No Pay")</f>
        <v>No Pay</v>
      </c>
      <c r="H1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3" s="24">
        <f>IF(tblEmployee[[#This Row],[Payable Flag]]="N",0,1)</f>
        <v>0</v>
      </c>
      <c r="J13" s="24"/>
    </row>
    <row r="14" spans="1:16" x14ac:dyDescent="0.25">
      <c r="G14" s="24" t="str">
        <f>IF(tblEmployee[[#This Row],[Payable Flag]]="Y","Pay","No Pay")</f>
        <v>No Pay</v>
      </c>
      <c r="H1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4" s="24">
        <f>IF(tblEmployee[[#This Row],[Payable Flag]]="N",0,1)</f>
        <v>0</v>
      </c>
      <c r="J14" s="24"/>
    </row>
    <row r="15" spans="1:16" x14ac:dyDescent="0.25">
      <c r="G15" s="24" t="str">
        <f>IF(tblEmployee[[#This Row],[Payable Flag]]="Y","Pay","No Pay")</f>
        <v>No Pay</v>
      </c>
      <c r="H1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5" s="24">
        <f>IF(tblEmployee[[#This Row],[Payable Flag]]="N",0,1)</f>
        <v>0</v>
      </c>
      <c r="J15" s="24"/>
    </row>
    <row r="16" spans="1:16" x14ac:dyDescent="0.25">
      <c r="G16" s="24" t="str">
        <f>IF(tblEmployee[[#This Row],[Payable Flag]]="Y","Pay","No Pay")</f>
        <v>No Pay</v>
      </c>
      <c r="H1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6" s="24">
        <f>IF(tblEmployee[[#This Row],[Payable Flag]]="N",0,1)</f>
        <v>0</v>
      </c>
      <c r="J16" s="24"/>
    </row>
    <row r="17" spans="7:10" x14ac:dyDescent="0.25">
      <c r="G17" s="24" t="str">
        <f>IF(tblEmployee[[#This Row],[Payable Flag]]="Y","Pay","No Pay")</f>
        <v>No Pay</v>
      </c>
      <c r="H1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7" s="24">
        <f>IF(tblEmployee[[#This Row],[Payable Flag]]="N",0,1)</f>
        <v>0</v>
      </c>
      <c r="J17" s="24"/>
    </row>
    <row r="18" spans="7:10" x14ac:dyDescent="0.25">
      <c r="G18" s="24" t="str">
        <f>IF(tblEmployee[[#This Row],[Payable Flag]]="Y","Pay","No Pay")</f>
        <v>No Pay</v>
      </c>
      <c r="H1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8" s="24">
        <f>IF(tblEmployee[[#This Row],[Payable Flag]]="N",0,1)</f>
        <v>0</v>
      </c>
      <c r="J18" s="24"/>
    </row>
    <row r="19" spans="7:10" x14ac:dyDescent="0.25">
      <c r="G19" s="24" t="str">
        <f>IF(tblEmployee[[#This Row],[Payable Flag]]="Y","Pay","No Pay")</f>
        <v>No Pay</v>
      </c>
      <c r="H1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9" s="24">
        <f>IF(tblEmployee[[#This Row],[Payable Flag]]="N",0,1)</f>
        <v>0</v>
      </c>
      <c r="J19" s="24"/>
    </row>
    <row r="20" spans="7:10" x14ac:dyDescent="0.25">
      <c r="G20" s="24" t="str">
        <f>IF(tblEmployee[[#This Row],[Payable Flag]]="Y","Pay","No Pay")</f>
        <v>No Pay</v>
      </c>
      <c r="H2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0" s="24">
        <f>IF(tblEmployee[[#This Row],[Payable Flag]]="N",0,1)</f>
        <v>0</v>
      </c>
      <c r="J20" s="24"/>
    </row>
    <row r="21" spans="7:10" x14ac:dyDescent="0.25">
      <c r="G21" s="24" t="str">
        <f>IF(tblEmployee[[#This Row],[Payable Flag]]="Y","Pay","No Pay")</f>
        <v>No Pay</v>
      </c>
      <c r="H2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1" s="24">
        <f>IF(tblEmployee[[#This Row],[Payable Flag]]="N",0,1)</f>
        <v>0</v>
      </c>
      <c r="J21" s="24"/>
    </row>
    <row r="22" spans="7:10" x14ac:dyDescent="0.25">
      <c r="G22" s="24" t="str">
        <f>IF(tblEmployee[[#This Row],[Payable Flag]]="Y","Pay","No Pay")</f>
        <v>No Pay</v>
      </c>
      <c r="H2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2" s="24">
        <f>IF(tblEmployee[[#This Row],[Payable Flag]]="N",0,1)</f>
        <v>0</v>
      </c>
      <c r="J22" s="24"/>
    </row>
    <row r="23" spans="7:10" x14ac:dyDescent="0.25">
      <c r="G23" s="24" t="str">
        <f>IF(tblEmployee[[#This Row],[Payable Flag]]="Y","Pay","No Pay")</f>
        <v>No Pay</v>
      </c>
      <c r="H2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3" s="24">
        <f>IF(tblEmployee[[#This Row],[Payable Flag]]="N",0,1)</f>
        <v>0</v>
      </c>
      <c r="J23" s="24"/>
    </row>
    <row r="24" spans="7:10" x14ac:dyDescent="0.25">
      <c r="G24" s="24" t="str">
        <f>IF(tblEmployee[[#This Row],[Payable Flag]]="Y","Pay","No Pay")</f>
        <v>No Pay</v>
      </c>
      <c r="H2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4" s="24">
        <f>IF(tblEmployee[[#This Row],[Payable Flag]]="N",0,1)</f>
        <v>0</v>
      </c>
      <c r="J24" s="24"/>
    </row>
    <row r="25" spans="7:10" x14ac:dyDescent="0.25">
      <c r="G25" s="24" t="str">
        <f>IF(tblEmployee[[#This Row],[Payable Flag]]="Y","Pay","No Pay")</f>
        <v>No Pay</v>
      </c>
      <c r="H2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5" s="24">
        <f>IF(tblEmployee[[#This Row],[Payable Flag]]="N",0,1)</f>
        <v>0</v>
      </c>
      <c r="J25" s="24"/>
    </row>
    <row r="26" spans="7:10" x14ac:dyDescent="0.25">
      <c r="G26" s="24" t="str">
        <f>IF(tblEmployee[[#This Row],[Payable Flag]]="Y","Pay","No Pay")</f>
        <v>No Pay</v>
      </c>
      <c r="H2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6" s="24">
        <f>IF(tblEmployee[[#This Row],[Payable Flag]]="N",0,1)</f>
        <v>0</v>
      </c>
      <c r="J26" s="24"/>
    </row>
    <row r="27" spans="7:10" x14ac:dyDescent="0.25">
      <c r="G27" s="24" t="str">
        <f>IF(tblEmployee[[#This Row],[Payable Flag]]="Y","Pay","No Pay")</f>
        <v>No Pay</v>
      </c>
      <c r="H2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7" s="24">
        <f>IF(tblEmployee[[#This Row],[Payable Flag]]="N",0,1)</f>
        <v>0</v>
      </c>
      <c r="J27" s="24"/>
    </row>
    <row r="28" spans="7:10" x14ac:dyDescent="0.25">
      <c r="G28" s="24" t="str">
        <f>IF(tblEmployee[[#This Row],[Payable Flag]]="Y","Pay","No Pay")</f>
        <v>No Pay</v>
      </c>
      <c r="H2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8" s="24">
        <f>IF(tblEmployee[[#This Row],[Payable Flag]]="N",0,1)</f>
        <v>0</v>
      </c>
      <c r="J28" s="24"/>
    </row>
    <row r="29" spans="7:10" x14ac:dyDescent="0.25">
      <c r="G29" s="24" t="str">
        <f>IF(tblEmployee[[#This Row],[Payable Flag]]="Y","Pay","No Pay")</f>
        <v>No Pay</v>
      </c>
      <c r="H2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9" s="24">
        <f>IF(tblEmployee[[#This Row],[Payable Flag]]="N",0,1)</f>
        <v>0</v>
      </c>
      <c r="J29" s="24"/>
    </row>
    <row r="30" spans="7:10" x14ac:dyDescent="0.25">
      <c r="G30" s="24" t="str">
        <f>IF(tblEmployee[[#This Row],[Payable Flag]]="Y","Pay","No Pay")</f>
        <v>No Pay</v>
      </c>
      <c r="H3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0" s="24">
        <f>IF(tblEmployee[[#This Row],[Payable Flag]]="N",0,1)</f>
        <v>0</v>
      </c>
      <c r="J30" s="24"/>
    </row>
    <row r="31" spans="7:10" x14ac:dyDescent="0.25">
      <c r="G31" s="24" t="str">
        <f>IF(tblEmployee[[#This Row],[Payable Flag]]="Y","Pay","No Pay")</f>
        <v>No Pay</v>
      </c>
      <c r="H3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1" s="24">
        <f>IF(tblEmployee[[#This Row],[Payable Flag]]="N",0,1)</f>
        <v>0</v>
      </c>
      <c r="J31" s="24"/>
    </row>
    <row r="32" spans="7:10" x14ac:dyDescent="0.25">
      <c r="G32" s="24" t="str">
        <f>IF(tblEmployee[[#This Row],[Payable Flag]]="Y","Pay","No Pay")</f>
        <v>No Pay</v>
      </c>
      <c r="H3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2" s="24">
        <f>IF(tblEmployee[[#This Row],[Payable Flag]]="N",0,1)</f>
        <v>0</v>
      </c>
      <c r="J32" s="24"/>
    </row>
    <row r="33" spans="7:10" x14ac:dyDescent="0.25">
      <c r="G33" s="24" t="str">
        <f>IF(tblEmployee[[#This Row],[Payable Flag]]="Y","Pay","No Pay")</f>
        <v>No Pay</v>
      </c>
      <c r="H3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3" s="24">
        <f>IF(tblEmployee[[#This Row],[Payable Flag]]="N",0,1)</f>
        <v>0</v>
      </c>
      <c r="J33" s="24"/>
    </row>
    <row r="34" spans="7:10" x14ac:dyDescent="0.25">
      <c r="G34" s="24" t="str">
        <f>IF(tblEmployee[[#This Row],[Payable Flag]]="Y","Pay","No Pay")</f>
        <v>No Pay</v>
      </c>
      <c r="H3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4" s="24">
        <f>IF(tblEmployee[[#This Row],[Payable Flag]]="N",0,1)</f>
        <v>0</v>
      </c>
      <c r="J34" s="24"/>
    </row>
    <row r="35" spans="7:10" x14ac:dyDescent="0.25">
      <c r="G35" s="24" t="str">
        <f>IF(tblEmployee[[#This Row],[Payable Flag]]="Y","Pay","No Pay")</f>
        <v>No Pay</v>
      </c>
      <c r="H3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5" s="24">
        <f>IF(tblEmployee[[#This Row],[Payable Flag]]="N",0,1)</f>
        <v>0</v>
      </c>
      <c r="J35" s="24"/>
    </row>
    <row r="36" spans="7:10" x14ac:dyDescent="0.25">
      <c r="G36" s="24" t="str">
        <f>IF(tblEmployee[[#This Row],[Payable Flag]]="Y","Pay","No Pay")</f>
        <v>No Pay</v>
      </c>
      <c r="H3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6" s="24">
        <f>IF(tblEmployee[[#This Row],[Payable Flag]]="N",0,1)</f>
        <v>0</v>
      </c>
      <c r="J36" s="24"/>
    </row>
    <row r="37" spans="7:10" x14ac:dyDescent="0.25">
      <c r="G37" s="24" t="str">
        <f>IF(tblEmployee[[#This Row],[Payable Flag]]="Y","Pay","No Pay")</f>
        <v>No Pay</v>
      </c>
      <c r="H3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7" s="24">
        <f>IF(tblEmployee[[#This Row],[Payable Flag]]="N",0,1)</f>
        <v>0</v>
      </c>
      <c r="J37" s="24"/>
    </row>
    <row r="38" spans="7:10" x14ac:dyDescent="0.25">
      <c r="G38" s="24" t="str">
        <f>IF(tblEmployee[[#This Row],[Payable Flag]]="Y","Pay","No Pay")</f>
        <v>No Pay</v>
      </c>
      <c r="H3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8" s="24">
        <f>IF(tblEmployee[[#This Row],[Payable Flag]]="N",0,1)</f>
        <v>0</v>
      </c>
      <c r="J38" s="24"/>
    </row>
    <row r="39" spans="7:10" x14ac:dyDescent="0.25">
      <c r="G39" s="24" t="str">
        <f>IF(tblEmployee[[#This Row],[Payable Flag]]="Y","Pay","No Pay")</f>
        <v>No Pay</v>
      </c>
      <c r="H3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9" s="24">
        <f>IF(tblEmployee[[#This Row],[Payable Flag]]="N",0,1)</f>
        <v>0</v>
      </c>
      <c r="J39" s="24"/>
    </row>
    <row r="40" spans="7:10" x14ac:dyDescent="0.25">
      <c r="G40" s="24" t="str">
        <f>IF(tblEmployee[[#This Row],[Payable Flag]]="Y","Pay","No Pay")</f>
        <v>No Pay</v>
      </c>
      <c r="H4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0" s="24">
        <f>IF(tblEmployee[[#This Row],[Payable Flag]]="N",0,1)</f>
        <v>0</v>
      </c>
      <c r="J40" s="24"/>
    </row>
    <row r="41" spans="7:10" x14ac:dyDescent="0.25">
      <c r="G41" s="24" t="str">
        <f>IF(tblEmployee[[#This Row],[Payable Flag]]="Y","Pay","No Pay")</f>
        <v>No Pay</v>
      </c>
      <c r="H4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1" s="24">
        <f>IF(tblEmployee[[#This Row],[Payable Flag]]="N",0,1)</f>
        <v>0</v>
      </c>
      <c r="J41" s="24"/>
    </row>
    <row r="42" spans="7:10" x14ac:dyDescent="0.25">
      <c r="G42" s="24" t="str">
        <f>IF(tblEmployee[[#This Row],[Payable Flag]]="Y","Pay","No Pay")</f>
        <v>No Pay</v>
      </c>
      <c r="H4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2" s="24">
        <f>IF(tblEmployee[[#This Row],[Payable Flag]]="N",0,1)</f>
        <v>0</v>
      </c>
      <c r="J42" s="24"/>
    </row>
    <row r="43" spans="7:10" x14ac:dyDescent="0.25">
      <c r="G43" s="24" t="str">
        <f>IF(tblEmployee[[#This Row],[Payable Flag]]="Y","Pay","No Pay")</f>
        <v>No Pay</v>
      </c>
      <c r="H4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3" s="24">
        <f>IF(tblEmployee[[#This Row],[Payable Flag]]="N",0,1)</f>
        <v>0</v>
      </c>
      <c r="J43" s="24"/>
    </row>
    <row r="44" spans="7:10" x14ac:dyDescent="0.25">
      <c r="G44" s="24" t="str">
        <f>IF(tblEmployee[[#This Row],[Payable Flag]]="Y","Pay","No Pay")</f>
        <v>No Pay</v>
      </c>
      <c r="H4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4" s="24">
        <f>IF(tblEmployee[[#This Row],[Payable Flag]]="N",0,1)</f>
        <v>0</v>
      </c>
      <c r="J44" s="24"/>
    </row>
    <row r="45" spans="7:10" x14ac:dyDescent="0.25">
      <c r="G45" s="24" t="str">
        <f>IF(tblEmployee[[#This Row],[Payable Flag]]="Y","Pay","No Pay")</f>
        <v>No Pay</v>
      </c>
      <c r="H4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5" s="24">
        <f>IF(tblEmployee[[#This Row],[Payable Flag]]="N",0,1)</f>
        <v>0</v>
      </c>
      <c r="J45" s="24"/>
    </row>
    <row r="46" spans="7:10" x14ac:dyDescent="0.25">
      <c r="G46" s="24" t="str">
        <f>IF(tblEmployee[[#This Row],[Payable Flag]]="Y","Pay","No Pay")</f>
        <v>No Pay</v>
      </c>
      <c r="H4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6" s="24">
        <f>IF(tblEmployee[[#This Row],[Payable Flag]]="N",0,1)</f>
        <v>0</v>
      </c>
      <c r="J46" s="24"/>
    </row>
    <row r="47" spans="7:10" x14ac:dyDescent="0.25">
      <c r="G47" s="24" t="str">
        <f>IF(tblEmployee[[#This Row],[Payable Flag]]="Y","Pay","No Pay")</f>
        <v>No Pay</v>
      </c>
      <c r="H4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7" s="24">
        <f>IF(tblEmployee[[#This Row],[Payable Flag]]="N",0,1)</f>
        <v>0</v>
      </c>
      <c r="J47" s="24"/>
    </row>
    <row r="48" spans="7:10" x14ac:dyDescent="0.25">
      <c r="G48" s="24" t="str">
        <f>IF(tblEmployee[[#This Row],[Payable Flag]]="Y","Pay","No Pay")</f>
        <v>No Pay</v>
      </c>
      <c r="H4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8" s="24">
        <f>IF(tblEmployee[[#This Row],[Payable Flag]]="N",0,1)</f>
        <v>0</v>
      </c>
      <c r="J48" s="24"/>
    </row>
    <row r="49" spans="7:10" x14ac:dyDescent="0.25">
      <c r="G49" s="24" t="str">
        <f>IF(tblEmployee[[#This Row],[Payable Flag]]="Y","Pay","No Pay")</f>
        <v>No Pay</v>
      </c>
      <c r="H4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9" s="24">
        <f>IF(tblEmployee[[#This Row],[Payable Flag]]="N",0,1)</f>
        <v>0</v>
      </c>
      <c r="J49" s="24"/>
    </row>
    <row r="50" spans="7:10" x14ac:dyDescent="0.25">
      <c r="G50" s="24" t="str">
        <f>IF(tblEmployee[[#This Row],[Payable Flag]]="Y","Pay","No Pay")</f>
        <v>No Pay</v>
      </c>
      <c r="H5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0" s="24">
        <f>IF(tblEmployee[[#This Row],[Payable Flag]]="N",0,1)</f>
        <v>0</v>
      </c>
      <c r="J50" s="24"/>
    </row>
    <row r="51" spans="7:10" x14ac:dyDescent="0.25">
      <c r="G51" s="24" t="str">
        <f>IF(tblEmployee[[#This Row],[Payable Flag]]="Y","Pay","No Pay")</f>
        <v>No Pay</v>
      </c>
      <c r="H5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1" s="24">
        <f>IF(tblEmployee[[#This Row],[Payable Flag]]="N",0,1)</f>
        <v>0</v>
      </c>
      <c r="J51" s="24"/>
    </row>
    <row r="52" spans="7:10" x14ac:dyDescent="0.25">
      <c r="G52" s="24" t="str">
        <f>IF(tblEmployee[[#This Row],[Payable Flag]]="Y","Pay","No Pay")</f>
        <v>No Pay</v>
      </c>
      <c r="H5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2" s="24">
        <f>IF(tblEmployee[[#This Row],[Payable Flag]]="N",0,1)</f>
        <v>0</v>
      </c>
      <c r="J52" s="24"/>
    </row>
    <row r="53" spans="7:10" x14ac:dyDescent="0.25">
      <c r="G53" s="24" t="str">
        <f>IF(tblEmployee[[#This Row],[Payable Flag]]="Y","Pay","No Pay")</f>
        <v>No Pay</v>
      </c>
      <c r="H5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3" s="24">
        <f>IF(tblEmployee[[#This Row],[Payable Flag]]="N",0,1)</f>
        <v>0</v>
      </c>
      <c r="J53" s="24"/>
    </row>
    <row r="54" spans="7:10" x14ac:dyDescent="0.25">
      <c r="G54" s="24" t="str">
        <f>IF(tblEmployee[[#This Row],[Payable Flag]]="Y","Pay","No Pay")</f>
        <v>No Pay</v>
      </c>
      <c r="H5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4" s="24">
        <f>IF(tblEmployee[[#This Row],[Payable Flag]]="N",0,1)</f>
        <v>0</v>
      </c>
      <c r="J54" s="24"/>
    </row>
    <row r="55" spans="7:10" x14ac:dyDescent="0.25">
      <c r="G55" s="24" t="str">
        <f>IF(tblEmployee[[#This Row],[Payable Flag]]="Y","Pay","No Pay")</f>
        <v>No Pay</v>
      </c>
      <c r="H5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5" s="24">
        <f>IF(tblEmployee[[#This Row],[Payable Flag]]="N",0,1)</f>
        <v>0</v>
      </c>
      <c r="J55" s="24"/>
    </row>
    <row r="56" spans="7:10" x14ac:dyDescent="0.25">
      <c r="G56" s="24" t="str">
        <f>IF(tblEmployee[[#This Row],[Payable Flag]]="Y","Pay","No Pay")</f>
        <v>No Pay</v>
      </c>
      <c r="H5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6" s="24">
        <f>IF(tblEmployee[[#This Row],[Payable Flag]]="N",0,1)</f>
        <v>0</v>
      </c>
      <c r="J56" s="24"/>
    </row>
    <row r="57" spans="7:10" x14ac:dyDescent="0.25">
      <c r="G57" s="24" t="str">
        <f>IF(tblEmployee[[#This Row],[Payable Flag]]="Y","Pay","No Pay")</f>
        <v>No Pay</v>
      </c>
      <c r="H5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7" s="24">
        <f>IF(tblEmployee[[#This Row],[Payable Flag]]="N",0,1)</f>
        <v>0</v>
      </c>
      <c r="J57" s="24"/>
    </row>
    <row r="58" spans="7:10" x14ac:dyDescent="0.25">
      <c r="G58" s="24" t="str">
        <f>IF(tblEmployee[[#This Row],[Payable Flag]]="Y","Pay","No Pay")</f>
        <v>No Pay</v>
      </c>
      <c r="H5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8" s="24">
        <f>IF(tblEmployee[[#This Row],[Payable Flag]]="N",0,1)</f>
        <v>0</v>
      </c>
      <c r="J58" s="24"/>
    </row>
    <row r="59" spans="7:10" x14ac:dyDescent="0.25">
      <c r="G59" s="24" t="str">
        <f>IF(tblEmployee[[#This Row],[Payable Flag]]="Y","Pay","No Pay")</f>
        <v>No Pay</v>
      </c>
      <c r="H5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9" s="24">
        <f>IF(tblEmployee[[#This Row],[Payable Flag]]="N",0,1)</f>
        <v>0</v>
      </c>
      <c r="J59" s="24"/>
    </row>
    <row r="60" spans="7:10" x14ac:dyDescent="0.25">
      <c r="G60" s="24" t="str">
        <f>IF(tblEmployee[[#This Row],[Payable Flag]]="Y","Pay","No Pay")</f>
        <v>No Pay</v>
      </c>
      <c r="H6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0" s="24">
        <f>IF(tblEmployee[[#This Row],[Payable Flag]]="N",0,1)</f>
        <v>0</v>
      </c>
      <c r="J60" s="24"/>
    </row>
    <row r="61" spans="7:10" x14ac:dyDescent="0.25">
      <c r="G61" s="24" t="str">
        <f>IF(tblEmployee[[#This Row],[Payable Flag]]="Y","Pay","No Pay")</f>
        <v>No Pay</v>
      </c>
      <c r="H6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1" s="24">
        <f>IF(tblEmployee[[#This Row],[Payable Flag]]="N",0,1)</f>
        <v>0</v>
      </c>
      <c r="J61" s="24"/>
    </row>
    <row r="62" spans="7:10" x14ac:dyDescent="0.25">
      <c r="G62" s="24" t="str">
        <f>IF(tblEmployee[[#This Row],[Payable Flag]]="Y","Pay","No Pay")</f>
        <v>No Pay</v>
      </c>
      <c r="H6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2" s="24">
        <f>IF(tblEmployee[[#This Row],[Payable Flag]]="N",0,1)</f>
        <v>0</v>
      </c>
      <c r="J62" s="24"/>
    </row>
    <row r="63" spans="7:10" x14ac:dyDescent="0.25">
      <c r="G63" s="24" t="str">
        <f>IF(tblEmployee[[#This Row],[Payable Flag]]="Y","Pay","No Pay")</f>
        <v>No Pay</v>
      </c>
      <c r="H6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3" s="24">
        <f>IF(tblEmployee[[#This Row],[Payable Flag]]="N",0,1)</f>
        <v>0</v>
      </c>
      <c r="J63" s="24"/>
    </row>
    <row r="64" spans="7:10" x14ac:dyDescent="0.25">
      <c r="G64" s="24" t="str">
        <f>IF(tblEmployee[[#This Row],[Payable Flag]]="Y","Pay","No Pay")</f>
        <v>No Pay</v>
      </c>
      <c r="H6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4" s="24">
        <f>IF(tblEmployee[[#This Row],[Payable Flag]]="N",0,1)</f>
        <v>0</v>
      </c>
      <c r="J64" s="24"/>
    </row>
    <row r="65" spans="7:10" x14ac:dyDescent="0.25">
      <c r="G65" s="24" t="str">
        <f>IF(tblEmployee[[#This Row],[Payable Flag]]="Y","Pay","No Pay")</f>
        <v>No Pay</v>
      </c>
      <c r="H6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5" s="24">
        <f>IF(tblEmployee[[#This Row],[Payable Flag]]="N",0,1)</f>
        <v>0</v>
      </c>
      <c r="J65" s="24"/>
    </row>
    <row r="66" spans="7:10" x14ac:dyDescent="0.25">
      <c r="G66" s="24" t="str">
        <f>IF(tblEmployee[[#This Row],[Payable Flag]]="Y","Pay","No Pay")</f>
        <v>No Pay</v>
      </c>
      <c r="H6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6" s="24">
        <f>IF(tblEmployee[[#This Row],[Payable Flag]]="N",0,1)</f>
        <v>0</v>
      </c>
      <c r="J66" s="24"/>
    </row>
    <row r="67" spans="7:10" x14ac:dyDescent="0.25">
      <c r="G67" s="24" t="str">
        <f>IF(tblEmployee[[#This Row],[Payable Flag]]="Y","Pay","No Pay")</f>
        <v>No Pay</v>
      </c>
      <c r="H6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7" s="24">
        <f>IF(tblEmployee[[#This Row],[Payable Flag]]="N",0,1)</f>
        <v>0</v>
      </c>
      <c r="J67" s="24"/>
    </row>
    <row r="68" spans="7:10" x14ac:dyDescent="0.25">
      <c r="G68" s="24" t="str">
        <f>IF(tblEmployee[[#This Row],[Payable Flag]]="Y","Pay","No Pay")</f>
        <v>No Pay</v>
      </c>
      <c r="H6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8" s="24">
        <f>IF(tblEmployee[[#This Row],[Payable Flag]]="N",0,1)</f>
        <v>0</v>
      </c>
      <c r="J68" s="24"/>
    </row>
    <row r="69" spans="7:10" x14ac:dyDescent="0.25">
      <c r="G69" s="24" t="str">
        <f>IF(tblEmployee[[#This Row],[Payable Flag]]="Y","Pay","No Pay")</f>
        <v>No Pay</v>
      </c>
      <c r="H6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9" s="24">
        <f>IF(tblEmployee[[#This Row],[Payable Flag]]="N",0,1)</f>
        <v>0</v>
      </c>
      <c r="J69" s="24"/>
    </row>
    <row r="70" spans="7:10" x14ac:dyDescent="0.25">
      <c r="G70" s="24" t="str">
        <f>IF(tblEmployee[[#This Row],[Payable Flag]]="Y","Pay","No Pay")</f>
        <v>No Pay</v>
      </c>
      <c r="H7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0" s="24">
        <f>IF(tblEmployee[[#This Row],[Payable Flag]]="N",0,1)</f>
        <v>0</v>
      </c>
      <c r="J70" s="24"/>
    </row>
    <row r="71" spans="7:10" x14ac:dyDescent="0.25">
      <c r="G71" s="24" t="str">
        <f>IF(tblEmployee[[#This Row],[Payable Flag]]="Y","Pay","No Pay")</f>
        <v>No Pay</v>
      </c>
      <c r="H7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1" s="24">
        <f>IF(tblEmployee[[#This Row],[Payable Flag]]="N",0,1)</f>
        <v>0</v>
      </c>
      <c r="J71" s="24"/>
    </row>
    <row r="72" spans="7:10" x14ac:dyDescent="0.25">
      <c r="G72" s="24" t="str">
        <f>IF(tblEmployee[[#This Row],[Payable Flag]]="Y","Pay","No Pay")</f>
        <v>No Pay</v>
      </c>
      <c r="H7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2" s="24">
        <f>IF(tblEmployee[[#This Row],[Payable Flag]]="N",0,1)</f>
        <v>0</v>
      </c>
      <c r="J72" s="24"/>
    </row>
    <row r="73" spans="7:10" x14ac:dyDescent="0.25">
      <c r="G73" s="24" t="str">
        <f>IF(tblEmployee[[#This Row],[Payable Flag]]="Y","Pay","No Pay")</f>
        <v>No Pay</v>
      </c>
      <c r="H7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3" s="24">
        <f>IF(tblEmployee[[#This Row],[Payable Flag]]="N",0,1)</f>
        <v>0</v>
      </c>
      <c r="J73" s="24"/>
    </row>
    <row r="74" spans="7:10" x14ac:dyDescent="0.25">
      <c r="G74" s="24" t="str">
        <f>IF(tblEmployee[[#This Row],[Payable Flag]]="Y","Pay","No Pay")</f>
        <v>No Pay</v>
      </c>
      <c r="H7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4" s="24">
        <f>IF(tblEmployee[[#This Row],[Payable Flag]]="N",0,1)</f>
        <v>0</v>
      </c>
      <c r="J74" s="24"/>
    </row>
    <row r="75" spans="7:10" x14ac:dyDescent="0.25">
      <c r="G75" s="24" t="str">
        <f>IF(tblEmployee[[#This Row],[Payable Flag]]="Y","Pay","No Pay")</f>
        <v>No Pay</v>
      </c>
      <c r="H7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5" s="24">
        <f>IF(tblEmployee[[#This Row],[Payable Flag]]="N",0,1)</f>
        <v>0</v>
      </c>
      <c r="J75" s="24"/>
    </row>
    <row r="76" spans="7:10" x14ac:dyDescent="0.25">
      <c r="G76" s="24" t="str">
        <f>IF(tblEmployee[[#This Row],[Payable Flag]]="Y","Pay","No Pay")</f>
        <v>No Pay</v>
      </c>
      <c r="H7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6" s="24">
        <f>IF(tblEmployee[[#This Row],[Payable Flag]]="N",0,1)</f>
        <v>0</v>
      </c>
      <c r="J76" s="24"/>
    </row>
    <row r="77" spans="7:10" x14ac:dyDescent="0.25">
      <c r="G77" s="24" t="str">
        <f>IF(tblEmployee[[#This Row],[Payable Flag]]="Y","Pay","No Pay")</f>
        <v>No Pay</v>
      </c>
      <c r="H7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7" s="24">
        <f>IF(tblEmployee[[#This Row],[Payable Flag]]="N",0,1)</f>
        <v>0</v>
      </c>
      <c r="J77" s="24"/>
    </row>
    <row r="78" spans="7:10" x14ac:dyDescent="0.25">
      <c r="G78" s="24" t="str">
        <f>IF(tblEmployee[[#This Row],[Payable Flag]]="Y","Pay","No Pay")</f>
        <v>No Pay</v>
      </c>
      <c r="H7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8" s="24">
        <f>IF(tblEmployee[[#This Row],[Payable Flag]]="N",0,1)</f>
        <v>0</v>
      </c>
      <c r="J78" s="24"/>
    </row>
    <row r="79" spans="7:10" x14ac:dyDescent="0.25">
      <c r="G79" s="24" t="str">
        <f>IF(tblEmployee[[#This Row],[Payable Flag]]="Y","Pay","No Pay")</f>
        <v>No Pay</v>
      </c>
      <c r="H7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9" s="24">
        <f>IF(tblEmployee[[#This Row],[Payable Flag]]="N",0,1)</f>
        <v>0</v>
      </c>
      <c r="J79" s="24"/>
    </row>
    <row r="80" spans="7:10" x14ac:dyDescent="0.25">
      <c r="G80" s="24" t="str">
        <f>IF(tblEmployee[[#This Row],[Payable Flag]]="Y","Pay","No Pay")</f>
        <v>No Pay</v>
      </c>
      <c r="H8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0" s="24">
        <f>IF(tblEmployee[[#This Row],[Payable Flag]]="N",0,1)</f>
        <v>0</v>
      </c>
      <c r="J80" s="24"/>
    </row>
    <row r="81" spans="7:10" x14ac:dyDescent="0.25">
      <c r="G81" s="24" t="str">
        <f>IF(tblEmployee[[#This Row],[Payable Flag]]="Y","Pay","No Pay")</f>
        <v>No Pay</v>
      </c>
      <c r="H8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1" s="24">
        <f>IF(tblEmployee[[#This Row],[Payable Flag]]="N",0,1)</f>
        <v>0</v>
      </c>
      <c r="J81" s="24"/>
    </row>
    <row r="82" spans="7:10" x14ac:dyDescent="0.25">
      <c r="G82" s="24" t="str">
        <f>IF(tblEmployee[[#This Row],[Payable Flag]]="Y","Pay","No Pay")</f>
        <v>No Pay</v>
      </c>
      <c r="H8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2" s="24">
        <f>IF(tblEmployee[[#This Row],[Payable Flag]]="N",0,1)</f>
        <v>0</v>
      </c>
      <c r="J82" s="24"/>
    </row>
    <row r="83" spans="7:10" x14ac:dyDescent="0.25">
      <c r="G83" s="24" t="str">
        <f>IF(tblEmployee[[#This Row],[Payable Flag]]="Y","Pay","No Pay")</f>
        <v>No Pay</v>
      </c>
      <c r="H8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3" s="24">
        <f>IF(tblEmployee[[#This Row],[Payable Flag]]="N",0,1)</f>
        <v>0</v>
      </c>
      <c r="J83" s="24"/>
    </row>
    <row r="84" spans="7:10" x14ac:dyDescent="0.25">
      <c r="G84" s="24" t="str">
        <f>IF(tblEmployee[[#This Row],[Payable Flag]]="Y","Pay","No Pay")</f>
        <v>No Pay</v>
      </c>
      <c r="H8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4" s="24">
        <f>IF(tblEmployee[[#This Row],[Payable Flag]]="N",0,1)</f>
        <v>0</v>
      </c>
      <c r="J84" s="24"/>
    </row>
    <row r="85" spans="7:10" x14ac:dyDescent="0.25">
      <c r="G85" s="24" t="str">
        <f>IF(tblEmployee[[#This Row],[Payable Flag]]="Y","Pay","No Pay")</f>
        <v>No Pay</v>
      </c>
      <c r="H8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5" s="24">
        <f>IF(tblEmployee[[#This Row],[Payable Flag]]="N",0,1)</f>
        <v>0</v>
      </c>
      <c r="J85" s="24"/>
    </row>
    <row r="86" spans="7:10" x14ac:dyDescent="0.25">
      <c r="G86" s="24" t="str">
        <f>IF(tblEmployee[[#This Row],[Payable Flag]]="Y","Pay","No Pay")</f>
        <v>No Pay</v>
      </c>
      <c r="H8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6" s="24">
        <f>IF(tblEmployee[[#This Row],[Payable Flag]]="N",0,1)</f>
        <v>0</v>
      </c>
      <c r="J86" s="24"/>
    </row>
    <row r="87" spans="7:10" x14ac:dyDescent="0.25">
      <c r="G87" s="24" t="str">
        <f>IF(tblEmployee[[#This Row],[Payable Flag]]="Y","Pay","No Pay")</f>
        <v>No Pay</v>
      </c>
      <c r="H8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7" s="24">
        <f>IF(tblEmployee[[#This Row],[Payable Flag]]="N",0,1)</f>
        <v>0</v>
      </c>
      <c r="J87" s="24"/>
    </row>
    <row r="88" spans="7:10" x14ac:dyDescent="0.25">
      <c r="G88" s="24" t="str">
        <f>IF(tblEmployee[[#This Row],[Payable Flag]]="Y","Pay","No Pay")</f>
        <v>No Pay</v>
      </c>
      <c r="H8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8" s="24">
        <f>IF(tblEmployee[[#This Row],[Payable Flag]]="N",0,1)</f>
        <v>0</v>
      </c>
      <c r="J88" s="24"/>
    </row>
    <row r="89" spans="7:10" x14ac:dyDescent="0.25">
      <c r="G89" s="24" t="str">
        <f>IF(tblEmployee[[#This Row],[Payable Flag]]="Y","Pay","No Pay")</f>
        <v>No Pay</v>
      </c>
      <c r="H8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9" s="24">
        <f>IF(tblEmployee[[#This Row],[Payable Flag]]="N",0,1)</f>
        <v>0</v>
      </c>
      <c r="J89" s="24"/>
    </row>
    <row r="90" spans="7:10" x14ac:dyDescent="0.25">
      <c r="G90" s="24" t="str">
        <f>IF(tblEmployee[[#This Row],[Payable Flag]]="Y","Pay","No Pay")</f>
        <v>No Pay</v>
      </c>
      <c r="H9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0" s="24">
        <f>IF(tblEmployee[[#This Row],[Payable Flag]]="N",0,1)</f>
        <v>0</v>
      </c>
      <c r="J90" s="24"/>
    </row>
    <row r="91" spans="7:10" x14ac:dyDescent="0.25">
      <c r="G91" s="24" t="str">
        <f>IF(tblEmployee[[#This Row],[Payable Flag]]="Y","Pay","No Pay")</f>
        <v>No Pay</v>
      </c>
      <c r="H9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1" s="24">
        <f>IF(tblEmployee[[#This Row],[Payable Flag]]="N",0,1)</f>
        <v>0</v>
      </c>
      <c r="J91" s="24"/>
    </row>
    <row r="92" spans="7:10" x14ac:dyDescent="0.25">
      <c r="G92" s="24" t="str">
        <f>IF(tblEmployee[[#This Row],[Payable Flag]]="Y","Pay","No Pay")</f>
        <v>No Pay</v>
      </c>
      <c r="H9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2" s="24">
        <f>IF(tblEmployee[[#This Row],[Payable Flag]]="N",0,1)</f>
        <v>0</v>
      </c>
      <c r="J92" s="24"/>
    </row>
    <row r="93" spans="7:10" x14ac:dyDescent="0.25">
      <c r="G93" s="24" t="str">
        <f>IF(tblEmployee[[#This Row],[Payable Flag]]="Y","Pay","No Pay")</f>
        <v>No Pay</v>
      </c>
      <c r="H9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3" s="24">
        <f>IF(tblEmployee[[#This Row],[Payable Flag]]="N",0,1)</f>
        <v>0</v>
      </c>
      <c r="J93" s="24"/>
    </row>
    <row r="94" spans="7:10" x14ac:dyDescent="0.25">
      <c r="G94" s="24" t="str">
        <f>IF(tblEmployee[[#This Row],[Payable Flag]]="Y","Pay","No Pay")</f>
        <v>No Pay</v>
      </c>
      <c r="H9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4" s="24">
        <f>IF(tblEmployee[[#This Row],[Payable Flag]]="N",0,1)</f>
        <v>0</v>
      </c>
      <c r="J94" s="24"/>
    </row>
    <row r="95" spans="7:10" x14ac:dyDescent="0.25">
      <c r="G95" s="24" t="str">
        <f>IF(tblEmployee[[#This Row],[Payable Flag]]="Y","Pay","No Pay")</f>
        <v>No Pay</v>
      </c>
      <c r="H9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5" s="24">
        <f>IF(tblEmployee[[#This Row],[Payable Flag]]="N",0,1)</f>
        <v>0</v>
      </c>
      <c r="J95" s="24"/>
    </row>
    <row r="96" spans="7:10" x14ac:dyDescent="0.25">
      <c r="G96" s="24" t="str">
        <f>IF(tblEmployee[[#This Row],[Payable Flag]]="Y","Pay","No Pay")</f>
        <v>No Pay</v>
      </c>
      <c r="H9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6" s="24">
        <f>IF(tblEmployee[[#This Row],[Payable Flag]]="N",0,1)</f>
        <v>0</v>
      </c>
      <c r="J96" s="24"/>
    </row>
    <row r="97" spans="7:10" x14ac:dyDescent="0.25">
      <c r="G97" s="24" t="str">
        <f>IF(tblEmployee[[#This Row],[Payable Flag]]="Y","Pay","No Pay")</f>
        <v>No Pay</v>
      </c>
      <c r="H9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7" s="24">
        <f>IF(tblEmployee[[#This Row],[Payable Flag]]="N",0,1)</f>
        <v>0</v>
      </c>
      <c r="J97" s="24"/>
    </row>
    <row r="98" spans="7:10" x14ac:dyDescent="0.25">
      <c r="G98" s="24" t="str">
        <f>IF(tblEmployee[[#This Row],[Payable Flag]]="Y","Pay","No Pay")</f>
        <v>No Pay</v>
      </c>
      <c r="H9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8" s="24">
        <f>IF(tblEmployee[[#This Row],[Payable Flag]]="N",0,1)</f>
        <v>0</v>
      </c>
      <c r="J98" s="24"/>
    </row>
    <row r="99" spans="7:10" x14ac:dyDescent="0.25">
      <c r="G99" s="24" t="str">
        <f>IF(tblEmployee[[#This Row],[Payable Flag]]="Y","Pay","No Pay")</f>
        <v>No Pay</v>
      </c>
      <c r="H9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9" s="24">
        <f>IF(tblEmployee[[#This Row],[Payable Flag]]="N",0,1)</f>
        <v>0</v>
      </c>
      <c r="J99" s="24"/>
    </row>
    <row r="100" spans="7:10" x14ac:dyDescent="0.25">
      <c r="G100" s="24" t="str">
        <f>IF(tblEmployee[[#This Row],[Payable Flag]]="Y","Pay","No Pay")</f>
        <v>No Pay</v>
      </c>
      <c r="H10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00" s="24">
        <f>IF(tblEmployee[[#This Row],[Payable Flag]]="N",0,1)</f>
        <v>0</v>
      </c>
      <c r="J100" s="24"/>
    </row>
    <row r="101" spans="7:10" x14ac:dyDescent="0.25">
      <c r="G101" s="24" t="str">
        <f>IF(tblEmployee[[#This Row],[Payable Flag]]="Y","Pay","No Pay")</f>
        <v>No Pay</v>
      </c>
      <c r="H10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01" s="24">
        <f>IF(tblEmployee[[#This Row],[Payable Flag]]="N",0,1)</f>
        <v>0</v>
      </c>
      <c r="J101" s="24"/>
    </row>
    <row r="102" spans="7:10" x14ac:dyDescent="0.25">
      <c r="G102" s="24" t="str">
        <f>IF(tblEmployee[[#This Row],[Payable Flag]]="Y","Pay","No Pay")</f>
        <v>No Pay</v>
      </c>
      <c r="H10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02" s="24">
        <f>IF(tblEmployee[[#This Row],[Payable Flag]]="N",0,1)</f>
        <v>0</v>
      </c>
      <c r="J102" s="24"/>
    </row>
    <row r="103" spans="7:10" x14ac:dyDescent="0.25">
      <c r="G103" s="24" t="str">
        <f>IF(tblEmployee[[#This Row],[Payable Flag]]="Y","Pay","No Pay")</f>
        <v>No Pay</v>
      </c>
      <c r="H10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03" s="24">
        <f>IF(tblEmployee[[#This Row],[Payable Flag]]="N",0,1)</f>
        <v>0</v>
      </c>
      <c r="J103" s="24"/>
    </row>
    <row r="104" spans="7:10" x14ac:dyDescent="0.25">
      <c r="G104" s="24" t="str">
        <f>IF(tblEmployee[[#This Row],[Payable Flag]]="Y","Pay","No Pay")</f>
        <v>No Pay</v>
      </c>
      <c r="H10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04" s="24">
        <f>IF(tblEmployee[[#This Row],[Payable Flag]]="N",0,1)</f>
        <v>0</v>
      </c>
      <c r="J104" s="24"/>
    </row>
    <row r="105" spans="7:10" x14ac:dyDescent="0.25">
      <c r="G105" s="24" t="str">
        <f>IF(tblEmployee[[#This Row],[Payable Flag]]="Y","Pay","No Pay")</f>
        <v>No Pay</v>
      </c>
      <c r="H10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05" s="24">
        <f>IF(tblEmployee[[#This Row],[Payable Flag]]="N",0,1)</f>
        <v>0</v>
      </c>
      <c r="J105" s="24"/>
    </row>
    <row r="106" spans="7:10" x14ac:dyDescent="0.25">
      <c r="G106" s="24" t="str">
        <f>IF(tblEmployee[[#This Row],[Payable Flag]]="Y","Pay","No Pay")</f>
        <v>No Pay</v>
      </c>
      <c r="H10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06" s="24">
        <f>IF(tblEmployee[[#This Row],[Payable Flag]]="N",0,1)</f>
        <v>0</v>
      </c>
      <c r="J106" s="24"/>
    </row>
    <row r="107" spans="7:10" x14ac:dyDescent="0.25">
      <c r="G107" s="24" t="str">
        <f>IF(tblEmployee[[#This Row],[Payable Flag]]="Y","Pay","No Pay")</f>
        <v>No Pay</v>
      </c>
      <c r="H10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07" s="24">
        <f>IF(tblEmployee[[#This Row],[Payable Flag]]="N",0,1)</f>
        <v>0</v>
      </c>
      <c r="J107" s="24"/>
    </row>
    <row r="108" spans="7:10" x14ac:dyDescent="0.25">
      <c r="G108" s="24" t="str">
        <f>IF(tblEmployee[[#This Row],[Payable Flag]]="Y","Pay","No Pay")</f>
        <v>No Pay</v>
      </c>
      <c r="H10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08" s="24">
        <f>IF(tblEmployee[[#This Row],[Payable Flag]]="N",0,1)</f>
        <v>0</v>
      </c>
      <c r="J108" s="24"/>
    </row>
    <row r="109" spans="7:10" x14ac:dyDescent="0.25">
      <c r="G109" s="24" t="str">
        <f>IF(tblEmployee[[#This Row],[Payable Flag]]="Y","Pay","No Pay")</f>
        <v>No Pay</v>
      </c>
      <c r="H10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09" s="24">
        <f>IF(tblEmployee[[#This Row],[Payable Flag]]="N",0,1)</f>
        <v>0</v>
      </c>
      <c r="J109" s="24"/>
    </row>
    <row r="110" spans="7:10" x14ac:dyDescent="0.25">
      <c r="G110" s="24" t="str">
        <f>IF(tblEmployee[[#This Row],[Payable Flag]]="Y","Pay","No Pay")</f>
        <v>No Pay</v>
      </c>
      <c r="H11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10" s="24">
        <f>IF(tblEmployee[[#This Row],[Payable Flag]]="N",0,1)</f>
        <v>0</v>
      </c>
      <c r="J110" s="24"/>
    </row>
    <row r="111" spans="7:10" x14ac:dyDescent="0.25">
      <c r="G111" s="24" t="str">
        <f>IF(tblEmployee[[#This Row],[Payable Flag]]="Y","Pay","No Pay")</f>
        <v>No Pay</v>
      </c>
      <c r="H11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11" s="24">
        <f>IF(tblEmployee[[#This Row],[Payable Flag]]="N",0,1)</f>
        <v>0</v>
      </c>
      <c r="J111" s="24"/>
    </row>
    <row r="112" spans="7:10" x14ac:dyDescent="0.25">
      <c r="G112" s="24" t="str">
        <f>IF(tblEmployee[[#This Row],[Payable Flag]]="Y","Pay","No Pay")</f>
        <v>No Pay</v>
      </c>
      <c r="H11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12" s="24">
        <f>IF(tblEmployee[[#This Row],[Payable Flag]]="N",0,1)</f>
        <v>0</v>
      </c>
      <c r="J112" s="24"/>
    </row>
    <row r="113" spans="7:10" x14ac:dyDescent="0.25">
      <c r="G113" s="24" t="str">
        <f>IF(tblEmployee[[#This Row],[Payable Flag]]="Y","Pay","No Pay")</f>
        <v>No Pay</v>
      </c>
      <c r="H11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13" s="24">
        <f>IF(tblEmployee[[#This Row],[Payable Flag]]="N",0,1)</f>
        <v>0</v>
      </c>
      <c r="J113" s="24"/>
    </row>
    <row r="114" spans="7:10" x14ac:dyDescent="0.25">
      <c r="G114" s="24" t="str">
        <f>IF(tblEmployee[[#This Row],[Payable Flag]]="Y","Pay","No Pay")</f>
        <v>No Pay</v>
      </c>
      <c r="H11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14" s="24">
        <f>IF(tblEmployee[[#This Row],[Payable Flag]]="N",0,1)</f>
        <v>0</v>
      </c>
      <c r="J114" s="24"/>
    </row>
    <row r="115" spans="7:10" x14ac:dyDescent="0.25">
      <c r="G115" s="24" t="str">
        <f>IF(tblEmployee[[#This Row],[Payable Flag]]="Y","Pay","No Pay")</f>
        <v>No Pay</v>
      </c>
      <c r="H11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15" s="24">
        <f>IF(tblEmployee[[#This Row],[Payable Flag]]="N",0,1)</f>
        <v>0</v>
      </c>
      <c r="J115" s="24"/>
    </row>
    <row r="116" spans="7:10" x14ac:dyDescent="0.25">
      <c r="G116" s="24" t="str">
        <f>IF(tblEmployee[[#This Row],[Payable Flag]]="Y","Pay","No Pay")</f>
        <v>No Pay</v>
      </c>
      <c r="H11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16" s="24">
        <f>IF(tblEmployee[[#This Row],[Payable Flag]]="N",0,1)</f>
        <v>0</v>
      </c>
      <c r="J116" s="24"/>
    </row>
    <row r="117" spans="7:10" x14ac:dyDescent="0.25">
      <c r="G117" s="24" t="str">
        <f>IF(tblEmployee[[#This Row],[Payable Flag]]="Y","Pay","No Pay")</f>
        <v>No Pay</v>
      </c>
      <c r="H11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17" s="24">
        <f>IF(tblEmployee[[#This Row],[Payable Flag]]="N",0,1)</f>
        <v>0</v>
      </c>
      <c r="J117" s="24"/>
    </row>
    <row r="118" spans="7:10" x14ac:dyDescent="0.25">
      <c r="G118" s="24" t="str">
        <f>IF(tblEmployee[[#This Row],[Payable Flag]]="Y","Pay","No Pay")</f>
        <v>No Pay</v>
      </c>
      <c r="H11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18" s="24">
        <f>IF(tblEmployee[[#This Row],[Payable Flag]]="N",0,1)</f>
        <v>0</v>
      </c>
      <c r="J118" s="24"/>
    </row>
    <row r="119" spans="7:10" x14ac:dyDescent="0.25">
      <c r="G119" s="24" t="str">
        <f>IF(tblEmployee[[#This Row],[Payable Flag]]="Y","Pay","No Pay")</f>
        <v>No Pay</v>
      </c>
      <c r="H11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19" s="24">
        <f>IF(tblEmployee[[#This Row],[Payable Flag]]="N",0,1)</f>
        <v>0</v>
      </c>
      <c r="J119" s="24"/>
    </row>
    <row r="120" spans="7:10" x14ac:dyDescent="0.25">
      <c r="G120" s="24" t="str">
        <f>IF(tblEmployee[[#This Row],[Payable Flag]]="Y","Pay","No Pay")</f>
        <v>No Pay</v>
      </c>
      <c r="H12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20" s="24">
        <f>IF(tblEmployee[[#This Row],[Payable Flag]]="N",0,1)</f>
        <v>0</v>
      </c>
      <c r="J120" s="24"/>
    </row>
    <row r="121" spans="7:10" x14ac:dyDescent="0.25">
      <c r="G121" s="24" t="str">
        <f>IF(tblEmployee[[#This Row],[Payable Flag]]="Y","Pay","No Pay")</f>
        <v>No Pay</v>
      </c>
      <c r="H12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21" s="24">
        <f>IF(tblEmployee[[#This Row],[Payable Flag]]="N",0,1)</f>
        <v>0</v>
      </c>
      <c r="J121" s="24"/>
    </row>
    <row r="122" spans="7:10" x14ac:dyDescent="0.25">
      <c r="G122" s="24" t="str">
        <f>IF(tblEmployee[[#This Row],[Payable Flag]]="Y","Pay","No Pay")</f>
        <v>No Pay</v>
      </c>
      <c r="H12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22" s="24">
        <f>IF(tblEmployee[[#This Row],[Payable Flag]]="N",0,1)</f>
        <v>0</v>
      </c>
      <c r="J122" s="24"/>
    </row>
    <row r="123" spans="7:10" x14ac:dyDescent="0.25">
      <c r="G123" s="24" t="str">
        <f>IF(tblEmployee[[#This Row],[Payable Flag]]="Y","Pay","No Pay")</f>
        <v>No Pay</v>
      </c>
      <c r="H12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23" s="24">
        <f>IF(tblEmployee[[#This Row],[Payable Flag]]="N",0,1)</f>
        <v>0</v>
      </c>
      <c r="J123" s="24"/>
    </row>
    <row r="124" spans="7:10" x14ac:dyDescent="0.25">
      <c r="G124" s="24" t="str">
        <f>IF(tblEmployee[[#This Row],[Payable Flag]]="Y","Pay","No Pay")</f>
        <v>No Pay</v>
      </c>
      <c r="H12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24" s="24">
        <f>IF(tblEmployee[[#This Row],[Payable Flag]]="N",0,1)</f>
        <v>0</v>
      </c>
      <c r="J124" s="24"/>
    </row>
    <row r="125" spans="7:10" x14ac:dyDescent="0.25">
      <c r="G125" s="24" t="str">
        <f>IF(tblEmployee[[#This Row],[Payable Flag]]="Y","Pay","No Pay")</f>
        <v>No Pay</v>
      </c>
      <c r="H12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25" s="24">
        <f>IF(tblEmployee[[#This Row],[Payable Flag]]="N",0,1)</f>
        <v>0</v>
      </c>
      <c r="J125" s="24"/>
    </row>
    <row r="126" spans="7:10" x14ac:dyDescent="0.25">
      <c r="G126" s="24" t="str">
        <f>IF(tblEmployee[[#This Row],[Payable Flag]]="Y","Pay","No Pay")</f>
        <v>No Pay</v>
      </c>
      <c r="H12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26" s="24">
        <f>IF(tblEmployee[[#This Row],[Payable Flag]]="N",0,1)</f>
        <v>0</v>
      </c>
      <c r="J126" s="24"/>
    </row>
    <row r="127" spans="7:10" x14ac:dyDescent="0.25">
      <c r="G127" s="24" t="str">
        <f>IF(tblEmployee[[#This Row],[Payable Flag]]="Y","Pay","No Pay")</f>
        <v>No Pay</v>
      </c>
      <c r="H12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27" s="24">
        <f>IF(tblEmployee[[#This Row],[Payable Flag]]="N",0,1)</f>
        <v>0</v>
      </c>
      <c r="J127" s="24"/>
    </row>
    <row r="128" spans="7:10" x14ac:dyDescent="0.25">
      <c r="G128" s="24" t="str">
        <f>IF(tblEmployee[[#This Row],[Payable Flag]]="Y","Pay","No Pay")</f>
        <v>No Pay</v>
      </c>
      <c r="H12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28" s="24">
        <f>IF(tblEmployee[[#This Row],[Payable Flag]]="N",0,1)</f>
        <v>0</v>
      </c>
      <c r="J128" s="24"/>
    </row>
    <row r="129" spans="7:10" x14ac:dyDescent="0.25">
      <c r="G129" s="24" t="str">
        <f>IF(tblEmployee[[#This Row],[Payable Flag]]="Y","Pay","No Pay")</f>
        <v>No Pay</v>
      </c>
      <c r="H12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29" s="24">
        <f>IF(tblEmployee[[#This Row],[Payable Flag]]="N",0,1)</f>
        <v>0</v>
      </c>
      <c r="J129" s="24"/>
    </row>
    <row r="130" spans="7:10" x14ac:dyDescent="0.25">
      <c r="G130" s="24" t="str">
        <f>IF(tblEmployee[[#This Row],[Payable Flag]]="Y","Pay","No Pay")</f>
        <v>No Pay</v>
      </c>
      <c r="H13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30" s="24">
        <f>IF(tblEmployee[[#This Row],[Payable Flag]]="N",0,1)</f>
        <v>0</v>
      </c>
      <c r="J130" s="24"/>
    </row>
    <row r="131" spans="7:10" x14ac:dyDescent="0.25">
      <c r="G131" s="24" t="str">
        <f>IF(tblEmployee[[#This Row],[Payable Flag]]="Y","Pay","No Pay")</f>
        <v>No Pay</v>
      </c>
      <c r="H13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31" s="24">
        <f>IF(tblEmployee[[#This Row],[Payable Flag]]="N",0,1)</f>
        <v>0</v>
      </c>
      <c r="J131" s="24"/>
    </row>
    <row r="132" spans="7:10" x14ac:dyDescent="0.25">
      <c r="G132" s="24" t="str">
        <f>IF(tblEmployee[[#This Row],[Payable Flag]]="Y","Pay","No Pay")</f>
        <v>No Pay</v>
      </c>
      <c r="H13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32" s="24">
        <f>IF(tblEmployee[[#This Row],[Payable Flag]]="N",0,1)</f>
        <v>0</v>
      </c>
      <c r="J132" s="24"/>
    </row>
    <row r="133" spans="7:10" x14ac:dyDescent="0.25">
      <c r="G133" s="24" t="str">
        <f>IF(tblEmployee[[#This Row],[Payable Flag]]="Y","Pay","No Pay")</f>
        <v>No Pay</v>
      </c>
      <c r="H13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33" s="24">
        <f>IF(tblEmployee[[#This Row],[Payable Flag]]="N",0,1)</f>
        <v>0</v>
      </c>
      <c r="J133" s="24"/>
    </row>
    <row r="134" spans="7:10" x14ac:dyDescent="0.25">
      <c r="G134" s="24" t="str">
        <f>IF(tblEmployee[[#This Row],[Payable Flag]]="Y","Pay","No Pay")</f>
        <v>No Pay</v>
      </c>
      <c r="H13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34" s="24">
        <f>IF(tblEmployee[[#This Row],[Payable Flag]]="N",0,1)</f>
        <v>0</v>
      </c>
      <c r="J134" s="24"/>
    </row>
    <row r="135" spans="7:10" x14ac:dyDescent="0.25">
      <c r="G135" s="24" t="str">
        <f>IF(tblEmployee[[#This Row],[Payable Flag]]="Y","Pay","No Pay")</f>
        <v>No Pay</v>
      </c>
      <c r="H13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35" s="24">
        <f>IF(tblEmployee[[#This Row],[Payable Flag]]="N",0,1)</f>
        <v>0</v>
      </c>
      <c r="J135" s="24"/>
    </row>
    <row r="136" spans="7:10" x14ac:dyDescent="0.25">
      <c r="G136" s="24" t="str">
        <f>IF(tblEmployee[[#This Row],[Payable Flag]]="Y","Pay","No Pay")</f>
        <v>No Pay</v>
      </c>
      <c r="H13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36" s="24">
        <f>IF(tblEmployee[[#This Row],[Payable Flag]]="N",0,1)</f>
        <v>0</v>
      </c>
      <c r="J136" s="24"/>
    </row>
    <row r="137" spans="7:10" x14ac:dyDescent="0.25">
      <c r="G137" s="24" t="str">
        <f>IF(tblEmployee[[#This Row],[Payable Flag]]="Y","Pay","No Pay")</f>
        <v>No Pay</v>
      </c>
      <c r="H13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37" s="24">
        <f>IF(tblEmployee[[#This Row],[Payable Flag]]="N",0,1)</f>
        <v>0</v>
      </c>
      <c r="J137" s="24"/>
    </row>
    <row r="138" spans="7:10" x14ac:dyDescent="0.25">
      <c r="G138" s="24" t="str">
        <f>IF(tblEmployee[[#This Row],[Payable Flag]]="Y","Pay","No Pay")</f>
        <v>No Pay</v>
      </c>
      <c r="H13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38" s="24">
        <f>IF(tblEmployee[[#This Row],[Payable Flag]]="N",0,1)</f>
        <v>0</v>
      </c>
      <c r="J138" s="24"/>
    </row>
    <row r="139" spans="7:10" x14ac:dyDescent="0.25">
      <c r="G139" s="24" t="str">
        <f>IF(tblEmployee[[#This Row],[Payable Flag]]="Y","Pay","No Pay")</f>
        <v>No Pay</v>
      </c>
      <c r="H13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39" s="24">
        <f>IF(tblEmployee[[#This Row],[Payable Flag]]="N",0,1)</f>
        <v>0</v>
      </c>
      <c r="J139" s="24"/>
    </row>
    <row r="140" spans="7:10" x14ac:dyDescent="0.25">
      <c r="G140" s="24" t="str">
        <f>IF(tblEmployee[[#This Row],[Payable Flag]]="Y","Pay","No Pay")</f>
        <v>No Pay</v>
      </c>
      <c r="H14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40" s="24">
        <f>IF(tblEmployee[[#This Row],[Payable Flag]]="N",0,1)</f>
        <v>0</v>
      </c>
      <c r="J140" s="24"/>
    </row>
    <row r="141" spans="7:10" x14ac:dyDescent="0.25">
      <c r="G141" s="24" t="str">
        <f>IF(tblEmployee[[#This Row],[Payable Flag]]="Y","Pay","No Pay")</f>
        <v>No Pay</v>
      </c>
      <c r="H14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41" s="24">
        <f>IF(tblEmployee[[#This Row],[Payable Flag]]="N",0,1)</f>
        <v>0</v>
      </c>
      <c r="J141" s="24"/>
    </row>
    <row r="142" spans="7:10" x14ac:dyDescent="0.25">
      <c r="G142" s="24" t="str">
        <f>IF(tblEmployee[[#This Row],[Payable Flag]]="Y","Pay","No Pay")</f>
        <v>No Pay</v>
      </c>
      <c r="H14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42" s="24">
        <f>IF(tblEmployee[[#This Row],[Payable Flag]]="N",0,1)</f>
        <v>0</v>
      </c>
      <c r="J142" s="24"/>
    </row>
    <row r="143" spans="7:10" x14ac:dyDescent="0.25">
      <c r="G143" s="24" t="str">
        <f>IF(tblEmployee[[#This Row],[Payable Flag]]="Y","Pay","No Pay")</f>
        <v>No Pay</v>
      </c>
      <c r="H14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43" s="24">
        <f>IF(tblEmployee[[#This Row],[Payable Flag]]="N",0,1)</f>
        <v>0</v>
      </c>
      <c r="J143" s="24"/>
    </row>
    <row r="144" spans="7:10" x14ac:dyDescent="0.25">
      <c r="G144" s="24" t="str">
        <f>IF(tblEmployee[[#This Row],[Payable Flag]]="Y","Pay","No Pay")</f>
        <v>No Pay</v>
      </c>
      <c r="H14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44" s="24">
        <f>IF(tblEmployee[[#This Row],[Payable Flag]]="N",0,1)</f>
        <v>0</v>
      </c>
      <c r="J144" s="24"/>
    </row>
    <row r="145" spans="7:10" x14ac:dyDescent="0.25">
      <c r="G145" s="24" t="str">
        <f>IF(tblEmployee[[#This Row],[Payable Flag]]="Y","Pay","No Pay")</f>
        <v>No Pay</v>
      </c>
      <c r="H14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45" s="24">
        <f>IF(tblEmployee[[#This Row],[Payable Flag]]="N",0,1)</f>
        <v>0</v>
      </c>
      <c r="J145" s="24"/>
    </row>
    <row r="146" spans="7:10" x14ac:dyDescent="0.25">
      <c r="G146" s="24" t="str">
        <f>IF(tblEmployee[[#This Row],[Payable Flag]]="Y","Pay","No Pay")</f>
        <v>No Pay</v>
      </c>
      <c r="H14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46" s="24">
        <f>IF(tblEmployee[[#This Row],[Payable Flag]]="N",0,1)</f>
        <v>0</v>
      </c>
      <c r="J146" s="24"/>
    </row>
    <row r="147" spans="7:10" x14ac:dyDescent="0.25">
      <c r="G147" s="24" t="str">
        <f>IF(tblEmployee[[#This Row],[Payable Flag]]="Y","Pay","No Pay")</f>
        <v>No Pay</v>
      </c>
      <c r="H14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47" s="24">
        <f>IF(tblEmployee[[#This Row],[Payable Flag]]="N",0,1)</f>
        <v>0</v>
      </c>
      <c r="J147" s="24"/>
    </row>
    <row r="148" spans="7:10" x14ac:dyDescent="0.25">
      <c r="G148" s="24" t="str">
        <f>IF(tblEmployee[[#This Row],[Payable Flag]]="Y","Pay","No Pay")</f>
        <v>No Pay</v>
      </c>
      <c r="H14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48" s="24">
        <f>IF(tblEmployee[[#This Row],[Payable Flag]]="N",0,1)</f>
        <v>0</v>
      </c>
      <c r="J148" s="24"/>
    </row>
    <row r="149" spans="7:10" x14ac:dyDescent="0.25">
      <c r="G149" s="24" t="str">
        <f>IF(tblEmployee[[#This Row],[Payable Flag]]="Y","Pay","No Pay")</f>
        <v>No Pay</v>
      </c>
      <c r="H14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49" s="24">
        <f>IF(tblEmployee[[#This Row],[Payable Flag]]="N",0,1)</f>
        <v>0</v>
      </c>
      <c r="J149" s="24"/>
    </row>
    <row r="150" spans="7:10" x14ac:dyDescent="0.25">
      <c r="G150" s="24" t="str">
        <f>IF(tblEmployee[[#This Row],[Payable Flag]]="Y","Pay","No Pay")</f>
        <v>No Pay</v>
      </c>
      <c r="H15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50" s="24">
        <f>IF(tblEmployee[[#This Row],[Payable Flag]]="N",0,1)</f>
        <v>0</v>
      </c>
      <c r="J150" s="24"/>
    </row>
    <row r="151" spans="7:10" x14ac:dyDescent="0.25">
      <c r="G151" s="24" t="str">
        <f>IF(tblEmployee[[#This Row],[Payable Flag]]="Y","Pay","No Pay")</f>
        <v>No Pay</v>
      </c>
      <c r="H15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51" s="24">
        <f>IF(tblEmployee[[#This Row],[Payable Flag]]="N",0,1)</f>
        <v>0</v>
      </c>
      <c r="J151" s="24"/>
    </row>
    <row r="152" spans="7:10" x14ac:dyDescent="0.25">
      <c r="G152" s="24" t="str">
        <f>IF(tblEmployee[[#This Row],[Payable Flag]]="Y","Pay","No Pay")</f>
        <v>No Pay</v>
      </c>
      <c r="H15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52" s="24">
        <f>IF(tblEmployee[[#This Row],[Payable Flag]]="N",0,1)</f>
        <v>0</v>
      </c>
      <c r="J152" s="24"/>
    </row>
    <row r="153" spans="7:10" x14ac:dyDescent="0.25">
      <c r="G153" s="24" t="str">
        <f>IF(tblEmployee[[#This Row],[Payable Flag]]="Y","Pay","No Pay")</f>
        <v>No Pay</v>
      </c>
      <c r="H15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53" s="24">
        <f>IF(tblEmployee[[#This Row],[Payable Flag]]="N",0,1)</f>
        <v>0</v>
      </c>
      <c r="J153" s="24"/>
    </row>
    <row r="154" spans="7:10" x14ac:dyDescent="0.25">
      <c r="G154" s="24" t="str">
        <f>IF(tblEmployee[[#This Row],[Payable Flag]]="Y","Pay","No Pay")</f>
        <v>No Pay</v>
      </c>
      <c r="H15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54" s="24">
        <f>IF(tblEmployee[[#This Row],[Payable Flag]]="N",0,1)</f>
        <v>0</v>
      </c>
      <c r="J154" s="24"/>
    </row>
    <row r="155" spans="7:10" x14ac:dyDescent="0.25">
      <c r="G155" s="24" t="str">
        <f>IF(tblEmployee[[#This Row],[Payable Flag]]="Y","Pay","No Pay")</f>
        <v>No Pay</v>
      </c>
      <c r="H15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55" s="24">
        <f>IF(tblEmployee[[#This Row],[Payable Flag]]="N",0,1)</f>
        <v>0</v>
      </c>
      <c r="J155" s="24"/>
    </row>
    <row r="156" spans="7:10" x14ac:dyDescent="0.25">
      <c r="G156" s="24" t="str">
        <f>IF(tblEmployee[[#This Row],[Payable Flag]]="Y","Pay","No Pay")</f>
        <v>No Pay</v>
      </c>
      <c r="H15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56" s="24">
        <f>IF(tblEmployee[[#This Row],[Payable Flag]]="N",0,1)</f>
        <v>0</v>
      </c>
      <c r="J156" s="24"/>
    </row>
    <row r="157" spans="7:10" x14ac:dyDescent="0.25">
      <c r="G157" s="24" t="str">
        <f>IF(tblEmployee[[#This Row],[Payable Flag]]="Y","Pay","No Pay")</f>
        <v>No Pay</v>
      </c>
      <c r="H15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57" s="24">
        <f>IF(tblEmployee[[#This Row],[Payable Flag]]="N",0,1)</f>
        <v>0</v>
      </c>
      <c r="J157" s="24"/>
    </row>
    <row r="158" spans="7:10" x14ac:dyDescent="0.25">
      <c r="G158" s="24" t="str">
        <f>IF(tblEmployee[[#This Row],[Payable Flag]]="Y","Pay","No Pay")</f>
        <v>No Pay</v>
      </c>
      <c r="H15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58" s="24">
        <f>IF(tblEmployee[[#This Row],[Payable Flag]]="N",0,1)</f>
        <v>0</v>
      </c>
      <c r="J158" s="24"/>
    </row>
    <row r="159" spans="7:10" x14ac:dyDescent="0.25">
      <c r="G159" s="24" t="str">
        <f>IF(tblEmployee[[#This Row],[Payable Flag]]="Y","Pay","No Pay")</f>
        <v>No Pay</v>
      </c>
      <c r="H15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59" s="24">
        <f>IF(tblEmployee[[#This Row],[Payable Flag]]="N",0,1)</f>
        <v>0</v>
      </c>
      <c r="J159" s="24"/>
    </row>
    <row r="160" spans="7:10" x14ac:dyDescent="0.25">
      <c r="G160" s="24" t="str">
        <f>IF(tblEmployee[[#This Row],[Payable Flag]]="Y","Pay","No Pay")</f>
        <v>No Pay</v>
      </c>
      <c r="H16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60" s="24">
        <f>IF(tblEmployee[[#This Row],[Payable Flag]]="N",0,1)</f>
        <v>0</v>
      </c>
      <c r="J160" s="24"/>
    </row>
    <row r="161" spans="7:10" x14ac:dyDescent="0.25">
      <c r="G161" s="24" t="str">
        <f>IF(tblEmployee[[#This Row],[Payable Flag]]="Y","Pay","No Pay")</f>
        <v>No Pay</v>
      </c>
      <c r="H16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61" s="24">
        <f>IF(tblEmployee[[#This Row],[Payable Flag]]="N",0,1)</f>
        <v>0</v>
      </c>
      <c r="J161" s="24"/>
    </row>
    <row r="162" spans="7:10" x14ac:dyDescent="0.25">
      <c r="G162" s="24" t="str">
        <f>IF(tblEmployee[[#This Row],[Payable Flag]]="Y","Pay","No Pay")</f>
        <v>No Pay</v>
      </c>
      <c r="H16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62" s="24">
        <f>IF(tblEmployee[[#This Row],[Payable Flag]]="N",0,1)</f>
        <v>0</v>
      </c>
      <c r="J162" s="24"/>
    </row>
    <row r="163" spans="7:10" x14ac:dyDescent="0.25">
      <c r="G163" s="24" t="str">
        <f>IF(tblEmployee[[#This Row],[Payable Flag]]="Y","Pay","No Pay")</f>
        <v>No Pay</v>
      </c>
      <c r="H16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63" s="24">
        <f>IF(tblEmployee[[#This Row],[Payable Flag]]="N",0,1)</f>
        <v>0</v>
      </c>
      <c r="J163" s="24"/>
    </row>
    <row r="164" spans="7:10" x14ac:dyDescent="0.25">
      <c r="G164" s="24" t="str">
        <f>IF(tblEmployee[[#This Row],[Payable Flag]]="Y","Pay","No Pay")</f>
        <v>No Pay</v>
      </c>
      <c r="H16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64" s="24">
        <f>IF(tblEmployee[[#This Row],[Payable Flag]]="N",0,1)</f>
        <v>0</v>
      </c>
      <c r="J164" s="24"/>
    </row>
    <row r="165" spans="7:10" x14ac:dyDescent="0.25">
      <c r="G165" s="24" t="str">
        <f>IF(tblEmployee[[#This Row],[Payable Flag]]="Y","Pay","No Pay")</f>
        <v>No Pay</v>
      </c>
      <c r="H16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65" s="24">
        <f>IF(tblEmployee[[#This Row],[Payable Flag]]="N",0,1)</f>
        <v>0</v>
      </c>
      <c r="J165" s="24"/>
    </row>
    <row r="166" spans="7:10" x14ac:dyDescent="0.25">
      <c r="G166" s="24" t="str">
        <f>IF(tblEmployee[[#This Row],[Payable Flag]]="Y","Pay","No Pay")</f>
        <v>No Pay</v>
      </c>
      <c r="H16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66" s="24">
        <f>IF(tblEmployee[[#This Row],[Payable Flag]]="N",0,1)</f>
        <v>0</v>
      </c>
      <c r="J166" s="24"/>
    </row>
    <row r="167" spans="7:10" x14ac:dyDescent="0.25">
      <c r="G167" s="24" t="str">
        <f>IF(tblEmployee[[#This Row],[Payable Flag]]="Y","Pay","No Pay")</f>
        <v>No Pay</v>
      </c>
      <c r="H16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67" s="24">
        <f>IF(tblEmployee[[#This Row],[Payable Flag]]="N",0,1)</f>
        <v>0</v>
      </c>
      <c r="J167" s="24"/>
    </row>
    <row r="168" spans="7:10" x14ac:dyDescent="0.25">
      <c r="G168" s="24" t="str">
        <f>IF(tblEmployee[[#This Row],[Payable Flag]]="Y","Pay","No Pay")</f>
        <v>No Pay</v>
      </c>
      <c r="H16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68" s="24">
        <f>IF(tblEmployee[[#This Row],[Payable Flag]]="N",0,1)</f>
        <v>0</v>
      </c>
      <c r="J168" s="24"/>
    </row>
    <row r="169" spans="7:10" x14ac:dyDescent="0.25">
      <c r="G169" s="24" t="str">
        <f>IF(tblEmployee[[#This Row],[Payable Flag]]="Y","Pay","No Pay")</f>
        <v>No Pay</v>
      </c>
      <c r="H16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69" s="24">
        <f>IF(tblEmployee[[#This Row],[Payable Flag]]="N",0,1)</f>
        <v>0</v>
      </c>
      <c r="J169" s="24"/>
    </row>
    <row r="170" spans="7:10" x14ac:dyDescent="0.25">
      <c r="G170" s="24" t="str">
        <f>IF(tblEmployee[[#This Row],[Payable Flag]]="Y","Pay","No Pay")</f>
        <v>No Pay</v>
      </c>
      <c r="H17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70" s="24">
        <f>IF(tblEmployee[[#This Row],[Payable Flag]]="N",0,1)</f>
        <v>0</v>
      </c>
      <c r="J170" s="24"/>
    </row>
    <row r="171" spans="7:10" x14ac:dyDescent="0.25">
      <c r="G171" s="24" t="str">
        <f>IF(tblEmployee[[#This Row],[Payable Flag]]="Y","Pay","No Pay")</f>
        <v>No Pay</v>
      </c>
      <c r="H17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71" s="24">
        <f>IF(tblEmployee[[#This Row],[Payable Flag]]="N",0,1)</f>
        <v>0</v>
      </c>
      <c r="J171" s="24"/>
    </row>
    <row r="172" spans="7:10" x14ac:dyDescent="0.25">
      <c r="G172" s="24" t="str">
        <f>IF(tblEmployee[[#This Row],[Payable Flag]]="Y","Pay","No Pay")</f>
        <v>No Pay</v>
      </c>
      <c r="H17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72" s="24">
        <f>IF(tblEmployee[[#This Row],[Payable Flag]]="N",0,1)</f>
        <v>0</v>
      </c>
      <c r="J172" s="24"/>
    </row>
    <row r="173" spans="7:10" x14ac:dyDescent="0.25">
      <c r="G173" s="24" t="str">
        <f>IF(tblEmployee[[#This Row],[Payable Flag]]="Y","Pay","No Pay")</f>
        <v>No Pay</v>
      </c>
      <c r="H17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73" s="24">
        <f>IF(tblEmployee[[#This Row],[Payable Flag]]="N",0,1)</f>
        <v>0</v>
      </c>
      <c r="J173" s="24"/>
    </row>
    <row r="174" spans="7:10" x14ac:dyDescent="0.25">
      <c r="G174" s="24" t="str">
        <f>IF(tblEmployee[[#This Row],[Payable Flag]]="Y","Pay","No Pay")</f>
        <v>No Pay</v>
      </c>
      <c r="H17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74" s="24">
        <f>IF(tblEmployee[[#This Row],[Payable Flag]]="N",0,1)</f>
        <v>0</v>
      </c>
      <c r="J174" s="24"/>
    </row>
    <row r="175" spans="7:10" x14ac:dyDescent="0.25">
      <c r="G175" s="24" t="str">
        <f>IF(tblEmployee[[#This Row],[Payable Flag]]="Y","Pay","No Pay")</f>
        <v>No Pay</v>
      </c>
      <c r="H17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75" s="24">
        <f>IF(tblEmployee[[#This Row],[Payable Flag]]="N",0,1)</f>
        <v>0</v>
      </c>
      <c r="J175" s="24"/>
    </row>
    <row r="176" spans="7:10" x14ac:dyDescent="0.25">
      <c r="G176" s="24" t="str">
        <f>IF(tblEmployee[[#This Row],[Payable Flag]]="Y","Pay","No Pay")</f>
        <v>No Pay</v>
      </c>
      <c r="H17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76" s="24">
        <f>IF(tblEmployee[[#This Row],[Payable Flag]]="N",0,1)</f>
        <v>0</v>
      </c>
      <c r="J176" s="24"/>
    </row>
    <row r="177" spans="7:10" x14ac:dyDescent="0.25">
      <c r="G177" s="24" t="str">
        <f>IF(tblEmployee[[#This Row],[Payable Flag]]="Y","Pay","No Pay")</f>
        <v>No Pay</v>
      </c>
      <c r="H17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77" s="24">
        <f>IF(tblEmployee[[#This Row],[Payable Flag]]="N",0,1)</f>
        <v>0</v>
      </c>
      <c r="J177" s="24"/>
    </row>
    <row r="178" spans="7:10" x14ac:dyDescent="0.25">
      <c r="G178" s="24" t="str">
        <f>IF(tblEmployee[[#This Row],[Payable Flag]]="Y","Pay","No Pay")</f>
        <v>No Pay</v>
      </c>
      <c r="H17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78" s="24">
        <f>IF(tblEmployee[[#This Row],[Payable Flag]]="N",0,1)</f>
        <v>0</v>
      </c>
      <c r="J178" s="24"/>
    </row>
    <row r="179" spans="7:10" x14ac:dyDescent="0.25">
      <c r="G179" s="24" t="str">
        <f>IF(tblEmployee[[#This Row],[Payable Flag]]="Y","Pay","No Pay")</f>
        <v>No Pay</v>
      </c>
      <c r="H17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79" s="24">
        <f>IF(tblEmployee[[#This Row],[Payable Flag]]="N",0,1)</f>
        <v>0</v>
      </c>
      <c r="J179" s="24"/>
    </row>
    <row r="180" spans="7:10" x14ac:dyDescent="0.25">
      <c r="G180" s="24" t="str">
        <f>IF(tblEmployee[[#This Row],[Payable Flag]]="Y","Pay","No Pay")</f>
        <v>No Pay</v>
      </c>
      <c r="H18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80" s="24">
        <f>IF(tblEmployee[[#This Row],[Payable Flag]]="N",0,1)</f>
        <v>0</v>
      </c>
      <c r="J180" s="24"/>
    </row>
    <row r="181" spans="7:10" x14ac:dyDescent="0.25">
      <c r="G181" s="24" t="str">
        <f>IF(tblEmployee[[#This Row],[Payable Flag]]="Y","Pay","No Pay")</f>
        <v>No Pay</v>
      </c>
      <c r="H18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81" s="24">
        <f>IF(tblEmployee[[#This Row],[Payable Flag]]="N",0,1)</f>
        <v>0</v>
      </c>
      <c r="J181" s="24"/>
    </row>
    <row r="182" spans="7:10" x14ac:dyDescent="0.25">
      <c r="G182" s="24" t="str">
        <f>IF(tblEmployee[[#This Row],[Payable Flag]]="Y","Pay","No Pay")</f>
        <v>No Pay</v>
      </c>
      <c r="H18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82" s="24">
        <f>IF(tblEmployee[[#This Row],[Payable Flag]]="N",0,1)</f>
        <v>0</v>
      </c>
      <c r="J182" s="24"/>
    </row>
    <row r="183" spans="7:10" x14ac:dyDescent="0.25">
      <c r="G183" s="24" t="str">
        <f>IF(tblEmployee[[#This Row],[Payable Flag]]="Y","Pay","No Pay")</f>
        <v>No Pay</v>
      </c>
      <c r="H18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83" s="24">
        <f>IF(tblEmployee[[#This Row],[Payable Flag]]="N",0,1)</f>
        <v>0</v>
      </c>
      <c r="J183" s="24"/>
    </row>
    <row r="184" spans="7:10" x14ac:dyDescent="0.25">
      <c r="G184" s="24" t="str">
        <f>IF(tblEmployee[[#This Row],[Payable Flag]]="Y","Pay","No Pay")</f>
        <v>No Pay</v>
      </c>
      <c r="H18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84" s="24">
        <f>IF(tblEmployee[[#This Row],[Payable Flag]]="N",0,1)</f>
        <v>0</v>
      </c>
      <c r="J184" s="24"/>
    </row>
    <row r="185" spans="7:10" x14ac:dyDescent="0.25">
      <c r="G185" s="24" t="str">
        <f>IF(tblEmployee[[#This Row],[Payable Flag]]="Y","Pay","No Pay")</f>
        <v>No Pay</v>
      </c>
      <c r="H18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85" s="24">
        <f>IF(tblEmployee[[#This Row],[Payable Flag]]="N",0,1)</f>
        <v>0</v>
      </c>
      <c r="J185" s="24"/>
    </row>
    <row r="186" spans="7:10" x14ac:dyDescent="0.25">
      <c r="G186" s="24" t="str">
        <f>IF(tblEmployee[[#This Row],[Payable Flag]]="Y","Pay","No Pay")</f>
        <v>No Pay</v>
      </c>
      <c r="H18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86" s="24">
        <f>IF(tblEmployee[[#This Row],[Payable Flag]]="N",0,1)</f>
        <v>0</v>
      </c>
      <c r="J186" s="24"/>
    </row>
    <row r="187" spans="7:10" x14ac:dyDescent="0.25">
      <c r="G187" s="24" t="str">
        <f>IF(tblEmployee[[#This Row],[Payable Flag]]="Y","Pay","No Pay")</f>
        <v>No Pay</v>
      </c>
      <c r="H18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87" s="24">
        <f>IF(tblEmployee[[#This Row],[Payable Flag]]="N",0,1)</f>
        <v>0</v>
      </c>
      <c r="J187" s="24"/>
    </row>
    <row r="188" spans="7:10" x14ac:dyDescent="0.25">
      <c r="G188" s="24" t="str">
        <f>IF(tblEmployee[[#This Row],[Payable Flag]]="Y","Pay","No Pay")</f>
        <v>No Pay</v>
      </c>
      <c r="H18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88" s="24">
        <f>IF(tblEmployee[[#This Row],[Payable Flag]]="N",0,1)</f>
        <v>0</v>
      </c>
      <c r="J188" s="24"/>
    </row>
    <row r="189" spans="7:10" x14ac:dyDescent="0.25">
      <c r="G189" s="24" t="str">
        <f>IF(tblEmployee[[#This Row],[Payable Flag]]="Y","Pay","No Pay")</f>
        <v>No Pay</v>
      </c>
      <c r="H18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89" s="24">
        <f>IF(tblEmployee[[#This Row],[Payable Flag]]="N",0,1)</f>
        <v>0</v>
      </c>
      <c r="J189" s="24"/>
    </row>
    <row r="190" spans="7:10" x14ac:dyDescent="0.25">
      <c r="G190" s="24" t="str">
        <f>IF(tblEmployee[[#This Row],[Payable Flag]]="Y","Pay","No Pay")</f>
        <v>No Pay</v>
      </c>
      <c r="H19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90" s="24">
        <f>IF(tblEmployee[[#This Row],[Payable Flag]]="N",0,1)</f>
        <v>0</v>
      </c>
      <c r="J190" s="24"/>
    </row>
    <row r="191" spans="7:10" x14ac:dyDescent="0.25">
      <c r="G191" s="24" t="str">
        <f>IF(tblEmployee[[#This Row],[Payable Flag]]="Y","Pay","No Pay")</f>
        <v>No Pay</v>
      </c>
      <c r="H19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91" s="24">
        <f>IF(tblEmployee[[#This Row],[Payable Flag]]="N",0,1)</f>
        <v>0</v>
      </c>
      <c r="J191" s="24"/>
    </row>
    <row r="192" spans="7:10" x14ac:dyDescent="0.25">
      <c r="G192" s="24" t="str">
        <f>IF(tblEmployee[[#This Row],[Payable Flag]]="Y","Pay","No Pay")</f>
        <v>No Pay</v>
      </c>
      <c r="H19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92" s="24">
        <f>IF(tblEmployee[[#This Row],[Payable Flag]]="N",0,1)</f>
        <v>0</v>
      </c>
      <c r="J192" s="24"/>
    </row>
    <row r="193" spans="7:10" x14ac:dyDescent="0.25">
      <c r="G193" s="24" t="str">
        <f>IF(tblEmployee[[#This Row],[Payable Flag]]="Y","Pay","No Pay")</f>
        <v>No Pay</v>
      </c>
      <c r="H19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93" s="24">
        <f>IF(tblEmployee[[#This Row],[Payable Flag]]="N",0,1)</f>
        <v>0</v>
      </c>
      <c r="J193" s="24"/>
    </row>
    <row r="194" spans="7:10" x14ac:dyDescent="0.25">
      <c r="G194" s="24" t="str">
        <f>IF(tblEmployee[[#This Row],[Payable Flag]]="Y","Pay","No Pay")</f>
        <v>No Pay</v>
      </c>
      <c r="H19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94" s="24">
        <f>IF(tblEmployee[[#This Row],[Payable Flag]]="N",0,1)</f>
        <v>0</v>
      </c>
      <c r="J194" s="24"/>
    </row>
    <row r="195" spans="7:10" x14ac:dyDescent="0.25">
      <c r="G195" s="24" t="str">
        <f>IF(tblEmployee[[#This Row],[Payable Flag]]="Y","Pay","No Pay")</f>
        <v>No Pay</v>
      </c>
      <c r="H19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95" s="24">
        <f>IF(tblEmployee[[#This Row],[Payable Flag]]="N",0,1)</f>
        <v>0</v>
      </c>
      <c r="J195" s="24"/>
    </row>
    <row r="196" spans="7:10" x14ac:dyDescent="0.25">
      <c r="G196" s="24" t="str">
        <f>IF(tblEmployee[[#This Row],[Payable Flag]]="Y","Pay","No Pay")</f>
        <v>No Pay</v>
      </c>
      <c r="H19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96" s="24">
        <f>IF(tblEmployee[[#This Row],[Payable Flag]]="N",0,1)</f>
        <v>0</v>
      </c>
      <c r="J196" s="24"/>
    </row>
    <row r="197" spans="7:10" x14ac:dyDescent="0.25">
      <c r="G197" s="24" t="str">
        <f>IF(tblEmployee[[#This Row],[Payable Flag]]="Y","Pay","No Pay")</f>
        <v>No Pay</v>
      </c>
      <c r="H19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97" s="24">
        <f>IF(tblEmployee[[#This Row],[Payable Flag]]="N",0,1)</f>
        <v>0</v>
      </c>
      <c r="J197" s="24"/>
    </row>
    <row r="198" spans="7:10" x14ac:dyDescent="0.25">
      <c r="G198" s="24" t="str">
        <f>IF(tblEmployee[[#This Row],[Payable Flag]]="Y","Pay","No Pay")</f>
        <v>No Pay</v>
      </c>
      <c r="H19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98" s="24">
        <f>IF(tblEmployee[[#This Row],[Payable Flag]]="N",0,1)</f>
        <v>0</v>
      </c>
      <c r="J198" s="24"/>
    </row>
    <row r="199" spans="7:10" x14ac:dyDescent="0.25">
      <c r="G199" s="24" t="str">
        <f>IF(tblEmployee[[#This Row],[Payable Flag]]="Y","Pay","No Pay")</f>
        <v>No Pay</v>
      </c>
      <c r="H19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199" s="24">
        <f>IF(tblEmployee[[#This Row],[Payable Flag]]="N",0,1)</f>
        <v>0</v>
      </c>
      <c r="J199" s="24"/>
    </row>
    <row r="200" spans="7:10" x14ac:dyDescent="0.25">
      <c r="G200" s="24" t="str">
        <f>IF(tblEmployee[[#This Row],[Payable Flag]]="Y","Pay","No Pay")</f>
        <v>No Pay</v>
      </c>
      <c r="H20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00" s="24">
        <f>IF(tblEmployee[[#This Row],[Payable Flag]]="N",0,1)</f>
        <v>0</v>
      </c>
      <c r="J200" s="24"/>
    </row>
    <row r="201" spans="7:10" x14ac:dyDescent="0.25">
      <c r="G201" s="24" t="str">
        <f>IF(tblEmployee[[#This Row],[Payable Flag]]="Y","Pay","No Pay")</f>
        <v>No Pay</v>
      </c>
      <c r="H20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01" s="24">
        <f>IF(tblEmployee[[#This Row],[Payable Flag]]="N",0,1)</f>
        <v>0</v>
      </c>
      <c r="J201" s="24"/>
    </row>
    <row r="202" spans="7:10" x14ac:dyDescent="0.25">
      <c r="G202" s="24" t="str">
        <f>IF(tblEmployee[[#This Row],[Payable Flag]]="Y","Pay","No Pay")</f>
        <v>No Pay</v>
      </c>
      <c r="H20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02" s="24">
        <f>IF(tblEmployee[[#This Row],[Payable Flag]]="N",0,1)</f>
        <v>0</v>
      </c>
      <c r="J202" s="24"/>
    </row>
    <row r="203" spans="7:10" x14ac:dyDescent="0.25">
      <c r="G203" s="24" t="str">
        <f>IF(tblEmployee[[#This Row],[Payable Flag]]="Y","Pay","No Pay")</f>
        <v>No Pay</v>
      </c>
      <c r="H20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03" s="24">
        <f>IF(tblEmployee[[#This Row],[Payable Flag]]="N",0,1)</f>
        <v>0</v>
      </c>
      <c r="J203" s="24"/>
    </row>
    <row r="204" spans="7:10" x14ac:dyDescent="0.25">
      <c r="G204" s="24" t="str">
        <f>IF(tblEmployee[[#This Row],[Payable Flag]]="Y","Pay","No Pay")</f>
        <v>No Pay</v>
      </c>
      <c r="H20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04" s="24">
        <f>IF(tblEmployee[[#This Row],[Payable Flag]]="N",0,1)</f>
        <v>0</v>
      </c>
      <c r="J204" s="24"/>
    </row>
    <row r="205" spans="7:10" x14ac:dyDescent="0.25">
      <c r="G205" s="24" t="str">
        <f>IF(tblEmployee[[#This Row],[Payable Flag]]="Y","Pay","No Pay")</f>
        <v>No Pay</v>
      </c>
      <c r="H20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05" s="24">
        <f>IF(tblEmployee[[#This Row],[Payable Flag]]="N",0,1)</f>
        <v>0</v>
      </c>
      <c r="J205" s="24"/>
    </row>
    <row r="206" spans="7:10" x14ac:dyDescent="0.25">
      <c r="G206" s="24" t="str">
        <f>IF(tblEmployee[[#This Row],[Payable Flag]]="Y","Pay","No Pay")</f>
        <v>No Pay</v>
      </c>
      <c r="H20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06" s="24">
        <f>IF(tblEmployee[[#This Row],[Payable Flag]]="N",0,1)</f>
        <v>0</v>
      </c>
      <c r="J206" s="24"/>
    </row>
    <row r="207" spans="7:10" x14ac:dyDescent="0.25">
      <c r="G207" s="24" t="str">
        <f>IF(tblEmployee[[#This Row],[Payable Flag]]="Y","Pay","No Pay")</f>
        <v>No Pay</v>
      </c>
      <c r="H20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07" s="24">
        <f>IF(tblEmployee[[#This Row],[Payable Flag]]="N",0,1)</f>
        <v>0</v>
      </c>
      <c r="J207" s="24"/>
    </row>
    <row r="208" spans="7:10" x14ac:dyDescent="0.25">
      <c r="G208" s="24" t="str">
        <f>IF(tblEmployee[[#This Row],[Payable Flag]]="Y","Pay","No Pay")</f>
        <v>No Pay</v>
      </c>
      <c r="H20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08" s="24">
        <f>IF(tblEmployee[[#This Row],[Payable Flag]]="N",0,1)</f>
        <v>0</v>
      </c>
      <c r="J208" s="24"/>
    </row>
    <row r="209" spans="7:10" x14ac:dyDescent="0.25">
      <c r="G209" s="24" t="str">
        <f>IF(tblEmployee[[#This Row],[Payable Flag]]="Y","Pay","No Pay")</f>
        <v>No Pay</v>
      </c>
      <c r="H20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09" s="24">
        <f>IF(tblEmployee[[#This Row],[Payable Flag]]="N",0,1)</f>
        <v>0</v>
      </c>
      <c r="J209" s="24"/>
    </row>
    <row r="210" spans="7:10" x14ac:dyDescent="0.25">
      <c r="G210" s="24" t="str">
        <f>IF(tblEmployee[[#This Row],[Payable Flag]]="Y","Pay","No Pay")</f>
        <v>No Pay</v>
      </c>
      <c r="H21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10" s="24">
        <f>IF(tblEmployee[[#This Row],[Payable Flag]]="N",0,1)</f>
        <v>0</v>
      </c>
      <c r="J210" s="24"/>
    </row>
    <row r="211" spans="7:10" x14ac:dyDescent="0.25">
      <c r="G211" s="24" t="str">
        <f>IF(tblEmployee[[#This Row],[Payable Flag]]="Y","Pay","No Pay")</f>
        <v>No Pay</v>
      </c>
      <c r="H21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11" s="24">
        <f>IF(tblEmployee[[#This Row],[Payable Flag]]="N",0,1)</f>
        <v>0</v>
      </c>
      <c r="J211" s="24"/>
    </row>
    <row r="212" spans="7:10" x14ac:dyDescent="0.25">
      <c r="G212" s="24" t="str">
        <f>IF(tblEmployee[[#This Row],[Payable Flag]]="Y","Pay","No Pay")</f>
        <v>No Pay</v>
      </c>
      <c r="H21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12" s="24">
        <f>IF(tblEmployee[[#This Row],[Payable Flag]]="N",0,1)</f>
        <v>0</v>
      </c>
      <c r="J212" s="24"/>
    </row>
    <row r="213" spans="7:10" x14ac:dyDescent="0.25">
      <c r="G213" s="24" t="str">
        <f>IF(tblEmployee[[#This Row],[Payable Flag]]="Y","Pay","No Pay")</f>
        <v>No Pay</v>
      </c>
      <c r="H21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13" s="24">
        <f>IF(tblEmployee[[#This Row],[Payable Flag]]="N",0,1)</f>
        <v>0</v>
      </c>
      <c r="J213" s="24"/>
    </row>
    <row r="214" spans="7:10" x14ac:dyDescent="0.25">
      <c r="G214" s="24" t="str">
        <f>IF(tblEmployee[[#This Row],[Payable Flag]]="Y","Pay","No Pay")</f>
        <v>No Pay</v>
      </c>
      <c r="H21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14" s="24">
        <f>IF(tblEmployee[[#This Row],[Payable Flag]]="N",0,1)</f>
        <v>0</v>
      </c>
      <c r="J214" s="24"/>
    </row>
    <row r="215" spans="7:10" x14ac:dyDescent="0.25">
      <c r="G215" s="24" t="str">
        <f>IF(tblEmployee[[#This Row],[Payable Flag]]="Y","Pay","No Pay")</f>
        <v>No Pay</v>
      </c>
      <c r="H21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15" s="24">
        <f>IF(tblEmployee[[#This Row],[Payable Flag]]="N",0,1)</f>
        <v>0</v>
      </c>
      <c r="J215" s="24"/>
    </row>
    <row r="216" spans="7:10" x14ac:dyDescent="0.25">
      <c r="G216" s="24" t="str">
        <f>IF(tblEmployee[[#This Row],[Payable Flag]]="Y","Pay","No Pay")</f>
        <v>No Pay</v>
      </c>
      <c r="H21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16" s="24">
        <f>IF(tblEmployee[[#This Row],[Payable Flag]]="N",0,1)</f>
        <v>0</v>
      </c>
      <c r="J216" s="24"/>
    </row>
    <row r="217" spans="7:10" x14ac:dyDescent="0.25">
      <c r="G217" s="24" t="str">
        <f>IF(tblEmployee[[#This Row],[Payable Flag]]="Y","Pay","No Pay")</f>
        <v>No Pay</v>
      </c>
      <c r="H21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17" s="24">
        <f>IF(tblEmployee[[#This Row],[Payable Flag]]="N",0,1)</f>
        <v>0</v>
      </c>
      <c r="J217" s="24"/>
    </row>
    <row r="218" spans="7:10" x14ac:dyDescent="0.25">
      <c r="G218" s="24" t="str">
        <f>IF(tblEmployee[[#This Row],[Payable Flag]]="Y","Pay","No Pay")</f>
        <v>No Pay</v>
      </c>
      <c r="H21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18" s="24">
        <f>IF(tblEmployee[[#This Row],[Payable Flag]]="N",0,1)</f>
        <v>0</v>
      </c>
      <c r="J218" s="24"/>
    </row>
    <row r="219" spans="7:10" x14ac:dyDescent="0.25">
      <c r="G219" s="24" t="str">
        <f>IF(tblEmployee[[#This Row],[Payable Flag]]="Y","Pay","No Pay")</f>
        <v>No Pay</v>
      </c>
      <c r="H21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19" s="24">
        <f>IF(tblEmployee[[#This Row],[Payable Flag]]="N",0,1)</f>
        <v>0</v>
      </c>
      <c r="J219" s="24"/>
    </row>
    <row r="220" spans="7:10" x14ac:dyDescent="0.25">
      <c r="G220" s="24" t="str">
        <f>IF(tblEmployee[[#This Row],[Payable Flag]]="Y","Pay","No Pay")</f>
        <v>No Pay</v>
      </c>
      <c r="H22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20" s="24">
        <f>IF(tblEmployee[[#This Row],[Payable Flag]]="N",0,1)</f>
        <v>0</v>
      </c>
      <c r="J220" s="24"/>
    </row>
    <row r="221" spans="7:10" x14ac:dyDescent="0.25">
      <c r="G221" s="24" t="str">
        <f>IF(tblEmployee[[#This Row],[Payable Flag]]="Y","Pay","No Pay")</f>
        <v>No Pay</v>
      </c>
      <c r="H22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21" s="24">
        <f>IF(tblEmployee[[#This Row],[Payable Flag]]="N",0,1)</f>
        <v>0</v>
      </c>
      <c r="J221" s="24"/>
    </row>
    <row r="222" spans="7:10" x14ac:dyDescent="0.25">
      <c r="G222" s="24" t="str">
        <f>IF(tblEmployee[[#This Row],[Payable Flag]]="Y","Pay","No Pay")</f>
        <v>No Pay</v>
      </c>
      <c r="H22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22" s="24">
        <f>IF(tblEmployee[[#This Row],[Payable Flag]]="N",0,1)</f>
        <v>0</v>
      </c>
      <c r="J222" s="24"/>
    </row>
    <row r="223" spans="7:10" x14ac:dyDescent="0.25">
      <c r="G223" s="24" t="str">
        <f>IF(tblEmployee[[#This Row],[Payable Flag]]="Y","Pay","No Pay")</f>
        <v>No Pay</v>
      </c>
      <c r="H22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23" s="24">
        <f>IF(tblEmployee[[#This Row],[Payable Flag]]="N",0,1)</f>
        <v>0</v>
      </c>
      <c r="J223" s="24"/>
    </row>
    <row r="224" spans="7:10" x14ac:dyDescent="0.25">
      <c r="G224" s="24" t="str">
        <f>IF(tblEmployee[[#This Row],[Payable Flag]]="Y","Pay","No Pay")</f>
        <v>No Pay</v>
      </c>
      <c r="H22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24" s="24">
        <f>IF(tblEmployee[[#This Row],[Payable Flag]]="N",0,1)</f>
        <v>0</v>
      </c>
      <c r="J224" s="24"/>
    </row>
    <row r="225" spans="7:10" x14ac:dyDescent="0.25">
      <c r="G225" s="24" t="str">
        <f>IF(tblEmployee[[#This Row],[Payable Flag]]="Y","Pay","No Pay")</f>
        <v>No Pay</v>
      </c>
      <c r="H22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25" s="24">
        <f>IF(tblEmployee[[#This Row],[Payable Flag]]="N",0,1)</f>
        <v>0</v>
      </c>
      <c r="J225" s="24"/>
    </row>
    <row r="226" spans="7:10" x14ac:dyDescent="0.25">
      <c r="G226" s="24" t="str">
        <f>IF(tblEmployee[[#This Row],[Payable Flag]]="Y","Pay","No Pay")</f>
        <v>No Pay</v>
      </c>
      <c r="H22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26" s="24">
        <f>IF(tblEmployee[[#This Row],[Payable Flag]]="N",0,1)</f>
        <v>0</v>
      </c>
      <c r="J226" s="24"/>
    </row>
    <row r="227" spans="7:10" x14ac:dyDescent="0.25">
      <c r="G227" s="24" t="str">
        <f>IF(tblEmployee[[#This Row],[Payable Flag]]="Y","Pay","No Pay")</f>
        <v>No Pay</v>
      </c>
      <c r="H22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27" s="24">
        <f>IF(tblEmployee[[#This Row],[Payable Flag]]="N",0,1)</f>
        <v>0</v>
      </c>
      <c r="J227" s="24"/>
    </row>
    <row r="228" spans="7:10" x14ac:dyDescent="0.25">
      <c r="G228" s="24" t="str">
        <f>IF(tblEmployee[[#This Row],[Payable Flag]]="Y","Pay","No Pay")</f>
        <v>No Pay</v>
      </c>
      <c r="H22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28" s="24">
        <f>IF(tblEmployee[[#This Row],[Payable Flag]]="N",0,1)</f>
        <v>0</v>
      </c>
      <c r="J228" s="24"/>
    </row>
    <row r="229" spans="7:10" x14ac:dyDescent="0.25">
      <c r="G229" s="24" t="str">
        <f>IF(tblEmployee[[#This Row],[Payable Flag]]="Y","Pay","No Pay")</f>
        <v>No Pay</v>
      </c>
      <c r="H22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29" s="24">
        <f>IF(tblEmployee[[#This Row],[Payable Flag]]="N",0,1)</f>
        <v>0</v>
      </c>
      <c r="J229" s="24"/>
    </row>
    <row r="230" spans="7:10" x14ac:dyDescent="0.25">
      <c r="G230" s="24" t="str">
        <f>IF(tblEmployee[[#This Row],[Payable Flag]]="Y","Pay","No Pay")</f>
        <v>No Pay</v>
      </c>
      <c r="H23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30" s="24">
        <f>IF(tblEmployee[[#This Row],[Payable Flag]]="N",0,1)</f>
        <v>0</v>
      </c>
      <c r="J230" s="24"/>
    </row>
    <row r="231" spans="7:10" x14ac:dyDescent="0.25">
      <c r="G231" s="24" t="str">
        <f>IF(tblEmployee[[#This Row],[Payable Flag]]="Y","Pay","No Pay")</f>
        <v>No Pay</v>
      </c>
      <c r="H23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31" s="24">
        <f>IF(tblEmployee[[#This Row],[Payable Flag]]="N",0,1)</f>
        <v>0</v>
      </c>
      <c r="J231" s="24"/>
    </row>
    <row r="232" spans="7:10" x14ac:dyDescent="0.25">
      <c r="G232" s="24" t="str">
        <f>IF(tblEmployee[[#This Row],[Payable Flag]]="Y","Pay","No Pay")</f>
        <v>No Pay</v>
      </c>
      <c r="H23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32" s="24">
        <f>IF(tblEmployee[[#This Row],[Payable Flag]]="N",0,1)</f>
        <v>0</v>
      </c>
      <c r="J232" s="24"/>
    </row>
    <row r="233" spans="7:10" x14ac:dyDescent="0.25">
      <c r="G233" s="24" t="str">
        <f>IF(tblEmployee[[#This Row],[Payable Flag]]="Y","Pay","No Pay")</f>
        <v>No Pay</v>
      </c>
      <c r="H23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33" s="24">
        <f>IF(tblEmployee[[#This Row],[Payable Flag]]="N",0,1)</f>
        <v>0</v>
      </c>
      <c r="J233" s="24"/>
    </row>
    <row r="234" spans="7:10" x14ac:dyDescent="0.25">
      <c r="G234" s="24" t="str">
        <f>IF(tblEmployee[[#This Row],[Payable Flag]]="Y","Pay","No Pay")</f>
        <v>No Pay</v>
      </c>
      <c r="H23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34" s="24">
        <f>IF(tblEmployee[[#This Row],[Payable Flag]]="N",0,1)</f>
        <v>0</v>
      </c>
      <c r="J234" s="24"/>
    </row>
    <row r="235" spans="7:10" x14ac:dyDescent="0.25">
      <c r="G235" s="24" t="str">
        <f>IF(tblEmployee[[#This Row],[Payable Flag]]="Y","Pay","No Pay")</f>
        <v>No Pay</v>
      </c>
      <c r="H23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35" s="24">
        <f>IF(tblEmployee[[#This Row],[Payable Flag]]="N",0,1)</f>
        <v>0</v>
      </c>
      <c r="J235" s="24"/>
    </row>
    <row r="236" spans="7:10" x14ac:dyDescent="0.25">
      <c r="G236" s="24" t="str">
        <f>IF(tblEmployee[[#This Row],[Payable Flag]]="Y","Pay","No Pay")</f>
        <v>No Pay</v>
      </c>
      <c r="H23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36" s="24">
        <f>IF(tblEmployee[[#This Row],[Payable Flag]]="N",0,1)</f>
        <v>0</v>
      </c>
      <c r="J236" s="24"/>
    </row>
    <row r="237" spans="7:10" x14ac:dyDescent="0.25">
      <c r="G237" s="24" t="str">
        <f>IF(tblEmployee[[#This Row],[Payable Flag]]="Y","Pay","No Pay")</f>
        <v>No Pay</v>
      </c>
      <c r="H23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37" s="24">
        <f>IF(tblEmployee[[#This Row],[Payable Flag]]="N",0,1)</f>
        <v>0</v>
      </c>
      <c r="J237" s="24"/>
    </row>
    <row r="238" spans="7:10" x14ac:dyDescent="0.25">
      <c r="G238" s="24" t="str">
        <f>IF(tblEmployee[[#This Row],[Payable Flag]]="Y","Pay","No Pay")</f>
        <v>No Pay</v>
      </c>
      <c r="H23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38" s="24">
        <f>IF(tblEmployee[[#This Row],[Payable Flag]]="N",0,1)</f>
        <v>0</v>
      </c>
      <c r="J238" s="24"/>
    </row>
    <row r="239" spans="7:10" x14ac:dyDescent="0.25">
      <c r="G239" s="24" t="str">
        <f>IF(tblEmployee[[#This Row],[Payable Flag]]="Y","Pay","No Pay")</f>
        <v>No Pay</v>
      </c>
      <c r="H23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39" s="24">
        <f>IF(tblEmployee[[#This Row],[Payable Flag]]="N",0,1)</f>
        <v>0</v>
      </c>
      <c r="J239" s="24"/>
    </row>
    <row r="240" spans="7:10" x14ac:dyDescent="0.25">
      <c r="G240" s="24" t="str">
        <f>IF(tblEmployee[[#This Row],[Payable Flag]]="Y","Pay","No Pay")</f>
        <v>No Pay</v>
      </c>
      <c r="H24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40" s="24">
        <f>IF(tblEmployee[[#This Row],[Payable Flag]]="N",0,1)</f>
        <v>0</v>
      </c>
      <c r="J240" s="24"/>
    </row>
    <row r="241" spans="7:10" x14ac:dyDescent="0.25">
      <c r="G241" s="24" t="str">
        <f>IF(tblEmployee[[#This Row],[Payable Flag]]="Y","Pay","No Pay")</f>
        <v>No Pay</v>
      </c>
      <c r="H24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41" s="24">
        <f>IF(tblEmployee[[#This Row],[Payable Flag]]="N",0,1)</f>
        <v>0</v>
      </c>
      <c r="J241" s="24"/>
    </row>
    <row r="242" spans="7:10" x14ac:dyDescent="0.25">
      <c r="G242" s="24" t="str">
        <f>IF(tblEmployee[[#This Row],[Payable Flag]]="Y","Pay","No Pay")</f>
        <v>No Pay</v>
      </c>
      <c r="H24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42" s="24">
        <f>IF(tblEmployee[[#This Row],[Payable Flag]]="N",0,1)</f>
        <v>0</v>
      </c>
      <c r="J242" s="24"/>
    </row>
    <row r="243" spans="7:10" x14ac:dyDescent="0.25">
      <c r="G243" s="24" t="str">
        <f>IF(tblEmployee[[#This Row],[Payable Flag]]="Y","Pay","No Pay")</f>
        <v>No Pay</v>
      </c>
      <c r="H24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43" s="24">
        <f>IF(tblEmployee[[#This Row],[Payable Flag]]="N",0,1)</f>
        <v>0</v>
      </c>
      <c r="J243" s="24"/>
    </row>
    <row r="244" spans="7:10" x14ac:dyDescent="0.25">
      <c r="G244" s="24" t="str">
        <f>IF(tblEmployee[[#This Row],[Payable Flag]]="Y","Pay","No Pay")</f>
        <v>No Pay</v>
      </c>
      <c r="H24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44" s="24">
        <f>IF(tblEmployee[[#This Row],[Payable Flag]]="N",0,1)</f>
        <v>0</v>
      </c>
      <c r="J244" s="24"/>
    </row>
    <row r="245" spans="7:10" x14ac:dyDescent="0.25">
      <c r="G245" s="24" t="str">
        <f>IF(tblEmployee[[#This Row],[Payable Flag]]="Y","Pay","No Pay")</f>
        <v>No Pay</v>
      </c>
      <c r="H24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45" s="24">
        <f>IF(tblEmployee[[#This Row],[Payable Flag]]="N",0,1)</f>
        <v>0</v>
      </c>
      <c r="J245" s="24"/>
    </row>
    <row r="246" spans="7:10" x14ac:dyDescent="0.25">
      <c r="G246" s="24" t="str">
        <f>IF(tblEmployee[[#This Row],[Payable Flag]]="Y","Pay","No Pay")</f>
        <v>No Pay</v>
      </c>
      <c r="H24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46" s="24">
        <f>IF(tblEmployee[[#This Row],[Payable Flag]]="N",0,1)</f>
        <v>0</v>
      </c>
      <c r="J246" s="24"/>
    </row>
    <row r="247" spans="7:10" x14ac:dyDescent="0.25">
      <c r="G247" s="24" t="str">
        <f>IF(tblEmployee[[#This Row],[Payable Flag]]="Y","Pay","No Pay")</f>
        <v>No Pay</v>
      </c>
      <c r="H24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47" s="24">
        <f>IF(tblEmployee[[#This Row],[Payable Flag]]="N",0,1)</f>
        <v>0</v>
      </c>
      <c r="J247" s="24"/>
    </row>
    <row r="248" spans="7:10" x14ac:dyDescent="0.25">
      <c r="G248" s="24" t="str">
        <f>IF(tblEmployee[[#This Row],[Payable Flag]]="Y","Pay","No Pay")</f>
        <v>No Pay</v>
      </c>
      <c r="H24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48" s="24">
        <f>IF(tblEmployee[[#This Row],[Payable Flag]]="N",0,1)</f>
        <v>0</v>
      </c>
      <c r="J248" s="24"/>
    </row>
    <row r="249" spans="7:10" x14ac:dyDescent="0.25">
      <c r="G249" s="24" t="str">
        <f>IF(tblEmployee[[#This Row],[Payable Flag]]="Y","Pay","No Pay")</f>
        <v>No Pay</v>
      </c>
      <c r="H24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49" s="24">
        <f>IF(tblEmployee[[#This Row],[Payable Flag]]="N",0,1)</f>
        <v>0</v>
      </c>
      <c r="J249" s="24"/>
    </row>
    <row r="250" spans="7:10" x14ac:dyDescent="0.25">
      <c r="G250" s="24" t="str">
        <f>IF(tblEmployee[[#This Row],[Payable Flag]]="Y","Pay","No Pay")</f>
        <v>No Pay</v>
      </c>
      <c r="H25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50" s="24">
        <f>IF(tblEmployee[[#This Row],[Payable Flag]]="N",0,1)</f>
        <v>0</v>
      </c>
      <c r="J250" s="24"/>
    </row>
    <row r="251" spans="7:10" x14ac:dyDescent="0.25">
      <c r="G251" s="24" t="str">
        <f>IF(tblEmployee[[#This Row],[Payable Flag]]="Y","Pay","No Pay")</f>
        <v>No Pay</v>
      </c>
      <c r="H25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51" s="24">
        <f>IF(tblEmployee[[#This Row],[Payable Flag]]="N",0,1)</f>
        <v>0</v>
      </c>
      <c r="J251" s="24"/>
    </row>
    <row r="252" spans="7:10" x14ac:dyDescent="0.25">
      <c r="G252" s="24" t="str">
        <f>IF(tblEmployee[[#This Row],[Payable Flag]]="Y","Pay","No Pay")</f>
        <v>No Pay</v>
      </c>
      <c r="H25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52" s="24">
        <f>IF(tblEmployee[[#This Row],[Payable Flag]]="N",0,1)</f>
        <v>0</v>
      </c>
      <c r="J252" s="24"/>
    </row>
    <row r="253" spans="7:10" x14ac:dyDescent="0.25">
      <c r="G253" s="24" t="str">
        <f>IF(tblEmployee[[#This Row],[Payable Flag]]="Y","Pay","No Pay")</f>
        <v>No Pay</v>
      </c>
      <c r="H25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53" s="24">
        <f>IF(tblEmployee[[#This Row],[Payable Flag]]="N",0,1)</f>
        <v>0</v>
      </c>
      <c r="J253" s="24"/>
    </row>
    <row r="254" spans="7:10" x14ac:dyDescent="0.25">
      <c r="G254" s="24" t="str">
        <f>IF(tblEmployee[[#This Row],[Payable Flag]]="Y","Pay","No Pay")</f>
        <v>No Pay</v>
      </c>
      <c r="H25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54" s="24">
        <f>IF(tblEmployee[[#This Row],[Payable Flag]]="N",0,1)</f>
        <v>0</v>
      </c>
      <c r="J254" s="24"/>
    </row>
    <row r="255" spans="7:10" x14ac:dyDescent="0.25">
      <c r="G255" s="24" t="str">
        <f>IF(tblEmployee[[#This Row],[Payable Flag]]="Y","Pay","No Pay")</f>
        <v>No Pay</v>
      </c>
      <c r="H25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55" s="24">
        <f>IF(tblEmployee[[#This Row],[Payable Flag]]="N",0,1)</f>
        <v>0</v>
      </c>
      <c r="J255" s="24"/>
    </row>
    <row r="256" spans="7:10" x14ac:dyDescent="0.25">
      <c r="G256" s="24" t="str">
        <f>IF(tblEmployee[[#This Row],[Payable Flag]]="Y","Pay","No Pay")</f>
        <v>No Pay</v>
      </c>
      <c r="H25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56" s="24">
        <f>IF(tblEmployee[[#This Row],[Payable Flag]]="N",0,1)</f>
        <v>0</v>
      </c>
      <c r="J256" s="24"/>
    </row>
    <row r="257" spans="7:10" x14ac:dyDescent="0.25">
      <c r="G257" s="24" t="str">
        <f>IF(tblEmployee[[#This Row],[Payable Flag]]="Y","Pay","No Pay")</f>
        <v>No Pay</v>
      </c>
      <c r="H25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57" s="24">
        <f>IF(tblEmployee[[#This Row],[Payable Flag]]="N",0,1)</f>
        <v>0</v>
      </c>
      <c r="J257" s="24"/>
    </row>
    <row r="258" spans="7:10" x14ac:dyDescent="0.25">
      <c r="G258" s="24" t="str">
        <f>IF(tblEmployee[[#This Row],[Payable Flag]]="Y","Pay","No Pay")</f>
        <v>No Pay</v>
      </c>
      <c r="H25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58" s="24">
        <f>IF(tblEmployee[[#This Row],[Payable Flag]]="N",0,1)</f>
        <v>0</v>
      </c>
      <c r="J258" s="24"/>
    </row>
    <row r="259" spans="7:10" x14ac:dyDescent="0.25">
      <c r="G259" s="24" t="str">
        <f>IF(tblEmployee[[#This Row],[Payable Flag]]="Y","Pay","No Pay")</f>
        <v>No Pay</v>
      </c>
      <c r="H25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59" s="24">
        <f>IF(tblEmployee[[#This Row],[Payable Flag]]="N",0,1)</f>
        <v>0</v>
      </c>
      <c r="J259" s="24"/>
    </row>
    <row r="260" spans="7:10" x14ac:dyDescent="0.25">
      <c r="G260" s="24" t="str">
        <f>IF(tblEmployee[[#This Row],[Payable Flag]]="Y","Pay","No Pay")</f>
        <v>No Pay</v>
      </c>
      <c r="H26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60" s="24">
        <f>IF(tblEmployee[[#This Row],[Payable Flag]]="N",0,1)</f>
        <v>0</v>
      </c>
      <c r="J260" s="24"/>
    </row>
    <row r="261" spans="7:10" x14ac:dyDescent="0.25">
      <c r="G261" s="24" t="str">
        <f>IF(tblEmployee[[#This Row],[Payable Flag]]="Y","Pay","No Pay")</f>
        <v>No Pay</v>
      </c>
      <c r="H26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61" s="24">
        <f>IF(tblEmployee[[#This Row],[Payable Flag]]="N",0,1)</f>
        <v>0</v>
      </c>
      <c r="J261" s="24"/>
    </row>
    <row r="262" spans="7:10" x14ac:dyDescent="0.25">
      <c r="G262" s="24" t="str">
        <f>IF(tblEmployee[[#This Row],[Payable Flag]]="Y","Pay","No Pay")</f>
        <v>No Pay</v>
      </c>
      <c r="H26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62" s="24">
        <f>IF(tblEmployee[[#This Row],[Payable Flag]]="N",0,1)</f>
        <v>0</v>
      </c>
      <c r="J262" s="24"/>
    </row>
    <row r="263" spans="7:10" x14ac:dyDescent="0.25">
      <c r="G263" s="24" t="str">
        <f>IF(tblEmployee[[#This Row],[Payable Flag]]="Y","Pay","No Pay")</f>
        <v>No Pay</v>
      </c>
      <c r="H26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63" s="24">
        <f>IF(tblEmployee[[#This Row],[Payable Flag]]="N",0,1)</f>
        <v>0</v>
      </c>
      <c r="J263" s="24"/>
    </row>
    <row r="264" spans="7:10" x14ac:dyDescent="0.25">
      <c r="G264" s="24" t="str">
        <f>IF(tblEmployee[[#This Row],[Payable Flag]]="Y","Pay","No Pay")</f>
        <v>No Pay</v>
      </c>
      <c r="H26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64" s="24">
        <f>IF(tblEmployee[[#This Row],[Payable Flag]]="N",0,1)</f>
        <v>0</v>
      </c>
      <c r="J264" s="24"/>
    </row>
    <row r="265" spans="7:10" x14ac:dyDescent="0.25">
      <c r="G265" s="24" t="str">
        <f>IF(tblEmployee[[#This Row],[Payable Flag]]="Y","Pay","No Pay")</f>
        <v>No Pay</v>
      </c>
      <c r="H26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65" s="24">
        <f>IF(tblEmployee[[#This Row],[Payable Flag]]="N",0,1)</f>
        <v>0</v>
      </c>
      <c r="J265" s="24"/>
    </row>
    <row r="266" spans="7:10" x14ac:dyDescent="0.25">
      <c r="G266" s="24" t="str">
        <f>IF(tblEmployee[[#This Row],[Payable Flag]]="Y","Pay","No Pay")</f>
        <v>No Pay</v>
      </c>
      <c r="H26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66" s="24">
        <f>IF(tblEmployee[[#This Row],[Payable Flag]]="N",0,1)</f>
        <v>0</v>
      </c>
      <c r="J266" s="24"/>
    </row>
    <row r="267" spans="7:10" x14ac:dyDescent="0.25">
      <c r="G267" s="24" t="str">
        <f>IF(tblEmployee[[#This Row],[Payable Flag]]="Y","Pay","No Pay")</f>
        <v>No Pay</v>
      </c>
      <c r="H26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67" s="24">
        <f>IF(tblEmployee[[#This Row],[Payable Flag]]="N",0,1)</f>
        <v>0</v>
      </c>
      <c r="J267" s="24"/>
    </row>
    <row r="268" spans="7:10" x14ac:dyDescent="0.25">
      <c r="G268" s="24" t="str">
        <f>IF(tblEmployee[[#This Row],[Payable Flag]]="Y","Pay","No Pay")</f>
        <v>No Pay</v>
      </c>
      <c r="H26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68" s="24">
        <f>IF(tblEmployee[[#This Row],[Payable Flag]]="N",0,1)</f>
        <v>0</v>
      </c>
      <c r="J268" s="24"/>
    </row>
    <row r="269" spans="7:10" x14ac:dyDescent="0.25">
      <c r="G269" s="24" t="str">
        <f>IF(tblEmployee[[#This Row],[Payable Flag]]="Y","Pay","No Pay")</f>
        <v>No Pay</v>
      </c>
      <c r="H26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69" s="24">
        <f>IF(tblEmployee[[#This Row],[Payable Flag]]="N",0,1)</f>
        <v>0</v>
      </c>
      <c r="J269" s="24"/>
    </row>
    <row r="270" spans="7:10" x14ac:dyDescent="0.25">
      <c r="G270" s="24" t="str">
        <f>IF(tblEmployee[[#This Row],[Payable Flag]]="Y","Pay","No Pay")</f>
        <v>No Pay</v>
      </c>
      <c r="H27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70" s="24">
        <f>IF(tblEmployee[[#This Row],[Payable Flag]]="N",0,1)</f>
        <v>0</v>
      </c>
      <c r="J270" s="24"/>
    </row>
    <row r="271" spans="7:10" x14ac:dyDescent="0.25">
      <c r="G271" s="24" t="str">
        <f>IF(tblEmployee[[#This Row],[Payable Flag]]="Y","Pay","No Pay")</f>
        <v>No Pay</v>
      </c>
      <c r="H27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71" s="24">
        <f>IF(tblEmployee[[#This Row],[Payable Flag]]="N",0,1)</f>
        <v>0</v>
      </c>
      <c r="J271" s="24"/>
    </row>
    <row r="272" spans="7:10" x14ac:dyDescent="0.25">
      <c r="G272" s="24" t="str">
        <f>IF(tblEmployee[[#This Row],[Payable Flag]]="Y","Pay","No Pay")</f>
        <v>No Pay</v>
      </c>
      <c r="H27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72" s="24">
        <f>IF(tblEmployee[[#This Row],[Payable Flag]]="N",0,1)</f>
        <v>0</v>
      </c>
      <c r="J272" s="24"/>
    </row>
    <row r="273" spans="7:10" x14ac:dyDescent="0.25">
      <c r="G273" s="24" t="str">
        <f>IF(tblEmployee[[#This Row],[Payable Flag]]="Y","Pay","No Pay")</f>
        <v>No Pay</v>
      </c>
      <c r="H27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73" s="24">
        <f>IF(tblEmployee[[#This Row],[Payable Flag]]="N",0,1)</f>
        <v>0</v>
      </c>
      <c r="J273" s="24"/>
    </row>
    <row r="274" spans="7:10" x14ac:dyDescent="0.25">
      <c r="G274" s="24" t="str">
        <f>IF(tblEmployee[[#This Row],[Payable Flag]]="Y","Pay","No Pay")</f>
        <v>No Pay</v>
      </c>
      <c r="H27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74" s="24">
        <f>IF(tblEmployee[[#This Row],[Payable Flag]]="N",0,1)</f>
        <v>0</v>
      </c>
      <c r="J274" s="24"/>
    </row>
    <row r="275" spans="7:10" x14ac:dyDescent="0.25">
      <c r="G275" s="24" t="str">
        <f>IF(tblEmployee[[#This Row],[Payable Flag]]="Y","Pay","No Pay")</f>
        <v>No Pay</v>
      </c>
      <c r="H27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75" s="24">
        <f>IF(tblEmployee[[#This Row],[Payable Flag]]="N",0,1)</f>
        <v>0</v>
      </c>
      <c r="J275" s="24"/>
    </row>
    <row r="276" spans="7:10" x14ac:dyDescent="0.25">
      <c r="G276" s="24" t="str">
        <f>IF(tblEmployee[[#This Row],[Payable Flag]]="Y","Pay","No Pay")</f>
        <v>No Pay</v>
      </c>
      <c r="H27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76" s="24">
        <f>IF(tblEmployee[[#This Row],[Payable Flag]]="N",0,1)</f>
        <v>0</v>
      </c>
      <c r="J276" s="24"/>
    </row>
    <row r="277" spans="7:10" x14ac:dyDescent="0.25">
      <c r="G277" s="24" t="str">
        <f>IF(tblEmployee[[#This Row],[Payable Flag]]="Y","Pay","No Pay")</f>
        <v>No Pay</v>
      </c>
      <c r="H27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77" s="24">
        <f>IF(tblEmployee[[#This Row],[Payable Flag]]="N",0,1)</f>
        <v>0</v>
      </c>
      <c r="J277" s="24"/>
    </row>
    <row r="278" spans="7:10" x14ac:dyDescent="0.25">
      <c r="G278" s="24" t="str">
        <f>IF(tblEmployee[[#This Row],[Payable Flag]]="Y","Pay","No Pay")</f>
        <v>No Pay</v>
      </c>
      <c r="H27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78" s="24">
        <f>IF(tblEmployee[[#This Row],[Payable Flag]]="N",0,1)</f>
        <v>0</v>
      </c>
      <c r="J278" s="24"/>
    </row>
    <row r="279" spans="7:10" x14ac:dyDescent="0.25">
      <c r="G279" s="24" t="str">
        <f>IF(tblEmployee[[#This Row],[Payable Flag]]="Y","Pay","No Pay")</f>
        <v>No Pay</v>
      </c>
      <c r="H27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79" s="24">
        <f>IF(tblEmployee[[#This Row],[Payable Flag]]="N",0,1)</f>
        <v>0</v>
      </c>
      <c r="J279" s="24"/>
    </row>
    <row r="280" spans="7:10" x14ac:dyDescent="0.25">
      <c r="G280" s="24" t="str">
        <f>IF(tblEmployee[[#This Row],[Payable Flag]]="Y","Pay","No Pay")</f>
        <v>No Pay</v>
      </c>
      <c r="H28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80" s="24">
        <f>IF(tblEmployee[[#This Row],[Payable Flag]]="N",0,1)</f>
        <v>0</v>
      </c>
      <c r="J280" s="24"/>
    </row>
    <row r="281" spans="7:10" x14ac:dyDescent="0.25">
      <c r="G281" s="24" t="str">
        <f>IF(tblEmployee[[#This Row],[Payable Flag]]="Y","Pay","No Pay")</f>
        <v>No Pay</v>
      </c>
      <c r="H28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81" s="24">
        <f>IF(tblEmployee[[#This Row],[Payable Flag]]="N",0,1)</f>
        <v>0</v>
      </c>
      <c r="J281" s="24"/>
    </row>
    <row r="282" spans="7:10" x14ac:dyDescent="0.25">
      <c r="G282" s="24" t="str">
        <f>IF(tblEmployee[[#This Row],[Payable Flag]]="Y","Pay","No Pay")</f>
        <v>No Pay</v>
      </c>
      <c r="H28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82" s="24">
        <f>IF(tblEmployee[[#This Row],[Payable Flag]]="N",0,1)</f>
        <v>0</v>
      </c>
      <c r="J282" s="24"/>
    </row>
    <row r="283" spans="7:10" x14ac:dyDescent="0.25">
      <c r="G283" s="24" t="str">
        <f>IF(tblEmployee[[#This Row],[Payable Flag]]="Y","Pay","No Pay")</f>
        <v>No Pay</v>
      </c>
      <c r="H28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83" s="24">
        <f>IF(tblEmployee[[#This Row],[Payable Flag]]="N",0,1)</f>
        <v>0</v>
      </c>
      <c r="J283" s="24"/>
    </row>
    <row r="284" spans="7:10" x14ac:dyDescent="0.25">
      <c r="G284" s="24" t="str">
        <f>IF(tblEmployee[[#This Row],[Payable Flag]]="Y","Pay","No Pay")</f>
        <v>No Pay</v>
      </c>
      <c r="H28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84" s="24">
        <f>IF(tblEmployee[[#This Row],[Payable Flag]]="N",0,1)</f>
        <v>0</v>
      </c>
      <c r="J284" s="24"/>
    </row>
    <row r="285" spans="7:10" x14ac:dyDescent="0.25">
      <c r="G285" s="24" t="str">
        <f>IF(tblEmployee[[#This Row],[Payable Flag]]="Y","Pay","No Pay")</f>
        <v>No Pay</v>
      </c>
      <c r="H28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85" s="24">
        <f>IF(tblEmployee[[#This Row],[Payable Flag]]="N",0,1)</f>
        <v>0</v>
      </c>
      <c r="J285" s="24"/>
    </row>
    <row r="286" spans="7:10" x14ac:dyDescent="0.25">
      <c r="G286" s="24" t="str">
        <f>IF(tblEmployee[[#This Row],[Payable Flag]]="Y","Pay","No Pay")</f>
        <v>No Pay</v>
      </c>
      <c r="H28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86" s="24">
        <f>IF(tblEmployee[[#This Row],[Payable Flag]]="N",0,1)</f>
        <v>0</v>
      </c>
      <c r="J286" s="24"/>
    </row>
    <row r="287" spans="7:10" x14ac:dyDescent="0.25">
      <c r="G287" s="24" t="str">
        <f>IF(tblEmployee[[#This Row],[Payable Flag]]="Y","Pay","No Pay")</f>
        <v>No Pay</v>
      </c>
      <c r="H28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87" s="24">
        <f>IF(tblEmployee[[#This Row],[Payable Flag]]="N",0,1)</f>
        <v>0</v>
      </c>
      <c r="J287" s="24"/>
    </row>
    <row r="288" spans="7:10" x14ac:dyDescent="0.25">
      <c r="G288" s="24" t="str">
        <f>IF(tblEmployee[[#This Row],[Payable Flag]]="Y","Pay","No Pay")</f>
        <v>No Pay</v>
      </c>
      <c r="H28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88" s="24">
        <f>IF(tblEmployee[[#This Row],[Payable Flag]]="N",0,1)</f>
        <v>0</v>
      </c>
      <c r="J288" s="24"/>
    </row>
    <row r="289" spans="7:10" x14ac:dyDescent="0.25">
      <c r="G289" s="24" t="str">
        <f>IF(tblEmployee[[#This Row],[Payable Flag]]="Y","Pay","No Pay")</f>
        <v>No Pay</v>
      </c>
      <c r="H28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89" s="24">
        <f>IF(tblEmployee[[#This Row],[Payable Flag]]="N",0,1)</f>
        <v>0</v>
      </c>
      <c r="J289" s="24"/>
    </row>
    <row r="290" spans="7:10" x14ac:dyDescent="0.25">
      <c r="G290" s="24" t="str">
        <f>IF(tblEmployee[[#This Row],[Payable Flag]]="Y","Pay","No Pay")</f>
        <v>No Pay</v>
      </c>
      <c r="H29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90" s="24">
        <f>IF(tblEmployee[[#This Row],[Payable Flag]]="N",0,1)</f>
        <v>0</v>
      </c>
      <c r="J290" s="24"/>
    </row>
    <row r="291" spans="7:10" x14ac:dyDescent="0.25">
      <c r="G291" s="24" t="str">
        <f>IF(tblEmployee[[#This Row],[Payable Flag]]="Y","Pay","No Pay")</f>
        <v>No Pay</v>
      </c>
      <c r="H29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91" s="24">
        <f>IF(tblEmployee[[#This Row],[Payable Flag]]="N",0,1)</f>
        <v>0</v>
      </c>
      <c r="J291" s="24"/>
    </row>
    <row r="292" spans="7:10" x14ac:dyDescent="0.25">
      <c r="G292" s="24" t="str">
        <f>IF(tblEmployee[[#This Row],[Payable Flag]]="Y","Pay","No Pay")</f>
        <v>No Pay</v>
      </c>
      <c r="H29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92" s="24">
        <f>IF(tblEmployee[[#This Row],[Payable Flag]]="N",0,1)</f>
        <v>0</v>
      </c>
      <c r="J292" s="24"/>
    </row>
    <row r="293" spans="7:10" x14ac:dyDescent="0.25">
      <c r="G293" s="24" t="str">
        <f>IF(tblEmployee[[#This Row],[Payable Flag]]="Y","Pay","No Pay")</f>
        <v>No Pay</v>
      </c>
      <c r="H29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93" s="24">
        <f>IF(tblEmployee[[#This Row],[Payable Flag]]="N",0,1)</f>
        <v>0</v>
      </c>
      <c r="J293" s="24"/>
    </row>
    <row r="294" spans="7:10" x14ac:dyDescent="0.25">
      <c r="G294" s="24" t="str">
        <f>IF(tblEmployee[[#This Row],[Payable Flag]]="Y","Pay","No Pay")</f>
        <v>No Pay</v>
      </c>
      <c r="H29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94" s="24">
        <f>IF(tblEmployee[[#This Row],[Payable Flag]]="N",0,1)</f>
        <v>0</v>
      </c>
      <c r="J294" s="24"/>
    </row>
    <row r="295" spans="7:10" x14ac:dyDescent="0.25">
      <c r="G295" s="24" t="str">
        <f>IF(tblEmployee[[#This Row],[Payable Flag]]="Y","Pay","No Pay")</f>
        <v>No Pay</v>
      </c>
      <c r="H29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95" s="24">
        <f>IF(tblEmployee[[#This Row],[Payable Flag]]="N",0,1)</f>
        <v>0</v>
      </c>
      <c r="J295" s="24"/>
    </row>
    <row r="296" spans="7:10" x14ac:dyDescent="0.25">
      <c r="G296" s="24" t="str">
        <f>IF(tblEmployee[[#This Row],[Payable Flag]]="Y","Pay","No Pay")</f>
        <v>No Pay</v>
      </c>
      <c r="H29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96" s="24">
        <f>IF(tblEmployee[[#This Row],[Payable Flag]]="N",0,1)</f>
        <v>0</v>
      </c>
      <c r="J296" s="24"/>
    </row>
    <row r="297" spans="7:10" x14ac:dyDescent="0.25">
      <c r="G297" s="24" t="str">
        <f>IF(tblEmployee[[#This Row],[Payable Flag]]="Y","Pay","No Pay")</f>
        <v>No Pay</v>
      </c>
      <c r="H29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97" s="24">
        <f>IF(tblEmployee[[#This Row],[Payable Flag]]="N",0,1)</f>
        <v>0</v>
      </c>
      <c r="J297" s="24"/>
    </row>
    <row r="298" spans="7:10" x14ac:dyDescent="0.25">
      <c r="G298" s="24" t="str">
        <f>IF(tblEmployee[[#This Row],[Payable Flag]]="Y","Pay","No Pay")</f>
        <v>No Pay</v>
      </c>
      <c r="H29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98" s="24">
        <f>IF(tblEmployee[[#This Row],[Payable Flag]]="N",0,1)</f>
        <v>0</v>
      </c>
      <c r="J298" s="24"/>
    </row>
    <row r="299" spans="7:10" x14ac:dyDescent="0.25">
      <c r="G299" s="24" t="str">
        <f>IF(tblEmployee[[#This Row],[Payable Flag]]="Y","Pay","No Pay")</f>
        <v>No Pay</v>
      </c>
      <c r="H29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299" s="24">
        <f>IF(tblEmployee[[#This Row],[Payable Flag]]="N",0,1)</f>
        <v>0</v>
      </c>
      <c r="J299" s="24"/>
    </row>
    <row r="300" spans="7:10" x14ac:dyDescent="0.25">
      <c r="G300" s="24" t="str">
        <f>IF(tblEmployee[[#This Row],[Payable Flag]]="Y","Pay","No Pay")</f>
        <v>No Pay</v>
      </c>
      <c r="H30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00" s="24">
        <f>IF(tblEmployee[[#This Row],[Payable Flag]]="N",0,1)</f>
        <v>0</v>
      </c>
      <c r="J300" s="24"/>
    </row>
    <row r="301" spans="7:10" x14ac:dyDescent="0.25">
      <c r="G301" s="24" t="str">
        <f>IF(tblEmployee[[#This Row],[Payable Flag]]="Y","Pay","No Pay")</f>
        <v>No Pay</v>
      </c>
      <c r="H30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01" s="24">
        <f>IF(tblEmployee[[#This Row],[Payable Flag]]="N",0,1)</f>
        <v>0</v>
      </c>
      <c r="J301" s="24"/>
    </row>
    <row r="302" spans="7:10" x14ac:dyDescent="0.25">
      <c r="G302" s="24" t="str">
        <f>IF(tblEmployee[[#This Row],[Payable Flag]]="Y","Pay","No Pay")</f>
        <v>No Pay</v>
      </c>
      <c r="H30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02" s="24">
        <f>IF(tblEmployee[[#This Row],[Payable Flag]]="N",0,1)</f>
        <v>0</v>
      </c>
      <c r="J302" s="24"/>
    </row>
    <row r="303" spans="7:10" x14ac:dyDescent="0.25">
      <c r="G303" s="24" t="str">
        <f>IF(tblEmployee[[#This Row],[Payable Flag]]="Y","Pay","No Pay")</f>
        <v>No Pay</v>
      </c>
      <c r="H30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03" s="24">
        <f>IF(tblEmployee[[#This Row],[Payable Flag]]="N",0,1)</f>
        <v>0</v>
      </c>
      <c r="J303" s="24"/>
    </row>
    <row r="304" spans="7:10" x14ac:dyDescent="0.25">
      <c r="G304" s="24" t="str">
        <f>IF(tblEmployee[[#This Row],[Payable Flag]]="Y","Pay","No Pay")</f>
        <v>No Pay</v>
      </c>
      <c r="H30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04" s="24">
        <f>IF(tblEmployee[[#This Row],[Payable Flag]]="N",0,1)</f>
        <v>0</v>
      </c>
      <c r="J304" s="24"/>
    </row>
    <row r="305" spans="7:10" x14ac:dyDescent="0.25">
      <c r="G305" s="24" t="str">
        <f>IF(tblEmployee[[#This Row],[Payable Flag]]="Y","Pay","No Pay")</f>
        <v>No Pay</v>
      </c>
      <c r="H30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05" s="24">
        <f>IF(tblEmployee[[#This Row],[Payable Flag]]="N",0,1)</f>
        <v>0</v>
      </c>
      <c r="J305" s="24"/>
    </row>
    <row r="306" spans="7:10" x14ac:dyDescent="0.25">
      <c r="G306" s="24" t="str">
        <f>IF(tblEmployee[[#This Row],[Payable Flag]]="Y","Pay","No Pay")</f>
        <v>No Pay</v>
      </c>
      <c r="H30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06" s="24">
        <f>IF(tblEmployee[[#This Row],[Payable Flag]]="N",0,1)</f>
        <v>0</v>
      </c>
      <c r="J306" s="24"/>
    </row>
    <row r="307" spans="7:10" x14ac:dyDescent="0.25">
      <c r="G307" s="24" t="str">
        <f>IF(tblEmployee[[#This Row],[Payable Flag]]="Y","Pay","No Pay")</f>
        <v>No Pay</v>
      </c>
      <c r="H30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07" s="24">
        <f>IF(tblEmployee[[#This Row],[Payable Flag]]="N",0,1)</f>
        <v>0</v>
      </c>
      <c r="J307" s="24"/>
    </row>
    <row r="308" spans="7:10" x14ac:dyDescent="0.25">
      <c r="G308" s="24" t="str">
        <f>IF(tblEmployee[[#This Row],[Payable Flag]]="Y","Pay","No Pay")</f>
        <v>No Pay</v>
      </c>
      <c r="H30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08" s="24">
        <f>IF(tblEmployee[[#This Row],[Payable Flag]]="N",0,1)</f>
        <v>0</v>
      </c>
      <c r="J308" s="24"/>
    </row>
    <row r="309" spans="7:10" x14ac:dyDescent="0.25">
      <c r="G309" s="24" t="str">
        <f>IF(tblEmployee[[#This Row],[Payable Flag]]="Y","Pay","No Pay")</f>
        <v>No Pay</v>
      </c>
      <c r="H30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09" s="24">
        <f>IF(tblEmployee[[#This Row],[Payable Flag]]="N",0,1)</f>
        <v>0</v>
      </c>
      <c r="J309" s="24"/>
    </row>
    <row r="310" spans="7:10" x14ac:dyDescent="0.25">
      <c r="G310" s="24" t="str">
        <f>IF(tblEmployee[[#This Row],[Payable Flag]]="Y","Pay","No Pay")</f>
        <v>No Pay</v>
      </c>
      <c r="H31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10" s="24">
        <f>IF(tblEmployee[[#This Row],[Payable Flag]]="N",0,1)</f>
        <v>0</v>
      </c>
      <c r="J310" s="24"/>
    </row>
    <row r="311" spans="7:10" x14ac:dyDescent="0.25">
      <c r="G311" s="24" t="str">
        <f>IF(tblEmployee[[#This Row],[Payable Flag]]="Y","Pay","No Pay")</f>
        <v>No Pay</v>
      </c>
      <c r="H31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11" s="24">
        <f>IF(tblEmployee[[#This Row],[Payable Flag]]="N",0,1)</f>
        <v>0</v>
      </c>
      <c r="J311" s="24"/>
    </row>
    <row r="312" spans="7:10" x14ac:dyDescent="0.25">
      <c r="G312" s="24" t="str">
        <f>IF(tblEmployee[[#This Row],[Payable Flag]]="Y","Pay","No Pay")</f>
        <v>No Pay</v>
      </c>
      <c r="H31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12" s="24">
        <f>IF(tblEmployee[[#This Row],[Payable Flag]]="N",0,1)</f>
        <v>0</v>
      </c>
      <c r="J312" s="24"/>
    </row>
    <row r="313" spans="7:10" x14ac:dyDescent="0.25">
      <c r="G313" s="24" t="str">
        <f>IF(tblEmployee[[#This Row],[Payable Flag]]="Y","Pay","No Pay")</f>
        <v>No Pay</v>
      </c>
      <c r="H31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13" s="24">
        <f>IF(tblEmployee[[#This Row],[Payable Flag]]="N",0,1)</f>
        <v>0</v>
      </c>
      <c r="J313" s="24"/>
    </row>
    <row r="314" spans="7:10" x14ac:dyDescent="0.25">
      <c r="G314" s="24" t="str">
        <f>IF(tblEmployee[[#This Row],[Payable Flag]]="Y","Pay","No Pay")</f>
        <v>No Pay</v>
      </c>
      <c r="H31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14" s="24">
        <f>IF(tblEmployee[[#This Row],[Payable Flag]]="N",0,1)</f>
        <v>0</v>
      </c>
      <c r="J314" s="24"/>
    </row>
    <row r="315" spans="7:10" x14ac:dyDescent="0.25">
      <c r="G315" s="24" t="str">
        <f>IF(tblEmployee[[#This Row],[Payable Flag]]="Y","Pay","No Pay")</f>
        <v>No Pay</v>
      </c>
      <c r="H31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15" s="24">
        <f>IF(tblEmployee[[#This Row],[Payable Flag]]="N",0,1)</f>
        <v>0</v>
      </c>
      <c r="J315" s="24"/>
    </row>
    <row r="316" spans="7:10" x14ac:dyDescent="0.25">
      <c r="G316" s="24" t="str">
        <f>IF(tblEmployee[[#This Row],[Payable Flag]]="Y","Pay","No Pay")</f>
        <v>No Pay</v>
      </c>
      <c r="H31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16" s="24">
        <f>IF(tblEmployee[[#This Row],[Payable Flag]]="N",0,1)</f>
        <v>0</v>
      </c>
      <c r="J316" s="24"/>
    </row>
    <row r="317" spans="7:10" x14ac:dyDescent="0.25">
      <c r="G317" s="24" t="str">
        <f>IF(tblEmployee[[#This Row],[Payable Flag]]="Y","Pay","No Pay")</f>
        <v>No Pay</v>
      </c>
      <c r="H31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17" s="24">
        <f>IF(tblEmployee[[#This Row],[Payable Flag]]="N",0,1)</f>
        <v>0</v>
      </c>
      <c r="J317" s="24"/>
    </row>
    <row r="318" spans="7:10" x14ac:dyDescent="0.25">
      <c r="G318" s="24" t="str">
        <f>IF(tblEmployee[[#This Row],[Payable Flag]]="Y","Pay","No Pay")</f>
        <v>No Pay</v>
      </c>
      <c r="H31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18" s="24">
        <f>IF(tblEmployee[[#This Row],[Payable Flag]]="N",0,1)</f>
        <v>0</v>
      </c>
      <c r="J318" s="24"/>
    </row>
    <row r="319" spans="7:10" x14ac:dyDescent="0.25">
      <c r="G319" s="24" t="str">
        <f>IF(tblEmployee[[#This Row],[Payable Flag]]="Y","Pay","No Pay")</f>
        <v>No Pay</v>
      </c>
      <c r="H31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19" s="24">
        <f>IF(tblEmployee[[#This Row],[Payable Flag]]="N",0,1)</f>
        <v>0</v>
      </c>
      <c r="J319" s="24"/>
    </row>
    <row r="320" spans="7:10" x14ac:dyDescent="0.25">
      <c r="G320" s="24" t="str">
        <f>IF(tblEmployee[[#This Row],[Payable Flag]]="Y","Pay","No Pay")</f>
        <v>No Pay</v>
      </c>
      <c r="H32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20" s="24">
        <f>IF(tblEmployee[[#This Row],[Payable Flag]]="N",0,1)</f>
        <v>0</v>
      </c>
      <c r="J320" s="24"/>
    </row>
    <row r="321" spans="7:10" x14ac:dyDescent="0.25">
      <c r="G321" s="24" t="str">
        <f>IF(tblEmployee[[#This Row],[Payable Flag]]="Y","Pay","No Pay")</f>
        <v>No Pay</v>
      </c>
      <c r="H32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21" s="24">
        <f>IF(tblEmployee[[#This Row],[Payable Flag]]="N",0,1)</f>
        <v>0</v>
      </c>
      <c r="J321" s="24"/>
    </row>
    <row r="322" spans="7:10" x14ac:dyDescent="0.25">
      <c r="G322" s="24" t="str">
        <f>IF(tblEmployee[[#This Row],[Payable Flag]]="Y","Pay","No Pay")</f>
        <v>No Pay</v>
      </c>
      <c r="H32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22" s="24">
        <f>IF(tblEmployee[[#This Row],[Payable Flag]]="N",0,1)</f>
        <v>0</v>
      </c>
      <c r="J322" s="24"/>
    </row>
    <row r="323" spans="7:10" x14ac:dyDescent="0.25">
      <c r="G323" s="24" t="str">
        <f>IF(tblEmployee[[#This Row],[Payable Flag]]="Y","Pay","No Pay")</f>
        <v>No Pay</v>
      </c>
      <c r="H32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23" s="24">
        <f>IF(tblEmployee[[#This Row],[Payable Flag]]="N",0,1)</f>
        <v>0</v>
      </c>
      <c r="J323" s="24"/>
    </row>
    <row r="324" spans="7:10" x14ac:dyDescent="0.25">
      <c r="G324" s="24" t="str">
        <f>IF(tblEmployee[[#This Row],[Payable Flag]]="Y","Pay","No Pay")</f>
        <v>No Pay</v>
      </c>
      <c r="H32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24" s="24">
        <f>IF(tblEmployee[[#This Row],[Payable Flag]]="N",0,1)</f>
        <v>0</v>
      </c>
      <c r="J324" s="24"/>
    </row>
    <row r="325" spans="7:10" x14ac:dyDescent="0.25">
      <c r="G325" s="24" t="str">
        <f>IF(tblEmployee[[#This Row],[Payable Flag]]="Y","Pay","No Pay")</f>
        <v>No Pay</v>
      </c>
      <c r="H32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25" s="24">
        <f>IF(tblEmployee[[#This Row],[Payable Flag]]="N",0,1)</f>
        <v>0</v>
      </c>
      <c r="J325" s="24"/>
    </row>
    <row r="326" spans="7:10" x14ac:dyDescent="0.25">
      <c r="G326" s="24" t="str">
        <f>IF(tblEmployee[[#This Row],[Payable Flag]]="Y","Pay","No Pay")</f>
        <v>No Pay</v>
      </c>
      <c r="H32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26" s="24">
        <f>IF(tblEmployee[[#This Row],[Payable Flag]]="N",0,1)</f>
        <v>0</v>
      </c>
      <c r="J326" s="24"/>
    </row>
    <row r="327" spans="7:10" x14ac:dyDescent="0.25">
      <c r="G327" s="24" t="str">
        <f>IF(tblEmployee[[#This Row],[Payable Flag]]="Y","Pay","No Pay")</f>
        <v>No Pay</v>
      </c>
      <c r="H32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27" s="24">
        <f>IF(tblEmployee[[#This Row],[Payable Flag]]="N",0,1)</f>
        <v>0</v>
      </c>
      <c r="J327" s="24"/>
    </row>
    <row r="328" spans="7:10" x14ac:dyDescent="0.25">
      <c r="G328" s="24" t="str">
        <f>IF(tblEmployee[[#This Row],[Payable Flag]]="Y","Pay","No Pay")</f>
        <v>No Pay</v>
      </c>
      <c r="H32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28" s="24">
        <f>IF(tblEmployee[[#This Row],[Payable Flag]]="N",0,1)</f>
        <v>0</v>
      </c>
      <c r="J328" s="24"/>
    </row>
    <row r="329" spans="7:10" x14ac:dyDescent="0.25">
      <c r="G329" s="24" t="str">
        <f>IF(tblEmployee[[#This Row],[Payable Flag]]="Y","Pay","No Pay")</f>
        <v>No Pay</v>
      </c>
      <c r="H32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29" s="24">
        <f>IF(tblEmployee[[#This Row],[Payable Flag]]="N",0,1)</f>
        <v>0</v>
      </c>
      <c r="J329" s="24"/>
    </row>
    <row r="330" spans="7:10" x14ac:dyDescent="0.25">
      <c r="G330" s="24" t="str">
        <f>IF(tblEmployee[[#This Row],[Payable Flag]]="Y","Pay","No Pay")</f>
        <v>No Pay</v>
      </c>
      <c r="H33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30" s="24">
        <f>IF(tblEmployee[[#This Row],[Payable Flag]]="N",0,1)</f>
        <v>0</v>
      </c>
      <c r="J330" s="24"/>
    </row>
    <row r="331" spans="7:10" x14ac:dyDescent="0.25">
      <c r="G331" s="24" t="str">
        <f>IF(tblEmployee[[#This Row],[Payable Flag]]="Y","Pay","No Pay")</f>
        <v>No Pay</v>
      </c>
      <c r="H33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31" s="24">
        <f>IF(tblEmployee[[#This Row],[Payable Flag]]="N",0,1)</f>
        <v>0</v>
      </c>
      <c r="J331" s="24"/>
    </row>
    <row r="332" spans="7:10" x14ac:dyDescent="0.25">
      <c r="G332" s="24" t="str">
        <f>IF(tblEmployee[[#This Row],[Payable Flag]]="Y","Pay","No Pay")</f>
        <v>No Pay</v>
      </c>
      <c r="H33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32" s="24">
        <f>IF(tblEmployee[[#This Row],[Payable Flag]]="N",0,1)</f>
        <v>0</v>
      </c>
      <c r="J332" s="24"/>
    </row>
    <row r="333" spans="7:10" x14ac:dyDescent="0.25">
      <c r="G333" s="24" t="str">
        <f>IF(tblEmployee[[#This Row],[Payable Flag]]="Y","Pay","No Pay")</f>
        <v>No Pay</v>
      </c>
      <c r="H33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33" s="24">
        <f>IF(tblEmployee[[#This Row],[Payable Flag]]="N",0,1)</f>
        <v>0</v>
      </c>
      <c r="J333" s="24"/>
    </row>
    <row r="334" spans="7:10" x14ac:dyDescent="0.25">
      <c r="G334" s="24" t="str">
        <f>IF(tblEmployee[[#This Row],[Payable Flag]]="Y","Pay","No Pay")</f>
        <v>No Pay</v>
      </c>
      <c r="H33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34" s="24">
        <f>IF(tblEmployee[[#This Row],[Payable Flag]]="N",0,1)</f>
        <v>0</v>
      </c>
      <c r="J334" s="24"/>
    </row>
    <row r="335" spans="7:10" x14ac:dyDescent="0.25">
      <c r="G335" s="24" t="str">
        <f>IF(tblEmployee[[#This Row],[Payable Flag]]="Y","Pay","No Pay")</f>
        <v>No Pay</v>
      </c>
      <c r="H33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35" s="24">
        <f>IF(tblEmployee[[#This Row],[Payable Flag]]="N",0,1)</f>
        <v>0</v>
      </c>
      <c r="J335" s="24"/>
    </row>
    <row r="336" spans="7:10" x14ac:dyDescent="0.25">
      <c r="G336" s="24" t="str">
        <f>IF(tblEmployee[[#This Row],[Payable Flag]]="Y","Pay","No Pay")</f>
        <v>No Pay</v>
      </c>
      <c r="H33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36" s="24">
        <f>IF(tblEmployee[[#This Row],[Payable Flag]]="N",0,1)</f>
        <v>0</v>
      </c>
      <c r="J336" s="24"/>
    </row>
    <row r="337" spans="7:10" x14ac:dyDescent="0.25">
      <c r="G337" s="24" t="str">
        <f>IF(tblEmployee[[#This Row],[Payable Flag]]="Y","Pay","No Pay")</f>
        <v>No Pay</v>
      </c>
      <c r="H33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37" s="24">
        <f>IF(tblEmployee[[#This Row],[Payable Flag]]="N",0,1)</f>
        <v>0</v>
      </c>
      <c r="J337" s="24"/>
    </row>
    <row r="338" spans="7:10" x14ac:dyDescent="0.25">
      <c r="G338" s="24" t="str">
        <f>IF(tblEmployee[[#This Row],[Payable Flag]]="Y","Pay","No Pay")</f>
        <v>No Pay</v>
      </c>
      <c r="H33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38" s="24">
        <f>IF(tblEmployee[[#This Row],[Payable Flag]]="N",0,1)</f>
        <v>0</v>
      </c>
      <c r="J338" s="24"/>
    </row>
    <row r="339" spans="7:10" x14ac:dyDescent="0.25">
      <c r="G339" s="24" t="str">
        <f>IF(tblEmployee[[#This Row],[Payable Flag]]="Y","Pay","No Pay")</f>
        <v>No Pay</v>
      </c>
      <c r="H33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39" s="24">
        <f>IF(tblEmployee[[#This Row],[Payable Flag]]="N",0,1)</f>
        <v>0</v>
      </c>
      <c r="J339" s="24"/>
    </row>
    <row r="340" spans="7:10" x14ac:dyDescent="0.25">
      <c r="G340" s="24" t="str">
        <f>IF(tblEmployee[[#This Row],[Payable Flag]]="Y","Pay","No Pay")</f>
        <v>No Pay</v>
      </c>
      <c r="H34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40" s="24">
        <f>IF(tblEmployee[[#This Row],[Payable Flag]]="N",0,1)</f>
        <v>0</v>
      </c>
      <c r="J340" s="24"/>
    </row>
    <row r="341" spans="7:10" x14ac:dyDescent="0.25">
      <c r="G341" s="24" t="str">
        <f>IF(tblEmployee[[#This Row],[Payable Flag]]="Y","Pay","No Pay")</f>
        <v>No Pay</v>
      </c>
      <c r="H34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41" s="24">
        <f>IF(tblEmployee[[#This Row],[Payable Flag]]="N",0,1)</f>
        <v>0</v>
      </c>
      <c r="J341" s="24"/>
    </row>
    <row r="342" spans="7:10" x14ac:dyDescent="0.25">
      <c r="G342" s="24" t="str">
        <f>IF(tblEmployee[[#This Row],[Payable Flag]]="Y","Pay","No Pay")</f>
        <v>No Pay</v>
      </c>
      <c r="H34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42" s="24">
        <f>IF(tblEmployee[[#This Row],[Payable Flag]]="N",0,1)</f>
        <v>0</v>
      </c>
      <c r="J342" s="24"/>
    </row>
    <row r="343" spans="7:10" x14ac:dyDescent="0.25">
      <c r="G343" s="24" t="str">
        <f>IF(tblEmployee[[#This Row],[Payable Flag]]="Y","Pay","No Pay")</f>
        <v>No Pay</v>
      </c>
      <c r="H34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43" s="24">
        <f>IF(tblEmployee[[#This Row],[Payable Flag]]="N",0,1)</f>
        <v>0</v>
      </c>
      <c r="J343" s="24"/>
    </row>
    <row r="344" spans="7:10" x14ac:dyDescent="0.25">
      <c r="G344" s="24" t="str">
        <f>IF(tblEmployee[[#This Row],[Payable Flag]]="Y","Pay","No Pay")</f>
        <v>No Pay</v>
      </c>
      <c r="H34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44" s="24">
        <f>IF(tblEmployee[[#This Row],[Payable Flag]]="N",0,1)</f>
        <v>0</v>
      </c>
      <c r="J344" s="24"/>
    </row>
    <row r="345" spans="7:10" x14ac:dyDescent="0.25">
      <c r="G345" s="24" t="str">
        <f>IF(tblEmployee[[#This Row],[Payable Flag]]="Y","Pay","No Pay")</f>
        <v>No Pay</v>
      </c>
      <c r="H34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45" s="24">
        <f>IF(tblEmployee[[#This Row],[Payable Flag]]="N",0,1)</f>
        <v>0</v>
      </c>
      <c r="J345" s="24"/>
    </row>
    <row r="346" spans="7:10" x14ac:dyDescent="0.25">
      <c r="G346" s="24" t="str">
        <f>IF(tblEmployee[[#This Row],[Payable Flag]]="Y","Pay","No Pay")</f>
        <v>No Pay</v>
      </c>
      <c r="H34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46" s="24">
        <f>IF(tblEmployee[[#This Row],[Payable Flag]]="N",0,1)</f>
        <v>0</v>
      </c>
      <c r="J346" s="24"/>
    </row>
    <row r="347" spans="7:10" x14ac:dyDescent="0.25">
      <c r="G347" s="24" t="str">
        <f>IF(tblEmployee[[#This Row],[Payable Flag]]="Y","Pay","No Pay")</f>
        <v>No Pay</v>
      </c>
      <c r="H34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47" s="24">
        <f>IF(tblEmployee[[#This Row],[Payable Flag]]="N",0,1)</f>
        <v>0</v>
      </c>
      <c r="J347" s="24"/>
    </row>
    <row r="348" spans="7:10" x14ac:dyDescent="0.25">
      <c r="G348" s="24" t="str">
        <f>IF(tblEmployee[[#This Row],[Payable Flag]]="Y","Pay","No Pay")</f>
        <v>No Pay</v>
      </c>
      <c r="H34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48" s="24">
        <f>IF(tblEmployee[[#This Row],[Payable Flag]]="N",0,1)</f>
        <v>0</v>
      </c>
      <c r="J348" s="24"/>
    </row>
    <row r="349" spans="7:10" x14ac:dyDescent="0.25">
      <c r="G349" s="24" t="str">
        <f>IF(tblEmployee[[#This Row],[Payable Flag]]="Y","Pay","No Pay")</f>
        <v>No Pay</v>
      </c>
      <c r="H34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49" s="24">
        <f>IF(tblEmployee[[#This Row],[Payable Flag]]="N",0,1)</f>
        <v>0</v>
      </c>
      <c r="J349" s="24"/>
    </row>
    <row r="350" spans="7:10" x14ac:dyDescent="0.25">
      <c r="G350" s="24" t="str">
        <f>IF(tblEmployee[[#This Row],[Payable Flag]]="Y","Pay","No Pay")</f>
        <v>No Pay</v>
      </c>
      <c r="H35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50" s="24">
        <f>IF(tblEmployee[[#This Row],[Payable Flag]]="N",0,1)</f>
        <v>0</v>
      </c>
      <c r="J350" s="24"/>
    </row>
    <row r="351" spans="7:10" x14ac:dyDescent="0.25">
      <c r="G351" s="24" t="str">
        <f>IF(tblEmployee[[#This Row],[Payable Flag]]="Y","Pay","No Pay")</f>
        <v>No Pay</v>
      </c>
      <c r="H35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51" s="24">
        <f>IF(tblEmployee[[#This Row],[Payable Flag]]="N",0,1)</f>
        <v>0</v>
      </c>
      <c r="J351" s="24"/>
    </row>
    <row r="352" spans="7:10" x14ac:dyDescent="0.25">
      <c r="G352" s="24" t="str">
        <f>IF(tblEmployee[[#This Row],[Payable Flag]]="Y","Pay","No Pay")</f>
        <v>No Pay</v>
      </c>
      <c r="H35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52" s="24">
        <f>IF(tblEmployee[[#This Row],[Payable Flag]]="N",0,1)</f>
        <v>0</v>
      </c>
      <c r="J352" s="24"/>
    </row>
    <row r="353" spans="7:10" x14ac:dyDescent="0.25">
      <c r="G353" s="24" t="str">
        <f>IF(tblEmployee[[#This Row],[Payable Flag]]="Y","Pay","No Pay")</f>
        <v>No Pay</v>
      </c>
      <c r="H35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53" s="24">
        <f>IF(tblEmployee[[#This Row],[Payable Flag]]="N",0,1)</f>
        <v>0</v>
      </c>
      <c r="J353" s="24"/>
    </row>
    <row r="354" spans="7:10" x14ac:dyDescent="0.25">
      <c r="G354" s="24" t="str">
        <f>IF(tblEmployee[[#This Row],[Payable Flag]]="Y","Pay","No Pay")</f>
        <v>No Pay</v>
      </c>
      <c r="H35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54" s="24">
        <f>IF(tblEmployee[[#This Row],[Payable Flag]]="N",0,1)</f>
        <v>0</v>
      </c>
      <c r="J354" s="24"/>
    </row>
    <row r="355" spans="7:10" x14ac:dyDescent="0.25">
      <c r="G355" s="24" t="str">
        <f>IF(tblEmployee[[#This Row],[Payable Flag]]="Y","Pay","No Pay")</f>
        <v>No Pay</v>
      </c>
      <c r="H35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55" s="24">
        <f>IF(tblEmployee[[#This Row],[Payable Flag]]="N",0,1)</f>
        <v>0</v>
      </c>
      <c r="J355" s="24"/>
    </row>
    <row r="356" spans="7:10" x14ac:dyDescent="0.25">
      <c r="G356" s="24" t="str">
        <f>IF(tblEmployee[[#This Row],[Payable Flag]]="Y","Pay","No Pay")</f>
        <v>No Pay</v>
      </c>
      <c r="H35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56" s="24">
        <f>IF(tblEmployee[[#This Row],[Payable Flag]]="N",0,1)</f>
        <v>0</v>
      </c>
      <c r="J356" s="24"/>
    </row>
    <row r="357" spans="7:10" x14ac:dyDescent="0.25">
      <c r="G357" s="24" t="str">
        <f>IF(tblEmployee[[#This Row],[Payable Flag]]="Y","Pay","No Pay")</f>
        <v>No Pay</v>
      </c>
      <c r="H35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57" s="24">
        <f>IF(tblEmployee[[#This Row],[Payable Flag]]="N",0,1)</f>
        <v>0</v>
      </c>
      <c r="J357" s="24"/>
    </row>
    <row r="358" spans="7:10" x14ac:dyDescent="0.25">
      <c r="G358" s="24" t="str">
        <f>IF(tblEmployee[[#This Row],[Payable Flag]]="Y","Pay","No Pay")</f>
        <v>No Pay</v>
      </c>
      <c r="H35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58" s="24">
        <f>IF(tblEmployee[[#This Row],[Payable Flag]]="N",0,1)</f>
        <v>0</v>
      </c>
      <c r="J358" s="24"/>
    </row>
    <row r="359" spans="7:10" x14ac:dyDescent="0.25">
      <c r="G359" s="24" t="str">
        <f>IF(tblEmployee[[#This Row],[Payable Flag]]="Y","Pay","No Pay")</f>
        <v>No Pay</v>
      </c>
      <c r="H35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59" s="24">
        <f>IF(tblEmployee[[#This Row],[Payable Flag]]="N",0,1)</f>
        <v>0</v>
      </c>
      <c r="J359" s="24"/>
    </row>
    <row r="360" spans="7:10" x14ac:dyDescent="0.25">
      <c r="G360" s="24" t="str">
        <f>IF(tblEmployee[[#This Row],[Payable Flag]]="Y","Pay","No Pay")</f>
        <v>No Pay</v>
      </c>
      <c r="H36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60" s="24">
        <f>IF(tblEmployee[[#This Row],[Payable Flag]]="N",0,1)</f>
        <v>0</v>
      </c>
      <c r="J360" s="24"/>
    </row>
    <row r="361" spans="7:10" x14ac:dyDescent="0.25">
      <c r="G361" s="24" t="str">
        <f>IF(tblEmployee[[#This Row],[Payable Flag]]="Y","Pay","No Pay")</f>
        <v>No Pay</v>
      </c>
      <c r="H36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61" s="24">
        <f>IF(tblEmployee[[#This Row],[Payable Flag]]="N",0,1)</f>
        <v>0</v>
      </c>
      <c r="J361" s="24"/>
    </row>
    <row r="362" spans="7:10" x14ac:dyDescent="0.25">
      <c r="G362" s="24" t="str">
        <f>IF(tblEmployee[[#This Row],[Payable Flag]]="Y","Pay","No Pay")</f>
        <v>No Pay</v>
      </c>
      <c r="H36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62" s="24">
        <f>IF(tblEmployee[[#This Row],[Payable Flag]]="N",0,1)</f>
        <v>0</v>
      </c>
      <c r="J362" s="24"/>
    </row>
    <row r="363" spans="7:10" x14ac:dyDescent="0.25">
      <c r="G363" s="24" t="str">
        <f>IF(tblEmployee[[#This Row],[Payable Flag]]="Y","Pay","No Pay")</f>
        <v>No Pay</v>
      </c>
      <c r="H36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63" s="24">
        <f>IF(tblEmployee[[#This Row],[Payable Flag]]="N",0,1)</f>
        <v>0</v>
      </c>
      <c r="J363" s="24"/>
    </row>
    <row r="364" spans="7:10" x14ac:dyDescent="0.25">
      <c r="G364" s="24" t="str">
        <f>IF(tblEmployee[[#This Row],[Payable Flag]]="Y","Pay","No Pay")</f>
        <v>No Pay</v>
      </c>
      <c r="H36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64" s="24">
        <f>IF(tblEmployee[[#This Row],[Payable Flag]]="N",0,1)</f>
        <v>0</v>
      </c>
      <c r="J364" s="24"/>
    </row>
    <row r="365" spans="7:10" x14ac:dyDescent="0.25">
      <c r="G365" s="24" t="str">
        <f>IF(tblEmployee[[#This Row],[Payable Flag]]="Y","Pay","No Pay")</f>
        <v>No Pay</v>
      </c>
      <c r="H36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65" s="24">
        <f>IF(tblEmployee[[#This Row],[Payable Flag]]="N",0,1)</f>
        <v>0</v>
      </c>
      <c r="J365" s="24"/>
    </row>
    <row r="366" spans="7:10" x14ac:dyDescent="0.25">
      <c r="G366" s="24" t="str">
        <f>IF(tblEmployee[[#This Row],[Payable Flag]]="Y","Pay","No Pay")</f>
        <v>No Pay</v>
      </c>
      <c r="H36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66" s="24">
        <f>IF(tblEmployee[[#This Row],[Payable Flag]]="N",0,1)</f>
        <v>0</v>
      </c>
      <c r="J366" s="24"/>
    </row>
    <row r="367" spans="7:10" x14ac:dyDescent="0.25">
      <c r="G367" s="24" t="str">
        <f>IF(tblEmployee[[#This Row],[Payable Flag]]="Y","Pay","No Pay")</f>
        <v>No Pay</v>
      </c>
      <c r="H36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67" s="24">
        <f>IF(tblEmployee[[#This Row],[Payable Flag]]="N",0,1)</f>
        <v>0</v>
      </c>
      <c r="J367" s="24"/>
    </row>
    <row r="368" spans="7:10" x14ac:dyDescent="0.25">
      <c r="G368" s="24" t="str">
        <f>IF(tblEmployee[[#This Row],[Payable Flag]]="Y","Pay","No Pay")</f>
        <v>No Pay</v>
      </c>
      <c r="H36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68" s="24">
        <f>IF(tblEmployee[[#This Row],[Payable Flag]]="N",0,1)</f>
        <v>0</v>
      </c>
      <c r="J368" s="24"/>
    </row>
    <row r="369" spans="7:10" x14ac:dyDescent="0.25">
      <c r="G369" s="24" t="str">
        <f>IF(tblEmployee[[#This Row],[Payable Flag]]="Y","Pay","No Pay")</f>
        <v>No Pay</v>
      </c>
      <c r="H36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69" s="24">
        <f>IF(tblEmployee[[#This Row],[Payable Flag]]="N",0,1)</f>
        <v>0</v>
      </c>
      <c r="J369" s="24"/>
    </row>
    <row r="370" spans="7:10" x14ac:dyDescent="0.25">
      <c r="G370" s="24" t="str">
        <f>IF(tblEmployee[[#This Row],[Payable Flag]]="Y","Pay","No Pay")</f>
        <v>No Pay</v>
      </c>
      <c r="H37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70" s="24">
        <f>IF(tblEmployee[[#This Row],[Payable Flag]]="N",0,1)</f>
        <v>0</v>
      </c>
      <c r="J370" s="24"/>
    </row>
    <row r="371" spans="7:10" x14ac:dyDescent="0.25">
      <c r="G371" s="24" t="str">
        <f>IF(tblEmployee[[#This Row],[Payable Flag]]="Y","Pay","No Pay")</f>
        <v>No Pay</v>
      </c>
      <c r="H37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71" s="24">
        <f>IF(tblEmployee[[#This Row],[Payable Flag]]="N",0,1)</f>
        <v>0</v>
      </c>
      <c r="J371" s="24"/>
    </row>
    <row r="372" spans="7:10" x14ac:dyDescent="0.25">
      <c r="G372" s="24" t="str">
        <f>IF(tblEmployee[[#This Row],[Payable Flag]]="Y","Pay","No Pay")</f>
        <v>No Pay</v>
      </c>
      <c r="H37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72" s="24">
        <f>IF(tblEmployee[[#This Row],[Payable Flag]]="N",0,1)</f>
        <v>0</v>
      </c>
      <c r="J372" s="24"/>
    </row>
    <row r="373" spans="7:10" x14ac:dyDescent="0.25">
      <c r="G373" s="24" t="str">
        <f>IF(tblEmployee[[#This Row],[Payable Flag]]="Y","Pay","No Pay")</f>
        <v>No Pay</v>
      </c>
      <c r="H37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73" s="24">
        <f>IF(tblEmployee[[#This Row],[Payable Flag]]="N",0,1)</f>
        <v>0</v>
      </c>
      <c r="J373" s="24"/>
    </row>
    <row r="374" spans="7:10" x14ac:dyDescent="0.25">
      <c r="G374" s="24" t="str">
        <f>IF(tblEmployee[[#This Row],[Payable Flag]]="Y","Pay","No Pay")</f>
        <v>No Pay</v>
      </c>
      <c r="H37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74" s="24">
        <f>IF(tblEmployee[[#This Row],[Payable Flag]]="N",0,1)</f>
        <v>0</v>
      </c>
      <c r="J374" s="24"/>
    </row>
    <row r="375" spans="7:10" x14ac:dyDescent="0.25">
      <c r="G375" s="24" t="str">
        <f>IF(tblEmployee[[#This Row],[Payable Flag]]="Y","Pay","No Pay")</f>
        <v>No Pay</v>
      </c>
      <c r="H37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75" s="24">
        <f>IF(tblEmployee[[#This Row],[Payable Flag]]="N",0,1)</f>
        <v>0</v>
      </c>
      <c r="J375" s="24"/>
    </row>
    <row r="376" spans="7:10" x14ac:dyDescent="0.25">
      <c r="G376" s="24" t="str">
        <f>IF(tblEmployee[[#This Row],[Payable Flag]]="Y","Pay","No Pay")</f>
        <v>No Pay</v>
      </c>
      <c r="H37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76" s="24">
        <f>IF(tblEmployee[[#This Row],[Payable Flag]]="N",0,1)</f>
        <v>0</v>
      </c>
      <c r="J376" s="24"/>
    </row>
    <row r="377" spans="7:10" x14ac:dyDescent="0.25">
      <c r="G377" s="24" t="str">
        <f>IF(tblEmployee[[#This Row],[Payable Flag]]="Y","Pay","No Pay")</f>
        <v>No Pay</v>
      </c>
      <c r="H37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77" s="24">
        <f>IF(tblEmployee[[#This Row],[Payable Flag]]="N",0,1)</f>
        <v>0</v>
      </c>
      <c r="J377" s="24"/>
    </row>
    <row r="378" spans="7:10" x14ac:dyDescent="0.25">
      <c r="G378" s="24" t="str">
        <f>IF(tblEmployee[[#This Row],[Payable Flag]]="Y","Pay","No Pay")</f>
        <v>No Pay</v>
      </c>
      <c r="H37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78" s="24">
        <f>IF(tblEmployee[[#This Row],[Payable Flag]]="N",0,1)</f>
        <v>0</v>
      </c>
      <c r="J378" s="24"/>
    </row>
    <row r="379" spans="7:10" x14ac:dyDescent="0.25">
      <c r="G379" s="24" t="str">
        <f>IF(tblEmployee[[#This Row],[Payable Flag]]="Y","Pay","No Pay")</f>
        <v>No Pay</v>
      </c>
      <c r="H37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79" s="24">
        <f>IF(tblEmployee[[#This Row],[Payable Flag]]="N",0,1)</f>
        <v>0</v>
      </c>
      <c r="J379" s="24"/>
    </row>
    <row r="380" spans="7:10" x14ac:dyDescent="0.25">
      <c r="G380" s="24" t="str">
        <f>IF(tblEmployee[[#This Row],[Payable Flag]]="Y","Pay","No Pay")</f>
        <v>No Pay</v>
      </c>
      <c r="H38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80" s="24">
        <f>IF(tblEmployee[[#This Row],[Payable Flag]]="N",0,1)</f>
        <v>0</v>
      </c>
      <c r="J380" s="24"/>
    </row>
    <row r="381" spans="7:10" x14ac:dyDescent="0.25">
      <c r="G381" s="24" t="str">
        <f>IF(tblEmployee[[#This Row],[Payable Flag]]="Y","Pay","No Pay")</f>
        <v>No Pay</v>
      </c>
      <c r="H38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81" s="24">
        <f>IF(tblEmployee[[#This Row],[Payable Flag]]="N",0,1)</f>
        <v>0</v>
      </c>
      <c r="J381" s="24"/>
    </row>
    <row r="382" spans="7:10" x14ac:dyDescent="0.25">
      <c r="G382" s="24" t="str">
        <f>IF(tblEmployee[[#This Row],[Payable Flag]]="Y","Pay","No Pay")</f>
        <v>No Pay</v>
      </c>
      <c r="H38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82" s="24">
        <f>IF(tblEmployee[[#This Row],[Payable Flag]]="N",0,1)</f>
        <v>0</v>
      </c>
      <c r="J382" s="24"/>
    </row>
    <row r="383" spans="7:10" x14ac:dyDescent="0.25">
      <c r="G383" s="24" t="str">
        <f>IF(tblEmployee[[#This Row],[Payable Flag]]="Y","Pay","No Pay")</f>
        <v>No Pay</v>
      </c>
      <c r="H38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83" s="24">
        <f>IF(tblEmployee[[#This Row],[Payable Flag]]="N",0,1)</f>
        <v>0</v>
      </c>
      <c r="J383" s="24"/>
    </row>
    <row r="384" spans="7:10" x14ac:dyDescent="0.25">
      <c r="G384" s="24" t="str">
        <f>IF(tblEmployee[[#This Row],[Payable Flag]]="Y","Pay","No Pay")</f>
        <v>No Pay</v>
      </c>
      <c r="H38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84" s="24">
        <f>IF(tblEmployee[[#This Row],[Payable Flag]]="N",0,1)</f>
        <v>0</v>
      </c>
      <c r="J384" s="24"/>
    </row>
    <row r="385" spans="7:10" x14ac:dyDescent="0.25">
      <c r="G385" s="24" t="str">
        <f>IF(tblEmployee[[#This Row],[Payable Flag]]="Y","Pay","No Pay")</f>
        <v>No Pay</v>
      </c>
      <c r="H38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85" s="24">
        <f>IF(tblEmployee[[#This Row],[Payable Flag]]="N",0,1)</f>
        <v>0</v>
      </c>
      <c r="J385" s="24"/>
    </row>
    <row r="386" spans="7:10" x14ac:dyDescent="0.25">
      <c r="G386" s="24" t="str">
        <f>IF(tblEmployee[[#This Row],[Payable Flag]]="Y","Pay","No Pay")</f>
        <v>No Pay</v>
      </c>
      <c r="H38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86" s="24">
        <f>IF(tblEmployee[[#This Row],[Payable Flag]]="N",0,1)</f>
        <v>0</v>
      </c>
      <c r="J386" s="24"/>
    </row>
    <row r="387" spans="7:10" x14ac:dyDescent="0.25">
      <c r="G387" s="24" t="str">
        <f>IF(tblEmployee[[#This Row],[Payable Flag]]="Y","Pay","No Pay")</f>
        <v>No Pay</v>
      </c>
      <c r="H38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87" s="24">
        <f>IF(tblEmployee[[#This Row],[Payable Flag]]="N",0,1)</f>
        <v>0</v>
      </c>
      <c r="J387" s="24"/>
    </row>
    <row r="388" spans="7:10" x14ac:dyDescent="0.25">
      <c r="G388" s="24" t="str">
        <f>IF(tblEmployee[[#This Row],[Payable Flag]]="Y","Pay","No Pay")</f>
        <v>No Pay</v>
      </c>
      <c r="H38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88" s="24">
        <f>IF(tblEmployee[[#This Row],[Payable Flag]]="N",0,1)</f>
        <v>0</v>
      </c>
      <c r="J388" s="24"/>
    </row>
    <row r="389" spans="7:10" x14ac:dyDescent="0.25">
      <c r="G389" s="24" t="str">
        <f>IF(tblEmployee[[#This Row],[Payable Flag]]="Y","Pay","No Pay")</f>
        <v>No Pay</v>
      </c>
      <c r="H38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89" s="24">
        <f>IF(tblEmployee[[#This Row],[Payable Flag]]="N",0,1)</f>
        <v>0</v>
      </c>
      <c r="J389" s="24"/>
    </row>
    <row r="390" spans="7:10" x14ac:dyDescent="0.25">
      <c r="G390" s="24" t="str">
        <f>IF(tblEmployee[[#This Row],[Payable Flag]]="Y","Pay","No Pay")</f>
        <v>No Pay</v>
      </c>
      <c r="H39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90" s="24">
        <f>IF(tblEmployee[[#This Row],[Payable Flag]]="N",0,1)</f>
        <v>0</v>
      </c>
      <c r="J390" s="24"/>
    </row>
    <row r="391" spans="7:10" x14ac:dyDescent="0.25">
      <c r="G391" s="24" t="str">
        <f>IF(tblEmployee[[#This Row],[Payable Flag]]="Y","Pay","No Pay")</f>
        <v>No Pay</v>
      </c>
      <c r="H39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91" s="24">
        <f>IF(tblEmployee[[#This Row],[Payable Flag]]="N",0,1)</f>
        <v>0</v>
      </c>
      <c r="J391" s="24"/>
    </row>
    <row r="392" spans="7:10" x14ac:dyDescent="0.25">
      <c r="G392" s="24" t="str">
        <f>IF(tblEmployee[[#This Row],[Payable Flag]]="Y","Pay","No Pay")</f>
        <v>No Pay</v>
      </c>
      <c r="H39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92" s="24">
        <f>IF(tblEmployee[[#This Row],[Payable Flag]]="N",0,1)</f>
        <v>0</v>
      </c>
      <c r="J392" s="24"/>
    </row>
    <row r="393" spans="7:10" x14ac:dyDescent="0.25">
      <c r="G393" s="24" t="str">
        <f>IF(tblEmployee[[#This Row],[Payable Flag]]="Y","Pay","No Pay")</f>
        <v>No Pay</v>
      </c>
      <c r="H39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93" s="24">
        <f>IF(tblEmployee[[#This Row],[Payable Flag]]="N",0,1)</f>
        <v>0</v>
      </c>
      <c r="J393" s="24"/>
    </row>
    <row r="394" spans="7:10" x14ac:dyDescent="0.25">
      <c r="G394" s="24" t="str">
        <f>IF(tblEmployee[[#This Row],[Payable Flag]]="Y","Pay","No Pay")</f>
        <v>No Pay</v>
      </c>
      <c r="H39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94" s="24">
        <f>IF(tblEmployee[[#This Row],[Payable Flag]]="N",0,1)</f>
        <v>0</v>
      </c>
      <c r="J394" s="24"/>
    </row>
    <row r="395" spans="7:10" x14ac:dyDescent="0.25">
      <c r="G395" s="24" t="str">
        <f>IF(tblEmployee[[#This Row],[Payable Flag]]="Y","Pay","No Pay")</f>
        <v>No Pay</v>
      </c>
      <c r="H39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95" s="24">
        <f>IF(tblEmployee[[#This Row],[Payable Flag]]="N",0,1)</f>
        <v>0</v>
      </c>
      <c r="J395" s="24"/>
    </row>
    <row r="396" spans="7:10" x14ac:dyDescent="0.25">
      <c r="G396" s="24" t="str">
        <f>IF(tblEmployee[[#This Row],[Payable Flag]]="Y","Pay","No Pay")</f>
        <v>No Pay</v>
      </c>
      <c r="H39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96" s="24">
        <f>IF(tblEmployee[[#This Row],[Payable Flag]]="N",0,1)</f>
        <v>0</v>
      </c>
      <c r="J396" s="24"/>
    </row>
    <row r="397" spans="7:10" x14ac:dyDescent="0.25">
      <c r="G397" s="24" t="str">
        <f>IF(tblEmployee[[#This Row],[Payable Flag]]="Y","Pay","No Pay")</f>
        <v>No Pay</v>
      </c>
      <c r="H39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97" s="24">
        <f>IF(tblEmployee[[#This Row],[Payable Flag]]="N",0,1)</f>
        <v>0</v>
      </c>
      <c r="J397" s="24"/>
    </row>
    <row r="398" spans="7:10" x14ac:dyDescent="0.25">
      <c r="G398" s="24" t="str">
        <f>IF(tblEmployee[[#This Row],[Payable Flag]]="Y","Pay","No Pay")</f>
        <v>No Pay</v>
      </c>
      <c r="H39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98" s="24">
        <f>IF(tblEmployee[[#This Row],[Payable Flag]]="N",0,1)</f>
        <v>0</v>
      </c>
      <c r="J398" s="24"/>
    </row>
    <row r="399" spans="7:10" x14ac:dyDescent="0.25">
      <c r="G399" s="24" t="str">
        <f>IF(tblEmployee[[#This Row],[Payable Flag]]="Y","Pay","No Pay")</f>
        <v>No Pay</v>
      </c>
      <c r="H39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399" s="24">
        <f>IF(tblEmployee[[#This Row],[Payable Flag]]="N",0,1)</f>
        <v>0</v>
      </c>
      <c r="J399" s="24"/>
    </row>
    <row r="400" spans="7:10" x14ac:dyDescent="0.25">
      <c r="G400" s="24" t="str">
        <f>IF(tblEmployee[[#This Row],[Payable Flag]]="Y","Pay","No Pay")</f>
        <v>No Pay</v>
      </c>
      <c r="H40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00" s="24">
        <f>IF(tblEmployee[[#This Row],[Payable Flag]]="N",0,1)</f>
        <v>0</v>
      </c>
      <c r="J400" s="24"/>
    </row>
    <row r="401" spans="7:10" x14ac:dyDescent="0.25">
      <c r="G401" s="24" t="str">
        <f>IF(tblEmployee[[#This Row],[Payable Flag]]="Y","Pay","No Pay")</f>
        <v>No Pay</v>
      </c>
      <c r="H40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01" s="24">
        <f>IF(tblEmployee[[#This Row],[Payable Flag]]="N",0,1)</f>
        <v>0</v>
      </c>
      <c r="J401" s="24"/>
    </row>
    <row r="402" spans="7:10" x14ac:dyDescent="0.25">
      <c r="G402" s="24" t="str">
        <f>IF(tblEmployee[[#This Row],[Payable Flag]]="Y","Pay","No Pay")</f>
        <v>No Pay</v>
      </c>
      <c r="H40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02" s="24">
        <f>IF(tblEmployee[[#This Row],[Payable Flag]]="N",0,1)</f>
        <v>0</v>
      </c>
      <c r="J402" s="24"/>
    </row>
    <row r="403" spans="7:10" x14ac:dyDescent="0.25">
      <c r="G403" s="24" t="str">
        <f>IF(tblEmployee[[#This Row],[Payable Flag]]="Y","Pay","No Pay")</f>
        <v>No Pay</v>
      </c>
      <c r="H40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03" s="24">
        <f>IF(tblEmployee[[#This Row],[Payable Flag]]="N",0,1)</f>
        <v>0</v>
      </c>
      <c r="J403" s="24"/>
    </row>
    <row r="404" spans="7:10" x14ac:dyDescent="0.25">
      <c r="G404" s="24" t="str">
        <f>IF(tblEmployee[[#This Row],[Payable Flag]]="Y","Pay","No Pay")</f>
        <v>No Pay</v>
      </c>
      <c r="H40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04" s="24">
        <f>IF(tblEmployee[[#This Row],[Payable Flag]]="N",0,1)</f>
        <v>0</v>
      </c>
      <c r="J404" s="24"/>
    </row>
    <row r="405" spans="7:10" x14ac:dyDescent="0.25">
      <c r="G405" s="24" t="str">
        <f>IF(tblEmployee[[#This Row],[Payable Flag]]="Y","Pay","No Pay")</f>
        <v>No Pay</v>
      </c>
      <c r="H40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05" s="24">
        <f>IF(tblEmployee[[#This Row],[Payable Flag]]="N",0,1)</f>
        <v>0</v>
      </c>
      <c r="J405" s="24"/>
    </row>
    <row r="406" spans="7:10" x14ac:dyDescent="0.25">
      <c r="G406" s="24" t="str">
        <f>IF(tblEmployee[[#This Row],[Payable Flag]]="Y","Pay","No Pay")</f>
        <v>No Pay</v>
      </c>
      <c r="H40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06" s="24">
        <f>IF(tblEmployee[[#This Row],[Payable Flag]]="N",0,1)</f>
        <v>0</v>
      </c>
      <c r="J406" s="24"/>
    </row>
    <row r="407" spans="7:10" x14ac:dyDescent="0.25">
      <c r="G407" s="24" t="str">
        <f>IF(tblEmployee[[#This Row],[Payable Flag]]="Y","Pay","No Pay")</f>
        <v>No Pay</v>
      </c>
      <c r="H40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07" s="24">
        <f>IF(tblEmployee[[#This Row],[Payable Flag]]="N",0,1)</f>
        <v>0</v>
      </c>
      <c r="J407" s="24"/>
    </row>
    <row r="408" spans="7:10" x14ac:dyDescent="0.25">
      <c r="G408" s="24" t="str">
        <f>IF(tblEmployee[[#This Row],[Payable Flag]]="Y","Pay","No Pay")</f>
        <v>No Pay</v>
      </c>
      <c r="H40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08" s="24">
        <f>IF(tblEmployee[[#This Row],[Payable Flag]]="N",0,1)</f>
        <v>0</v>
      </c>
      <c r="J408" s="24"/>
    </row>
    <row r="409" spans="7:10" x14ac:dyDescent="0.25">
      <c r="G409" s="24" t="str">
        <f>IF(tblEmployee[[#This Row],[Payable Flag]]="Y","Pay","No Pay")</f>
        <v>No Pay</v>
      </c>
      <c r="H40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09" s="24">
        <f>IF(tblEmployee[[#This Row],[Payable Flag]]="N",0,1)</f>
        <v>0</v>
      </c>
      <c r="J409" s="24"/>
    </row>
    <row r="410" spans="7:10" x14ac:dyDescent="0.25">
      <c r="G410" s="24" t="str">
        <f>IF(tblEmployee[[#This Row],[Payable Flag]]="Y","Pay","No Pay")</f>
        <v>No Pay</v>
      </c>
      <c r="H41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10" s="24">
        <f>IF(tblEmployee[[#This Row],[Payable Flag]]="N",0,1)</f>
        <v>0</v>
      </c>
      <c r="J410" s="24"/>
    </row>
    <row r="411" spans="7:10" x14ac:dyDescent="0.25">
      <c r="G411" s="24" t="str">
        <f>IF(tblEmployee[[#This Row],[Payable Flag]]="Y","Pay","No Pay")</f>
        <v>No Pay</v>
      </c>
      <c r="H41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11" s="24">
        <f>IF(tblEmployee[[#This Row],[Payable Flag]]="N",0,1)</f>
        <v>0</v>
      </c>
      <c r="J411" s="24"/>
    </row>
    <row r="412" spans="7:10" x14ac:dyDescent="0.25">
      <c r="G412" s="24" t="str">
        <f>IF(tblEmployee[[#This Row],[Payable Flag]]="Y","Pay","No Pay")</f>
        <v>No Pay</v>
      </c>
      <c r="H41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12" s="24">
        <f>IF(tblEmployee[[#This Row],[Payable Flag]]="N",0,1)</f>
        <v>0</v>
      </c>
      <c r="J412" s="24"/>
    </row>
    <row r="413" spans="7:10" x14ac:dyDescent="0.25">
      <c r="G413" s="24" t="str">
        <f>IF(tblEmployee[[#This Row],[Payable Flag]]="Y","Pay","No Pay")</f>
        <v>No Pay</v>
      </c>
      <c r="H41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13" s="24">
        <f>IF(tblEmployee[[#This Row],[Payable Flag]]="N",0,1)</f>
        <v>0</v>
      </c>
      <c r="J413" s="24"/>
    </row>
    <row r="414" spans="7:10" x14ac:dyDescent="0.25">
      <c r="G414" s="24" t="str">
        <f>IF(tblEmployee[[#This Row],[Payable Flag]]="Y","Pay","No Pay")</f>
        <v>No Pay</v>
      </c>
      <c r="H41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14" s="24">
        <f>IF(tblEmployee[[#This Row],[Payable Flag]]="N",0,1)</f>
        <v>0</v>
      </c>
      <c r="J414" s="24"/>
    </row>
    <row r="415" spans="7:10" x14ac:dyDescent="0.25">
      <c r="G415" s="24" t="str">
        <f>IF(tblEmployee[[#This Row],[Payable Flag]]="Y","Pay","No Pay")</f>
        <v>No Pay</v>
      </c>
      <c r="H41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15" s="24">
        <f>IF(tblEmployee[[#This Row],[Payable Flag]]="N",0,1)</f>
        <v>0</v>
      </c>
      <c r="J415" s="24"/>
    </row>
    <row r="416" spans="7:10" x14ac:dyDescent="0.25">
      <c r="G416" s="24" t="str">
        <f>IF(tblEmployee[[#This Row],[Payable Flag]]="Y","Pay","No Pay")</f>
        <v>No Pay</v>
      </c>
      <c r="H41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16" s="24">
        <f>IF(tblEmployee[[#This Row],[Payable Flag]]="N",0,1)</f>
        <v>0</v>
      </c>
      <c r="J416" s="24"/>
    </row>
    <row r="417" spans="7:10" x14ac:dyDescent="0.25">
      <c r="G417" s="24" t="str">
        <f>IF(tblEmployee[[#This Row],[Payable Flag]]="Y","Pay","No Pay")</f>
        <v>No Pay</v>
      </c>
      <c r="H41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17" s="24">
        <f>IF(tblEmployee[[#This Row],[Payable Flag]]="N",0,1)</f>
        <v>0</v>
      </c>
      <c r="J417" s="24"/>
    </row>
    <row r="418" spans="7:10" x14ac:dyDescent="0.25">
      <c r="G418" s="24" t="str">
        <f>IF(tblEmployee[[#This Row],[Payable Flag]]="Y","Pay","No Pay")</f>
        <v>No Pay</v>
      </c>
      <c r="H41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18" s="24">
        <f>IF(tblEmployee[[#This Row],[Payable Flag]]="N",0,1)</f>
        <v>0</v>
      </c>
      <c r="J418" s="24"/>
    </row>
    <row r="419" spans="7:10" x14ac:dyDescent="0.25">
      <c r="G419" s="24" t="str">
        <f>IF(tblEmployee[[#This Row],[Payable Flag]]="Y","Pay","No Pay")</f>
        <v>No Pay</v>
      </c>
      <c r="H41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19" s="24">
        <f>IF(tblEmployee[[#This Row],[Payable Flag]]="N",0,1)</f>
        <v>0</v>
      </c>
      <c r="J419" s="24"/>
    </row>
    <row r="420" spans="7:10" x14ac:dyDescent="0.25">
      <c r="G420" s="24" t="str">
        <f>IF(tblEmployee[[#This Row],[Payable Flag]]="Y","Pay","No Pay")</f>
        <v>No Pay</v>
      </c>
      <c r="H42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20" s="24">
        <f>IF(tblEmployee[[#This Row],[Payable Flag]]="N",0,1)</f>
        <v>0</v>
      </c>
      <c r="J420" s="24"/>
    </row>
    <row r="421" spans="7:10" x14ac:dyDescent="0.25">
      <c r="G421" s="24" t="str">
        <f>IF(tblEmployee[[#This Row],[Payable Flag]]="Y","Pay","No Pay")</f>
        <v>No Pay</v>
      </c>
      <c r="H42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21" s="24">
        <f>IF(tblEmployee[[#This Row],[Payable Flag]]="N",0,1)</f>
        <v>0</v>
      </c>
      <c r="J421" s="24"/>
    </row>
    <row r="422" spans="7:10" x14ac:dyDescent="0.25">
      <c r="G422" s="24" t="str">
        <f>IF(tblEmployee[[#This Row],[Payable Flag]]="Y","Pay","No Pay")</f>
        <v>No Pay</v>
      </c>
      <c r="H42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22" s="24">
        <f>IF(tblEmployee[[#This Row],[Payable Flag]]="N",0,1)</f>
        <v>0</v>
      </c>
      <c r="J422" s="24"/>
    </row>
    <row r="423" spans="7:10" x14ac:dyDescent="0.25">
      <c r="G423" s="24" t="str">
        <f>IF(tblEmployee[[#This Row],[Payable Flag]]="Y","Pay","No Pay")</f>
        <v>No Pay</v>
      </c>
      <c r="H42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23" s="24">
        <f>IF(tblEmployee[[#This Row],[Payable Flag]]="N",0,1)</f>
        <v>0</v>
      </c>
      <c r="J423" s="24"/>
    </row>
    <row r="424" spans="7:10" x14ac:dyDescent="0.25">
      <c r="G424" s="24" t="str">
        <f>IF(tblEmployee[[#This Row],[Payable Flag]]="Y","Pay","No Pay")</f>
        <v>No Pay</v>
      </c>
      <c r="H42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24" s="24">
        <f>IF(tblEmployee[[#This Row],[Payable Flag]]="N",0,1)</f>
        <v>0</v>
      </c>
      <c r="J424" s="24"/>
    </row>
    <row r="425" spans="7:10" x14ac:dyDescent="0.25">
      <c r="G425" s="24" t="str">
        <f>IF(tblEmployee[[#This Row],[Payable Flag]]="Y","Pay","No Pay")</f>
        <v>No Pay</v>
      </c>
      <c r="H42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25" s="24">
        <f>IF(tblEmployee[[#This Row],[Payable Flag]]="N",0,1)</f>
        <v>0</v>
      </c>
      <c r="J425" s="24"/>
    </row>
    <row r="426" spans="7:10" x14ac:dyDescent="0.25">
      <c r="G426" s="24" t="str">
        <f>IF(tblEmployee[[#This Row],[Payable Flag]]="Y","Pay","No Pay")</f>
        <v>No Pay</v>
      </c>
      <c r="H42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26" s="24">
        <f>IF(tblEmployee[[#This Row],[Payable Flag]]="N",0,1)</f>
        <v>0</v>
      </c>
      <c r="J426" s="24"/>
    </row>
    <row r="427" spans="7:10" x14ac:dyDescent="0.25">
      <c r="G427" s="24" t="str">
        <f>IF(tblEmployee[[#This Row],[Payable Flag]]="Y","Pay","No Pay")</f>
        <v>No Pay</v>
      </c>
      <c r="H42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27" s="24">
        <f>IF(tblEmployee[[#This Row],[Payable Flag]]="N",0,1)</f>
        <v>0</v>
      </c>
      <c r="J427" s="24"/>
    </row>
    <row r="428" spans="7:10" x14ac:dyDescent="0.25">
      <c r="G428" s="24" t="str">
        <f>IF(tblEmployee[[#This Row],[Payable Flag]]="Y","Pay","No Pay")</f>
        <v>No Pay</v>
      </c>
      <c r="H42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28" s="24">
        <f>IF(tblEmployee[[#This Row],[Payable Flag]]="N",0,1)</f>
        <v>0</v>
      </c>
      <c r="J428" s="24"/>
    </row>
    <row r="429" spans="7:10" x14ac:dyDescent="0.25">
      <c r="G429" s="24" t="str">
        <f>IF(tblEmployee[[#This Row],[Payable Flag]]="Y","Pay","No Pay")</f>
        <v>No Pay</v>
      </c>
      <c r="H42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29" s="24">
        <f>IF(tblEmployee[[#This Row],[Payable Flag]]="N",0,1)</f>
        <v>0</v>
      </c>
      <c r="J429" s="24"/>
    </row>
    <row r="430" spans="7:10" x14ac:dyDescent="0.25">
      <c r="G430" s="24" t="str">
        <f>IF(tblEmployee[[#This Row],[Payable Flag]]="Y","Pay","No Pay")</f>
        <v>No Pay</v>
      </c>
      <c r="H43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30" s="24">
        <f>IF(tblEmployee[[#This Row],[Payable Flag]]="N",0,1)</f>
        <v>0</v>
      </c>
      <c r="J430" s="24"/>
    </row>
    <row r="431" spans="7:10" x14ac:dyDescent="0.25">
      <c r="G431" s="24" t="str">
        <f>IF(tblEmployee[[#This Row],[Payable Flag]]="Y","Pay","No Pay")</f>
        <v>No Pay</v>
      </c>
      <c r="H43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31" s="24">
        <f>IF(tblEmployee[[#This Row],[Payable Flag]]="N",0,1)</f>
        <v>0</v>
      </c>
      <c r="J431" s="24"/>
    </row>
    <row r="432" spans="7:10" x14ac:dyDescent="0.25">
      <c r="G432" s="24" t="str">
        <f>IF(tblEmployee[[#This Row],[Payable Flag]]="Y","Pay","No Pay")</f>
        <v>No Pay</v>
      </c>
      <c r="H43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32" s="24">
        <f>IF(tblEmployee[[#This Row],[Payable Flag]]="N",0,1)</f>
        <v>0</v>
      </c>
      <c r="J432" s="24"/>
    </row>
    <row r="433" spans="7:10" x14ac:dyDescent="0.25">
      <c r="G433" s="24" t="str">
        <f>IF(tblEmployee[[#This Row],[Payable Flag]]="Y","Pay","No Pay")</f>
        <v>No Pay</v>
      </c>
      <c r="H43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33" s="24">
        <f>IF(tblEmployee[[#This Row],[Payable Flag]]="N",0,1)</f>
        <v>0</v>
      </c>
      <c r="J433" s="24"/>
    </row>
    <row r="434" spans="7:10" x14ac:dyDescent="0.25">
      <c r="G434" s="24" t="str">
        <f>IF(tblEmployee[[#This Row],[Payable Flag]]="Y","Pay","No Pay")</f>
        <v>No Pay</v>
      </c>
      <c r="H43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34" s="24">
        <f>IF(tblEmployee[[#This Row],[Payable Flag]]="N",0,1)</f>
        <v>0</v>
      </c>
      <c r="J434" s="24"/>
    </row>
    <row r="435" spans="7:10" x14ac:dyDescent="0.25">
      <c r="G435" s="24" t="str">
        <f>IF(tblEmployee[[#This Row],[Payable Flag]]="Y","Pay","No Pay")</f>
        <v>No Pay</v>
      </c>
      <c r="H43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35" s="24">
        <f>IF(tblEmployee[[#This Row],[Payable Flag]]="N",0,1)</f>
        <v>0</v>
      </c>
      <c r="J435" s="24"/>
    </row>
    <row r="436" spans="7:10" x14ac:dyDescent="0.25">
      <c r="G436" s="24" t="str">
        <f>IF(tblEmployee[[#This Row],[Payable Flag]]="Y","Pay","No Pay")</f>
        <v>No Pay</v>
      </c>
      <c r="H43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36" s="24">
        <f>IF(tblEmployee[[#This Row],[Payable Flag]]="N",0,1)</f>
        <v>0</v>
      </c>
      <c r="J436" s="24"/>
    </row>
    <row r="437" spans="7:10" x14ac:dyDescent="0.25">
      <c r="G437" s="24" t="str">
        <f>IF(tblEmployee[[#This Row],[Payable Flag]]="Y","Pay","No Pay")</f>
        <v>No Pay</v>
      </c>
      <c r="H43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37" s="24">
        <f>IF(tblEmployee[[#This Row],[Payable Flag]]="N",0,1)</f>
        <v>0</v>
      </c>
      <c r="J437" s="24"/>
    </row>
    <row r="438" spans="7:10" x14ac:dyDescent="0.25">
      <c r="G438" s="24" t="str">
        <f>IF(tblEmployee[[#This Row],[Payable Flag]]="Y","Pay","No Pay")</f>
        <v>No Pay</v>
      </c>
      <c r="H43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38" s="24">
        <f>IF(tblEmployee[[#This Row],[Payable Flag]]="N",0,1)</f>
        <v>0</v>
      </c>
      <c r="J438" s="24"/>
    </row>
    <row r="439" spans="7:10" x14ac:dyDescent="0.25">
      <c r="G439" s="24" t="str">
        <f>IF(tblEmployee[[#This Row],[Payable Flag]]="Y","Pay","No Pay")</f>
        <v>No Pay</v>
      </c>
      <c r="H43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39" s="24">
        <f>IF(tblEmployee[[#This Row],[Payable Flag]]="N",0,1)</f>
        <v>0</v>
      </c>
      <c r="J439" s="24"/>
    </row>
    <row r="440" spans="7:10" x14ac:dyDescent="0.25">
      <c r="G440" s="24" t="str">
        <f>IF(tblEmployee[[#This Row],[Payable Flag]]="Y","Pay","No Pay")</f>
        <v>No Pay</v>
      </c>
      <c r="H44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40" s="24">
        <f>IF(tblEmployee[[#This Row],[Payable Flag]]="N",0,1)</f>
        <v>0</v>
      </c>
      <c r="J440" s="24"/>
    </row>
    <row r="441" spans="7:10" x14ac:dyDescent="0.25">
      <c r="G441" s="24" t="str">
        <f>IF(tblEmployee[[#This Row],[Payable Flag]]="Y","Pay","No Pay")</f>
        <v>No Pay</v>
      </c>
      <c r="H44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41" s="24">
        <f>IF(tblEmployee[[#This Row],[Payable Flag]]="N",0,1)</f>
        <v>0</v>
      </c>
      <c r="J441" s="24"/>
    </row>
    <row r="442" spans="7:10" x14ac:dyDescent="0.25">
      <c r="G442" s="24" t="str">
        <f>IF(tblEmployee[[#This Row],[Payable Flag]]="Y","Pay","No Pay")</f>
        <v>No Pay</v>
      </c>
      <c r="H44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42" s="24">
        <f>IF(tblEmployee[[#This Row],[Payable Flag]]="N",0,1)</f>
        <v>0</v>
      </c>
      <c r="J442" s="24"/>
    </row>
    <row r="443" spans="7:10" x14ac:dyDescent="0.25">
      <c r="G443" s="24" t="str">
        <f>IF(tblEmployee[[#This Row],[Payable Flag]]="Y","Pay","No Pay")</f>
        <v>No Pay</v>
      </c>
      <c r="H44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43" s="24">
        <f>IF(tblEmployee[[#This Row],[Payable Flag]]="N",0,1)</f>
        <v>0</v>
      </c>
      <c r="J443" s="24"/>
    </row>
    <row r="444" spans="7:10" x14ac:dyDescent="0.25">
      <c r="G444" s="24" t="str">
        <f>IF(tblEmployee[[#This Row],[Payable Flag]]="Y","Pay","No Pay")</f>
        <v>No Pay</v>
      </c>
      <c r="H44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44" s="24">
        <f>IF(tblEmployee[[#This Row],[Payable Flag]]="N",0,1)</f>
        <v>0</v>
      </c>
      <c r="J444" s="24"/>
    </row>
    <row r="445" spans="7:10" x14ac:dyDescent="0.25">
      <c r="G445" s="24" t="str">
        <f>IF(tblEmployee[[#This Row],[Payable Flag]]="Y","Pay","No Pay")</f>
        <v>No Pay</v>
      </c>
      <c r="H44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45" s="24">
        <f>IF(tblEmployee[[#This Row],[Payable Flag]]="N",0,1)</f>
        <v>0</v>
      </c>
      <c r="J445" s="24"/>
    </row>
    <row r="446" spans="7:10" x14ac:dyDescent="0.25">
      <c r="G446" s="24" t="str">
        <f>IF(tblEmployee[[#This Row],[Payable Flag]]="Y","Pay","No Pay")</f>
        <v>No Pay</v>
      </c>
      <c r="H44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46" s="24">
        <f>IF(tblEmployee[[#This Row],[Payable Flag]]="N",0,1)</f>
        <v>0</v>
      </c>
      <c r="J446" s="24"/>
    </row>
    <row r="447" spans="7:10" x14ac:dyDescent="0.25">
      <c r="G447" s="24" t="str">
        <f>IF(tblEmployee[[#This Row],[Payable Flag]]="Y","Pay","No Pay")</f>
        <v>No Pay</v>
      </c>
      <c r="H44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47" s="24">
        <f>IF(tblEmployee[[#This Row],[Payable Flag]]="N",0,1)</f>
        <v>0</v>
      </c>
      <c r="J447" s="24"/>
    </row>
    <row r="448" spans="7:10" x14ac:dyDescent="0.25">
      <c r="G448" s="24" t="str">
        <f>IF(tblEmployee[[#This Row],[Payable Flag]]="Y","Pay","No Pay")</f>
        <v>No Pay</v>
      </c>
      <c r="H44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48" s="24">
        <f>IF(tblEmployee[[#This Row],[Payable Flag]]="N",0,1)</f>
        <v>0</v>
      </c>
      <c r="J448" s="24"/>
    </row>
    <row r="449" spans="7:10" x14ac:dyDescent="0.25">
      <c r="G449" s="24" t="str">
        <f>IF(tblEmployee[[#This Row],[Payable Flag]]="Y","Pay","No Pay")</f>
        <v>No Pay</v>
      </c>
      <c r="H44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49" s="24">
        <f>IF(tblEmployee[[#This Row],[Payable Flag]]="N",0,1)</f>
        <v>0</v>
      </c>
      <c r="J449" s="24"/>
    </row>
    <row r="450" spans="7:10" x14ac:dyDescent="0.25">
      <c r="G450" s="24" t="str">
        <f>IF(tblEmployee[[#This Row],[Payable Flag]]="Y","Pay","No Pay")</f>
        <v>No Pay</v>
      </c>
      <c r="H45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50" s="24">
        <f>IF(tblEmployee[[#This Row],[Payable Flag]]="N",0,1)</f>
        <v>0</v>
      </c>
      <c r="J450" s="24"/>
    </row>
    <row r="451" spans="7:10" x14ac:dyDescent="0.25">
      <c r="G451" s="24" t="str">
        <f>IF(tblEmployee[[#This Row],[Payable Flag]]="Y","Pay","No Pay")</f>
        <v>No Pay</v>
      </c>
      <c r="H45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51" s="24">
        <f>IF(tblEmployee[[#This Row],[Payable Flag]]="N",0,1)</f>
        <v>0</v>
      </c>
      <c r="J451" s="24"/>
    </row>
    <row r="452" spans="7:10" x14ac:dyDescent="0.25">
      <c r="G452" s="24" t="str">
        <f>IF(tblEmployee[[#This Row],[Payable Flag]]="Y","Pay","No Pay")</f>
        <v>No Pay</v>
      </c>
      <c r="H45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52" s="24">
        <f>IF(tblEmployee[[#This Row],[Payable Flag]]="N",0,1)</f>
        <v>0</v>
      </c>
      <c r="J452" s="24"/>
    </row>
    <row r="453" spans="7:10" x14ac:dyDescent="0.25">
      <c r="G453" s="24" t="str">
        <f>IF(tblEmployee[[#This Row],[Payable Flag]]="Y","Pay","No Pay")</f>
        <v>No Pay</v>
      </c>
      <c r="H45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53" s="24">
        <f>IF(tblEmployee[[#This Row],[Payable Flag]]="N",0,1)</f>
        <v>0</v>
      </c>
      <c r="J453" s="24"/>
    </row>
    <row r="454" spans="7:10" x14ac:dyDescent="0.25">
      <c r="G454" s="24" t="str">
        <f>IF(tblEmployee[[#This Row],[Payable Flag]]="Y","Pay","No Pay")</f>
        <v>No Pay</v>
      </c>
      <c r="H45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54" s="24">
        <f>IF(tblEmployee[[#This Row],[Payable Flag]]="N",0,1)</f>
        <v>0</v>
      </c>
      <c r="J454" s="24"/>
    </row>
    <row r="455" spans="7:10" x14ac:dyDescent="0.25">
      <c r="G455" s="24" t="str">
        <f>IF(tblEmployee[[#This Row],[Payable Flag]]="Y","Pay","No Pay")</f>
        <v>No Pay</v>
      </c>
      <c r="H45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55" s="24">
        <f>IF(tblEmployee[[#This Row],[Payable Flag]]="N",0,1)</f>
        <v>0</v>
      </c>
      <c r="J455" s="24"/>
    </row>
    <row r="456" spans="7:10" x14ac:dyDescent="0.25">
      <c r="G456" s="24" t="str">
        <f>IF(tblEmployee[[#This Row],[Payable Flag]]="Y","Pay","No Pay")</f>
        <v>No Pay</v>
      </c>
      <c r="H45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56" s="24">
        <f>IF(tblEmployee[[#This Row],[Payable Flag]]="N",0,1)</f>
        <v>0</v>
      </c>
      <c r="J456" s="24"/>
    </row>
    <row r="457" spans="7:10" x14ac:dyDescent="0.25">
      <c r="G457" s="24" t="str">
        <f>IF(tblEmployee[[#This Row],[Payable Flag]]="Y","Pay","No Pay")</f>
        <v>No Pay</v>
      </c>
      <c r="H45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57" s="24">
        <f>IF(tblEmployee[[#This Row],[Payable Flag]]="N",0,1)</f>
        <v>0</v>
      </c>
      <c r="J457" s="24"/>
    </row>
    <row r="458" spans="7:10" x14ac:dyDescent="0.25">
      <c r="G458" s="24" t="str">
        <f>IF(tblEmployee[[#This Row],[Payable Flag]]="Y","Pay","No Pay")</f>
        <v>No Pay</v>
      </c>
      <c r="H45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58" s="24">
        <f>IF(tblEmployee[[#This Row],[Payable Flag]]="N",0,1)</f>
        <v>0</v>
      </c>
      <c r="J458" s="24"/>
    </row>
    <row r="459" spans="7:10" x14ac:dyDescent="0.25">
      <c r="G459" s="24" t="str">
        <f>IF(tblEmployee[[#This Row],[Payable Flag]]="Y","Pay","No Pay")</f>
        <v>No Pay</v>
      </c>
      <c r="H45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59" s="24">
        <f>IF(tblEmployee[[#This Row],[Payable Flag]]="N",0,1)</f>
        <v>0</v>
      </c>
      <c r="J459" s="24"/>
    </row>
    <row r="460" spans="7:10" x14ac:dyDescent="0.25">
      <c r="G460" s="24" t="str">
        <f>IF(tblEmployee[[#This Row],[Payable Flag]]="Y","Pay","No Pay")</f>
        <v>No Pay</v>
      </c>
      <c r="H46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60" s="24">
        <f>IF(tblEmployee[[#This Row],[Payable Flag]]="N",0,1)</f>
        <v>0</v>
      </c>
      <c r="J460" s="24"/>
    </row>
    <row r="461" spans="7:10" x14ac:dyDescent="0.25">
      <c r="G461" s="24" t="str">
        <f>IF(tblEmployee[[#This Row],[Payable Flag]]="Y","Pay","No Pay")</f>
        <v>No Pay</v>
      </c>
      <c r="H46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61" s="24">
        <f>IF(tblEmployee[[#This Row],[Payable Flag]]="N",0,1)</f>
        <v>0</v>
      </c>
      <c r="J461" s="24"/>
    </row>
    <row r="462" spans="7:10" x14ac:dyDescent="0.25">
      <c r="G462" s="24" t="str">
        <f>IF(tblEmployee[[#This Row],[Payable Flag]]="Y","Pay","No Pay")</f>
        <v>No Pay</v>
      </c>
      <c r="H46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62" s="24">
        <f>IF(tblEmployee[[#This Row],[Payable Flag]]="N",0,1)</f>
        <v>0</v>
      </c>
      <c r="J462" s="24"/>
    </row>
    <row r="463" spans="7:10" x14ac:dyDescent="0.25">
      <c r="G463" s="24" t="str">
        <f>IF(tblEmployee[[#This Row],[Payable Flag]]="Y","Pay","No Pay")</f>
        <v>No Pay</v>
      </c>
      <c r="H46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63" s="24">
        <f>IF(tblEmployee[[#This Row],[Payable Flag]]="N",0,1)</f>
        <v>0</v>
      </c>
      <c r="J463" s="24"/>
    </row>
    <row r="464" spans="7:10" x14ac:dyDescent="0.25">
      <c r="G464" s="24" t="str">
        <f>IF(tblEmployee[[#This Row],[Payable Flag]]="Y","Pay","No Pay")</f>
        <v>No Pay</v>
      </c>
      <c r="H46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64" s="24">
        <f>IF(tblEmployee[[#This Row],[Payable Flag]]="N",0,1)</f>
        <v>0</v>
      </c>
      <c r="J464" s="24"/>
    </row>
    <row r="465" spans="7:10" x14ac:dyDescent="0.25">
      <c r="G465" s="24" t="str">
        <f>IF(tblEmployee[[#This Row],[Payable Flag]]="Y","Pay","No Pay")</f>
        <v>No Pay</v>
      </c>
      <c r="H46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65" s="24">
        <f>IF(tblEmployee[[#This Row],[Payable Flag]]="N",0,1)</f>
        <v>0</v>
      </c>
      <c r="J465" s="24"/>
    </row>
    <row r="466" spans="7:10" x14ac:dyDescent="0.25">
      <c r="G466" s="24" t="str">
        <f>IF(tblEmployee[[#This Row],[Payable Flag]]="Y","Pay","No Pay")</f>
        <v>No Pay</v>
      </c>
      <c r="H46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66" s="24">
        <f>IF(tblEmployee[[#This Row],[Payable Flag]]="N",0,1)</f>
        <v>0</v>
      </c>
      <c r="J466" s="24"/>
    </row>
    <row r="467" spans="7:10" x14ac:dyDescent="0.25">
      <c r="G467" s="24" t="str">
        <f>IF(tblEmployee[[#This Row],[Payable Flag]]="Y","Pay","No Pay")</f>
        <v>No Pay</v>
      </c>
      <c r="H46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67" s="24">
        <f>IF(tblEmployee[[#This Row],[Payable Flag]]="N",0,1)</f>
        <v>0</v>
      </c>
      <c r="J467" s="24"/>
    </row>
    <row r="468" spans="7:10" x14ac:dyDescent="0.25">
      <c r="G468" s="24" t="str">
        <f>IF(tblEmployee[[#This Row],[Payable Flag]]="Y","Pay","No Pay")</f>
        <v>No Pay</v>
      </c>
      <c r="H46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68" s="24">
        <f>IF(tblEmployee[[#This Row],[Payable Flag]]="N",0,1)</f>
        <v>0</v>
      </c>
      <c r="J468" s="24"/>
    </row>
    <row r="469" spans="7:10" x14ac:dyDescent="0.25">
      <c r="G469" s="24" t="str">
        <f>IF(tblEmployee[[#This Row],[Payable Flag]]="Y","Pay","No Pay")</f>
        <v>No Pay</v>
      </c>
      <c r="H46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69" s="24">
        <f>IF(tblEmployee[[#This Row],[Payable Flag]]="N",0,1)</f>
        <v>0</v>
      </c>
      <c r="J469" s="24"/>
    </row>
    <row r="470" spans="7:10" x14ac:dyDescent="0.25">
      <c r="G470" s="24" t="str">
        <f>IF(tblEmployee[[#This Row],[Payable Flag]]="Y","Pay","No Pay")</f>
        <v>No Pay</v>
      </c>
      <c r="H47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70" s="24">
        <f>IF(tblEmployee[[#This Row],[Payable Flag]]="N",0,1)</f>
        <v>0</v>
      </c>
      <c r="J470" s="24"/>
    </row>
    <row r="471" spans="7:10" x14ac:dyDescent="0.25">
      <c r="G471" s="24" t="str">
        <f>IF(tblEmployee[[#This Row],[Payable Flag]]="Y","Pay","No Pay")</f>
        <v>No Pay</v>
      </c>
      <c r="H47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71" s="24">
        <f>IF(tblEmployee[[#This Row],[Payable Flag]]="N",0,1)</f>
        <v>0</v>
      </c>
      <c r="J471" s="24"/>
    </row>
    <row r="472" spans="7:10" x14ac:dyDescent="0.25">
      <c r="G472" s="24" t="str">
        <f>IF(tblEmployee[[#This Row],[Payable Flag]]="Y","Pay","No Pay")</f>
        <v>No Pay</v>
      </c>
      <c r="H47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72" s="24">
        <f>IF(tblEmployee[[#This Row],[Payable Flag]]="N",0,1)</f>
        <v>0</v>
      </c>
      <c r="J472" s="24"/>
    </row>
    <row r="473" spans="7:10" x14ac:dyDescent="0.25">
      <c r="G473" s="24" t="str">
        <f>IF(tblEmployee[[#This Row],[Payable Flag]]="Y","Pay","No Pay")</f>
        <v>No Pay</v>
      </c>
      <c r="H47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73" s="24">
        <f>IF(tblEmployee[[#This Row],[Payable Flag]]="N",0,1)</f>
        <v>0</v>
      </c>
      <c r="J473" s="24"/>
    </row>
    <row r="474" spans="7:10" x14ac:dyDescent="0.25">
      <c r="G474" s="24" t="str">
        <f>IF(tblEmployee[[#This Row],[Payable Flag]]="Y","Pay","No Pay")</f>
        <v>No Pay</v>
      </c>
      <c r="H47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74" s="24">
        <f>IF(tblEmployee[[#This Row],[Payable Flag]]="N",0,1)</f>
        <v>0</v>
      </c>
      <c r="J474" s="24"/>
    </row>
    <row r="475" spans="7:10" x14ac:dyDescent="0.25">
      <c r="G475" s="24" t="str">
        <f>IF(tblEmployee[[#This Row],[Payable Flag]]="Y","Pay","No Pay")</f>
        <v>No Pay</v>
      </c>
      <c r="H47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75" s="24">
        <f>IF(tblEmployee[[#This Row],[Payable Flag]]="N",0,1)</f>
        <v>0</v>
      </c>
      <c r="J475" s="24"/>
    </row>
    <row r="476" spans="7:10" x14ac:dyDescent="0.25">
      <c r="G476" s="24" t="str">
        <f>IF(tblEmployee[[#This Row],[Payable Flag]]="Y","Pay","No Pay")</f>
        <v>No Pay</v>
      </c>
      <c r="H47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76" s="24">
        <f>IF(tblEmployee[[#This Row],[Payable Flag]]="N",0,1)</f>
        <v>0</v>
      </c>
      <c r="J476" s="24"/>
    </row>
    <row r="477" spans="7:10" x14ac:dyDescent="0.25">
      <c r="G477" s="24" t="str">
        <f>IF(tblEmployee[[#This Row],[Payable Flag]]="Y","Pay","No Pay")</f>
        <v>No Pay</v>
      </c>
      <c r="H47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77" s="24">
        <f>IF(tblEmployee[[#This Row],[Payable Flag]]="N",0,1)</f>
        <v>0</v>
      </c>
      <c r="J477" s="24"/>
    </row>
    <row r="478" spans="7:10" x14ac:dyDescent="0.25">
      <c r="G478" s="24" t="str">
        <f>IF(tblEmployee[[#This Row],[Payable Flag]]="Y","Pay","No Pay")</f>
        <v>No Pay</v>
      </c>
      <c r="H47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78" s="24">
        <f>IF(tblEmployee[[#This Row],[Payable Flag]]="N",0,1)</f>
        <v>0</v>
      </c>
      <c r="J478" s="24"/>
    </row>
    <row r="479" spans="7:10" x14ac:dyDescent="0.25">
      <c r="G479" s="24" t="str">
        <f>IF(tblEmployee[[#This Row],[Payable Flag]]="Y","Pay","No Pay")</f>
        <v>No Pay</v>
      </c>
      <c r="H47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79" s="24">
        <f>IF(tblEmployee[[#This Row],[Payable Flag]]="N",0,1)</f>
        <v>0</v>
      </c>
      <c r="J479" s="24"/>
    </row>
    <row r="480" spans="7:10" x14ac:dyDescent="0.25">
      <c r="G480" s="24" t="str">
        <f>IF(tblEmployee[[#This Row],[Payable Flag]]="Y","Pay","No Pay")</f>
        <v>No Pay</v>
      </c>
      <c r="H48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80" s="24">
        <f>IF(tblEmployee[[#This Row],[Payable Flag]]="N",0,1)</f>
        <v>0</v>
      </c>
      <c r="J480" s="24"/>
    </row>
    <row r="481" spans="7:10" x14ac:dyDescent="0.25">
      <c r="G481" s="24" t="str">
        <f>IF(tblEmployee[[#This Row],[Payable Flag]]="Y","Pay","No Pay")</f>
        <v>No Pay</v>
      </c>
      <c r="H48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81" s="24">
        <f>IF(tblEmployee[[#This Row],[Payable Flag]]="N",0,1)</f>
        <v>0</v>
      </c>
      <c r="J481" s="24"/>
    </row>
    <row r="482" spans="7:10" x14ac:dyDescent="0.25">
      <c r="G482" s="24" t="str">
        <f>IF(tblEmployee[[#This Row],[Payable Flag]]="Y","Pay","No Pay")</f>
        <v>No Pay</v>
      </c>
      <c r="H48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82" s="24">
        <f>IF(tblEmployee[[#This Row],[Payable Flag]]="N",0,1)</f>
        <v>0</v>
      </c>
      <c r="J482" s="24"/>
    </row>
    <row r="483" spans="7:10" x14ac:dyDescent="0.25">
      <c r="G483" s="24" t="str">
        <f>IF(tblEmployee[[#This Row],[Payable Flag]]="Y","Pay","No Pay")</f>
        <v>No Pay</v>
      </c>
      <c r="H48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83" s="24">
        <f>IF(tblEmployee[[#This Row],[Payable Flag]]="N",0,1)</f>
        <v>0</v>
      </c>
      <c r="J483" s="24"/>
    </row>
    <row r="484" spans="7:10" x14ac:dyDescent="0.25">
      <c r="G484" s="24" t="str">
        <f>IF(tblEmployee[[#This Row],[Payable Flag]]="Y","Pay","No Pay")</f>
        <v>No Pay</v>
      </c>
      <c r="H48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84" s="24">
        <f>IF(tblEmployee[[#This Row],[Payable Flag]]="N",0,1)</f>
        <v>0</v>
      </c>
      <c r="J484" s="24"/>
    </row>
    <row r="485" spans="7:10" x14ac:dyDescent="0.25">
      <c r="G485" s="24" t="str">
        <f>IF(tblEmployee[[#This Row],[Payable Flag]]="Y","Pay","No Pay")</f>
        <v>No Pay</v>
      </c>
      <c r="H48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85" s="24">
        <f>IF(tblEmployee[[#This Row],[Payable Flag]]="N",0,1)</f>
        <v>0</v>
      </c>
      <c r="J485" s="24"/>
    </row>
    <row r="486" spans="7:10" x14ac:dyDescent="0.25">
      <c r="G486" s="24" t="str">
        <f>IF(tblEmployee[[#This Row],[Payable Flag]]="Y","Pay","No Pay")</f>
        <v>No Pay</v>
      </c>
      <c r="H48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86" s="24">
        <f>IF(tblEmployee[[#This Row],[Payable Flag]]="N",0,1)</f>
        <v>0</v>
      </c>
      <c r="J486" s="24"/>
    </row>
    <row r="487" spans="7:10" x14ac:dyDescent="0.25">
      <c r="G487" s="24" t="str">
        <f>IF(tblEmployee[[#This Row],[Payable Flag]]="Y","Pay","No Pay")</f>
        <v>No Pay</v>
      </c>
      <c r="H48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87" s="24">
        <f>IF(tblEmployee[[#This Row],[Payable Flag]]="N",0,1)</f>
        <v>0</v>
      </c>
      <c r="J487" s="24"/>
    </row>
    <row r="488" spans="7:10" x14ac:dyDescent="0.25">
      <c r="G488" s="24" t="str">
        <f>IF(tblEmployee[[#This Row],[Payable Flag]]="Y","Pay","No Pay")</f>
        <v>No Pay</v>
      </c>
      <c r="H48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88" s="24">
        <f>IF(tblEmployee[[#This Row],[Payable Flag]]="N",0,1)</f>
        <v>0</v>
      </c>
      <c r="J488" s="24"/>
    </row>
    <row r="489" spans="7:10" x14ac:dyDescent="0.25">
      <c r="G489" s="24" t="str">
        <f>IF(tblEmployee[[#This Row],[Payable Flag]]="Y","Pay","No Pay")</f>
        <v>No Pay</v>
      </c>
      <c r="H48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89" s="24">
        <f>IF(tblEmployee[[#This Row],[Payable Flag]]="N",0,1)</f>
        <v>0</v>
      </c>
      <c r="J489" s="24"/>
    </row>
    <row r="490" spans="7:10" x14ac:dyDescent="0.25">
      <c r="G490" s="24" t="str">
        <f>IF(tblEmployee[[#This Row],[Payable Flag]]="Y","Pay","No Pay")</f>
        <v>No Pay</v>
      </c>
      <c r="H49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90" s="24">
        <f>IF(tblEmployee[[#This Row],[Payable Flag]]="N",0,1)</f>
        <v>0</v>
      </c>
      <c r="J490" s="24"/>
    </row>
    <row r="491" spans="7:10" x14ac:dyDescent="0.25">
      <c r="G491" s="24" t="str">
        <f>IF(tblEmployee[[#This Row],[Payable Flag]]="Y","Pay","No Pay")</f>
        <v>No Pay</v>
      </c>
      <c r="H49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91" s="24">
        <f>IF(tblEmployee[[#This Row],[Payable Flag]]="N",0,1)</f>
        <v>0</v>
      </c>
      <c r="J491" s="24"/>
    </row>
    <row r="492" spans="7:10" x14ac:dyDescent="0.25">
      <c r="G492" s="24" t="str">
        <f>IF(tblEmployee[[#This Row],[Payable Flag]]="Y","Pay","No Pay")</f>
        <v>No Pay</v>
      </c>
      <c r="H49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92" s="24">
        <f>IF(tblEmployee[[#This Row],[Payable Flag]]="N",0,1)</f>
        <v>0</v>
      </c>
      <c r="J492" s="24"/>
    </row>
    <row r="493" spans="7:10" x14ac:dyDescent="0.25">
      <c r="G493" s="24" t="str">
        <f>IF(tblEmployee[[#This Row],[Payable Flag]]="Y","Pay","No Pay")</f>
        <v>No Pay</v>
      </c>
      <c r="H49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93" s="24">
        <f>IF(tblEmployee[[#This Row],[Payable Flag]]="N",0,1)</f>
        <v>0</v>
      </c>
      <c r="J493" s="24"/>
    </row>
    <row r="494" spans="7:10" x14ac:dyDescent="0.25">
      <c r="G494" s="24" t="str">
        <f>IF(tblEmployee[[#This Row],[Payable Flag]]="Y","Pay","No Pay")</f>
        <v>No Pay</v>
      </c>
      <c r="H49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94" s="24">
        <f>IF(tblEmployee[[#This Row],[Payable Flag]]="N",0,1)</f>
        <v>0</v>
      </c>
      <c r="J494" s="24"/>
    </row>
    <row r="495" spans="7:10" x14ac:dyDescent="0.25">
      <c r="G495" s="24" t="str">
        <f>IF(tblEmployee[[#This Row],[Payable Flag]]="Y","Pay","No Pay")</f>
        <v>No Pay</v>
      </c>
      <c r="H49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95" s="24">
        <f>IF(tblEmployee[[#This Row],[Payable Flag]]="N",0,1)</f>
        <v>0</v>
      </c>
      <c r="J495" s="24"/>
    </row>
    <row r="496" spans="7:10" x14ac:dyDescent="0.25">
      <c r="G496" s="24" t="str">
        <f>IF(tblEmployee[[#This Row],[Payable Flag]]="Y","Pay","No Pay")</f>
        <v>No Pay</v>
      </c>
      <c r="H49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96" s="24">
        <f>IF(tblEmployee[[#This Row],[Payable Flag]]="N",0,1)</f>
        <v>0</v>
      </c>
      <c r="J496" s="24"/>
    </row>
    <row r="497" spans="7:10" x14ac:dyDescent="0.25">
      <c r="G497" s="24" t="str">
        <f>IF(tblEmployee[[#This Row],[Payable Flag]]="Y","Pay","No Pay")</f>
        <v>No Pay</v>
      </c>
      <c r="H49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97" s="24">
        <f>IF(tblEmployee[[#This Row],[Payable Flag]]="N",0,1)</f>
        <v>0</v>
      </c>
      <c r="J497" s="24"/>
    </row>
    <row r="498" spans="7:10" x14ac:dyDescent="0.25">
      <c r="G498" s="24" t="str">
        <f>IF(tblEmployee[[#This Row],[Payable Flag]]="Y","Pay","No Pay")</f>
        <v>No Pay</v>
      </c>
      <c r="H49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98" s="24">
        <f>IF(tblEmployee[[#This Row],[Payable Flag]]="N",0,1)</f>
        <v>0</v>
      </c>
      <c r="J498" s="24"/>
    </row>
    <row r="499" spans="7:10" x14ac:dyDescent="0.25">
      <c r="G499" s="24" t="str">
        <f>IF(tblEmployee[[#This Row],[Payable Flag]]="Y","Pay","No Pay")</f>
        <v>No Pay</v>
      </c>
      <c r="H49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499" s="24">
        <f>IF(tblEmployee[[#This Row],[Payable Flag]]="N",0,1)</f>
        <v>0</v>
      </c>
      <c r="J499" s="24"/>
    </row>
    <row r="500" spans="7:10" x14ac:dyDescent="0.25">
      <c r="G500" s="24" t="str">
        <f>IF(tblEmployee[[#This Row],[Payable Flag]]="Y","Pay","No Pay")</f>
        <v>No Pay</v>
      </c>
      <c r="H50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00" s="24">
        <f>IF(tblEmployee[[#This Row],[Payable Flag]]="N",0,1)</f>
        <v>0</v>
      </c>
      <c r="J500" s="24"/>
    </row>
    <row r="501" spans="7:10" x14ac:dyDescent="0.25">
      <c r="G501" s="24" t="str">
        <f>IF(tblEmployee[[#This Row],[Payable Flag]]="Y","Pay","No Pay")</f>
        <v>No Pay</v>
      </c>
      <c r="H50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01" s="24">
        <f>IF(tblEmployee[[#This Row],[Payable Flag]]="N",0,1)</f>
        <v>0</v>
      </c>
      <c r="J501" s="24"/>
    </row>
    <row r="502" spans="7:10" x14ac:dyDescent="0.25">
      <c r="G502" s="24" t="str">
        <f>IF(tblEmployee[[#This Row],[Payable Flag]]="Y","Pay","No Pay")</f>
        <v>No Pay</v>
      </c>
      <c r="H50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02" s="24">
        <f>IF(tblEmployee[[#This Row],[Payable Flag]]="N",0,1)</f>
        <v>0</v>
      </c>
      <c r="J502" s="24"/>
    </row>
    <row r="503" spans="7:10" x14ac:dyDescent="0.25">
      <c r="G503" s="24" t="str">
        <f>IF(tblEmployee[[#This Row],[Payable Flag]]="Y","Pay","No Pay")</f>
        <v>No Pay</v>
      </c>
      <c r="H50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03" s="24">
        <f>IF(tblEmployee[[#This Row],[Payable Flag]]="N",0,1)</f>
        <v>0</v>
      </c>
      <c r="J503" s="24"/>
    </row>
    <row r="504" spans="7:10" x14ac:dyDescent="0.25">
      <c r="G504" s="24" t="str">
        <f>IF(tblEmployee[[#This Row],[Payable Flag]]="Y","Pay","No Pay")</f>
        <v>No Pay</v>
      </c>
      <c r="H50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04" s="24">
        <f>IF(tblEmployee[[#This Row],[Payable Flag]]="N",0,1)</f>
        <v>0</v>
      </c>
      <c r="J504" s="24"/>
    </row>
    <row r="505" spans="7:10" x14ac:dyDescent="0.25">
      <c r="G505" s="24" t="str">
        <f>IF(tblEmployee[[#This Row],[Payable Flag]]="Y","Pay","No Pay")</f>
        <v>No Pay</v>
      </c>
      <c r="H50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05" s="24">
        <f>IF(tblEmployee[[#This Row],[Payable Flag]]="N",0,1)</f>
        <v>0</v>
      </c>
      <c r="J505" s="24"/>
    </row>
    <row r="506" spans="7:10" x14ac:dyDescent="0.25">
      <c r="G506" s="24" t="str">
        <f>IF(tblEmployee[[#This Row],[Payable Flag]]="Y","Pay","No Pay")</f>
        <v>No Pay</v>
      </c>
      <c r="H50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06" s="24">
        <f>IF(tblEmployee[[#This Row],[Payable Flag]]="N",0,1)</f>
        <v>0</v>
      </c>
      <c r="J506" s="24"/>
    </row>
    <row r="507" spans="7:10" x14ac:dyDescent="0.25">
      <c r="G507" s="24" t="str">
        <f>IF(tblEmployee[[#This Row],[Payable Flag]]="Y","Pay","No Pay")</f>
        <v>No Pay</v>
      </c>
      <c r="H50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07" s="24">
        <f>IF(tblEmployee[[#This Row],[Payable Flag]]="N",0,1)</f>
        <v>0</v>
      </c>
      <c r="J507" s="24"/>
    </row>
    <row r="508" spans="7:10" x14ac:dyDescent="0.25">
      <c r="G508" s="24" t="str">
        <f>IF(tblEmployee[[#This Row],[Payable Flag]]="Y","Pay","No Pay")</f>
        <v>No Pay</v>
      </c>
      <c r="H50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08" s="24">
        <f>IF(tblEmployee[[#This Row],[Payable Flag]]="N",0,1)</f>
        <v>0</v>
      </c>
      <c r="J508" s="24"/>
    </row>
    <row r="509" spans="7:10" x14ac:dyDescent="0.25">
      <c r="G509" s="24" t="str">
        <f>IF(tblEmployee[[#This Row],[Payable Flag]]="Y","Pay","No Pay")</f>
        <v>No Pay</v>
      </c>
      <c r="H50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09" s="24">
        <f>IF(tblEmployee[[#This Row],[Payable Flag]]="N",0,1)</f>
        <v>0</v>
      </c>
      <c r="J509" s="24"/>
    </row>
    <row r="510" spans="7:10" x14ac:dyDescent="0.25">
      <c r="G510" s="24" t="str">
        <f>IF(tblEmployee[[#This Row],[Payable Flag]]="Y","Pay","No Pay")</f>
        <v>No Pay</v>
      </c>
      <c r="H51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10" s="24">
        <f>IF(tblEmployee[[#This Row],[Payable Flag]]="N",0,1)</f>
        <v>0</v>
      </c>
      <c r="J510" s="24"/>
    </row>
    <row r="511" spans="7:10" x14ac:dyDescent="0.25">
      <c r="G511" s="24" t="str">
        <f>IF(tblEmployee[[#This Row],[Payable Flag]]="Y","Pay","No Pay")</f>
        <v>No Pay</v>
      </c>
      <c r="H51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11" s="24">
        <f>IF(tblEmployee[[#This Row],[Payable Flag]]="N",0,1)</f>
        <v>0</v>
      </c>
      <c r="J511" s="24"/>
    </row>
    <row r="512" spans="7:10" x14ac:dyDescent="0.25">
      <c r="G512" s="24" t="str">
        <f>IF(tblEmployee[[#This Row],[Payable Flag]]="Y","Pay","No Pay")</f>
        <v>No Pay</v>
      </c>
      <c r="H51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12" s="24">
        <f>IF(tblEmployee[[#This Row],[Payable Flag]]="N",0,1)</f>
        <v>0</v>
      </c>
      <c r="J512" s="24"/>
    </row>
    <row r="513" spans="7:10" x14ac:dyDescent="0.25">
      <c r="G513" s="24" t="str">
        <f>IF(tblEmployee[[#This Row],[Payable Flag]]="Y","Pay","No Pay")</f>
        <v>No Pay</v>
      </c>
      <c r="H51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13" s="24">
        <f>IF(tblEmployee[[#This Row],[Payable Flag]]="N",0,1)</f>
        <v>0</v>
      </c>
      <c r="J513" s="24"/>
    </row>
    <row r="514" spans="7:10" x14ac:dyDescent="0.25">
      <c r="G514" s="24" t="str">
        <f>IF(tblEmployee[[#This Row],[Payable Flag]]="Y","Pay","No Pay")</f>
        <v>No Pay</v>
      </c>
      <c r="H51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14" s="24">
        <f>IF(tblEmployee[[#This Row],[Payable Flag]]="N",0,1)</f>
        <v>0</v>
      </c>
      <c r="J514" s="24"/>
    </row>
    <row r="515" spans="7:10" x14ac:dyDescent="0.25">
      <c r="G515" s="24" t="str">
        <f>IF(tblEmployee[[#This Row],[Payable Flag]]="Y","Pay","No Pay")</f>
        <v>No Pay</v>
      </c>
      <c r="H51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15" s="24">
        <f>IF(tblEmployee[[#This Row],[Payable Flag]]="N",0,1)</f>
        <v>0</v>
      </c>
      <c r="J515" s="24"/>
    </row>
    <row r="516" spans="7:10" x14ac:dyDescent="0.25">
      <c r="G516" s="24" t="str">
        <f>IF(tblEmployee[[#This Row],[Payable Flag]]="Y","Pay","No Pay")</f>
        <v>No Pay</v>
      </c>
      <c r="H51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16" s="24">
        <f>IF(tblEmployee[[#This Row],[Payable Flag]]="N",0,1)</f>
        <v>0</v>
      </c>
      <c r="J516" s="24"/>
    </row>
    <row r="517" spans="7:10" x14ac:dyDescent="0.25">
      <c r="G517" s="24" t="str">
        <f>IF(tblEmployee[[#This Row],[Payable Flag]]="Y","Pay","No Pay")</f>
        <v>No Pay</v>
      </c>
      <c r="H51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17" s="24">
        <f>IF(tblEmployee[[#This Row],[Payable Flag]]="N",0,1)</f>
        <v>0</v>
      </c>
      <c r="J517" s="24"/>
    </row>
    <row r="518" spans="7:10" x14ac:dyDescent="0.25">
      <c r="G518" s="24" t="str">
        <f>IF(tblEmployee[[#This Row],[Payable Flag]]="Y","Pay","No Pay")</f>
        <v>No Pay</v>
      </c>
      <c r="H51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18" s="24">
        <f>IF(tblEmployee[[#This Row],[Payable Flag]]="N",0,1)</f>
        <v>0</v>
      </c>
      <c r="J518" s="24"/>
    </row>
    <row r="519" spans="7:10" x14ac:dyDescent="0.25">
      <c r="G519" s="24" t="str">
        <f>IF(tblEmployee[[#This Row],[Payable Flag]]="Y","Pay","No Pay")</f>
        <v>No Pay</v>
      </c>
      <c r="H51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19" s="24">
        <f>IF(tblEmployee[[#This Row],[Payable Flag]]="N",0,1)</f>
        <v>0</v>
      </c>
      <c r="J519" s="24"/>
    </row>
    <row r="520" spans="7:10" x14ac:dyDescent="0.25">
      <c r="G520" s="24" t="str">
        <f>IF(tblEmployee[[#This Row],[Payable Flag]]="Y","Pay","No Pay")</f>
        <v>No Pay</v>
      </c>
      <c r="H52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20" s="24">
        <f>IF(tblEmployee[[#This Row],[Payable Flag]]="N",0,1)</f>
        <v>0</v>
      </c>
      <c r="J520" s="24"/>
    </row>
    <row r="521" spans="7:10" x14ac:dyDescent="0.25">
      <c r="G521" s="24" t="str">
        <f>IF(tblEmployee[[#This Row],[Payable Flag]]="Y","Pay","No Pay")</f>
        <v>No Pay</v>
      </c>
      <c r="H52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21" s="24">
        <f>IF(tblEmployee[[#This Row],[Payable Flag]]="N",0,1)</f>
        <v>0</v>
      </c>
      <c r="J521" s="24"/>
    </row>
    <row r="522" spans="7:10" x14ac:dyDescent="0.25">
      <c r="G522" s="24" t="str">
        <f>IF(tblEmployee[[#This Row],[Payable Flag]]="Y","Pay","No Pay")</f>
        <v>No Pay</v>
      </c>
      <c r="H52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22" s="24">
        <f>IF(tblEmployee[[#This Row],[Payable Flag]]="N",0,1)</f>
        <v>0</v>
      </c>
      <c r="J522" s="24"/>
    </row>
    <row r="523" spans="7:10" x14ac:dyDescent="0.25">
      <c r="G523" s="24" t="str">
        <f>IF(tblEmployee[[#This Row],[Payable Flag]]="Y","Pay","No Pay")</f>
        <v>No Pay</v>
      </c>
      <c r="H52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23" s="24">
        <f>IF(tblEmployee[[#This Row],[Payable Flag]]="N",0,1)</f>
        <v>0</v>
      </c>
      <c r="J523" s="24"/>
    </row>
    <row r="524" spans="7:10" x14ac:dyDescent="0.25">
      <c r="G524" s="24" t="str">
        <f>IF(tblEmployee[[#This Row],[Payable Flag]]="Y","Pay","No Pay")</f>
        <v>No Pay</v>
      </c>
      <c r="H52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24" s="24">
        <f>IF(tblEmployee[[#This Row],[Payable Flag]]="N",0,1)</f>
        <v>0</v>
      </c>
      <c r="J524" s="24"/>
    </row>
    <row r="525" spans="7:10" x14ac:dyDescent="0.25">
      <c r="G525" s="24" t="str">
        <f>IF(tblEmployee[[#This Row],[Payable Flag]]="Y","Pay","No Pay")</f>
        <v>No Pay</v>
      </c>
      <c r="H52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25" s="24">
        <f>IF(tblEmployee[[#This Row],[Payable Flag]]="N",0,1)</f>
        <v>0</v>
      </c>
      <c r="J525" s="24"/>
    </row>
    <row r="526" spans="7:10" x14ac:dyDescent="0.25">
      <c r="G526" s="24" t="str">
        <f>IF(tblEmployee[[#This Row],[Payable Flag]]="Y","Pay","No Pay")</f>
        <v>No Pay</v>
      </c>
      <c r="H52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26" s="24">
        <f>IF(tblEmployee[[#This Row],[Payable Flag]]="N",0,1)</f>
        <v>0</v>
      </c>
      <c r="J526" s="24"/>
    </row>
    <row r="527" spans="7:10" x14ac:dyDescent="0.25">
      <c r="G527" s="24" t="str">
        <f>IF(tblEmployee[[#This Row],[Payable Flag]]="Y","Pay","No Pay")</f>
        <v>No Pay</v>
      </c>
      <c r="H52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27" s="24">
        <f>IF(tblEmployee[[#This Row],[Payable Flag]]="N",0,1)</f>
        <v>0</v>
      </c>
      <c r="J527" s="24"/>
    </row>
    <row r="528" spans="7:10" x14ac:dyDescent="0.25">
      <c r="G528" s="24" t="str">
        <f>IF(tblEmployee[[#This Row],[Payable Flag]]="Y","Pay","No Pay")</f>
        <v>No Pay</v>
      </c>
      <c r="H52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28" s="24">
        <f>IF(tblEmployee[[#This Row],[Payable Flag]]="N",0,1)</f>
        <v>0</v>
      </c>
      <c r="J528" s="24"/>
    </row>
    <row r="529" spans="7:10" x14ac:dyDescent="0.25">
      <c r="G529" s="24" t="str">
        <f>IF(tblEmployee[[#This Row],[Payable Flag]]="Y","Pay","No Pay")</f>
        <v>No Pay</v>
      </c>
      <c r="H52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29" s="24">
        <f>IF(tblEmployee[[#This Row],[Payable Flag]]="N",0,1)</f>
        <v>0</v>
      </c>
      <c r="J529" s="24"/>
    </row>
    <row r="530" spans="7:10" x14ac:dyDescent="0.25">
      <c r="G530" s="24" t="str">
        <f>IF(tblEmployee[[#This Row],[Payable Flag]]="Y","Pay","No Pay")</f>
        <v>No Pay</v>
      </c>
      <c r="H53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30" s="24">
        <f>IF(tblEmployee[[#This Row],[Payable Flag]]="N",0,1)</f>
        <v>0</v>
      </c>
      <c r="J530" s="24"/>
    </row>
    <row r="531" spans="7:10" x14ac:dyDescent="0.25">
      <c r="G531" s="24" t="str">
        <f>IF(tblEmployee[[#This Row],[Payable Flag]]="Y","Pay","No Pay")</f>
        <v>No Pay</v>
      </c>
      <c r="H53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31" s="24">
        <f>IF(tblEmployee[[#This Row],[Payable Flag]]="N",0,1)</f>
        <v>0</v>
      </c>
      <c r="J531" s="24"/>
    </row>
    <row r="532" spans="7:10" x14ac:dyDescent="0.25">
      <c r="G532" s="24" t="str">
        <f>IF(tblEmployee[[#This Row],[Payable Flag]]="Y","Pay","No Pay")</f>
        <v>No Pay</v>
      </c>
      <c r="H53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32" s="24">
        <f>IF(tblEmployee[[#This Row],[Payable Flag]]="N",0,1)</f>
        <v>0</v>
      </c>
      <c r="J532" s="24"/>
    </row>
    <row r="533" spans="7:10" x14ac:dyDescent="0.25">
      <c r="G533" s="24" t="str">
        <f>IF(tblEmployee[[#This Row],[Payable Flag]]="Y","Pay","No Pay")</f>
        <v>No Pay</v>
      </c>
      <c r="H53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33" s="24">
        <f>IF(tblEmployee[[#This Row],[Payable Flag]]="N",0,1)</f>
        <v>0</v>
      </c>
      <c r="J533" s="24"/>
    </row>
    <row r="534" spans="7:10" x14ac:dyDescent="0.25">
      <c r="G534" s="24" t="str">
        <f>IF(tblEmployee[[#This Row],[Payable Flag]]="Y","Pay","No Pay")</f>
        <v>No Pay</v>
      </c>
      <c r="H53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34" s="24">
        <f>IF(tblEmployee[[#This Row],[Payable Flag]]="N",0,1)</f>
        <v>0</v>
      </c>
      <c r="J534" s="24"/>
    </row>
    <row r="535" spans="7:10" x14ac:dyDescent="0.25">
      <c r="G535" s="24" t="str">
        <f>IF(tblEmployee[[#This Row],[Payable Flag]]="Y","Pay","No Pay")</f>
        <v>No Pay</v>
      </c>
      <c r="H53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35" s="24">
        <f>IF(tblEmployee[[#This Row],[Payable Flag]]="N",0,1)</f>
        <v>0</v>
      </c>
      <c r="J535" s="24"/>
    </row>
    <row r="536" spans="7:10" x14ac:dyDescent="0.25">
      <c r="G536" s="24" t="str">
        <f>IF(tblEmployee[[#This Row],[Payable Flag]]="Y","Pay","No Pay")</f>
        <v>No Pay</v>
      </c>
      <c r="H53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36" s="24">
        <f>IF(tblEmployee[[#This Row],[Payable Flag]]="N",0,1)</f>
        <v>0</v>
      </c>
      <c r="J536" s="24"/>
    </row>
    <row r="537" spans="7:10" x14ac:dyDescent="0.25">
      <c r="G537" s="24" t="str">
        <f>IF(tblEmployee[[#This Row],[Payable Flag]]="Y","Pay","No Pay")</f>
        <v>No Pay</v>
      </c>
      <c r="H53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37" s="24">
        <f>IF(tblEmployee[[#This Row],[Payable Flag]]="N",0,1)</f>
        <v>0</v>
      </c>
      <c r="J537" s="24"/>
    </row>
    <row r="538" spans="7:10" x14ac:dyDescent="0.25">
      <c r="G538" s="24" t="str">
        <f>IF(tblEmployee[[#This Row],[Payable Flag]]="Y","Pay","No Pay")</f>
        <v>No Pay</v>
      </c>
      <c r="H53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38" s="24">
        <f>IF(tblEmployee[[#This Row],[Payable Flag]]="N",0,1)</f>
        <v>0</v>
      </c>
      <c r="J538" s="24"/>
    </row>
    <row r="539" spans="7:10" x14ac:dyDescent="0.25">
      <c r="G539" s="24" t="str">
        <f>IF(tblEmployee[[#This Row],[Payable Flag]]="Y","Pay","No Pay")</f>
        <v>No Pay</v>
      </c>
      <c r="H53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39" s="24">
        <f>IF(tblEmployee[[#This Row],[Payable Flag]]="N",0,1)</f>
        <v>0</v>
      </c>
      <c r="J539" s="24"/>
    </row>
    <row r="540" spans="7:10" x14ac:dyDescent="0.25">
      <c r="G540" s="24" t="str">
        <f>IF(tblEmployee[[#This Row],[Payable Flag]]="Y","Pay","No Pay")</f>
        <v>No Pay</v>
      </c>
      <c r="H54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40" s="24">
        <f>IF(tblEmployee[[#This Row],[Payable Flag]]="N",0,1)</f>
        <v>0</v>
      </c>
      <c r="J540" s="24"/>
    </row>
    <row r="541" spans="7:10" x14ac:dyDescent="0.25">
      <c r="G541" s="24" t="str">
        <f>IF(tblEmployee[[#This Row],[Payable Flag]]="Y","Pay","No Pay")</f>
        <v>No Pay</v>
      </c>
      <c r="H54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41" s="24">
        <f>IF(tblEmployee[[#This Row],[Payable Flag]]="N",0,1)</f>
        <v>0</v>
      </c>
      <c r="J541" s="24"/>
    </row>
    <row r="542" spans="7:10" x14ac:dyDescent="0.25">
      <c r="G542" s="24" t="str">
        <f>IF(tblEmployee[[#This Row],[Payable Flag]]="Y","Pay","No Pay")</f>
        <v>No Pay</v>
      </c>
      <c r="H54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42" s="24">
        <f>IF(tblEmployee[[#This Row],[Payable Flag]]="N",0,1)</f>
        <v>0</v>
      </c>
      <c r="J542" s="24"/>
    </row>
    <row r="543" spans="7:10" x14ac:dyDescent="0.25">
      <c r="G543" s="24" t="str">
        <f>IF(tblEmployee[[#This Row],[Payable Flag]]="Y","Pay","No Pay")</f>
        <v>No Pay</v>
      </c>
      <c r="H54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43" s="24">
        <f>IF(tblEmployee[[#This Row],[Payable Flag]]="N",0,1)</f>
        <v>0</v>
      </c>
      <c r="J543" s="24"/>
    </row>
    <row r="544" spans="7:10" x14ac:dyDescent="0.25">
      <c r="G544" s="24" t="str">
        <f>IF(tblEmployee[[#This Row],[Payable Flag]]="Y","Pay","No Pay")</f>
        <v>No Pay</v>
      </c>
      <c r="H54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44" s="24">
        <f>IF(tblEmployee[[#This Row],[Payable Flag]]="N",0,1)</f>
        <v>0</v>
      </c>
      <c r="J544" s="24"/>
    </row>
    <row r="545" spans="7:10" x14ac:dyDescent="0.25">
      <c r="G545" s="24" t="str">
        <f>IF(tblEmployee[[#This Row],[Payable Flag]]="Y","Pay","No Pay")</f>
        <v>No Pay</v>
      </c>
      <c r="H54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45" s="24">
        <f>IF(tblEmployee[[#This Row],[Payable Flag]]="N",0,1)</f>
        <v>0</v>
      </c>
      <c r="J545" s="24"/>
    </row>
    <row r="546" spans="7:10" x14ac:dyDescent="0.25">
      <c r="G546" s="24" t="str">
        <f>IF(tblEmployee[[#This Row],[Payable Flag]]="Y","Pay","No Pay")</f>
        <v>No Pay</v>
      </c>
      <c r="H54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46" s="24">
        <f>IF(tblEmployee[[#This Row],[Payable Flag]]="N",0,1)</f>
        <v>0</v>
      </c>
      <c r="J546" s="24"/>
    </row>
    <row r="547" spans="7:10" x14ac:dyDescent="0.25">
      <c r="G547" s="24" t="str">
        <f>IF(tblEmployee[[#This Row],[Payable Flag]]="Y","Pay","No Pay")</f>
        <v>No Pay</v>
      </c>
      <c r="H54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47" s="24">
        <f>IF(tblEmployee[[#This Row],[Payable Flag]]="N",0,1)</f>
        <v>0</v>
      </c>
      <c r="J547" s="24"/>
    </row>
    <row r="548" spans="7:10" x14ac:dyDescent="0.25">
      <c r="G548" s="24" t="str">
        <f>IF(tblEmployee[[#This Row],[Payable Flag]]="Y","Pay","No Pay")</f>
        <v>No Pay</v>
      </c>
      <c r="H54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48" s="24">
        <f>IF(tblEmployee[[#This Row],[Payable Flag]]="N",0,1)</f>
        <v>0</v>
      </c>
      <c r="J548" s="24"/>
    </row>
    <row r="549" spans="7:10" x14ac:dyDescent="0.25">
      <c r="G549" s="24" t="str">
        <f>IF(tblEmployee[[#This Row],[Payable Flag]]="Y","Pay","No Pay")</f>
        <v>No Pay</v>
      </c>
      <c r="H54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49" s="24">
        <f>IF(tblEmployee[[#This Row],[Payable Flag]]="N",0,1)</f>
        <v>0</v>
      </c>
      <c r="J549" s="24"/>
    </row>
    <row r="550" spans="7:10" x14ac:dyDescent="0.25">
      <c r="G550" s="24" t="str">
        <f>IF(tblEmployee[[#This Row],[Payable Flag]]="Y","Pay","No Pay")</f>
        <v>No Pay</v>
      </c>
      <c r="H55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50" s="24">
        <f>IF(tblEmployee[[#This Row],[Payable Flag]]="N",0,1)</f>
        <v>0</v>
      </c>
      <c r="J550" s="24"/>
    </row>
    <row r="551" spans="7:10" x14ac:dyDescent="0.25">
      <c r="G551" s="24" t="str">
        <f>IF(tblEmployee[[#This Row],[Payable Flag]]="Y","Pay","No Pay")</f>
        <v>No Pay</v>
      </c>
      <c r="H55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51" s="24">
        <f>IF(tblEmployee[[#This Row],[Payable Flag]]="N",0,1)</f>
        <v>0</v>
      </c>
      <c r="J551" s="24"/>
    </row>
    <row r="552" spans="7:10" x14ac:dyDescent="0.25">
      <c r="G552" s="24" t="str">
        <f>IF(tblEmployee[[#This Row],[Payable Flag]]="Y","Pay","No Pay")</f>
        <v>No Pay</v>
      </c>
      <c r="H55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52" s="24">
        <f>IF(tblEmployee[[#This Row],[Payable Flag]]="N",0,1)</f>
        <v>0</v>
      </c>
      <c r="J552" s="24"/>
    </row>
    <row r="553" spans="7:10" x14ac:dyDescent="0.25">
      <c r="G553" s="24" t="str">
        <f>IF(tblEmployee[[#This Row],[Payable Flag]]="Y","Pay","No Pay")</f>
        <v>No Pay</v>
      </c>
      <c r="H55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53" s="24">
        <f>IF(tblEmployee[[#This Row],[Payable Flag]]="N",0,1)</f>
        <v>0</v>
      </c>
      <c r="J553" s="24"/>
    </row>
    <row r="554" spans="7:10" x14ac:dyDescent="0.25">
      <c r="G554" s="24" t="str">
        <f>IF(tblEmployee[[#This Row],[Payable Flag]]="Y","Pay","No Pay")</f>
        <v>No Pay</v>
      </c>
      <c r="H55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54" s="24">
        <f>IF(tblEmployee[[#This Row],[Payable Flag]]="N",0,1)</f>
        <v>0</v>
      </c>
      <c r="J554" s="24"/>
    </row>
    <row r="555" spans="7:10" x14ac:dyDescent="0.25">
      <c r="G555" s="24" t="str">
        <f>IF(tblEmployee[[#This Row],[Payable Flag]]="Y","Pay","No Pay")</f>
        <v>No Pay</v>
      </c>
      <c r="H55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55" s="24">
        <f>IF(tblEmployee[[#This Row],[Payable Flag]]="N",0,1)</f>
        <v>0</v>
      </c>
      <c r="J555" s="24"/>
    </row>
    <row r="556" spans="7:10" x14ac:dyDescent="0.25">
      <c r="G556" s="24" t="str">
        <f>IF(tblEmployee[[#This Row],[Payable Flag]]="Y","Pay","No Pay")</f>
        <v>No Pay</v>
      </c>
      <c r="H55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56" s="24">
        <f>IF(tblEmployee[[#This Row],[Payable Flag]]="N",0,1)</f>
        <v>0</v>
      </c>
      <c r="J556" s="24"/>
    </row>
    <row r="557" spans="7:10" x14ac:dyDescent="0.25">
      <c r="G557" s="24" t="str">
        <f>IF(tblEmployee[[#This Row],[Payable Flag]]="Y","Pay","No Pay")</f>
        <v>No Pay</v>
      </c>
      <c r="H55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57" s="24">
        <f>IF(tblEmployee[[#This Row],[Payable Flag]]="N",0,1)</f>
        <v>0</v>
      </c>
      <c r="J557" s="24"/>
    </row>
    <row r="558" spans="7:10" x14ac:dyDescent="0.25">
      <c r="G558" s="24" t="str">
        <f>IF(tblEmployee[[#This Row],[Payable Flag]]="Y","Pay","No Pay")</f>
        <v>No Pay</v>
      </c>
      <c r="H55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58" s="24">
        <f>IF(tblEmployee[[#This Row],[Payable Flag]]="N",0,1)</f>
        <v>0</v>
      </c>
      <c r="J558" s="24"/>
    </row>
    <row r="559" spans="7:10" x14ac:dyDescent="0.25">
      <c r="G559" s="24" t="str">
        <f>IF(tblEmployee[[#This Row],[Payable Flag]]="Y","Pay","No Pay")</f>
        <v>No Pay</v>
      </c>
      <c r="H55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59" s="24">
        <f>IF(tblEmployee[[#This Row],[Payable Flag]]="N",0,1)</f>
        <v>0</v>
      </c>
      <c r="J559" s="24"/>
    </row>
    <row r="560" spans="7:10" x14ac:dyDescent="0.25">
      <c r="G560" s="24" t="str">
        <f>IF(tblEmployee[[#This Row],[Payable Flag]]="Y","Pay","No Pay")</f>
        <v>No Pay</v>
      </c>
      <c r="H56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60" s="24">
        <f>IF(tblEmployee[[#This Row],[Payable Flag]]="N",0,1)</f>
        <v>0</v>
      </c>
      <c r="J560" s="24"/>
    </row>
    <row r="561" spans="7:10" x14ac:dyDescent="0.25">
      <c r="G561" s="24" t="str">
        <f>IF(tblEmployee[[#This Row],[Payable Flag]]="Y","Pay","No Pay")</f>
        <v>No Pay</v>
      </c>
      <c r="H56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61" s="24">
        <f>IF(tblEmployee[[#This Row],[Payable Flag]]="N",0,1)</f>
        <v>0</v>
      </c>
      <c r="J561" s="24"/>
    </row>
    <row r="562" spans="7:10" x14ac:dyDescent="0.25">
      <c r="G562" s="24" t="str">
        <f>IF(tblEmployee[[#This Row],[Payable Flag]]="Y","Pay","No Pay")</f>
        <v>No Pay</v>
      </c>
      <c r="H56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62" s="24">
        <f>IF(tblEmployee[[#This Row],[Payable Flag]]="N",0,1)</f>
        <v>0</v>
      </c>
      <c r="J562" s="24"/>
    </row>
    <row r="563" spans="7:10" x14ac:dyDescent="0.25">
      <c r="G563" s="24" t="str">
        <f>IF(tblEmployee[[#This Row],[Payable Flag]]="Y","Pay","No Pay")</f>
        <v>No Pay</v>
      </c>
      <c r="H56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63" s="24">
        <f>IF(tblEmployee[[#This Row],[Payable Flag]]="N",0,1)</f>
        <v>0</v>
      </c>
      <c r="J563" s="24"/>
    </row>
    <row r="564" spans="7:10" x14ac:dyDescent="0.25">
      <c r="G564" s="24" t="str">
        <f>IF(tblEmployee[[#This Row],[Payable Flag]]="Y","Pay","No Pay")</f>
        <v>No Pay</v>
      </c>
      <c r="H56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64" s="24">
        <f>IF(tblEmployee[[#This Row],[Payable Flag]]="N",0,1)</f>
        <v>0</v>
      </c>
      <c r="J564" s="24"/>
    </row>
    <row r="565" spans="7:10" x14ac:dyDescent="0.25">
      <c r="G565" s="24" t="str">
        <f>IF(tblEmployee[[#This Row],[Payable Flag]]="Y","Pay","No Pay")</f>
        <v>No Pay</v>
      </c>
      <c r="H56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65" s="24">
        <f>IF(tblEmployee[[#This Row],[Payable Flag]]="N",0,1)</f>
        <v>0</v>
      </c>
      <c r="J565" s="24"/>
    </row>
    <row r="566" spans="7:10" x14ac:dyDescent="0.25">
      <c r="G566" s="24" t="str">
        <f>IF(tblEmployee[[#This Row],[Payable Flag]]="Y","Pay","No Pay")</f>
        <v>No Pay</v>
      </c>
      <c r="H56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66" s="24">
        <f>IF(tblEmployee[[#This Row],[Payable Flag]]="N",0,1)</f>
        <v>0</v>
      </c>
      <c r="J566" s="24"/>
    </row>
    <row r="567" spans="7:10" x14ac:dyDescent="0.25">
      <c r="G567" s="24" t="str">
        <f>IF(tblEmployee[[#This Row],[Payable Flag]]="Y","Pay","No Pay")</f>
        <v>No Pay</v>
      </c>
      <c r="H56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67" s="24">
        <f>IF(tblEmployee[[#This Row],[Payable Flag]]="N",0,1)</f>
        <v>0</v>
      </c>
      <c r="J567" s="24"/>
    </row>
    <row r="568" spans="7:10" x14ac:dyDescent="0.25">
      <c r="G568" s="24" t="str">
        <f>IF(tblEmployee[[#This Row],[Payable Flag]]="Y","Pay","No Pay")</f>
        <v>No Pay</v>
      </c>
      <c r="H56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68" s="24">
        <f>IF(tblEmployee[[#This Row],[Payable Flag]]="N",0,1)</f>
        <v>0</v>
      </c>
      <c r="J568" s="24"/>
    </row>
    <row r="569" spans="7:10" x14ac:dyDescent="0.25">
      <c r="G569" s="24" t="str">
        <f>IF(tblEmployee[[#This Row],[Payable Flag]]="Y","Pay","No Pay")</f>
        <v>No Pay</v>
      </c>
      <c r="H56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69" s="24">
        <f>IF(tblEmployee[[#This Row],[Payable Flag]]="N",0,1)</f>
        <v>0</v>
      </c>
      <c r="J569" s="24"/>
    </row>
    <row r="570" spans="7:10" x14ac:dyDescent="0.25">
      <c r="G570" s="24" t="str">
        <f>IF(tblEmployee[[#This Row],[Payable Flag]]="Y","Pay","No Pay")</f>
        <v>No Pay</v>
      </c>
      <c r="H57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70" s="24">
        <f>IF(tblEmployee[[#This Row],[Payable Flag]]="N",0,1)</f>
        <v>0</v>
      </c>
      <c r="J570" s="24"/>
    </row>
    <row r="571" spans="7:10" x14ac:dyDescent="0.25">
      <c r="G571" s="24" t="str">
        <f>IF(tblEmployee[[#This Row],[Payable Flag]]="Y","Pay","No Pay")</f>
        <v>No Pay</v>
      </c>
      <c r="H57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71" s="24">
        <f>IF(tblEmployee[[#This Row],[Payable Flag]]="N",0,1)</f>
        <v>0</v>
      </c>
      <c r="J571" s="24"/>
    </row>
    <row r="572" spans="7:10" x14ac:dyDescent="0.25">
      <c r="G572" s="24" t="str">
        <f>IF(tblEmployee[[#This Row],[Payable Flag]]="Y","Pay","No Pay")</f>
        <v>No Pay</v>
      </c>
      <c r="H57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72" s="24">
        <f>IF(tblEmployee[[#This Row],[Payable Flag]]="N",0,1)</f>
        <v>0</v>
      </c>
      <c r="J572" s="24"/>
    </row>
    <row r="573" spans="7:10" x14ac:dyDescent="0.25">
      <c r="G573" s="24" t="str">
        <f>IF(tblEmployee[[#This Row],[Payable Flag]]="Y","Pay","No Pay")</f>
        <v>No Pay</v>
      </c>
      <c r="H57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73" s="24">
        <f>IF(tblEmployee[[#This Row],[Payable Flag]]="N",0,1)</f>
        <v>0</v>
      </c>
      <c r="J573" s="24"/>
    </row>
    <row r="574" spans="7:10" x14ac:dyDescent="0.25">
      <c r="G574" s="24" t="str">
        <f>IF(tblEmployee[[#This Row],[Payable Flag]]="Y","Pay","No Pay")</f>
        <v>No Pay</v>
      </c>
      <c r="H57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74" s="24">
        <f>IF(tblEmployee[[#This Row],[Payable Flag]]="N",0,1)</f>
        <v>0</v>
      </c>
      <c r="J574" s="24"/>
    </row>
    <row r="575" spans="7:10" x14ac:dyDescent="0.25">
      <c r="G575" s="24" t="str">
        <f>IF(tblEmployee[[#This Row],[Payable Flag]]="Y","Pay","No Pay")</f>
        <v>No Pay</v>
      </c>
      <c r="H57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75" s="24">
        <f>IF(tblEmployee[[#This Row],[Payable Flag]]="N",0,1)</f>
        <v>0</v>
      </c>
      <c r="J575" s="24"/>
    </row>
    <row r="576" spans="7:10" x14ac:dyDescent="0.25">
      <c r="G576" s="24" t="str">
        <f>IF(tblEmployee[[#This Row],[Payable Flag]]="Y","Pay","No Pay")</f>
        <v>No Pay</v>
      </c>
      <c r="H57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76" s="24">
        <f>IF(tblEmployee[[#This Row],[Payable Flag]]="N",0,1)</f>
        <v>0</v>
      </c>
      <c r="J576" s="24"/>
    </row>
    <row r="577" spans="7:10" x14ac:dyDescent="0.25">
      <c r="G577" s="24" t="str">
        <f>IF(tblEmployee[[#This Row],[Payable Flag]]="Y","Pay","No Pay")</f>
        <v>No Pay</v>
      </c>
      <c r="H57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77" s="24">
        <f>IF(tblEmployee[[#This Row],[Payable Flag]]="N",0,1)</f>
        <v>0</v>
      </c>
      <c r="J577" s="24"/>
    </row>
    <row r="578" spans="7:10" x14ac:dyDescent="0.25">
      <c r="G578" s="24" t="str">
        <f>IF(tblEmployee[[#This Row],[Payable Flag]]="Y","Pay","No Pay")</f>
        <v>No Pay</v>
      </c>
      <c r="H57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78" s="24">
        <f>IF(tblEmployee[[#This Row],[Payable Flag]]="N",0,1)</f>
        <v>0</v>
      </c>
      <c r="J578" s="24"/>
    </row>
    <row r="579" spans="7:10" x14ac:dyDescent="0.25">
      <c r="G579" s="24" t="str">
        <f>IF(tblEmployee[[#This Row],[Payable Flag]]="Y","Pay","No Pay")</f>
        <v>No Pay</v>
      </c>
      <c r="H57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79" s="24">
        <f>IF(tblEmployee[[#This Row],[Payable Flag]]="N",0,1)</f>
        <v>0</v>
      </c>
      <c r="J579" s="24"/>
    </row>
    <row r="580" spans="7:10" x14ac:dyDescent="0.25">
      <c r="G580" s="24" t="str">
        <f>IF(tblEmployee[[#This Row],[Payable Flag]]="Y","Pay","No Pay")</f>
        <v>No Pay</v>
      </c>
      <c r="H58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80" s="24">
        <f>IF(tblEmployee[[#This Row],[Payable Flag]]="N",0,1)</f>
        <v>0</v>
      </c>
      <c r="J580" s="24"/>
    </row>
    <row r="581" spans="7:10" x14ac:dyDescent="0.25">
      <c r="G581" s="24" t="str">
        <f>IF(tblEmployee[[#This Row],[Payable Flag]]="Y","Pay","No Pay")</f>
        <v>No Pay</v>
      </c>
      <c r="H58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81" s="24">
        <f>IF(tblEmployee[[#This Row],[Payable Flag]]="N",0,1)</f>
        <v>0</v>
      </c>
      <c r="J581" s="24"/>
    </row>
    <row r="582" spans="7:10" x14ac:dyDescent="0.25">
      <c r="G582" s="24" t="str">
        <f>IF(tblEmployee[[#This Row],[Payable Flag]]="Y","Pay","No Pay")</f>
        <v>No Pay</v>
      </c>
      <c r="H58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82" s="24">
        <f>IF(tblEmployee[[#This Row],[Payable Flag]]="N",0,1)</f>
        <v>0</v>
      </c>
      <c r="J582" s="24"/>
    </row>
    <row r="583" spans="7:10" x14ac:dyDescent="0.25">
      <c r="G583" s="24" t="str">
        <f>IF(tblEmployee[[#This Row],[Payable Flag]]="Y","Pay","No Pay")</f>
        <v>No Pay</v>
      </c>
      <c r="H58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83" s="24">
        <f>IF(tblEmployee[[#This Row],[Payable Flag]]="N",0,1)</f>
        <v>0</v>
      </c>
      <c r="J583" s="24"/>
    </row>
    <row r="584" spans="7:10" x14ac:dyDescent="0.25">
      <c r="G584" s="24" t="str">
        <f>IF(tblEmployee[[#This Row],[Payable Flag]]="Y","Pay","No Pay")</f>
        <v>No Pay</v>
      </c>
      <c r="H58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84" s="24">
        <f>IF(tblEmployee[[#This Row],[Payable Flag]]="N",0,1)</f>
        <v>0</v>
      </c>
      <c r="J584" s="24"/>
    </row>
    <row r="585" spans="7:10" x14ac:dyDescent="0.25">
      <c r="G585" s="24" t="str">
        <f>IF(tblEmployee[[#This Row],[Payable Flag]]="Y","Pay","No Pay")</f>
        <v>No Pay</v>
      </c>
      <c r="H58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85" s="24">
        <f>IF(tblEmployee[[#This Row],[Payable Flag]]="N",0,1)</f>
        <v>0</v>
      </c>
      <c r="J585" s="24"/>
    </row>
    <row r="586" spans="7:10" x14ac:dyDescent="0.25">
      <c r="G586" s="24" t="str">
        <f>IF(tblEmployee[[#This Row],[Payable Flag]]="Y","Pay","No Pay")</f>
        <v>No Pay</v>
      </c>
      <c r="H58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86" s="24">
        <f>IF(tblEmployee[[#This Row],[Payable Flag]]="N",0,1)</f>
        <v>0</v>
      </c>
      <c r="J586" s="24"/>
    </row>
    <row r="587" spans="7:10" x14ac:dyDescent="0.25">
      <c r="G587" s="24" t="str">
        <f>IF(tblEmployee[[#This Row],[Payable Flag]]="Y","Pay","No Pay")</f>
        <v>No Pay</v>
      </c>
      <c r="H58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87" s="24">
        <f>IF(tblEmployee[[#This Row],[Payable Flag]]="N",0,1)</f>
        <v>0</v>
      </c>
      <c r="J587" s="24"/>
    </row>
    <row r="588" spans="7:10" x14ac:dyDescent="0.25">
      <c r="G588" s="24" t="str">
        <f>IF(tblEmployee[[#This Row],[Payable Flag]]="Y","Pay","No Pay")</f>
        <v>No Pay</v>
      </c>
      <c r="H58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88" s="24">
        <f>IF(tblEmployee[[#This Row],[Payable Flag]]="N",0,1)</f>
        <v>0</v>
      </c>
      <c r="J588" s="24"/>
    </row>
    <row r="589" spans="7:10" x14ac:dyDescent="0.25">
      <c r="G589" s="24" t="str">
        <f>IF(tblEmployee[[#This Row],[Payable Flag]]="Y","Pay","No Pay")</f>
        <v>No Pay</v>
      </c>
      <c r="H58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89" s="24">
        <f>IF(tblEmployee[[#This Row],[Payable Flag]]="N",0,1)</f>
        <v>0</v>
      </c>
      <c r="J589" s="24"/>
    </row>
    <row r="590" spans="7:10" x14ac:dyDescent="0.25">
      <c r="G590" s="24" t="str">
        <f>IF(tblEmployee[[#This Row],[Payable Flag]]="Y","Pay","No Pay")</f>
        <v>No Pay</v>
      </c>
      <c r="H59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90" s="24">
        <f>IF(tblEmployee[[#This Row],[Payable Flag]]="N",0,1)</f>
        <v>0</v>
      </c>
      <c r="J590" s="24"/>
    </row>
    <row r="591" spans="7:10" x14ac:dyDescent="0.25">
      <c r="G591" s="24" t="str">
        <f>IF(tblEmployee[[#This Row],[Payable Flag]]="Y","Pay","No Pay")</f>
        <v>No Pay</v>
      </c>
      <c r="H59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91" s="24">
        <f>IF(tblEmployee[[#This Row],[Payable Flag]]="N",0,1)</f>
        <v>0</v>
      </c>
      <c r="J591" s="24"/>
    </row>
    <row r="592" spans="7:10" x14ac:dyDescent="0.25">
      <c r="G592" s="24" t="str">
        <f>IF(tblEmployee[[#This Row],[Payable Flag]]="Y","Pay","No Pay")</f>
        <v>No Pay</v>
      </c>
      <c r="H59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92" s="24">
        <f>IF(tblEmployee[[#This Row],[Payable Flag]]="N",0,1)</f>
        <v>0</v>
      </c>
      <c r="J592" s="24"/>
    </row>
    <row r="593" spans="7:10" x14ac:dyDescent="0.25">
      <c r="G593" s="24" t="str">
        <f>IF(tblEmployee[[#This Row],[Payable Flag]]="Y","Pay","No Pay")</f>
        <v>No Pay</v>
      </c>
      <c r="H59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93" s="24">
        <f>IF(tblEmployee[[#This Row],[Payable Flag]]="N",0,1)</f>
        <v>0</v>
      </c>
      <c r="J593" s="24"/>
    </row>
    <row r="594" spans="7:10" x14ac:dyDescent="0.25">
      <c r="G594" s="24" t="str">
        <f>IF(tblEmployee[[#This Row],[Payable Flag]]="Y","Pay","No Pay")</f>
        <v>No Pay</v>
      </c>
      <c r="H59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94" s="24">
        <f>IF(tblEmployee[[#This Row],[Payable Flag]]="N",0,1)</f>
        <v>0</v>
      </c>
      <c r="J594" s="24"/>
    </row>
    <row r="595" spans="7:10" x14ac:dyDescent="0.25">
      <c r="G595" s="24" t="str">
        <f>IF(tblEmployee[[#This Row],[Payable Flag]]="Y","Pay","No Pay")</f>
        <v>No Pay</v>
      </c>
      <c r="H59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95" s="24">
        <f>IF(tblEmployee[[#This Row],[Payable Flag]]="N",0,1)</f>
        <v>0</v>
      </c>
      <c r="J595" s="24"/>
    </row>
    <row r="596" spans="7:10" x14ac:dyDescent="0.25">
      <c r="G596" s="24" t="str">
        <f>IF(tblEmployee[[#This Row],[Payable Flag]]="Y","Pay","No Pay")</f>
        <v>No Pay</v>
      </c>
      <c r="H59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96" s="24">
        <f>IF(tblEmployee[[#This Row],[Payable Flag]]="N",0,1)</f>
        <v>0</v>
      </c>
      <c r="J596" s="24"/>
    </row>
    <row r="597" spans="7:10" x14ac:dyDescent="0.25">
      <c r="G597" s="24" t="str">
        <f>IF(tblEmployee[[#This Row],[Payable Flag]]="Y","Pay","No Pay")</f>
        <v>No Pay</v>
      </c>
      <c r="H59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97" s="24">
        <f>IF(tblEmployee[[#This Row],[Payable Flag]]="N",0,1)</f>
        <v>0</v>
      </c>
      <c r="J597" s="24"/>
    </row>
    <row r="598" spans="7:10" x14ac:dyDescent="0.25">
      <c r="G598" s="24" t="str">
        <f>IF(tblEmployee[[#This Row],[Payable Flag]]="Y","Pay","No Pay")</f>
        <v>No Pay</v>
      </c>
      <c r="H59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98" s="24">
        <f>IF(tblEmployee[[#This Row],[Payable Flag]]="N",0,1)</f>
        <v>0</v>
      </c>
      <c r="J598" s="24"/>
    </row>
    <row r="599" spans="7:10" x14ac:dyDescent="0.25">
      <c r="G599" s="24" t="str">
        <f>IF(tblEmployee[[#This Row],[Payable Flag]]="Y","Pay","No Pay")</f>
        <v>No Pay</v>
      </c>
      <c r="H59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599" s="24">
        <f>IF(tblEmployee[[#This Row],[Payable Flag]]="N",0,1)</f>
        <v>0</v>
      </c>
      <c r="J599" s="24"/>
    </row>
    <row r="600" spans="7:10" x14ac:dyDescent="0.25">
      <c r="G600" s="24" t="str">
        <f>IF(tblEmployee[[#This Row],[Payable Flag]]="Y","Pay","No Pay")</f>
        <v>No Pay</v>
      </c>
      <c r="H60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00" s="24">
        <f>IF(tblEmployee[[#This Row],[Payable Flag]]="N",0,1)</f>
        <v>0</v>
      </c>
      <c r="J600" s="24"/>
    </row>
    <row r="601" spans="7:10" x14ac:dyDescent="0.25">
      <c r="G601" s="24" t="str">
        <f>IF(tblEmployee[[#This Row],[Payable Flag]]="Y","Pay","No Pay")</f>
        <v>No Pay</v>
      </c>
      <c r="H60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01" s="24">
        <f>IF(tblEmployee[[#This Row],[Payable Flag]]="N",0,1)</f>
        <v>0</v>
      </c>
      <c r="J601" s="24"/>
    </row>
    <row r="602" spans="7:10" x14ac:dyDescent="0.25">
      <c r="G602" s="24" t="str">
        <f>IF(tblEmployee[[#This Row],[Payable Flag]]="Y","Pay","No Pay")</f>
        <v>No Pay</v>
      </c>
      <c r="H60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02" s="24">
        <f>IF(tblEmployee[[#This Row],[Payable Flag]]="N",0,1)</f>
        <v>0</v>
      </c>
      <c r="J602" s="24"/>
    </row>
    <row r="603" spans="7:10" x14ac:dyDescent="0.25">
      <c r="G603" s="24" t="str">
        <f>IF(tblEmployee[[#This Row],[Payable Flag]]="Y","Pay","No Pay")</f>
        <v>No Pay</v>
      </c>
      <c r="H60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03" s="24">
        <f>IF(tblEmployee[[#This Row],[Payable Flag]]="N",0,1)</f>
        <v>0</v>
      </c>
      <c r="J603" s="24"/>
    </row>
    <row r="604" spans="7:10" x14ac:dyDescent="0.25">
      <c r="G604" s="24" t="str">
        <f>IF(tblEmployee[[#This Row],[Payable Flag]]="Y","Pay","No Pay")</f>
        <v>No Pay</v>
      </c>
      <c r="H60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04" s="24">
        <f>IF(tblEmployee[[#This Row],[Payable Flag]]="N",0,1)</f>
        <v>0</v>
      </c>
      <c r="J604" s="24"/>
    </row>
    <row r="605" spans="7:10" x14ac:dyDescent="0.25">
      <c r="G605" s="24" t="str">
        <f>IF(tblEmployee[[#This Row],[Payable Flag]]="Y","Pay","No Pay")</f>
        <v>No Pay</v>
      </c>
      <c r="H60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05" s="24">
        <f>IF(tblEmployee[[#This Row],[Payable Flag]]="N",0,1)</f>
        <v>0</v>
      </c>
      <c r="J605" s="24"/>
    </row>
    <row r="606" spans="7:10" x14ac:dyDescent="0.25">
      <c r="G606" s="24" t="str">
        <f>IF(tblEmployee[[#This Row],[Payable Flag]]="Y","Pay","No Pay")</f>
        <v>No Pay</v>
      </c>
      <c r="H60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06" s="24">
        <f>IF(tblEmployee[[#This Row],[Payable Flag]]="N",0,1)</f>
        <v>0</v>
      </c>
      <c r="J606" s="24"/>
    </row>
    <row r="607" spans="7:10" x14ac:dyDescent="0.25">
      <c r="G607" s="24" t="str">
        <f>IF(tblEmployee[[#This Row],[Payable Flag]]="Y","Pay","No Pay")</f>
        <v>No Pay</v>
      </c>
      <c r="H60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07" s="24">
        <f>IF(tblEmployee[[#This Row],[Payable Flag]]="N",0,1)</f>
        <v>0</v>
      </c>
      <c r="J607" s="24"/>
    </row>
    <row r="608" spans="7:10" x14ac:dyDescent="0.25">
      <c r="G608" s="24" t="str">
        <f>IF(tblEmployee[[#This Row],[Payable Flag]]="Y","Pay","No Pay")</f>
        <v>No Pay</v>
      </c>
      <c r="H60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08" s="24">
        <f>IF(tblEmployee[[#This Row],[Payable Flag]]="N",0,1)</f>
        <v>0</v>
      </c>
      <c r="J608" s="24"/>
    </row>
    <row r="609" spans="7:10" x14ac:dyDescent="0.25">
      <c r="G609" s="24" t="str">
        <f>IF(tblEmployee[[#This Row],[Payable Flag]]="Y","Pay","No Pay")</f>
        <v>No Pay</v>
      </c>
      <c r="H60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09" s="24">
        <f>IF(tblEmployee[[#This Row],[Payable Flag]]="N",0,1)</f>
        <v>0</v>
      </c>
      <c r="J609" s="24"/>
    </row>
    <row r="610" spans="7:10" x14ac:dyDescent="0.25">
      <c r="G610" s="24" t="str">
        <f>IF(tblEmployee[[#This Row],[Payable Flag]]="Y","Pay","No Pay")</f>
        <v>No Pay</v>
      </c>
      <c r="H61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10" s="24">
        <f>IF(tblEmployee[[#This Row],[Payable Flag]]="N",0,1)</f>
        <v>0</v>
      </c>
      <c r="J610" s="24"/>
    </row>
    <row r="611" spans="7:10" x14ac:dyDescent="0.25">
      <c r="G611" s="24" t="str">
        <f>IF(tblEmployee[[#This Row],[Payable Flag]]="Y","Pay","No Pay")</f>
        <v>No Pay</v>
      </c>
      <c r="H61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11" s="24">
        <f>IF(tblEmployee[[#This Row],[Payable Flag]]="N",0,1)</f>
        <v>0</v>
      </c>
      <c r="J611" s="24"/>
    </row>
    <row r="612" spans="7:10" x14ac:dyDescent="0.25">
      <c r="G612" s="24" t="str">
        <f>IF(tblEmployee[[#This Row],[Payable Flag]]="Y","Pay","No Pay")</f>
        <v>No Pay</v>
      </c>
      <c r="H61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12" s="24">
        <f>IF(tblEmployee[[#This Row],[Payable Flag]]="N",0,1)</f>
        <v>0</v>
      </c>
      <c r="J612" s="24"/>
    </row>
    <row r="613" spans="7:10" x14ac:dyDescent="0.25">
      <c r="G613" s="24" t="str">
        <f>IF(tblEmployee[[#This Row],[Payable Flag]]="Y","Pay","No Pay")</f>
        <v>No Pay</v>
      </c>
      <c r="H61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13" s="24">
        <f>IF(tblEmployee[[#This Row],[Payable Flag]]="N",0,1)</f>
        <v>0</v>
      </c>
      <c r="J613" s="24"/>
    </row>
    <row r="614" spans="7:10" x14ac:dyDescent="0.25">
      <c r="G614" s="24" t="str">
        <f>IF(tblEmployee[[#This Row],[Payable Flag]]="Y","Pay","No Pay")</f>
        <v>No Pay</v>
      </c>
      <c r="H61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14" s="24">
        <f>IF(tblEmployee[[#This Row],[Payable Flag]]="N",0,1)</f>
        <v>0</v>
      </c>
      <c r="J614" s="24"/>
    </row>
    <row r="615" spans="7:10" x14ac:dyDescent="0.25">
      <c r="G615" s="24" t="str">
        <f>IF(tblEmployee[[#This Row],[Payable Flag]]="Y","Pay","No Pay")</f>
        <v>No Pay</v>
      </c>
      <c r="H61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15" s="24">
        <f>IF(tblEmployee[[#This Row],[Payable Flag]]="N",0,1)</f>
        <v>0</v>
      </c>
      <c r="J615" s="24"/>
    </row>
    <row r="616" spans="7:10" x14ac:dyDescent="0.25">
      <c r="G616" s="24" t="str">
        <f>IF(tblEmployee[[#This Row],[Payable Flag]]="Y","Pay","No Pay")</f>
        <v>No Pay</v>
      </c>
      <c r="H61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16" s="24">
        <f>IF(tblEmployee[[#This Row],[Payable Flag]]="N",0,1)</f>
        <v>0</v>
      </c>
      <c r="J616" s="24"/>
    </row>
    <row r="617" spans="7:10" x14ac:dyDescent="0.25">
      <c r="G617" s="24" t="str">
        <f>IF(tblEmployee[[#This Row],[Payable Flag]]="Y","Pay","No Pay")</f>
        <v>No Pay</v>
      </c>
      <c r="H61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17" s="24">
        <f>IF(tblEmployee[[#This Row],[Payable Flag]]="N",0,1)</f>
        <v>0</v>
      </c>
      <c r="J617" s="24"/>
    </row>
    <row r="618" spans="7:10" x14ac:dyDescent="0.25">
      <c r="G618" s="24" t="str">
        <f>IF(tblEmployee[[#This Row],[Payable Flag]]="Y","Pay","No Pay")</f>
        <v>No Pay</v>
      </c>
      <c r="H61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18" s="24">
        <f>IF(tblEmployee[[#This Row],[Payable Flag]]="N",0,1)</f>
        <v>0</v>
      </c>
      <c r="J618" s="24"/>
    </row>
    <row r="619" spans="7:10" x14ac:dyDescent="0.25">
      <c r="G619" s="24" t="str">
        <f>IF(tblEmployee[[#This Row],[Payable Flag]]="Y","Pay","No Pay")</f>
        <v>No Pay</v>
      </c>
      <c r="H61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19" s="24">
        <f>IF(tblEmployee[[#This Row],[Payable Flag]]="N",0,1)</f>
        <v>0</v>
      </c>
      <c r="J619" s="24"/>
    </row>
    <row r="620" spans="7:10" x14ac:dyDescent="0.25">
      <c r="G620" s="24" t="str">
        <f>IF(tblEmployee[[#This Row],[Payable Flag]]="Y","Pay","No Pay")</f>
        <v>No Pay</v>
      </c>
      <c r="H62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20" s="24">
        <f>IF(tblEmployee[[#This Row],[Payable Flag]]="N",0,1)</f>
        <v>0</v>
      </c>
      <c r="J620" s="24"/>
    </row>
    <row r="621" spans="7:10" x14ac:dyDescent="0.25">
      <c r="G621" s="24" t="str">
        <f>IF(tblEmployee[[#This Row],[Payable Flag]]="Y","Pay","No Pay")</f>
        <v>No Pay</v>
      </c>
      <c r="H62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21" s="24">
        <f>IF(tblEmployee[[#This Row],[Payable Flag]]="N",0,1)</f>
        <v>0</v>
      </c>
      <c r="J621" s="24"/>
    </row>
    <row r="622" spans="7:10" x14ac:dyDescent="0.25">
      <c r="G622" s="24" t="str">
        <f>IF(tblEmployee[[#This Row],[Payable Flag]]="Y","Pay","No Pay")</f>
        <v>No Pay</v>
      </c>
      <c r="H62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22" s="24">
        <f>IF(tblEmployee[[#This Row],[Payable Flag]]="N",0,1)</f>
        <v>0</v>
      </c>
      <c r="J622" s="24"/>
    </row>
    <row r="623" spans="7:10" x14ac:dyDescent="0.25">
      <c r="G623" s="24" t="str">
        <f>IF(tblEmployee[[#This Row],[Payable Flag]]="Y","Pay","No Pay")</f>
        <v>No Pay</v>
      </c>
      <c r="H62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23" s="24">
        <f>IF(tblEmployee[[#This Row],[Payable Flag]]="N",0,1)</f>
        <v>0</v>
      </c>
      <c r="J623" s="24"/>
    </row>
    <row r="624" spans="7:10" x14ac:dyDescent="0.25">
      <c r="G624" s="24" t="str">
        <f>IF(tblEmployee[[#This Row],[Payable Flag]]="Y","Pay","No Pay")</f>
        <v>No Pay</v>
      </c>
      <c r="H62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24" s="24">
        <f>IF(tblEmployee[[#This Row],[Payable Flag]]="N",0,1)</f>
        <v>0</v>
      </c>
      <c r="J624" s="24"/>
    </row>
    <row r="625" spans="7:10" x14ac:dyDescent="0.25">
      <c r="G625" s="24" t="str">
        <f>IF(tblEmployee[[#This Row],[Payable Flag]]="Y","Pay","No Pay")</f>
        <v>No Pay</v>
      </c>
      <c r="H62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25" s="24">
        <f>IF(tblEmployee[[#This Row],[Payable Flag]]="N",0,1)</f>
        <v>0</v>
      </c>
      <c r="J625" s="24"/>
    </row>
    <row r="626" spans="7:10" x14ac:dyDescent="0.25">
      <c r="G626" s="24" t="str">
        <f>IF(tblEmployee[[#This Row],[Payable Flag]]="Y","Pay","No Pay")</f>
        <v>No Pay</v>
      </c>
      <c r="H62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26" s="24">
        <f>IF(tblEmployee[[#This Row],[Payable Flag]]="N",0,1)</f>
        <v>0</v>
      </c>
      <c r="J626" s="24"/>
    </row>
    <row r="627" spans="7:10" x14ac:dyDescent="0.25">
      <c r="G627" s="24" t="str">
        <f>IF(tblEmployee[[#This Row],[Payable Flag]]="Y","Pay","No Pay")</f>
        <v>No Pay</v>
      </c>
      <c r="H62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27" s="24">
        <f>IF(tblEmployee[[#This Row],[Payable Flag]]="N",0,1)</f>
        <v>0</v>
      </c>
      <c r="J627" s="24"/>
    </row>
    <row r="628" spans="7:10" x14ac:dyDescent="0.25">
      <c r="G628" s="24" t="str">
        <f>IF(tblEmployee[[#This Row],[Payable Flag]]="Y","Pay","No Pay")</f>
        <v>No Pay</v>
      </c>
      <c r="H62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28" s="24">
        <f>IF(tblEmployee[[#This Row],[Payable Flag]]="N",0,1)</f>
        <v>0</v>
      </c>
      <c r="J628" s="24"/>
    </row>
    <row r="629" spans="7:10" x14ac:dyDescent="0.25">
      <c r="G629" s="24" t="str">
        <f>IF(tblEmployee[[#This Row],[Payable Flag]]="Y","Pay","No Pay")</f>
        <v>No Pay</v>
      </c>
      <c r="H62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29" s="24">
        <f>IF(tblEmployee[[#This Row],[Payable Flag]]="N",0,1)</f>
        <v>0</v>
      </c>
      <c r="J629" s="24"/>
    </row>
    <row r="630" spans="7:10" x14ac:dyDescent="0.25">
      <c r="G630" s="24" t="str">
        <f>IF(tblEmployee[[#This Row],[Payable Flag]]="Y","Pay","No Pay")</f>
        <v>No Pay</v>
      </c>
      <c r="H63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30" s="24">
        <f>IF(tblEmployee[[#This Row],[Payable Flag]]="N",0,1)</f>
        <v>0</v>
      </c>
      <c r="J630" s="24"/>
    </row>
    <row r="631" spans="7:10" x14ac:dyDescent="0.25">
      <c r="G631" s="24" t="str">
        <f>IF(tblEmployee[[#This Row],[Payable Flag]]="Y","Pay","No Pay")</f>
        <v>No Pay</v>
      </c>
      <c r="H63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31" s="24">
        <f>IF(tblEmployee[[#This Row],[Payable Flag]]="N",0,1)</f>
        <v>0</v>
      </c>
      <c r="J631" s="24"/>
    </row>
    <row r="632" spans="7:10" x14ac:dyDescent="0.25">
      <c r="G632" s="24" t="str">
        <f>IF(tblEmployee[[#This Row],[Payable Flag]]="Y","Pay","No Pay")</f>
        <v>No Pay</v>
      </c>
      <c r="H63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32" s="24">
        <f>IF(tblEmployee[[#This Row],[Payable Flag]]="N",0,1)</f>
        <v>0</v>
      </c>
      <c r="J632" s="24"/>
    </row>
    <row r="633" spans="7:10" x14ac:dyDescent="0.25">
      <c r="G633" s="24" t="str">
        <f>IF(tblEmployee[[#This Row],[Payable Flag]]="Y","Pay","No Pay")</f>
        <v>No Pay</v>
      </c>
      <c r="H63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33" s="24">
        <f>IF(tblEmployee[[#This Row],[Payable Flag]]="N",0,1)</f>
        <v>0</v>
      </c>
      <c r="J633" s="24"/>
    </row>
    <row r="634" spans="7:10" x14ac:dyDescent="0.25">
      <c r="G634" s="24" t="str">
        <f>IF(tblEmployee[[#This Row],[Payable Flag]]="Y","Pay","No Pay")</f>
        <v>No Pay</v>
      </c>
      <c r="H63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34" s="24">
        <f>IF(tblEmployee[[#This Row],[Payable Flag]]="N",0,1)</f>
        <v>0</v>
      </c>
      <c r="J634" s="24"/>
    </row>
    <row r="635" spans="7:10" x14ac:dyDescent="0.25">
      <c r="G635" s="24" t="str">
        <f>IF(tblEmployee[[#This Row],[Payable Flag]]="Y","Pay","No Pay")</f>
        <v>No Pay</v>
      </c>
      <c r="H63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35" s="24">
        <f>IF(tblEmployee[[#This Row],[Payable Flag]]="N",0,1)</f>
        <v>0</v>
      </c>
      <c r="J635" s="24"/>
    </row>
    <row r="636" spans="7:10" x14ac:dyDescent="0.25">
      <c r="G636" s="24" t="str">
        <f>IF(tblEmployee[[#This Row],[Payable Flag]]="Y","Pay","No Pay")</f>
        <v>No Pay</v>
      </c>
      <c r="H63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36" s="24">
        <f>IF(tblEmployee[[#This Row],[Payable Flag]]="N",0,1)</f>
        <v>0</v>
      </c>
      <c r="J636" s="24"/>
    </row>
    <row r="637" spans="7:10" x14ac:dyDescent="0.25">
      <c r="G637" s="24" t="str">
        <f>IF(tblEmployee[[#This Row],[Payable Flag]]="Y","Pay","No Pay")</f>
        <v>No Pay</v>
      </c>
      <c r="H63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37" s="24">
        <f>IF(tblEmployee[[#This Row],[Payable Flag]]="N",0,1)</f>
        <v>0</v>
      </c>
      <c r="J637" s="24"/>
    </row>
    <row r="638" spans="7:10" x14ac:dyDescent="0.25">
      <c r="G638" s="24" t="str">
        <f>IF(tblEmployee[[#This Row],[Payable Flag]]="Y","Pay","No Pay")</f>
        <v>No Pay</v>
      </c>
      <c r="H63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38" s="24">
        <f>IF(tblEmployee[[#This Row],[Payable Flag]]="N",0,1)</f>
        <v>0</v>
      </c>
      <c r="J638" s="24"/>
    </row>
    <row r="639" spans="7:10" x14ac:dyDescent="0.25">
      <c r="G639" s="24" t="str">
        <f>IF(tblEmployee[[#This Row],[Payable Flag]]="Y","Pay","No Pay")</f>
        <v>No Pay</v>
      </c>
      <c r="H63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39" s="24">
        <f>IF(tblEmployee[[#This Row],[Payable Flag]]="N",0,1)</f>
        <v>0</v>
      </c>
      <c r="J639" s="24"/>
    </row>
    <row r="640" spans="7:10" x14ac:dyDescent="0.25">
      <c r="G640" s="24" t="str">
        <f>IF(tblEmployee[[#This Row],[Payable Flag]]="Y","Pay","No Pay")</f>
        <v>No Pay</v>
      </c>
      <c r="H64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40" s="24">
        <f>IF(tblEmployee[[#This Row],[Payable Flag]]="N",0,1)</f>
        <v>0</v>
      </c>
      <c r="J640" s="24"/>
    </row>
    <row r="641" spans="7:10" x14ac:dyDescent="0.25">
      <c r="G641" s="24" t="str">
        <f>IF(tblEmployee[[#This Row],[Payable Flag]]="Y","Pay","No Pay")</f>
        <v>No Pay</v>
      </c>
      <c r="H64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41" s="24">
        <f>IF(tblEmployee[[#This Row],[Payable Flag]]="N",0,1)</f>
        <v>0</v>
      </c>
      <c r="J641" s="24"/>
    </row>
    <row r="642" spans="7:10" x14ac:dyDescent="0.25">
      <c r="G642" s="24" t="str">
        <f>IF(tblEmployee[[#This Row],[Payable Flag]]="Y","Pay","No Pay")</f>
        <v>No Pay</v>
      </c>
      <c r="H64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42" s="24">
        <f>IF(tblEmployee[[#This Row],[Payable Flag]]="N",0,1)</f>
        <v>0</v>
      </c>
      <c r="J642" s="24"/>
    </row>
    <row r="643" spans="7:10" x14ac:dyDescent="0.25">
      <c r="G643" s="24" t="str">
        <f>IF(tblEmployee[[#This Row],[Payable Flag]]="Y","Pay","No Pay")</f>
        <v>No Pay</v>
      </c>
      <c r="H64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43" s="24">
        <f>IF(tblEmployee[[#This Row],[Payable Flag]]="N",0,1)</f>
        <v>0</v>
      </c>
      <c r="J643" s="24"/>
    </row>
    <row r="644" spans="7:10" x14ac:dyDescent="0.25">
      <c r="G644" s="24" t="str">
        <f>IF(tblEmployee[[#This Row],[Payable Flag]]="Y","Pay","No Pay")</f>
        <v>No Pay</v>
      </c>
      <c r="H64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44" s="24">
        <f>IF(tblEmployee[[#This Row],[Payable Flag]]="N",0,1)</f>
        <v>0</v>
      </c>
      <c r="J644" s="24"/>
    </row>
    <row r="645" spans="7:10" x14ac:dyDescent="0.25">
      <c r="G645" s="24" t="str">
        <f>IF(tblEmployee[[#This Row],[Payable Flag]]="Y","Pay","No Pay")</f>
        <v>No Pay</v>
      </c>
      <c r="H64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45" s="24">
        <f>IF(tblEmployee[[#This Row],[Payable Flag]]="N",0,1)</f>
        <v>0</v>
      </c>
      <c r="J645" s="24"/>
    </row>
    <row r="646" spans="7:10" x14ac:dyDescent="0.25">
      <c r="G646" s="24" t="str">
        <f>IF(tblEmployee[[#This Row],[Payable Flag]]="Y","Pay","No Pay")</f>
        <v>No Pay</v>
      </c>
      <c r="H64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46" s="24">
        <f>IF(tblEmployee[[#This Row],[Payable Flag]]="N",0,1)</f>
        <v>0</v>
      </c>
      <c r="J646" s="24"/>
    </row>
    <row r="647" spans="7:10" x14ac:dyDescent="0.25">
      <c r="G647" s="24" t="str">
        <f>IF(tblEmployee[[#This Row],[Payable Flag]]="Y","Pay","No Pay")</f>
        <v>No Pay</v>
      </c>
      <c r="H64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47" s="24">
        <f>IF(tblEmployee[[#This Row],[Payable Flag]]="N",0,1)</f>
        <v>0</v>
      </c>
      <c r="J647" s="24"/>
    </row>
    <row r="648" spans="7:10" x14ac:dyDescent="0.25">
      <c r="G648" s="24" t="str">
        <f>IF(tblEmployee[[#This Row],[Payable Flag]]="Y","Pay","No Pay")</f>
        <v>No Pay</v>
      </c>
      <c r="H64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48" s="24">
        <f>IF(tblEmployee[[#This Row],[Payable Flag]]="N",0,1)</f>
        <v>0</v>
      </c>
      <c r="J648" s="24"/>
    </row>
    <row r="649" spans="7:10" x14ac:dyDescent="0.25">
      <c r="G649" s="24" t="str">
        <f>IF(tblEmployee[[#This Row],[Payable Flag]]="Y","Pay","No Pay")</f>
        <v>No Pay</v>
      </c>
      <c r="H64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49" s="24">
        <f>IF(tblEmployee[[#This Row],[Payable Flag]]="N",0,1)</f>
        <v>0</v>
      </c>
      <c r="J649" s="24"/>
    </row>
    <row r="650" spans="7:10" x14ac:dyDescent="0.25">
      <c r="G650" s="24" t="str">
        <f>IF(tblEmployee[[#This Row],[Payable Flag]]="Y","Pay","No Pay")</f>
        <v>No Pay</v>
      </c>
      <c r="H65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50" s="24">
        <f>IF(tblEmployee[[#This Row],[Payable Flag]]="N",0,1)</f>
        <v>0</v>
      </c>
      <c r="J650" s="24"/>
    </row>
    <row r="651" spans="7:10" x14ac:dyDescent="0.25">
      <c r="G651" s="24" t="str">
        <f>IF(tblEmployee[[#This Row],[Payable Flag]]="Y","Pay","No Pay")</f>
        <v>No Pay</v>
      </c>
      <c r="H65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51" s="24">
        <f>IF(tblEmployee[[#This Row],[Payable Flag]]="N",0,1)</f>
        <v>0</v>
      </c>
      <c r="J651" s="24"/>
    </row>
    <row r="652" spans="7:10" x14ac:dyDescent="0.25">
      <c r="G652" s="24" t="str">
        <f>IF(tblEmployee[[#This Row],[Payable Flag]]="Y","Pay","No Pay")</f>
        <v>No Pay</v>
      </c>
      <c r="H65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52" s="24">
        <f>IF(tblEmployee[[#This Row],[Payable Flag]]="N",0,1)</f>
        <v>0</v>
      </c>
      <c r="J652" s="24"/>
    </row>
    <row r="653" spans="7:10" x14ac:dyDescent="0.25">
      <c r="G653" s="24" t="str">
        <f>IF(tblEmployee[[#This Row],[Payable Flag]]="Y","Pay","No Pay")</f>
        <v>No Pay</v>
      </c>
      <c r="H65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53" s="24">
        <f>IF(tblEmployee[[#This Row],[Payable Flag]]="N",0,1)</f>
        <v>0</v>
      </c>
      <c r="J653" s="24"/>
    </row>
    <row r="654" spans="7:10" x14ac:dyDescent="0.25">
      <c r="G654" s="24" t="str">
        <f>IF(tblEmployee[[#This Row],[Payable Flag]]="Y","Pay","No Pay")</f>
        <v>No Pay</v>
      </c>
      <c r="H65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54" s="24">
        <f>IF(tblEmployee[[#This Row],[Payable Flag]]="N",0,1)</f>
        <v>0</v>
      </c>
      <c r="J654" s="24"/>
    </row>
    <row r="655" spans="7:10" x14ac:dyDescent="0.25">
      <c r="G655" s="24" t="str">
        <f>IF(tblEmployee[[#This Row],[Payable Flag]]="Y","Pay","No Pay")</f>
        <v>No Pay</v>
      </c>
      <c r="H65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55" s="24">
        <f>IF(tblEmployee[[#This Row],[Payable Flag]]="N",0,1)</f>
        <v>0</v>
      </c>
      <c r="J655" s="24"/>
    </row>
    <row r="656" spans="7:10" x14ac:dyDescent="0.25">
      <c r="G656" s="24" t="str">
        <f>IF(tblEmployee[[#This Row],[Payable Flag]]="Y","Pay","No Pay")</f>
        <v>No Pay</v>
      </c>
      <c r="H65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56" s="24">
        <f>IF(tblEmployee[[#This Row],[Payable Flag]]="N",0,1)</f>
        <v>0</v>
      </c>
      <c r="J656" s="24"/>
    </row>
    <row r="657" spans="7:10" x14ac:dyDescent="0.25">
      <c r="G657" s="24" t="str">
        <f>IF(tblEmployee[[#This Row],[Payable Flag]]="Y","Pay","No Pay")</f>
        <v>No Pay</v>
      </c>
      <c r="H65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57" s="24">
        <f>IF(tblEmployee[[#This Row],[Payable Flag]]="N",0,1)</f>
        <v>0</v>
      </c>
      <c r="J657" s="24"/>
    </row>
    <row r="658" spans="7:10" x14ac:dyDescent="0.25">
      <c r="G658" s="24" t="str">
        <f>IF(tblEmployee[[#This Row],[Payable Flag]]="Y","Pay","No Pay")</f>
        <v>No Pay</v>
      </c>
      <c r="H65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58" s="24">
        <f>IF(tblEmployee[[#This Row],[Payable Flag]]="N",0,1)</f>
        <v>0</v>
      </c>
      <c r="J658" s="24"/>
    </row>
    <row r="659" spans="7:10" x14ac:dyDescent="0.25">
      <c r="G659" s="24" t="str">
        <f>IF(tblEmployee[[#This Row],[Payable Flag]]="Y","Pay","No Pay")</f>
        <v>No Pay</v>
      </c>
      <c r="H65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59" s="24">
        <f>IF(tblEmployee[[#This Row],[Payable Flag]]="N",0,1)</f>
        <v>0</v>
      </c>
      <c r="J659" s="24"/>
    </row>
    <row r="660" spans="7:10" x14ac:dyDescent="0.25">
      <c r="G660" s="24" t="str">
        <f>IF(tblEmployee[[#This Row],[Payable Flag]]="Y","Pay","No Pay")</f>
        <v>No Pay</v>
      </c>
      <c r="H66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60" s="24">
        <f>IF(tblEmployee[[#This Row],[Payable Flag]]="N",0,1)</f>
        <v>0</v>
      </c>
      <c r="J660" s="24"/>
    </row>
    <row r="661" spans="7:10" x14ac:dyDescent="0.25">
      <c r="G661" s="24" t="str">
        <f>IF(tblEmployee[[#This Row],[Payable Flag]]="Y","Pay","No Pay")</f>
        <v>No Pay</v>
      </c>
      <c r="H66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61" s="24">
        <f>IF(tblEmployee[[#This Row],[Payable Flag]]="N",0,1)</f>
        <v>0</v>
      </c>
      <c r="J661" s="24"/>
    </row>
    <row r="662" spans="7:10" x14ac:dyDescent="0.25">
      <c r="G662" s="24" t="str">
        <f>IF(tblEmployee[[#This Row],[Payable Flag]]="Y","Pay","No Pay")</f>
        <v>No Pay</v>
      </c>
      <c r="H66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62" s="24">
        <f>IF(tblEmployee[[#This Row],[Payable Flag]]="N",0,1)</f>
        <v>0</v>
      </c>
      <c r="J662" s="24"/>
    </row>
    <row r="663" spans="7:10" x14ac:dyDescent="0.25">
      <c r="G663" s="24" t="str">
        <f>IF(tblEmployee[[#This Row],[Payable Flag]]="Y","Pay","No Pay")</f>
        <v>No Pay</v>
      </c>
      <c r="H66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63" s="24">
        <f>IF(tblEmployee[[#This Row],[Payable Flag]]="N",0,1)</f>
        <v>0</v>
      </c>
      <c r="J663" s="24"/>
    </row>
    <row r="664" spans="7:10" x14ac:dyDescent="0.25">
      <c r="G664" s="24" t="str">
        <f>IF(tblEmployee[[#This Row],[Payable Flag]]="Y","Pay","No Pay")</f>
        <v>No Pay</v>
      </c>
      <c r="H66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64" s="24">
        <f>IF(tblEmployee[[#This Row],[Payable Flag]]="N",0,1)</f>
        <v>0</v>
      </c>
      <c r="J664" s="24"/>
    </row>
    <row r="665" spans="7:10" x14ac:dyDescent="0.25">
      <c r="G665" s="24" t="str">
        <f>IF(tblEmployee[[#This Row],[Payable Flag]]="Y","Pay","No Pay")</f>
        <v>No Pay</v>
      </c>
      <c r="H66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65" s="24">
        <f>IF(tblEmployee[[#This Row],[Payable Flag]]="N",0,1)</f>
        <v>0</v>
      </c>
      <c r="J665" s="24"/>
    </row>
    <row r="666" spans="7:10" x14ac:dyDescent="0.25">
      <c r="G666" s="24" t="str">
        <f>IF(tblEmployee[[#This Row],[Payable Flag]]="Y","Pay","No Pay")</f>
        <v>No Pay</v>
      </c>
      <c r="H66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66" s="24">
        <f>IF(tblEmployee[[#This Row],[Payable Flag]]="N",0,1)</f>
        <v>0</v>
      </c>
      <c r="J666" s="24"/>
    </row>
    <row r="667" spans="7:10" x14ac:dyDescent="0.25">
      <c r="G667" s="24" t="str">
        <f>IF(tblEmployee[[#This Row],[Payable Flag]]="Y","Pay","No Pay")</f>
        <v>No Pay</v>
      </c>
      <c r="H66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67" s="24">
        <f>IF(tblEmployee[[#This Row],[Payable Flag]]="N",0,1)</f>
        <v>0</v>
      </c>
      <c r="J667" s="24"/>
    </row>
    <row r="668" spans="7:10" x14ac:dyDescent="0.25">
      <c r="G668" s="24" t="str">
        <f>IF(tblEmployee[[#This Row],[Payable Flag]]="Y","Pay","No Pay")</f>
        <v>No Pay</v>
      </c>
      <c r="H66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68" s="24">
        <f>IF(tblEmployee[[#This Row],[Payable Flag]]="N",0,1)</f>
        <v>0</v>
      </c>
      <c r="J668" s="24"/>
    </row>
    <row r="669" spans="7:10" x14ac:dyDescent="0.25">
      <c r="G669" s="24" t="str">
        <f>IF(tblEmployee[[#This Row],[Payable Flag]]="Y","Pay","No Pay")</f>
        <v>No Pay</v>
      </c>
      <c r="H66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69" s="24">
        <f>IF(tblEmployee[[#This Row],[Payable Flag]]="N",0,1)</f>
        <v>0</v>
      </c>
      <c r="J669" s="24"/>
    </row>
    <row r="670" spans="7:10" x14ac:dyDescent="0.25">
      <c r="G670" s="24" t="str">
        <f>IF(tblEmployee[[#This Row],[Payable Flag]]="Y","Pay","No Pay")</f>
        <v>No Pay</v>
      </c>
      <c r="H67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70" s="24">
        <f>IF(tblEmployee[[#This Row],[Payable Flag]]="N",0,1)</f>
        <v>0</v>
      </c>
      <c r="J670" s="24"/>
    </row>
    <row r="671" spans="7:10" x14ac:dyDescent="0.25">
      <c r="G671" s="24" t="str">
        <f>IF(tblEmployee[[#This Row],[Payable Flag]]="Y","Pay","No Pay")</f>
        <v>No Pay</v>
      </c>
      <c r="H67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71" s="24">
        <f>IF(tblEmployee[[#This Row],[Payable Flag]]="N",0,1)</f>
        <v>0</v>
      </c>
      <c r="J671" s="24"/>
    </row>
    <row r="672" spans="7:10" x14ac:dyDescent="0.25">
      <c r="G672" s="24" t="str">
        <f>IF(tblEmployee[[#This Row],[Payable Flag]]="Y","Pay","No Pay")</f>
        <v>No Pay</v>
      </c>
      <c r="H67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72" s="24">
        <f>IF(tblEmployee[[#This Row],[Payable Flag]]="N",0,1)</f>
        <v>0</v>
      </c>
      <c r="J672" s="24"/>
    </row>
    <row r="673" spans="7:10" x14ac:dyDescent="0.25">
      <c r="G673" s="24" t="str">
        <f>IF(tblEmployee[[#This Row],[Payable Flag]]="Y","Pay","No Pay")</f>
        <v>No Pay</v>
      </c>
      <c r="H67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73" s="24">
        <f>IF(tblEmployee[[#This Row],[Payable Flag]]="N",0,1)</f>
        <v>0</v>
      </c>
      <c r="J673" s="24"/>
    </row>
    <row r="674" spans="7:10" x14ac:dyDescent="0.25">
      <c r="G674" s="24" t="str">
        <f>IF(tblEmployee[[#This Row],[Payable Flag]]="Y","Pay","No Pay")</f>
        <v>No Pay</v>
      </c>
      <c r="H67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74" s="24">
        <f>IF(tblEmployee[[#This Row],[Payable Flag]]="N",0,1)</f>
        <v>0</v>
      </c>
      <c r="J674" s="24"/>
    </row>
    <row r="675" spans="7:10" x14ac:dyDescent="0.25">
      <c r="G675" s="24" t="str">
        <f>IF(tblEmployee[[#This Row],[Payable Flag]]="Y","Pay","No Pay")</f>
        <v>No Pay</v>
      </c>
      <c r="H67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75" s="24">
        <f>IF(tblEmployee[[#This Row],[Payable Flag]]="N",0,1)</f>
        <v>0</v>
      </c>
      <c r="J675" s="24"/>
    </row>
    <row r="676" spans="7:10" x14ac:dyDescent="0.25">
      <c r="G676" s="24" t="str">
        <f>IF(tblEmployee[[#This Row],[Payable Flag]]="Y","Pay","No Pay")</f>
        <v>No Pay</v>
      </c>
      <c r="H67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76" s="24">
        <f>IF(tblEmployee[[#This Row],[Payable Flag]]="N",0,1)</f>
        <v>0</v>
      </c>
      <c r="J676" s="24"/>
    </row>
    <row r="677" spans="7:10" x14ac:dyDescent="0.25">
      <c r="G677" s="24" t="str">
        <f>IF(tblEmployee[[#This Row],[Payable Flag]]="Y","Pay","No Pay")</f>
        <v>No Pay</v>
      </c>
      <c r="H67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77" s="24">
        <f>IF(tblEmployee[[#This Row],[Payable Flag]]="N",0,1)</f>
        <v>0</v>
      </c>
      <c r="J677" s="24"/>
    </row>
    <row r="678" spans="7:10" x14ac:dyDescent="0.25">
      <c r="G678" s="24" t="str">
        <f>IF(tblEmployee[[#This Row],[Payable Flag]]="Y","Pay","No Pay")</f>
        <v>No Pay</v>
      </c>
      <c r="H67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78" s="24">
        <f>IF(tblEmployee[[#This Row],[Payable Flag]]="N",0,1)</f>
        <v>0</v>
      </c>
      <c r="J678" s="24"/>
    </row>
    <row r="679" spans="7:10" x14ac:dyDescent="0.25">
      <c r="G679" s="24" t="str">
        <f>IF(tblEmployee[[#This Row],[Payable Flag]]="Y","Pay","No Pay")</f>
        <v>No Pay</v>
      </c>
      <c r="H67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79" s="24">
        <f>IF(tblEmployee[[#This Row],[Payable Flag]]="N",0,1)</f>
        <v>0</v>
      </c>
      <c r="J679" s="24"/>
    </row>
    <row r="680" spans="7:10" x14ac:dyDescent="0.25">
      <c r="G680" s="24" t="str">
        <f>IF(tblEmployee[[#This Row],[Payable Flag]]="Y","Pay","No Pay")</f>
        <v>No Pay</v>
      </c>
      <c r="H68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80" s="24">
        <f>IF(tblEmployee[[#This Row],[Payable Flag]]="N",0,1)</f>
        <v>0</v>
      </c>
      <c r="J680" s="24"/>
    </row>
    <row r="681" spans="7:10" x14ac:dyDescent="0.25">
      <c r="G681" s="24" t="str">
        <f>IF(tblEmployee[[#This Row],[Payable Flag]]="Y","Pay","No Pay")</f>
        <v>No Pay</v>
      </c>
      <c r="H68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81" s="24">
        <f>IF(tblEmployee[[#This Row],[Payable Flag]]="N",0,1)</f>
        <v>0</v>
      </c>
      <c r="J681" s="24"/>
    </row>
    <row r="682" spans="7:10" x14ac:dyDescent="0.25">
      <c r="G682" s="24" t="str">
        <f>IF(tblEmployee[[#This Row],[Payable Flag]]="Y","Pay","No Pay")</f>
        <v>No Pay</v>
      </c>
      <c r="H68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82" s="24">
        <f>IF(tblEmployee[[#This Row],[Payable Flag]]="N",0,1)</f>
        <v>0</v>
      </c>
      <c r="J682" s="24"/>
    </row>
    <row r="683" spans="7:10" x14ac:dyDescent="0.25">
      <c r="G683" s="24" t="str">
        <f>IF(tblEmployee[[#This Row],[Payable Flag]]="Y","Pay","No Pay")</f>
        <v>No Pay</v>
      </c>
      <c r="H68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83" s="24">
        <f>IF(tblEmployee[[#This Row],[Payable Flag]]="N",0,1)</f>
        <v>0</v>
      </c>
      <c r="J683" s="24"/>
    </row>
    <row r="684" spans="7:10" x14ac:dyDescent="0.25">
      <c r="G684" s="24" t="str">
        <f>IF(tblEmployee[[#This Row],[Payable Flag]]="Y","Pay","No Pay")</f>
        <v>No Pay</v>
      </c>
      <c r="H68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84" s="24">
        <f>IF(tblEmployee[[#This Row],[Payable Flag]]="N",0,1)</f>
        <v>0</v>
      </c>
      <c r="J684" s="24"/>
    </row>
    <row r="685" spans="7:10" x14ac:dyDescent="0.25">
      <c r="G685" s="24" t="str">
        <f>IF(tblEmployee[[#This Row],[Payable Flag]]="Y","Pay","No Pay")</f>
        <v>No Pay</v>
      </c>
      <c r="H68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85" s="24">
        <f>IF(tblEmployee[[#This Row],[Payable Flag]]="N",0,1)</f>
        <v>0</v>
      </c>
      <c r="J685" s="24"/>
    </row>
    <row r="686" spans="7:10" x14ac:dyDescent="0.25">
      <c r="G686" s="24" t="str">
        <f>IF(tblEmployee[[#This Row],[Payable Flag]]="Y","Pay","No Pay")</f>
        <v>No Pay</v>
      </c>
      <c r="H68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86" s="24">
        <f>IF(tblEmployee[[#This Row],[Payable Flag]]="N",0,1)</f>
        <v>0</v>
      </c>
      <c r="J686" s="24"/>
    </row>
    <row r="687" spans="7:10" x14ac:dyDescent="0.25">
      <c r="G687" s="24" t="str">
        <f>IF(tblEmployee[[#This Row],[Payable Flag]]="Y","Pay","No Pay")</f>
        <v>No Pay</v>
      </c>
      <c r="H68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87" s="24">
        <f>IF(tblEmployee[[#This Row],[Payable Flag]]="N",0,1)</f>
        <v>0</v>
      </c>
      <c r="J687" s="24"/>
    </row>
    <row r="688" spans="7:10" x14ac:dyDescent="0.25">
      <c r="G688" s="24" t="str">
        <f>IF(tblEmployee[[#This Row],[Payable Flag]]="Y","Pay","No Pay")</f>
        <v>No Pay</v>
      </c>
      <c r="H68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88" s="24">
        <f>IF(tblEmployee[[#This Row],[Payable Flag]]="N",0,1)</f>
        <v>0</v>
      </c>
      <c r="J688" s="24"/>
    </row>
    <row r="689" spans="7:10" x14ac:dyDescent="0.25">
      <c r="G689" s="24" t="str">
        <f>IF(tblEmployee[[#This Row],[Payable Flag]]="Y","Pay","No Pay")</f>
        <v>No Pay</v>
      </c>
      <c r="H68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89" s="24">
        <f>IF(tblEmployee[[#This Row],[Payable Flag]]="N",0,1)</f>
        <v>0</v>
      </c>
      <c r="J689" s="24"/>
    </row>
    <row r="690" spans="7:10" x14ac:dyDescent="0.25">
      <c r="G690" s="24" t="str">
        <f>IF(tblEmployee[[#This Row],[Payable Flag]]="Y","Pay","No Pay")</f>
        <v>No Pay</v>
      </c>
      <c r="H69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90" s="24">
        <f>IF(tblEmployee[[#This Row],[Payable Flag]]="N",0,1)</f>
        <v>0</v>
      </c>
      <c r="J690" s="24"/>
    </row>
    <row r="691" spans="7:10" x14ac:dyDescent="0.25">
      <c r="G691" s="24" t="str">
        <f>IF(tblEmployee[[#This Row],[Payable Flag]]="Y","Pay","No Pay")</f>
        <v>No Pay</v>
      </c>
      <c r="H69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91" s="24">
        <f>IF(tblEmployee[[#This Row],[Payable Flag]]="N",0,1)</f>
        <v>0</v>
      </c>
      <c r="J691" s="24"/>
    </row>
    <row r="692" spans="7:10" x14ac:dyDescent="0.25">
      <c r="G692" s="24" t="str">
        <f>IF(tblEmployee[[#This Row],[Payable Flag]]="Y","Pay","No Pay")</f>
        <v>No Pay</v>
      </c>
      <c r="H69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92" s="24">
        <f>IF(tblEmployee[[#This Row],[Payable Flag]]="N",0,1)</f>
        <v>0</v>
      </c>
      <c r="J692" s="24"/>
    </row>
    <row r="693" spans="7:10" x14ac:dyDescent="0.25">
      <c r="G693" s="24" t="str">
        <f>IF(tblEmployee[[#This Row],[Payable Flag]]="Y","Pay","No Pay")</f>
        <v>No Pay</v>
      </c>
      <c r="H69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93" s="24">
        <f>IF(tblEmployee[[#This Row],[Payable Flag]]="N",0,1)</f>
        <v>0</v>
      </c>
      <c r="J693" s="24"/>
    </row>
    <row r="694" spans="7:10" x14ac:dyDescent="0.25">
      <c r="G694" s="24" t="str">
        <f>IF(tblEmployee[[#This Row],[Payable Flag]]="Y","Pay","No Pay")</f>
        <v>No Pay</v>
      </c>
      <c r="H69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94" s="24">
        <f>IF(tblEmployee[[#This Row],[Payable Flag]]="N",0,1)</f>
        <v>0</v>
      </c>
      <c r="J694" s="24"/>
    </row>
    <row r="695" spans="7:10" x14ac:dyDescent="0.25">
      <c r="G695" s="24" t="str">
        <f>IF(tblEmployee[[#This Row],[Payable Flag]]="Y","Pay","No Pay")</f>
        <v>No Pay</v>
      </c>
      <c r="H69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95" s="24">
        <f>IF(tblEmployee[[#This Row],[Payable Flag]]="N",0,1)</f>
        <v>0</v>
      </c>
      <c r="J695" s="24"/>
    </row>
    <row r="696" spans="7:10" x14ac:dyDescent="0.25">
      <c r="G696" s="24" t="str">
        <f>IF(tblEmployee[[#This Row],[Payable Flag]]="Y","Pay","No Pay")</f>
        <v>No Pay</v>
      </c>
      <c r="H69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96" s="24">
        <f>IF(tblEmployee[[#This Row],[Payable Flag]]="N",0,1)</f>
        <v>0</v>
      </c>
      <c r="J696" s="24"/>
    </row>
    <row r="697" spans="7:10" x14ac:dyDescent="0.25">
      <c r="G697" s="24" t="str">
        <f>IF(tblEmployee[[#This Row],[Payable Flag]]="Y","Pay","No Pay")</f>
        <v>No Pay</v>
      </c>
      <c r="H69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97" s="24">
        <f>IF(tblEmployee[[#This Row],[Payable Flag]]="N",0,1)</f>
        <v>0</v>
      </c>
      <c r="J697" s="24"/>
    </row>
    <row r="698" spans="7:10" x14ac:dyDescent="0.25">
      <c r="G698" s="24" t="str">
        <f>IF(tblEmployee[[#This Row],[Payable Flag]]="Y","Pay","No Pay")</f>
        <v>No Pay</v>
      </c>
      <c r="H69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98" s="24">
        <f>IF(tblEmployee[[#This Row],[Payable Flag]]="N",0,1)</f>
        <v>0</v>
      </c>
      <c r="J698" s="24"/>
    </row>
    <row r="699" spans="7:10" x14ac:dyDescent="0.25">
      <c r="G699" s="24" t="str">
        <f>IF(tblEmployee[[#This Row],[Payable Flag]]="Y","Pay","No Pay")</f>
        <v>No Pay</v>
      </c>
      <c r="H69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699" s="24">
        <f>IF(tblEmployee[[#This Row],[Payable Flag]]="N",0,1)</f>
        <v>0</v>
      </c>
      <c r="J699" s="24"/>
    </row>
    <row r="700" spans="7:10" x14ac:dyDescent="0.25">
      <c r="G700" s="24" t="str">
        <f>IF(tblEmployee[[#This Row],[Payable Flag]]="Y","Pay","No Pay")</f>
        <v>No Pay</v>
      </c>
      <c r="H70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00" s="24">
        <f>IF(tblEmployee[[#This Row],[Payable Flag]]="N",0,1)</f>
        <v>0</v>
      </c>
      <c r="J700" s="24"/>
    </row>
    <row r="701" spans="7:10" x14ac:dyDescent="0.25">
      <c r="G701" s="24" t="str">
        <f>IF(tblEmployee[[#This Row],[Payable Flag]]="Y","Pay","No Pay")</f>
        <v>No Pay</v>
      </c>
      <c r="H70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01" s="24">
        <f>IF(tblEmployee[[#This Row],[Payable Flag]]="N",0,1)</f>
        <v>0</v>
      </c>
      <c r="J701" s="24"/>
    </row>
    <row r="702" spans="7:10" x14ac:dyDescent="0.25">
      <c r="G702" s="24" t="str">
        <f>IF(tblEmployee[[#This Row],[Payable Flag]]="Y","Pay","No Pay")</f>
        <v>No Pay</v>
      </c>
      <c r="H70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02" s="24">
        <f>IF(tblEmployee[[#This Row],[Payable Flag]]="N",0,1)</f>
        <v>0</v>
      </c>
      <c r="J702" s="24"/>
    </row>
    <row r="703" spans="7:10" x14ac:dyDescent="0.25">
      <c r="G703" s="24" t="str">
        <f>IF(tblEmployee[[#This Row],[Payable Flag]]="Y","Pay","No Pay")</f>
        <v>No Pay</v>
      </c>
      <c r="H70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03" s="24">
        <f>IF(tblEmployee[[#This Row],[Payable Flag]]="N",0,1)</f>
        <v>0</v>
      </c>
      <c r="J703" s="24"/>
    </row>
    <row r="704" spans="7:10" x14ac:dyDescent="0.25">
      <c r="G704" s="24" t="str">
        <f>IF(tblEmployee[[#This Row],[Payable Flag]]="Y","Pay","No Pay")</f>
        <v>No Pay</v>
      </c>
      <c r="H70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04" s="24">
        <f>IF(tblEmployee[[#This Row],[Payable Flag]]="N",0,1)</f>
        <v>0</v>
      </c>
      <c r="J704" s="24"/>
    </row>
    <row r="705" spans="7:10" x14ac:dyDescent="0.25">
      <c r="G705" s="24" t="str">
        <f>IF(tblEmployee[[#This Row],[Payable Flag]]="Y","Pay","No Pay")</f>
        <v>No Pay</v>
      </c>
      <c r="H70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05" s="24">
        <f>IF(tblEmployee[[#This Row],[Payable Flag]]="N",0,1)</f>
        <v>0</v>
      </c>
      <c r="J705" s="24"/>
    </row>
    <row r="706" spans="7:10" x14ac:dyDescent="0.25">
      <c r="G706" s="24" t="str">
        <f>IF(tblEmployee[[#This Row],[Payable Flag]]="Y","Pay","No Pay")</f>
        <v>No Pay</v>
      </c>
      <c r="H70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06" s="24">
        <f>IF(tblEmployee[[#This Row],[Payable Flag]]="N",0,1)</f>
        <v>0</v>
      </c>
      <c r="J706" s="24"/>
    </row>
    <row r="707" spans="7:10" x14ac:dyDescent="0.25">
      <c r="G707" s="24" t="str">
        <f>IF(tblEmployee[[#This Row],[Payable Flag]]="Y","Pay","No Pay")</f>
        <v>No Pay</v>
      </c>
      <c r="H70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07" s="24">
        <f>IF(tblEmployee[[#This Row],[Payable Flag]]="N",0,1)</f>
        <v>0</v>
      </c>
      <c r="J707" s="24"/>
    </row>
    <row r="708" spans="7:10" x14ac:dyDescent="0.25">
      <c r="G708" s="24" t="str">
        <f>IF(tblEmployee[[#This Row],[Payable Flag]]="Y","Pay","No Pay")</f>
        <v>No Pay</v>
      </c>
      <c r="H70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08" s="24">
        <f>IF(tblEmployee[[#This Row],[Payable Flag]]="N",0,1)</f>
        <v>0</v>
      </c>
      <c r="J708" s="24"/>
    </row>
    <row r="709" spans="7:10" x14ac:dyDescent="0.25">
      <c r="G709" s="24" t="str">
        <f>IF(tblEmployee[[#This Row],[Payable Flag]]="Y","Pay","No Pay")</f>
        <v>No Pay</v>
      </c>
      <c r="H70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09" s="24">
        <f>IF(tblEmployee[[#This Row],[Payable Flag]]="N",0,1)</f>
        <v>0</v>
      </c>
      <c r="J709" s="24"/>
    </row>
    <row r="710" spans="7:10" x14ac:dyDescent="0.25">
      <c r="G710" s="24" t="str">
        <f>IF(tblEmployee[[#This Row],[Payable Flag]]="Y","Pay","No Pay")</f>
        <v>No Pay</v>
      </c>
      <c r="H71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10" s="24">
        <f>IF(tblEmployee[[#This Row],[Payable Flag]]="N",0,1)</f>
        <v>0</v>
      </c>
      <c r="J710" s="24"/>
    </row>
    <row r="711" spans="7:10" x14ac:dyDescent="0.25">
      <c r="G711" s="24" t="str">
        <f>IF(tblEmployee[[#This Row],[Payable Flag]]="Y","Pay","No Pay")</f>
        <v>No Pay</v>
      </c>
      <c r="H71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11" s="24">
        <f>IF(tblEmployee[[#This Row],[Payable Flag]]="N",0,1)</f>
        <v>0</v>
      </c>
      <c r="J711" s="24"/>
    </row>
    <row r="712" spans="7:10" x14ac:dyDescent="0.25">
      <c r="G712" s="24" t="str">
        <f>IF(tblEmployee[[#This Row],[Payable Flag]]="Y","Pay","No Pay")</f>
        <v>No Pay</v>
      </c>
      <c r="H71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12" s="24">
        <f>IF(tblEmployee[[#This Row],[Payable Flag]]="N",0,1)</f>
        <v>0</v>
      </c>
      <c r="J712" s="24"/>
    </row>
    <row r="713" spans="7:10" x14ac:dyDescent="0.25">
      <c r="G713" s="24" t="str">
        <f>IF(tblEmployee[[#This Row],[Payable Flag]]="Y","Pay","No Pay")</f>
        <v>No Pay</v>
      </c>
      <c r="H71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13" s="24">
        <f>IF(tblEmployee[[#This Row],[Payable Flag]]="N",0,1)</f>
        <v>0</v>
      </c>
      <c r="J713" s="24"/>
    </row>
    <row r="714" spans="7:10" x14ac:dyDescent="0.25">
      <c r="G714" s="24" t="str">
        <f>IF(tblEmployee[[#This Row],[Payable Flag]]="Y","Pay","No Pay")</f>
        <v>No Pay</v>
      </c>
      <c r="H71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14" s="24">
        <f>IF(tblEmployee[[#This Row],[Payable Flag]]="N",0,1)</f>
        <v>0</v>
      </c>
      <c r="J714" s="24"/>
    </row>
    <row r="715" spans="7:10" x14ac:dyDescent="0.25">
      <c r="G715" s="24" t="str">
        <f>IF(tblEmployee[[#This Row],[Payable Flag]]="Y","Pay","No Pay")</f>
        <v>No Pay</v>
      </c>
      <c r="H71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15" s="24">
        <f>IF(tblEmployee[[#This Row],[Payable Flag]]="N",0,1)</f>
        <v>0</v>
      </c>
      <c r="J715" s="24"/>
    </row>
    <row r="716" spans="7:10" x14ac:dyDescent="0.25">
      <c r="G716" s="24" t="str">
        <f>IF(tblEmployee[[#This Row],[Payable Flag]]="Y","Pay","No Pay")</f>
        <v>No Pay</v>
      </c>
      <c r="H71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16" s="24">
        <f>IF(tblEmployee[[#This Row],[Payable Flag]]="N",0,1)</f>
        <v>0</v>
      </c>
      <c r="J716" s="24"/>
    </row>
    <row r="717" spans="7:10" x14ac:dyDescent="0.25">
      <c r="G717" s="24" t="str">
        <f>IF(tblEmployee[[#This Row],[Payable Flag]]="Y","Pay","No Pay")</f>
        <v>No Pay</v>
      </c>
      <c r="H71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17" s="24">
        <f>IF(tblEmployee[[#This Row],[Payable Flag]]="N",0,1)</f>
        <v>0</v>
      </c>
      <c r="J717" s="24"/>
    </row>
    <row r="718" spans="7:10" x14ac:dyDescent="0.25">
      <c r="G718" s="24" t="str">
        <f>IF(tblEmployee[[#This Row],[Payable Flag]]="Y","Pay","No Pay")</f>
        <v>No Pay</v>
      </c>
      <c r="H71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18" s="24">
        <f>IF(tblEmployee[[#This Row],[Payable Flag]]="N",0,1)</f>
        <v>0</v>
      </c>
      <c r="J718" s="24"/>
    </row>
    <row r="719" spans="7:10" x14ac:dyDescent="0.25">
      <c r="G719" s="24" t="str">
        <f>IF(tblEmployee[[#This Row],[Payable Flag]]="Y","Pay","No Pay")</f>
        <v>No Pay</v>
      </c>
      <c r="H71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19" s="24">
        <f>IF(tblEmployee[[#This Row],[Payable Flag]]="N",0,1)</f>
        <v>0</v>
      </c>
      <c r="J719" s="24"/>
    </row>
    <row r="720" spans="7:10" x14ac:dyDescent="0.25">
      <c r="G720" s="24" t="str">
        <f>IF(tblEmployee[[#This Row],[Payable Flag]]="Y","Pay","No Pay")</f>
        <v>No Pay</v>
      </c>
      <c r="H72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20" s="24">
        <f>IF(tblEmployee[[#This Row],[Payable Flag]]="N",0,1)</f>
        <v>0</v>
      </c>
      <c r="J720" s="24"/>
    </row>
    <row r="721" spans="7:10" x14ac:dyDescent="0.25">
      <c r="G721" s="24" t="str">
        <f>IF(tblEmployee[[#This Row],[Payable Flag]]="Y","Pay","No Pay")</f>
        <v>No Pay</v>
      </c>
      <c r="H72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21" s="24">
        <f>IF(tblEmployee[[#This Row],[Payable Flag]]="N",0,1)</f>
        <v>0</v>
      </c>
      <c r="J721" s="24"/>
    </row>
    <row r="722" spans="7:10" x14ac:dyDescent="0.25">
      <c r="G722" s="24" t="str">
        <f>IF(tblEmployee[[#This Row],[Payable Flag]]="Y","Pay","No Pay")</f>
        <v>No Pay</v>
      </c>
      <c r="H72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22" s="24">
        <f>IF(tblEmployee[[#This Row],[Payable Flag]]="N",0,1)</f>
        <v>0</v>
      </c>
      <c r="J722" s="24"/>
    </row>
    <row r="723" spans="7:10" x14ac:dyDescent="0.25">
      <c r="G723" s="24" t="str">
        <f>IF(tblEmployee[[#This Row],[Payable Flag]]="Y","Pay","No Pay")</f>
        <v>No Pay</v>
      </c>
      <c r="H72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23" s="24">
        <f>IF(tblEmployee[[#This Row],[Payable Flag]]="N",0,1)</f>
        <v>0</v>
      </c>
      <c r="J723" s="24"/>
    </row>
    <row r="724" spans="7:10" x14ac:dyDescent="0.25">
      <c r="G724" s="24" t="str">
        <f>IF(tblEmployee[[#This Row],[Payable Flag]]="Y","Pay","No Pay")</f>
        <v>No Pay</v>
      </c>
      <c r="H72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24" s="24">
        <f>IF(tblEmployee[[#This Row],[Payable Flag]]="N",0,1)</f>
        <v>0</v>
      </c>
      <c r="J724" s="24"/>
    </row>
    <row r="725" spans="7:10" x14ac:dyDescent="0.25">
      <c r="G725" s="24" t="str">
        <f>IF(tblEmployee[[#This Row],[Payable Flag]]="Y","Pay","No Pay")</f>
        <v>No Pay</v>
      </c>
      <c r="H72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25" s="24">
        <f>IF(tblEmployee[[#This Row],[Payable Flag]]="N",0,1)</f>
        <v>0</v>
      </c>
      <c r="J725" s="24"/>
    </row>
    <row r="726" spans="7:10" x14ac:dyDescent="0.25">
      <c r="G726" s="24" t="str">
        <f>IF(tblEmployee[[#This Row],[Payable Flag]]="Y","Pay","No Pay")</f>
        <v>No Pay</v>
      </c>
      <c r="H72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26" s="24">
        <f>IF(tblEmployee[[#This Row],[Payable Flag]]="N",0,1)</f>
        <v>0</v>
      </c>
      <c r="J726" s="24"/>
    </row>
    <row r="727" spans="7:10" x14ac:dyDescent="0.25">
      <c r="G727" s="24" t="str">
        <f>IF(tblEmployee[[#This Row],[Payable Flag]]="Y","Pay","No Pay")</f>
        <v>No Pay</v>
      </c>
      <c r="H72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27" s="24">
        <f>IF(tblEmployee[[#This Row],[Payable Flag]]="N",0,1)</f>
        <v>0</v>
      </c>
      <c r="J727" s="24"/>
    </row>
    <row r="728" spans="7:10" x14ac:dyDescent="0.25">
      <c r="G728" s="24" t="str">
        <f>IF(tblEmployee[[#This Row],[Payable Flag]]="Y","Pay","No Pay")</f>
        <v>No Pay</v>
      </c>
      <c r="H72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28" s="24">
        <f>IF(tblEmployee[[#This Row],[Payable Flag]]="N",0,1)</f>
        <v>0</v>
      </c>
      <c r="J728" s="24"/>
    </row>
    <row r="729" spans="7:10" x14ac:dyDescent="0.25">
      <c r="G729" s="24" t="str">
        <f>IF(tblEmployee[[#This Row],[Payable Flag]]="Y","Pay","No Pay")</f>
        <v>No Pay</v>
      </c>
      <c r="H72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29" s="24">
        <f>IF(tblEmployee[[#This Row],[Payable Flag]]="N",0,1)</f>
        <v>0</v>
      </c>
      <c r="J729" s="24"/>
    </row>
    <row r="730" spans="7:10" x14ac:dyDescent="0.25">
      <c r="G730" s="24" t="str">
        <f>IF(tblEmployee[[#This Row],[Payable Flag]]="Y","Pay","No Pay")</f>
        <v>No Pay</v>
      </c>
      <c r="H73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30" s="24">
        <f>IF(tblEmployee[[#This Row],[Payable Flag]]="N",0,1)</f>
        <v>0</v>
      </c>
      <c r="J730" s="24"/>
    </row>
    <row r="731" spans="7:10" x14ac:dyDescent="0.25">
      <c r="G731" s="24" t="str">
        <f>IF(tblEmployee[[#This Row],[Payable Flag]]="Y","Pay","No Pay")</f>
        <v>No Pay</v>
      </c>
      <c r="H73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31" s="24">
        <f>IF(tblEmployee[[#This Row],[Payable Flag]]="N",0,1)</f>
        <v>0</v>
      </c>
      <c r="J731" s="24"/>
    </row>
    <row r="732" spans="7:10" x14ac:dyDescent="0.25">
      <c r="G732" s="24" t="str">
        <f>IF(tblEmployee[[#This Row],[Payable Flag]]="Y","Pay","No Pay")</f>
        <v>No Pay</v>
      </c>
      <c r="H73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32" s="24">
        <f>IF(tblEmployee[[#This Row],[Payable Flag]]="N",0,1)</f>
        <v>0</v>
      </c>
      <c r="J732" s="24"/>
    </row>
    <row r="733" spans="7:10" x14ac:dyDescent="0.25">
      <c r="G733" s="24" t="str">
        <f>IF(tblEmployee[[#This Row],[Payable Flag]]="Y","Pay","No Pay")</f>
        <v>No Pay</v>
      </c>
      <c r="H73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33" s="24">
        <f>IF(tblEmployee[[#This Row],[Payable Flag]]="N",0,1)</f>
        <v>0</v>
      </c>
      <c r="J733" s="24"/>
    </row>
    <row r="734" spans="7:10" x14ac:dyDescent="0.25">
      <c r="G734" s="24" t="str">
        <f>IF(tblEmployee[[#This Row],[Payable Flag]]="Y","Pay","No Pay")</f>
        <v>No Pay</v>
      </c>
      <c r="H73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34" s="24">
        <f>IF(tblEmployee[[#This Row],[Payable Flag]]="N",0,1)</f>
        <v>0</v>
      </c>
      <c r="J734" s="24"/>
    </row>
    <row r="735" spans="7:10" x14ac:dyDescent="0.25">
      <c r="G735" s="24" t="str">
        <f>IF(tblEmployee[[#This Row],[Payable Flag]]="Y","Pay","No Pay")</f>
        <v>No Pay</v>
      </c>
      <c r="H73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35" s="24">
        <f>IF(tblEmployee[[#This Row],[Payable Flag]]="N",0,1)</f>
        <v>0</v>
      </c>
      <c r="J735" s="24"/>
    </row>
    <row r="736" spans="7:10" x14ac:dyDescent="0.25">
      <c r="G736" s="24" t="str">
        <f>IF(tblEmployee[[#This Row],[Payable Flag]]="Y","Pay","No Pay")</f>
        <v>No Pay</v>
      </c>
      <c r="H73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36" s="24">
        <f>IF(tblEmployee[[#This Row],[Payable Flag]]="N",0,1)</f>
        <v>0</v>
      </c>
      <c r="J736" s="24"/>
    </row>
    <row r="737" spans="7:10" x14ac:dyDescent="0.25">
      <c r="G737" s="24" t="str">
        <f>IF(tblEmployee[[#This Row],[Payable Flag]]="Y","Pay","No Pay")</f>
        <v>No Pay</v>
      </c>
      <c r="H73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37" s="24">
        <f>IF(tblEmployee[[#This Row],[Payable Flag]]="N",0,1)</f>
        <v>0</v>
      </c>
      <c r="J737" s="24"/>
    </row>
    <row r="738" spans="7:10" x14ac:dyDescent="0.25">
      <c r="G738" s="24" t="str">
        <f>IF(tblEmployee[[#This Row],[Payable Flag]]="Y","Pay","No Pay")</f>
        <v>No Pay</v>
      </c>
      <c r="H73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38" s="24">
        <f>IF(tblEmployee[[#This Row],[Payable Flag]]="N",0,1)</f>
        <v>0</v>
      </c>
      <c r="J738" s="24"/>
    </row>
    <row r="739" spans="7:10" x14ac:dyDescent="0.25">
      <c r="G739" s="24" t="str">
        <f>IF(tblEmployee[[#This Row],[Payable Flag]]="Y","Pay","No Pay")</f>
        <v>No Pay</v>
      </c>
      <c r="H73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39" s="24">
        <f>IF(tblEmployee[[#This Row],[Payable Flag]]="N",0,1)</f>
        <v>0</v>
      </c>
      <c r="J739" s="24"/>
    </row>
    <row r="740" spans="7:10" x14ac:dyDescent="0.25">
      <c r="G740" s="24" t="str">
        <f>IF(tblEmployee[[#This Row],[Payable Flag]]="Y","Pay","No Pay")</f>
        <v>No Pay</v>
      </c>
      <c r="H74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40" s="24">
        <f>IF(tblEmployee[[#This Row],[Payable Flag]]="N",0,1)</f>
        <v>0</v>
      </c>
      <c r="J740" s="24"/>
    </row>
    <row r="741" spans="7:10" x14ac:dyDescent="0.25">
      <c r="G741" s="24" t="str">
        <f>IF(tblEmployee[[#This Row],[Payable Flag]]="Y","Pay","No Pay")</f>
        <v>No Pay</v>
      </c>
      <c r="H74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41" s="24">
        <f>IF(tblEmployee[[#This Row],[Payable Flag]]="N",0,1)</f>
        <v>0</v>
      </c>
      <c r="J741" s="24"/>
    </row>
    <row r="742" spans="7:10" x14ac:dyDescent="0.25">
      <c r="G742" s="24" t="str">
        <f>IF(tblEmployee[[#This Row],[Payable Flag]]="Y","Pay","No Pay")</f>
        <v>No Pay</v>
      </c>
      <c r="H74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42" s="24">
        <f>IF(tblEmployee[[#This Row],[Payable Flag]]="N",0,1)</f>
        <v>0</v>
      </c>
      <c r="J742" s="24"/>
    </row>
    <row r="743" spans="7:10" x14ac:dyDescent="0.25">
      <c r="G743" s="24" t="str">
        <f>IF(tblEmployee[[#This Row],[Payable Flag]]="Y","Pay","No Pay")</f>
        <v>No Pay</v>
      </c>
      <c r="H74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43" s="24">
        <f>IF(tblEmployee[[#This Row],[Payable Flag]]="N",0,1)</f>
        <v>0</v>
      </c>
      <c r="J743" s="24"/>
    </row>
    <row r="744" spans="7:10" x14ac:dyDescent="0.25">
      <c r="G744" s="24" t="str">
        <f>IF(tblEmployee[[#This Row],[Payable Flag]]="Y","Pay","No Pay")</f>
        <v>No Pay</v>
      </c>
      <c r="H74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44" s="24">
        <f>IF(tblEmployee[[#This Row],[Payable Flag]]="N",0,1)</f>
        <v>0</v>
      </c>
      <c r="J744" s="24"/>
    </row>
    <row r="745" spans="7:10" x14ac:dyDescent="0.25">
      <c r="G745" s="24" t="str">
        <f>IF(tblEmployee[[#This Row],[Payable Flag]]="Y","Pay","No Pay")</f>
        <v>No Pay</v>
      </c>
      <c r="H74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45" s="24">
        <f>IF(tblEmployee[[#This Row],[Payable Flag]]="N",0,1)</f>
        <v>0</v>
      </c>
      <c r="J745" s="24"/>
    </row>
    <row r="746" spans="7:10" x14ac:dyDescent="0.25">
      <c r="G746" s="24" t="str">
        <f>IF(tblEmployee[[#This Row],[Payable Flag]]="Y","Pay","No Pay")</f>
        <v>No Pay</v>
      </c>
      <c r="H74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46" s="24">
        <f>IF(tblEmployee[[#This Row],[Payable Flag]]="N",0,1)</f>
        <v>0</v>
      </c>
      <c r="J746" s="24"/>
    </row>
    <row r="747" spans="7:10" x14ac:dyDescent="0.25">
      <c r="G747" s="24" t="str">
        <f>IF(tblEmployee[[#This Row],[Payable Flag]]="Y","Pay","No Pay")</f>
        <v>No Pay</v>
      </c>
      <c r="H74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47" s="24">
        <f>IF(tblEmployee[[#This Row],[Payable Flag]]="N",0,1)</f>
        <v>0</v>
      </c>
      <c r="J747" s="24"/>
    </row>
    <row r="748" spans="7:10" x14ac:dyDescent="0.25">
      <c r="G748" s="24" t="str">
        <f>IF(tblEmployee[[#This Row],[Payable Flag]]="Y","Pay","No Pay")</f>
        <v>No Pay</v>
      </c>
      <c r="H74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48" s="24">
        <f>IF(tblEmployee[[#This Row],[Payable Flag]]="N",0,1)</f>
        <v>0</v>
      </c>
      <c r="J748" s="24"/>
    </row>
    <row r="749" spans="7:10" x14ac:dyDescent="0.25">
      <c r="G749" s="24" t="str">
        <f>IF(tblEmployee[[#This Row],[Payable Flag]]="Y","Pay","No Pay")</f>
        <v>No Pay</v>
      </c>
      <c r="H74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49" s="24">
        <f>IF(tblEmployee[[#This Row],[Payable Flag]]="N",0,1)</f>
        <v>0</v>
      </c>
      <c r="J749" s="24"/>
    </row>
    <row r="750" spans="7:10" x14ac:dyDescent="0.25">
      <c r="G750" s="24" t="str">
        <f>IF(tblEmployee[[#This Row],[Payable Flag]]="Y","Pay","No Pay")</f>
        <v>No Pay</v>
      </c>
      <c r="H75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50" s="24">
        <f>IF(tblEmployee[[#This Row],[Payable Flag]]="N",0,1)</f>
        <v>0</v>
      </c>
      <c r="J750" s="24"/>
    </row>
    <row r="751" spans="7:10" x14ac:dyDescent="0.25">
      <c r="G751" s="24" t="str">
        <f>IF(tblEmployee[[#This Row],[Payable Flag]]="Y","Pay","No Pay")</f>
        <v>No Pay</v>
      </c>
      <c r="H75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51" s="24">
        <f>IF(tblEmployee[[#This Row],[Payable Flag]]="N",0,1)</f>
        <v>0</v>
      </c>
      <c r="J751" s="24"/>
    </row>
    <row r="752" spans="7:10" x14ac:dyDescent="0.25">
      <c r="G752" s="24" t="str">
        <f>IF(tblEmployee[[#This Row],[Payable Flag]]="Y","Pay","No Pay")</f>
        <v>No Pay</v>
      </c>
      <c r="H75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52" s="24">
        <f>IF(tblEmployee[[#This Row],[Payable Flag]]="N",0,1)</f>
        <v>0</v>
      </c>
      <c r="J752" s="24"/>
    </row>
    <row r="753" spans="7:10" x14ac:dyDescent="0.25">
      <c r="G753" s="24" t="str">
        <f>IF(tblEmployee[[#This Row],[Payable Flag]]="Y","Pay","No Pay")</f>
        <v>No Pay</v>
      </c>
      <c r="H75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53" s="24">
        <f>IF(tblEmployee[[#This Row],[Payable Flag]]="N",0,1)</f>
        <v>0</v>
      </c>
      <c r="J753" s="24"/>
    </row>
    <row r="754" spans="7:10" x14ac:dyDescent="0.25">
      <c r="G754" s="24" t="str">
        <f>IF(tblEmployee[[#This Row],[Payable Flag]]="Y","Pay","No Pay")</f>
        <v>No Pay</v>
      </c>
      <c r="H75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54" s="24">
        <f>IF(tblEmployee[[#This Row],[Payable Flag]]="N",0,1)</f>
        <v>0</v>
      </c>
      <c r="J754" s="24"/>
    </row>
    <row r="755" spans="7:10" x14ac:dyDescent="0.25">
      <c r="G755" s="24" t="str">
        <f>IF(tblEmployee[[#This Row],[Payable Flag]]="Y","Pay","No Pay")</f>
        <v>No Pay</v>
      </c>
      <c r="H75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55" s="24">
        <f>IF(tblEmployee[[#This Row],[Payable Flag]]="N",0,1)</f>
        <v>0</v>
      </c>
      <c r="J755" s="24"/>
    </row>
    <row r="756" spans="7:10" x14ac:dyDescent="0.25">
      <c r="G756" s="24" t="str">
        <f>IF(tblEmployee[[#This Row],[Payable Flag]]="Y","Pay","No Pay")</f>
        <v>No Pay</v>
      </c>
      <c r="H75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56" s="24">
        <f>IF(tblEmployee[[#This Row],[Payable Flag]]="N",0,1)</f>
        <v>0</v>
      </c>
      <c r="J756" s="24"/>
    </row>
    <row r="757" spans="7:10" x14ac:dyDescent="0.25">
      <c r="G757" s="24" t="str">
        <f>IF(tblEmployee[[#This Row],[Payable Flag]]="Y","Pay","No Pay")</f>
        <v>No Pay</v>
      </c>
      <c r="H75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57" s="24">
        <f>IF(tblEmployee[[#This Row],[Payable Flag]]="N",0,1)</f>
        <v>0</v>
      </c>
      <c r="J757" s="24"/>
    </row>
    <row r="758" spans="7:10" x14ac:dyDescent="0.25">
      <c r="G758" s="24" t="str">
        <f>IF(tblEmployee[[#This Row],[Payable Flag]]="Y","Pay","No Pay")</f>
        <v>No Pay</v>
      </c>
      <c r="H75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58" s="24">
        <f>IF(tblEmployee[[#This Row],[Payable Flag]]="N",0,1)</f>
        <v>0</v>
      </c>
      <c r="J758" s="24"/>
    </row>
    <row r="759" spans="7:10" x14ac:dyDescent="0.25">
      <c r="G759" s="24" t="str">
        <f>IF(tblEmployee[[#This Row],[Payable Flag]]="Y","Pay","No Pay")</f>
        <v>No Pay</v>
      </c>
      <c r="H75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59" s="24">
        <f>IF(tblEmployee[[#This Row],[Payable Flag]]="N",0,1)</f>
        <v>0</v>
      </c>
      <c r="J759" s="24"/>
    </row>
    <row r="760" spans="7:10" x14ac:dyDescent="0.25">
      <c r="G760" s="24" t="str">
        <f>IF(tblEmployee[[#This Row],[Payable Flag]]="Y","Pay","No Pay")</f>
        <v>No Pay</v>
      </c>
      <c r="H76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60" s="24">
        <f>IF(tblEmployee[[#This Row],[Payable Flag]]="N",0,1)</f>
        <v>0</v>
      </c>
      <c r="J760" s="24"/>
    </row>
    <row r="761" spans="7:10" x14ac:dyDescent="0.25">
      <c r="G761" s="24" t="str">
        <f>IF(tblEmployee[[#This Row],[Payable Flag]]="Y","Pay","No Pay")</f>
        <v>No Pay</v>
      </c>
      <c r="H76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61" s="24">
        <f>IF(tblEmployee[[#This Row],[Payable Flag]]="N",0,1)</f>
        <v>0</v>
      </c>
      <c r="J761" s="24"/>
    </row>
    <row r="762" spans="7:10" x14ac:dyDescent="0.25">
      <c r="G762" s="24" t="str">
        <f>IF(tblEmployee[[#This Row],[Payable Flag]]="Y","Pay","No Pay")</f>
        <v>No Pay</v>
      </c>
      <c r="H76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62" s="24">
        <f>IF(tblEmployee[[#This Row],[Payable Flag]]="N",0,1)</f>
        <v>0</v>
      </c>
      <c r="J762" s="24"/>
    </row>
    <row r="763" spans="7:10" x14ac:dyDescent="0.25">
      <c r="G763" s="24" t="str">
        <f>IF(tblEmployee[[#This Row],[Payable Flag]]="Y","Pay","No Pay")</f>
        <v>No Pay</v>
      </c>
      <c r="H76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63" s="24">
        <f>IF(tblEmployee[[#This Row],[Payable Flag]]="N",0,1)</f>
        <v>0</v>
      </c>
      <c r="J763" s="24"/>
    </row>
    <row r="764" spans="7:10" x14ac:dyDescent="0.25">
      <c r="G764" s="24" t="str">
        <f>IF(tblEmployee[[#This Row],[Payable Flag]]="Y","Pay","No Pay")</f>
        <v>No Pay</v>
      </c>
      <c r="H76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64" s="24">
        <f>IF(tblEmployee[[#This Row],[Payable Flag]]="N",0,1)</f>
        <v>0</v>
      </c>
      <c r="J764" s="24"/>
    </row>
    <row r="765" spans="7:10" x14ac:dyDescent="0.25">
      <c r="G765" s="24" t="str">
        <f>IF(tblEmployee[[#This Row],[Payable Flag]]="Y","Pay","No Pay")</f>
        <v>No Pay</v>
      </c>
      <c r="H76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65" s="24">
        <f>IF(tblEmployee[[#This Row],[Payable Flag]]="N",0,1)</f>
        <v>0</v>
      </c>
      <c r="J765" s="24"/>
    </row>
    <row r="766" spans="7:10" x14ac:dyDescent="0.25">
      <c r="G766" s="24" t="str">
        <f>IF(tblEmployee[[#This Row],[Payable Flag]]="Y","Pay","No Pay")</f>
        <v>No Pay</v>
      </c>
      <c r="H76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66" s="24">
        <f>IF(tblEmployee[[#This Row],[Payable Flag]]="N",0,1)</f>
        <v>0</v>
      </c>
      <c r="J766" s="24"/>
    </row>
    <row r="767" spans="7:10" x14ac:dyDescent="0.25">
      <c r="G767" s="24" t="str">
        <f>IF(tblEmployee[[#This Row],[Payable Flag]]="Y","Pay","No Pay")</f>
        <v>No Pay</v>
      </c>
      <c r="H76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67" s="24">
        <f>IF(tblEmployee[[#This Row],[Payable Flag]]="N",0,1)</f>
        <v>0</v>
      </c>
      <c r="J767" s="24"/>
    </row>
    <row r="768" spans="7:10" x14ac:dyDescent="0.25">
      <c r="G768" s="24" t="str">
        <f>IF(tblEmployee[[#This Row],[Payable Flag]]="Y","Pay","No Pay")</f>
        <v>No Pay</v>
      </c>
      <c r="H76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68" s="24">
        <f>IF(tblEmployee[[#This Row],[Payable Flag]]="N",0,1)</f>
        <v>0</v>
      </c>
      <c r="J768" s="24"/>
    </row>
    <row r="769" spans="7:10" x14ac:dyDescent="0.25">
      <c r="G769" s="24" t="str">
        <f>IF(tblEmployee[[#This Row],[Payable Flag]]="Y","Pay","No Pay")</f>
        <v>No Pay</v>
      </c>
      <c r="H76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69" s="24">
        <f>IF(tblEmployee[[#This Row],[Payable Flag]]="N",0,1)</f>
        <v>0</v>
      </c>
      <c r="J769" s="24"/>
    </row>
    <row r="770" spans="7:10" x14ac:dyDescent="0.25">
      <c r="G770" s="24" t="str">
        <f>IF(tblEmployee[[#This Row],[Payable Flag]]="Y","Pay","No Pay")</f>
        <v>No Pay</v>
      </c>
      <c r="H77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70" s="24">
        <f>IF(tblEmployee[[#This Row],[Payable Flag]]="N",0,1)</f>
        <v>0</v>
      </c>
      <c r="J770" s="24"/>
    </row>
    <row r="771" spans="7:10" x14ac:dyDescent="0.25">
      <c r="G771" s="24" t="str">
        <f>IF(tblEmployee[[#This Row],[Payable Flag]]="Y","Pay","No Pay")</f>
        <v>No Pay</v>
      </c>
      <c r="H77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71" s="24">
        <f>IF(tblEmployee[[#This Row],[Payable Flag]]="N",0,1)</f>
        <v>0</v>
      </c>
      <c r="J771" s="24"/>
    </row>
    <row r="772" spans="7:10" x14ac:dyDescent="0.25">
      <c r="G772" s="24" t="str">
        <f>IF(tblEmployee[[#This Row],[Payable Flag]]="Y","Pay","No Pay")</f>
        <v>No Pay</v>
      </c>
      <c r="H77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72" s="24">
        <f>IF(tblEmployee[[#This Row],[Payable Flag]]="N",0,1)</f>
        <v>0</v>
      </c>
      <c r="J772" s="24"/>
    </row>
    <row r="773" spans="7:10" x14ac:dyDescent="0.25">
      <c r="G773" s="24" t="str">
        <f>IF(tblEmployee[[#This Row],[Payable Flag]]="Y","Pay","No Pay")</f>
        <v>No Pay</v>
      </c>
      <c r="H77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73" s="24">
        <f>IF(tblEmployee[[#This Row],[Payable Flag]]="N",0,1)</f>
        <v>0</v>
      </c>
      <c r="J773" s="24"/>
    </row>
    <row r="774" spans="7:10" x14ac:dyDescent="0.25">
      <c r="G774" s="24" t="str">
        <f>IF(tblEmployee[[#This Row],[Payable Flag]]="Y","Pay","No Pay")</f>
        <v>No Pay</v>
      </c>
      <c r="H77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74" s="24">
        <f>IF(tblEmployee[[#This Row],[Payable Flag]]="N",0,1)</f>
        <v>0</v>
      </c>
      <c r="J774" s="24"/>
    </row>
    <row r="775" spans="7:10" x14ac:dyDescent="0.25">
      <c r="G775" s="24" t="str">
        <f>IF(tblEmployee[[#This Row],[Payable Flag]]="Y","Pay","No Pay")</f>
        <v>No Pay</v>
      </c>
      <c r="H77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75" s="24">
        <f>IF(tblEmployee[[#This Row],[Payable Flag]]="N",0,1)</f>
        <v>0</v>
      </c>
      <c r="J775" s="24"/>
    </row>
    <row r="776" spans="7:10" x14ac:dyDescent="0.25">
      <c r="G776" s="24" t="str">
        <f>IF(tblEmployee[[#This Row],[Payable Flag]]="Y","Pay","No Pay")</f>
        <v>No Pay</v>
      </c>
      <c r="H77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76" s="24">
        <f>IF(tblEmployee[[#This Row],[Payable Flag]]="N",0,1)</f>
        <v>0</v>
      </c>
      <c r="J776" s="24"/>
    </row>
    <row r="777" spans="7:10" x14ac:dyDescent="0.25">
      <c r="G777" s="24" t="str">
        <f>IF(tblEmployee[[#This Row],[Payable Flag]]="Y","Pay","No Pay")</f>
        <v>No Pay</v>
      </c>
      <c r="H77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77" s="24">
        <f>IF(tblEmployee[[#This Row],[Payable Flag]]="N",0,1)</f>
        <v>0</v>
      </c>
      <c r="J777" s="24"/>
    </row>
    <row r="778" spans="7:10" x14ac:dyDescent="0.25">
      <c r="G778" s="24" t="str">
        <f>IF(tblEmployee[[#This Row],[Payable Flag]]="Y","Pay","No Pay")</f>
        <v>No Pay</v>
      </c>
      <c r="H77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78" s="24">
        <f>IF(tblEmployee[[#This Row],[Payable Flag]]="N",0,1)</f>
        <v>0</v>
      </c>
      <c r="J778" s="24"/>
    </row>
    <row r="779" spans="7:10" x14ac:dyDescent="0.25">
      <c r="G779" s="24" t="str">
        <f>IF(tblEmployee[[#This Row],[Payable Flag]]="Y","Pay","No Pay")</f>
        <v>No Pay</v>
      </c>
      <c r="H77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79" s="24">
        <f>IF(tblEmployee[[#This Row],[Payable Flag]]="N",0,1)</f>
        <v>0</v>
      </c>
      <c r="J779" s="24"/>
    </row>
    <row r="780" spans="7:10" x14ac:dyDescent="0.25">
      <c r="G780" s="24" t="str">
        <f>IF(tblEmployee[[#This Row],[Payable Flag]]="Y","Pay","No Pay")</f>
        <v>No Pay</v>
      </c>
      <c r="H78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80" s="24">
        <f>IF(tblEmployee[[#This Row],[Payable Flag]]="N",0,1)</f>
        <v>0</v>
      </c>
      <c r="J780" s="24"/>
    </row>
    <row r="781" spans="7:10" x14ac:dyDescent="0.25">
      <c r="G781" s="24" t="str">
        <f>IF(tblEmployee[[#This Row],[Payable Flag]]="Y","Pay","No Pay")</f>
        <v>No Pay</v>
      </c>
      <c r="H78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81" s="24">
        <f>IF(tblEmployee[[#This Row],[Payable Flag]]="N",0,1)</f>
        <v>0</v>
      </c>
      <c r="J781" s="24"/>
    </row>
    <row r="782" spans="7:10" x14ac:dyDescent="0.25">
      <c r="G782" s="24" t="str">
        <f>IF(tblEmployee[[#This Row],[Payable Flag]]="Y","Pay","No Pay")</f>
        <v>No Pay</v>
      </c>
      <c r="H78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82" s="24">
        <f>IF(tblEmployee[[#This Row],[Payable Flag]]="N",0,1)</f>
        <v>0</v>
      </c>
      <c r="J782" s="24"/>
    </row>
    <row r="783" spans="7:10" x14ac:dyDescent="0.25">
      <c r="G783" s="24" t="str">
        <f>IF(tblEmployee[[#This Row],[Payable Flag]]="Y","Pay","No Pay")</f>
        <v>No Pay</v>
      </c>
      <c r="H78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83" s="24">
        <f>IF(tblEmployee[[#This Row],[Payable Flag]]="N",0,1)</f>
        <v>0</v>
      </c>
      <c r="J783" s="24"/>
    </row>
    <row r="784" spans="7:10" x14ac:dyDescent="0.25">
      <c r="G784" s="24" t="str">
        <f>IF(tblEmployee[[#This Row],[Payable Flag]]="Y","Pay","No Pay")</f>
        <v>No Pay</v>
      </c>
      <c r="H78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84" s="24">
        <f>IF(tblEmployee[[#This Row],[Payable Flag]]="N",0,1)</f>
        <v>0</v>
      </c>
      <c r="J784" s="24"/>
    </row>
    <row r="785" spans="7:10" x14ac:dyDescent="0.25">
      <c r="G785" s="24" t="str">
        <f>IF(tblEmployee[[#This Row],[Payable Flag]]="Y","Pay","No Pay")</f>
        <v>No Pay</v>
      </c>
      <c r="H78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85" s="24">
        <f>IF(tblEmployee[[#This Row],[Payable Flag]]="N",0,1)</f>
        <v>0</v>
      </c>
      <c r="J785" s="24"/>
    </row>
    <row r="786" spans="7:10" x14ac:dyDescent="0.25">
      <c r="G786" s="24" t="str">
        <f>IF(tblEmployee[[#This Row],[Payable Flag]]="Y","Pay","No Pay")</f>
        <v>No Pay</v>
      </c>
      <c r="H78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86" s="24">
        <f>IF(tblEmployee[[#This Row],[Payable Flag]]="N",0,1)</f>
        <v>0</v>
      </c>
      <c r="J786" s="24"/>
    </row>
    <row r="787" spans="7:10" x14ac:dyDescent="0.25">
      <c r="G787" s="24" t="str">
        <f>IF(tblEmployee[[#This Row],[Payable Flag]]="Y","Pay","No Pay")</f>
        <v>No Pay</v>
      </c>
      <c r="H78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87" s="24">
        <f>IF(tblEmployee[[#This Row],[Payable Flag]]="N",0,1)</f>
        <v>0</v>
      </c>
      <c r="J787" s="24"/>
    </row>
    <row r="788" spans="7:10" x14ac:dyDescent="0.25">
      <c r="G788" s="24" t="str">
        <f>IF(tblEmployee[[#This Row],[Payable Flag]]="Y","Pay","No Pay")</f>
        <v>No Pay</v>
      </c>
      <c r="H78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88" s="24">
        <f>IF(tblEmployee[[#This Row],[Payable Flag]]="N",0,1)</f>
        <v>0</v>
      </c>
      <c r="J788" s="24"/>
    </row>
    <row r="789" spans="7:10" x14ac:dyDescent="0.25">
      <c r="G789" s="24" t="str">
        <f>IF(tblEmployee[[#This Row],[Payable Flag]]="Y","Pay","No Pay")</f>
        <v>No Pay</v>
      </c>
      <c r="H78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89" s="24">
        <f>IF(tblEmployee[[#This Row],[Payable Flag]]="N",0,1)</f>
        <v>0</v>
      </c>
      <c r="J789" s="24"/>
    </row>
    <row r="790" spans="7:10" x14ac:dyDescent="0.25">
      <c r="G790" s="24" t="str">
        <f>IF(tblEmployee[[#This Row],[Payable Flag]]="Y","Pay","No Pay")</f>
        <v>No Pay</v>
      </c>
      <c r="H79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90" s="24">
        <f>IF(tblEmployee[[#This Row],[Payable Flag]]="N",0,1)</f>
        <v>0</v>
      </c>
      <c r="J790" s="24"/>
    </row>
    <row r="791" spans="7:10" x14ac:dyDescent="0.25">
      <c r="G791" s="24" t="str">
        <f>IF(tblEmployee[[#This Row],[Payable Flag]]="Y","Pay","No Pay")</f>
        <v>No Pay</v>
      </c>
      <c r="H79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91" s="24">
        <f>IF(tblEmployee[[#This Row],[Payable Flag]]="N",0,1)</f>
        <v>0</v>
      </c>
      <c r="J791" s="24"/>
    </row>
    <row r="792" spans="7:10" x14ac:dyDescent="0.25">
      <c r="G792" s="24" t="str">
        <f>IF(tblEmployee[[#This Row],[Payable Flag]]="Y","Pay","No Pay")</f>
        <v>No Pay</v>
      </c>
      <c r="H79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92" s="24">
        <f>IF(tblEmployee[[#This Row],[Payable Flag]]="N",0,1)</f>
        <v>0</v>
      </c>
      <c r="J792" s="24"/>
    </row>
    <row r="793" spans="7:10" x14ac:dyDescent="0.25">
      <c r="G793" s="24" t="str">
        <f>IF(tblEmployee[[#This Row],[Payable Flag]]="Y","Pay","No Pay")</f>
        <v>No Pay</v>
      </c>
      <c r="H79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93" s="24">
        <f>IF(tblEmployee[[#This Row],[Payable Flag]]="N",0,1)</f>
        <v>0</v>
      </c>
      <c r="J793" s="24"/>
    </row>
    <row r="794" spans="7:10" x14ac:dyDescent="0.25">
      <c r="G794" s="24" t="str">
        <f>IF(tblEmployee[[#This Row],[Payable Flag]]="Y","Pay","No Pay")</f>
        <v>No Pay</v>
      </c>
      <c r="H79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94" s="24">
        <f>IF(tblEmployee[[#This Row],[Payable Flag]]="N",0,1)</f>
        <v>0</v>
      </c>
      <c r="J794" s="24"/>
    </row>
    <row r="795" spans="7:10" x14ac:dyDescent="0.25">
      <c r="G795" s="24" t="str">
        <f>IF(tblEmployee[[#This Row],[Payable Flag]]="Y","Pay","No Pay")</f>
        <v>No Pay</v>
      </c>
      <c r="H79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95" s="24">
        <f>IF(tblEmployee[[#This Row],[Payable Flag]]="N",0,1)</f>
        <v>0</v>
      </c>
      <c r="J795" s="24"/>
    </row>
    <row r="796" spans="7:10" x14ac:dyDescent="0.25">
      <c r="G796" s="24" t="str">
        <f>IF(tblEmployee[[#This Row],[Payable Flag]]="Y","Pay","No Pay")</f>
        <v>No Pay</v>
      </c>
      <c r="H79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96" s="24">
        <f>IF(tblEmployee[[#This Row],[Payable Flag]]="N",0,1)</f>
        <v>0</v>
      </c>
      <c r="J796" s="24"/>
    </row>
    <row r="797" spans="7:10" x14ac:dyDescent="0.25">
      <c r="G797" s="24" t="str">
        <f>IF(tblEmployee[[#This Row],[Payable Flag]]="Y","Pay","No Pay")</f>
        <v>No Pay</v>
      </c>
      <c r="H79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97" s="24">
        <f>IF(tblEmployee[[#This Row],[Payable Flag]]="N",0,1)</f>
        <v>0</v>
      </c>
      <c r="J797" s="24"/>
    </row>
    <row r="798" spans="7:10" x14ac:dyDescent="0.25">
      <c r="G798" s="24" t="str">
        <f>IF(tblEmployee[[#This Row],[Payable Flag]]="Y","Pay","No Pay")</f>
        <v>No Pay</v>
      </c>
      <c r="H79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98" s="24">
        <f>IF(tblEmployee[[#This Row],[Payable Flag]]="N",0,1)</f>
        <v>0</v>
      </c>
      <c r="J798" s="24"/>
    </row>
    <row r="799" spans="7:10" x14ac:dyDescent="0.25">
      <c r="G799" s="24" t="str">
        <f>IF(tblEmployee[[#This Row],[Payable Flag]]="Y","Pay","No Pay")</f>
        <v>No Pay</v>
      </c>
      <c r="H79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799" s="24">
        <f>IF(tblEmployee[[#This Row],[Payable Flag]]="N",0,1)</f>
        <v>0</v>
      </c>
      <c r="J799" s="24"/>
    </row>
    <row r="800" spans="7:10" x14ac:dyDescent="0.25">
      <c r="G800" s="24" t="str">
        <f>IF(tblEmployee[[#This Row],[Payable Flag]]="Y","Pay","No Pay")</f>
        <v>No Pay</v>
      </c>
      <c r="H80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00" s="24">
        <f>IF(tblEmployee[[#This Row],[Payable Flag]]="N",0,1)</f>
        <v>0</v>
      </c>
      <c r="J800" s="24"/>
    </row>
    <row r="801" spans="7:10" x14ac:dyDescent="0.25">
      <c r="G801" s="24" t="str">
        <f>IF(tblEmployee[[#This Row],[Payable Flag]]="Y","Pay","No Pay")</f>
        <v>No Pay</v>
      </c>
      <c r="H80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01" s="24">
        <f>IF(tblEmployee[[#This Row],[Payable Flag]]="N",0,1)</f>
        <v>0</v>
      </c>
      <c r="J801" s="24"/>
    </row>
    <row r="802" spans="7:10" x14ac:dyDescent="0.25">
      <c r="G802" s="24" t="str">
        <f>IF(tblEmployee[[#This Row],[Payable Flag]]="Y","Pay","No Pay")</f>
        <v>No Pay</v>
      </c>
      <c r="H80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02" s="24">
        <f>IF(tblEmployee[[#This Row],[Payable Flag]]="N",0,1)</f>
        <v>0</v>
      </c>
      <c r="J802" s="24"/>
    </row>
    <row r="803" spans="7:10" x14ac:dyDescent="0.25">
      <c r="G803" s="24" t="str">
        <f>IF(tblEmployee[[#This Row],[Payable Flag]]="Y","Pay","No Pay")</f>
        <v>No Pay</v>
      </c>
      <c r="H80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03" s="24">
        <f>IF(tblEmployee[[#This Row],[Payable Flag]]="N",0,1)</f>
        <v>0</v>
      </c>
      <c r="J803" s="24"/>
    </row>
    <row r="804" spans="7:10" x14ac:dyDescent="0.25">
      <c r="G804" s="24" t="str">
        <f>IF(tblEmployee[[#This Row],[Payable Flag]]="Y","Pay","No Pay")</f>
        <v>No Pay</v>
      </c>
      <c r="H80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04" s="24">
        <f>IF(tblEmployee[[#This Row],[Payable Flag]]="N",0,1)</f>
        <v>0</v>
      </c>
      <c r="J804" s="24"/>
    </row>
    <row r="805" spans="7:10" x14ac:dyDescent="0.25">
      <c r="G805" s="24" t="str">
        <f>IF(tblEmployee[[#This Row],[Payable Flag]]="Y","Pay","No Pay")</f>
        <v>No Pay</v>
      </c>
      <c r="H80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05" s="24">
        <f>IF(tblEmployee[[#This Row],[Payable Flag]]="N",0,1)</f>
        <v>0</v>
      </c>
      <c r="J805" s="24"/>
    </row>
    <row r="806" spans="7:10" x14ac:dyDescent="0.25">
      <c r="G806" s="24" t="str">
        <f>IF(tblEmployee[[#This Row],[Payable Flag]]="Y","Pay","No Pay")</f>
        <v>No Pay</v>
      </c>
      <c r="H80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06" s="24">
        <f>IF(tblEmployee[[#This Row],[Payable Flag]]="N",0,1)</f>
        <v>0</v>
      </c>
      <c r="J806" s="24"/>
    </row>
    <row r="807" spans="7:10" x14ac:dyDescent="0.25">
      <c r="G807" s="24" t="str">
        <f>IF(tblEmployee[[#This Row],[Payable Flag]]="Y","Pay","No Pay")</f>
        <v>No Pay</v>
      </c>
      <c r="H80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07" s="24">
        <f>IF(tblEmployee[[#This Row],[Payable Flag]]="N",0,1)</f>
        <v>0</v>
      </c>
      <c r="J807" s="24"/>
    </row>
    <row r="808" spans="7:10" x14ac:dyDescent="0.25">
      <c r="G808" s="24" t="str">
        <f>IF(tblEmployee[[#This Row],[Payable Flag]]="Y","Pay","No Pay")</f>
        <v>No Pay</v>
      </c>
      <c r="H80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08" s="24">
        <f>IF(tblEmployee[[#This Row],[Payable Flag]]="N",0,1)</f>
        <v>0</v>
      </c>
      <c r="J808" s="24"/>
    </row>
    <row r="809" spans="7:10" x14ac:dyDescent="0.25">
      <c r="G809" s="24" t="str">
        <f>IF(tblEmployee[[#This Row],[Payable Flag]]="Y","Pay","No Pay")</f>
        <v>No Pay</v>
      </c>
      <c r="H80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09" s="24">
        <f>IF(tblEmployee[[#This Row],[Payable Flag]]="N",0,1)</f>
        <v>0</v>
      </c>
      <c r="J809" s="24"/>
    </row>
    <row r="810" spans="7:10" x14ac:dyDescent="0.25">
      <c r="G810" s="24" t="str">
        <f>IF(tblEmployee[[#This Row],[Payable Flag]]="Y","Pay","No Pay")</f>
        <v>No Pay</v>
      </c>
      <c r="H81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10" s="24">
        <f>IF(tblEmployee[[#This Row],[Payable Flag]]="N",0,1)</f>
        <v>0</v>
      </c>
      <c r="J810" s="24"/>
    </row>
    <row r="811" spans="7:10" x14ac:dyDescent="0.25">
      <c r="G811" s="24" t="str">
        <f>IF(tblEmployee[[#This Row],[Payable Flag]]="Y","Pay","No Pay")</f>
        <v>No Pay</v>
      </c>
      <c r="H81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11" s="24">
        <f>IF(tblEmployee[[#This Row],[Payable Flag]]="N",0,1)</f>
        <v>0</v>
      </c>
      <c r="J811" s="24"/>
    </row>
    <row r="812" spans="7:10" x14ac:dyDescent="0.25">
      <c r="G812" s="24" t="str">
        <f>IF(tblEmployee[[#This Row],[Payable Flag]]="Y","Pay","No Pay")</f>
        <v>No Pay</v>
      </c>
      <c r="H81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12" s="24">
        <f>IF(tblEmployee[[#This Row],[Payable Flag]]="N",0,1)</f>
        <v>0</v>
      </c>
      <c r="J812" s="24"/>
    </row>
    <row r="813" spans="7:10" x14ac:dyDescent="0.25">
      <c r="G813" s="24" t="str">
        <f>IF(tblEmployee[[#This Row],[Payable Flag]]="Y","Pay","No Pay")</f>
        <v>No Pay</v>
      </c>
      <c r="H81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13" s="24">
        <f>IF(tblEmployee[[#This Row],[Payable Flag]]="N",0,1)</f>
        <v>0</v>
      </c>
      <c r="J813" s="24"/>
    </row>
    <row r="814" spans="7:10" x14ac:dyDescent="0.25">
      <c r="G814" s="24" t="str">
        <f>IF(tblEmployee[[#This Row],[Payable Flag]]="Y","Pay","No Pay")</f>
        <v>No Pay</v>
      </c>
      <c r="H81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14" s="24">
        <f>IF(tblEmployee[[#This Row],[Payable Flag]]="N",0,1)</f>
        <v>0</v>
      </c>
      <c r="J814" s="24"/>
    </row>
    <row r="815" spans="7:10" x14ac:dyDescent="0.25">
      <c r="G815" s="24" t="str">
        <f>IF(tblEmployee[[#This Row],[Payable Flag]]="Y","Pay","No Pay")</f>
        <v>No Pay</v>
      </c>
      <c r="H81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15" s="24">
        <f>IF(tblEmployee[[#This Row],[Payable Flag]]="N",0,1)</f>
        <v>0</v>
      </c>
      <c r="J815" s="24"/>
    </row>
    <row r="816" spans="7:10" x14ac:dyDescent="0.25">
      <c r="G816" s="24" t="str">
        <f>IF(tblEmployee[[#This Row],[Payable Flag]]="Y","Pay","No Pay")</f>
        <v>No Pay</v>
      </c>
      <c r="H81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16" s="24">
        <f>IF(tblEmployee[[#This Row],[Payable Flag]]="N",0,1)</f>
        <v>0</v>
      </c>
      <c r="J816" s="24"/>
    </row>
    <row r="817" spans="7:10" x14ac:dyDescent="0.25">
      <c r="G817" s="24" t="str">
        <f>IF(tblEmployee[[#This Row],[Payable Flag]]="Y","Pay","No Pay")</f>
        <v>No Pay</v>
      </c>
      <c r="H81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17" s="24">
        <f>IF(tblEmployee[[#This Row],[Payable Flag]]="N",0,1)</f>
        <v>0</v>
      </c>
      <c r="J817" s="24"/>
    </row>
    <row r="818" spans="7:10" x14ac:dyDescent="0.25">
      <c r="G818" s="24" t="str">
        <f>IF(tblEmployee[[#This Row],[Payable Flag]]="Y","Pay","No Pay")</f>
        <v>No Pay</v>
      </c>
      <c r="H81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18" s="24">
        <f>IF(tblEmployee[[#This Row],[Payable Flag]]="N",0,1)</f>
        <v>0</v>
      </c>
      <c r="J818" s="24"/>
    </row>
    <row r="819" spans="7:10" x14ac:dyDescent="0.25">
      <c r="G819" s="24" t="str">
        <f>IF(tblEmployee[[#This Row],[Payable Flag]]="Y","Pay","No Pay")</f>
        <v>No Pay</v>
      </c>
      <c r="H81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19" s="24">
        <f>IF(tblEmployee[[#This Row],[Payable Flag]]="N",0,1)</f>
        <v>0</v>
      </c>
      <c r="J819" s="24"/>
    </row>
    <row r="820" spans="7:10" x14ac:dyDescent="0.25">
      <c r="G820" s="24" t="str">
        <f>IF(tblEmployee[[#This Row],[Payable Flag]]="Y","Pay","No Pay")</f>
        <v>No Pay</v>
      </c>
      <c r="H82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20" s="24">
        <f>IF(tblEmployee[[#This Row],[Payable Flag]]="N",0,1)</f>
        <v>0</v>
      </c>
      <c r="J820" s="24"/>
    </row>
    <row r="821" spans="7:10" x14ac:dyDescent="0.25">
      <c r="G821" s="24" t="str">
        <f>IF(tblEmployee[[#This Row],[Payable Flag]]="Y","Pay","No Pay")</f>
        <v>No Pay</v>
      </c>
      <c r="H82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21" s="24">
        <f>IF(tblEmployee[[#This Row],[Payable Flag]]="N",0,1)</f>
        <v>0</v>
      </c>
      <c r="J821" s="24"/>
    </row>
    <row r="822" spans="7:10" x14ac:dyDescent="0.25">
      <c r="G822" s="24" t="str">
        <f>IF(tblEmployee[[#This Row],[Payable Flag]]="Y","Pay","No Pay")</f>
        <v>No Pay</v>
      </c>
      <c r="H82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22" s="24">
        <f>IF(tblEmployee[[#This Row],[Payable Flag]]="N",0,1)</f>
        <v>0</v>
      </c>
      <c r="J822" s="24"/>
    </row>
    <row r="823" spans="7:10" x14ac:dyDescent="0.25">
      <c r="G823" s="24" t="str">
        <f>IF(tblEmployee[[#This Row],[Payable Flag]]="Y","Pay","No Pay")</f>
        <v>No Pay</v>
      </c>
      <c r="H82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23" s="24">
        <f>IF(tblEmployee[[#This Row],[Payable Flag]]="N",0,1)</f>
        <v>0</v>
      </c>
      <c r="J823" s="24"/>
    </row>
    <row r="824" spans="7:10" x14ac:dyDescent="0.25">
      <c r="G824" s="24" t="str">
        <f>IF(tblEmployee[[#This Row],[Payable Flag]]="Y","Pay","No Pay")</f>
        <v>No Pay</v>
      </c>
      <c r="H82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24" s="24">
        <f>IF(tblEmployee[[#This Row],[Payable Flag]]="N",0,1)</f>
        <v>0</v>
      </c>
      <c r="J824" s="24"/>
    </row>
    <row r="825" spans="7:10" x14ac:dyDescent="0.25">
      <c r="G825" s="24" t="str">
        <f>IF(tblEmployee[[#This Row],[Payable Flag]]="Y","Pay","No Pay")</f>
        <v>No Pay</v>
      </c>
      <c r="H82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25" s="24">
        <f>IF(tblEmployee[[#This Row],[Payable Flag]]="N",0,1)</f>
        <v>0</v>
      </c>
      <c r="J825" s="24"/>
    </row>
    <row r="826" spans="7:10" x14ac:dyDescent="0.25">
      <c r="G826" s="24" t="str">
        <f>IF(tblEmployee[[#This Row],[Payable Flag]]="Y","Pay","No Pay")</f>
        <v>No Pay</v>
      </c>
      <c r="H82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26" s="24">
        <f>IF(tblEmployee[[#This Row],[Payable Flag]]="N",0,1)</f>
        <v>0</v>
      </c>
      <c r="J826" s="24"/>
    </row>
    <row r="827" spans="7:10" x14ac:dyDescent="0.25">
      <c r="G827" s="24" t="str">
        <f>IF(tblEmployee[[#This Row],[Payable Flag]]="Y","Pay","No Pay")</f>
        <v>No Pay</v>
      </c>
      <c r="H82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27" s="24">
        <f>IF(tblEmployee[[#This Row],[Payable Flag]]="N",0,1)</f>
        <v>0</v>
      </c>
      <c r="J827" s="24"/>
    </row>
    <row r="828" spans="7:10" x14ac:dyDescent="0.25">
      <c r="G828" s="24" t="str">
        <f>IF(tblEmployee[[#This Row],[Payable Flag]]="Y","Pay","No Pay")</f>
        <v>No Pay</v>
      </c>
      <c r="H82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28" s="24">
        <f>IF(tblEmployee[[#This Row],[Payable Flag]]="N",0,1)</f>
        <v>0</v>
      </c>
      <c r="J828" s="24"/>
    </row>
    <row r="829" spans="7:10" x14ac:dyDescent="0.25">
      <c r="G829" s="24" t="str">
        <f>IF(tblEmployee[[#This Row],[Payable Flag]]="Y","Pay","No Pay")</f>
        <v>No Pay</v>
      </c>
      <c r="H82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29" s="24">
        <f>IF(tblEmployee[[#This Row],[Payable Flag]]="N",0,1)</f>
        <v>0</v>
      </c>
      <c r="J829" s="24"/>
    </row>
    <row r="830" spans="7:10" x14ac:dyDescent="0.25">
      <c r="G830" s="24" t="str">
        <f>IF(tblEmployee[[#This Row],[Payable Flag]]="Y","Pay","No Pay")</f>
        <v>No Pay</v>
      </c>
      <c r="H83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30" s="24">
        <f>IF(tblEmployee[[#This Row],[Payable Flag]]="N",0,1)</f>
        <v>0</v>
      </c>
      <c r="J830" s="24"/>
    </row>
    <row r="831" spans="7:10" x14ac:dyDescent="0.25">
      <c r="G831" s="24" t="str">
        <f>IF(tblEmployee[[#This Row],[Payable Flag]]="Y","Pay","No Pay")</f>
        <v>No Pay</v>
      </c>
      <c r="H83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31" s="24">
        <f>IF(tblEmployee[[#This Row],[Payable Flag]]="N",0,1)</f>
        <v>0</v>
      </c>
      <c r="J831" s="24"/>
    </row>
    <row r="832" spans="7:10" x14ac:dyDescent="0.25">
      <c r="G832" s="24" t="str">
        <f>IF(tblEmployee[[#This Row],[Payable Flag]]="Y","Pay","No Pay")</f>
        <v>No Pay</v>
      </c>
      <c r="H83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32" s="24">
        <f>IF(tblEmployee[[#This Row],[Payable Flag]]="N",0,1)</f>
        <v>0</v>
      </c>
      <c r="J832" s="24"/>
    </row>
    <row r="833" spans="7:10" x14ac:dyDescent="0.25">
      <c r="G833" s="24" t="str">
        <f>IF(tblEmployee[[#This Row],[Payable Flag]]="Y","Pay","No Pay")</f>
        <v>No Pay</v>
      </c>
      <c r="H83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33" s="24">
        <f>IF(tblEmployee[[#This Row],[Payable Flag]]="N",0,1)</f>
        <v>0</v>
      </c>
      <c r="J833" s="24"/>
    </row>
    <row r="834" spans="7:10" x14ac:dyDescent="0.25">
      <c r="G834" s="24" t="str">
        <f>IF(tblEmployee[[#This Row],[Payable Flag]]="Y","Pay","No Pay")</f>
        <v>No Pay</v>
      </c>
      <c r="H83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34" s="24">
        <f>IF(tblEmployee[[#This Row],[Payable Flag]]="N",0,1)</f>
        <v>0</v>
      </c>
      <c r="J834" s="24"/>
    </row>
    <row r="835" spans="7:10" x14ac:dyDescent="0.25">
      <c r="G835" s="24" t="str">
        <f>IF(tblEmployee[[#This Row],[Payable Flag]]="Y","Pay","No Pay")</f>
        <v>No Pay</v>
      </c>
      <c r="H83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35" s="24">
        <f>IF(tblEmployee[[#This Row],[Payable Flag]]="N",0,1)</f>
        <v>0</v>
      </c>
      <c r="J835" s="24"/>
    </row>
    <row r="836" spans="7:10" x14ac:dyDescent="0.25">
      <c r="G836" s="24" t="str">
        <f>IF(tblEmployee[[#This Row],[Payable Flag]]="Y","Pay","No Pay")</f>
        <v>No Pay</v>
      </c>
      <c r="H83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36" s="24">
        <f>IF(tblEmployee[[#This Row],[Payable Flag]]="N",0,1)</f>
        <v>0</v>
      </c>
      <c r="J836" s="24"/>
    </row>
    <row r="837" spans="7:10" x14ac:dyDescent="0.25">
      <c r="G837" s="24" t="str">
        <f>IF(tblEmployee[[#This Row],[Payable Flag]]="Y","Pay","No Pay")</f>
        <v>No Pay</v>
      </c>
      <c r="H83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37" s="24">
        <f>IF(tblEmployee[[#This Row],[Payable Flag]]="N",0,1)</f>
        <v>0</v>
      </c>
      <c r="J837" s="24"/>
    </row>
    <row r="838" spans="7:10" x14ac:dyDescent="0.25">
      <c r="G838" s="24" t="str">
        <f>IF(tblEmployee[[#This Row],[Payable Flag]]="Y","Pay","No Pay")</f>
        <v>No Pay</v>
      </c>
      <c r="H83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38" s="24">
        <f>IF(tblEmployee[[#This Row],[Payable Flag]]="N",0,1)</f>
        <v>0</v>
      </c>
      <c r="J838" s="24"/>
    </row>
    <row r="839" spans="7:10" x14ac:dyDescent="0.25">
      <c r="G839" s="24" t="str">
        <f>IF(tblEmployee[[#This Row],[Payable Flag]]="Y","Pay","No Pay")</f>
        <v>No Pay</v>
      </c>
      <c r="H83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39" s="24">
        <f>IF(tblEmployee[[#This Row],[Payable Flag]]="N",0,1)</f>
        <v>0</v>
      </c>
      <c r="J839" s="24"/>
    </row>
    <row r="840" spans="7:10" x14ac:dyDescent="0.25">
      <c r="G840" s="24" t="str">
        <f>IF(tblEmployee[[#This Row],[Payable Flag]]="Y","Pay","No Pay")</f>
        <v>No Pay</v>
      </c>
      <c r="H84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40" s="24">
        <f>IF(tblEmployee[[#This Row],[Payable Flag]]="N",0,1)</f>
        <v>0</v>
      </c>
      <c r="J840" s="24"/>
    </row>
    <row r="841" spans="7:10" x14ac:dyDescent="0.25">
      <c r="G841" s="24" t="str">
        <f>IF(tblEmployee[[#This Row],[Payable Flag]]="Y","Pay","No Pay")</f>
        <v>No Pay</v>
      </c>
      <c r="H84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41" s="24">
        <f>IF(tblEmployee[[#This Row],[Payable Flag]]="N",0,1)</f>
        <v>0</v>
      </c>
      <c r="J841" s="24"/>
    </row>
    <row r="842" spans="7:10" x14ac:dyDescent="0.25">
      <c r="G842" s="24" t="str">
        <f>IF(tblEmployee[[#This Row],[Payable Flag]]="Y","Pay","No Pay")</f>
        <v>No Pay</v>
      </c>
      <c r="H84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42" s="24">
        <f>IF(tblEmployee[[#This Row],[Payable Flag]]="N",0,1)</f>
        <v>0</v>
      </c>
      <c r="J842" s="24"/>
    </row>
    <row r="843" spans="7:10" x14ac:dyDescent="0.25">
      <c r="G843" s="24" t="str">
        <f>IF(tblEmployee[[#This Row],[Payable Flag]]="Y","Pay","No Pay")</f>
        <v>No Pay</v>
      </c>
      <c r="H84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43" s="24">
        <f>IF(tblEmployee[[#This Row],[Payable Flag]]="N",0,1)</f>
        <v>0</v>
      </c>
      <c r="J843" s="24"/>
    </row>
    <row r="844" spans="7:10" x14ac:dyDescent="0.25">
      <c r="G844" s="24" t="str">
        <f>IF(tblEmployee[[#This Row],[Payable Flag]]="Y","Pay","No Pay")</f>
        <v>No Pay</v>
      </c>
      <c r="H84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44" s="24">
        <f>IF(tblEmployee[[#This Row],[Payable Flag]]="N",0,1)</f>
        <v>0</v>
      </c>
      <c r="J844" s="24"/>
    </row>
    <row r="845" spans="7:10" x14ac:dyDescent="0.25">
      <c r="G845" s="24" t="str">
        <f>IF(tblEmployee[[#This Row],[Payable Flag]]="Y","Pay","No Pay")</f>
        <v>No Pay</v>
      </c>
      <c r="H84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45" s="24">
        <f>IF(tblEmployee[[#This Row],[Payable Flag]]="N",0,1)</f>
        <v>0</v>
      </c>
      <c r="J845" s="24"/>
    </row>
    <row r="846" spans="7:10" x14ac:dyDescent="0.25">
      <c r="G846" s="24" t="str">
        <f>IF(tblEmployee[[#This Row],[Payable Flag]]="Y","Pay","No Pay")</f>
        <v>No Pay</v>
      </c>
      <c r="H84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46" s="24">
        <f>IF(tblEmployee[[#This Row],[Payable Flag]]="N",0,1)</f>
        <v>0</v>
      </c>
      <c r="J846" s="24"/>
    </row>
    <row r="847" spans="7:10" x14ac:dyDescent="0.25">
      <c r="G847" s="24" t="str">
        <f>IF(tblEmployee[[#This Row],[Payable Flag]]="Y","Pay","No Pay")</f>
        <v>No Pay</v>
      </c>
      <c r="H84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47" s="24">
        <f>IF(tblEmployee[[#This Row],[Payable Flag]]="N",0,1)</f>
        <v>0</v>
      </c>
      <c r="J847" s="24"/>
    </row>
    <row r="848" spans="7:10" x14ac:dyDescent="0.25">
      <c r="G848" s="24" t="str">
        <f>IF(tblEmployee[[#This Row],[Payable Flag]]="Y","Pay","No Pay")</f>
        <v>No Pay</v>
      </c>
      <c r="H84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48" s="24">
        <f>IF(tblEmployee[[#This Row],[Payable Flag]]="N",0,1)</f>
        <v>0</v>
      </c>
      <c r="J848" s="24"/>
    </row>
    <row r="849" spans="7:10" x14ac:dyDescent="0.25">
      <c r="G849" s="24" t="str">
        <f>IF(tblEmployee[[#This Row],[Payable Flag]]="Y","Pay","No Pay")</f>
        <v>No Pay</v>
      </c>
      <c r="H84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49" s="24">
        <f>IF(tblEmployee[[#This Row],[Payable Flag]]="N",0,1)</f>
        <v>0</v>
      </c>
      <c r="J849" s="24"/>
    </row>
    <row r="850" spans="7:10" x14ac:dyDescent="0.25">
      <c r="G850" s="24" t="str">
        <f>IF(tblEmployee[[#This Row],[Payable Flag]]="Y","Pay","No Pay")</f>
        <v>No Pay</v>
      </c>
      <c r="H85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50" s="24">
        <f>IF(tblEmployee[[#This Row],[Payable Flag]]="N",0,1)</f>
        <v>0</v>
      </c>
      <c r="J850" s="24"/>
    </row>
    <row r="851" spans="7:10" x14ac:dyDescent="0.25">
      <c r="G851" s="24" t="str">
        <f>IF(tblEmployee[[#This Row],[Payable Flag]]="Y","Pay","No Pay")</f>
        <v>No Pay</v>
      </c>
      <c r="H85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51" s="24">
        <f>IF(tblEmployee[[#This Row],[Payable Flag]]="N",0,1)</f>
        <v>0</v>
      </c>
      <c r="J851" s="24"/>
    </row>
    <row r="852" spans="7:10" x14ac:dyDescent="0.25">
      <c r="G852" s="24" t="str">
        <f>IF(tblEmployee[[#This Row],[Payable Flag]]="Y","Pay","No Pay")</f>
        <v>No Pay</v>
      </c>
      <c r="H85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52" s="24">
        <f>IF(tblEmployee[[#This Row],[Payable Flag]]="N",0,1)</f>
        <v>0</v>
      </c>
      <c r="J852" s="24"/>
    </row>
    <row r="853" spans="7:10" x14ac:dyDescent="0.25">
      <c r="G853" s="24" t="str">
        <f>IF(tblEmployee[[#This Row],[Payable Flag]]="Y","Pay","No Pay")</f>
        <v>No Pay</v>
      </c>
      <c r="H85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53" s="24">
        <f>IF(tblEmployee[[#This Row],[Payable Flag]]="N",0,1)</f>
        <v>0</v>
      </c>
      <c r="J853" s="24"/>
    </row>
    <row r="854" spans="7:10" x14ac:dyDescent="0.25">
      <c r="G854" s="24" t="str">
        <f>IF(tblEmployee[[#This Row],[Payable Flag]]="Y","Pay","No Pay")</f>
        <v>No Pay</v>
      </c>
      <c r="H85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54" s="24">
        <f>IF(tblEmployee[[#This Row],[Payable Flag]]="N",0,1)</f>
        <v>0</v>
      </c>
      <c r="J854" s="24"/>
    </row>
    <row r="855" spans="7:10" x14ac:dyDescent="0.25">
      <c r="G855" s="24" t="str">
        <f>IF(tblEmployee[[#This Row],[Payable Flag]]="Y","Pay","No Pay")</f>
        <v>No Pay</v>
      </c>
      <c r="H85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55" s="24">
        <f>IF(tblEmployee[[#This Row],[Payable Flag]]="N",0,1)</f>
        <v>0</v>
      </c>
      <c r="J855" s="24"/>
    </row>
    <row r="856" spans="7:10" x14ac:dyDescent="0.25">
      <c r="G856" s="24" t="str">
        <f>IF(tblEmployee[[#This Row],[Payable Flag]]="Y","Pay","No Pay")</f>
        <v>No Pay</v>
      </c>
      <c r="H85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56" s="24">
        <f>IF(tblEmployee[[#This Row],[Payable Flag]]="N",0,1)</f>
        <v>0</v>
      </c>
      <c r="J856" s="24"/>
    </row>
    <row r="857" spans="7:10" x14ac:dyDescent="0.25">
      <c r="G857" s="24" t="str">
        <f>IF(tblEmployee[[#This Row],[Payable Flag]]="Y","Pay","No Pay")</f>
        <v>No Pay</v>
      </c>
      <c r="H85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57" s="24">
        <f>IF(tblEmployee[[#This Row],[Payable Flag]]="N",0,1)</f>
        <v>0</v>
      </c>
      <c r="J857" s="24"/>
    </row>
    <row r="858" spans="7:10" x14ac:dyDescent="0.25">
      <c r="G858" s="24" t="str">
        <f>IF(tblEmployee[[#This Row],[Payable Flag]]="Y","Pay","No Pay")</f>
        <v>No Pay</v>
      </c>
      <c r="H85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58" s="24">
        <f>IF(tblEmployee[[#This Row],[Payable Flag]]="N",0,1)</f>
        <v>0</v>
      </c>
      <c r="J858" s="24"/>
    </row>
    <row r="859" spans="7:10" x14ac:dyDescent="0.25">
      <c r="G859" s="24" t="str">
        <f>IF(tblEmployee[[#This Row],[Payable Flag]]="Y","Pay","No Pay")</f>
        <v>No Pay</v>
      </c>
      <c r="H85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59" s="24">
        <f>IF(tblEmployee[[#This Row],[Payable Flag]]="N",0,1)</f>
        <v>0</v>
      </c>
      <c r="J859" s="24"/>
    </row>
    <row r="860" spans="7:10" x14ac:dyDescent="0.25">
      <c r="G860" s="24" t="str">
        <f>IF(tblEmployee[[#This Row],[Payable Flag]]="Y","Pay","No Pay")</f>
        <v>No Pay</v>
      </c>
      <c r="H86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60" s="24">
        <f>IF(tblEmployee[[#This Row],[Payable Flag]]="N",0,1)</f>
        <v>0</v>
      </c>
      <c r="J860" s="24"/>
    </row>
    <row r="861" spans="7:10" x14ac:dyDescent="0.25">
      <c r="G861" s="24" t="str">
        <f>IF(tblEmployee[[#This Row],[Payable Flag]]="Y","Pay","No Pay")</f>
        <v>No Pay</v>
      </c>
      <c r="H86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61" s="24">
        <f>IF(tblEmployee[[#This Row],[Payable Flag]]="N",0,1)</f>
        <v>0</v>
      </c>
      <c r="J861" s="24"/>
    </row>
    <row r="862" spans="7:10" x14ac:dyDescent="0.25">
      <c r="G862" s="24" t="str">
        <f>IF(tblEmployee[[#This Row],[Payable Flag]]="Y","Pay","No Pay")</f>
        <v>No Pay</v>
      </c>
      <c r="H86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62" s="24">
        <f>IF(tblEmployee[[#This Row],[Payable Flag]]="N",0,1)</f>
        <v>0</v>
      </c>
      <c r="J862" s="24"/>
    </row>
    <row r="863" spans="7:10" x14ac:dyDescent="0.25">
      <c r="G863" s="24" t="str">
        <f>IF(tblEmployee[[#This Row],[Payable Flag]]="Y","Pay","No Pay")</f>
        <v>No Pay</v>
      </c>
      <c r="H86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63" s="24">
        <f>IF(tblEmployee[[#This Row],[Payable Flag]]="N",0,1)</f>
        <v>0</v>
      </c>
      <c r="J863" s="24"/>
    </row>
    <row r="864" spans="7:10" x14ac:dyDescent="0.25">
      <c r="G864" s="24" t="str">
        <f>IF(tblEmployee[[#This Row],[Payable Flag]]="Y","Pay","No Pay")</f>
        <v>No Pay</v>
      </c>
      <c r="H86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64" s="24">
        <f>IF(tblEmployee[[#This Row],[Payable Flag]]="N",0,1)</f>
        <v>0</v>
      </c>
      <c r="J864" s="24"/>
    </row>
    <row r="865" spans="7:10" x14ac:dyDescent="0.25">
      <c r="G865" s="24" t="str">
        <f>IF(tblEmployee[[#This Row],[Payable Flag]]="Y","Pay","No Pay")</f>
        <v>No Pay</v>
      </c>
      <c r="H86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65" s="24">
        <f>IF(tblEmployee[[#This Row],[Payable Flag]]="N",0,1)</f>
        <v>0</v>
      </c>
      <c r="J865" s="24"/>
    </row>
    <row r="866" spans="7:10" x14ac:dyDescent="0.25">
      <c r="G866" s="24" t="str">
        <f>IF(tblEmployee[[#This Row],[Payable Flag]]="Y","Pay","No Pay")</f>
        <v>No Pay</v>
      </c>
      <c r="H86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66" s="24">
        <f>IF(tblEmployee[[#This Row],[Payable Flag]]="N",0,1)</f>
        <v>0</v>
      </c>
      <c r="J866" s="24"/>
    </row>
    <row r="867" spans="7:10" x14ac:dyDescent="0.25">
      <c r="G867" s="24" t="str">
        <f>IF(tblEmployee[[#This Row],[Payable Flag]]="Y","Pay","No Pay")</f>
        <v>No Pay</v>
      </c>
      <c r="H86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67" s="24">
        <f>IF(tblEmployee[[#This Row],[Payable Flag]]="N",0,1)</f>
        <v>0</v>
      </c>
      <c r="J867" s="24"/>
    </row>
    <row r="868" spans="7:10" x14ac:dyDescent="0.25">
      <c r="G868" s="24" t="str">
        <f>IF(tblEmployee[[#This Row],[Payable Flag]]="Y","Pay","No Pay")</f>
        <v>No Pay</v>
      </c>
      <c r="H86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68" s="24">
        <f>IF(tblEmployee[[#This Row],[Payable Flag]]="N",0,1)</f>
        <v>0</v>
      </c>
      <c r="J868" s="24"/>
    </row>
    <row r="869" spans="7:10" x14ac:dyDescent="0.25">
      <c r="G869" s="24" t="str">
        <f>IF(tblEmployee[[#This Row],[Payable Flag]]="Y","Pay","No Pay")</f>
        <v>No Pay</v>
      </c>
      <c r="H86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69" s="24">
        <f>IF(tblEmployee[[#This Row],[Payable Flag]]="N",0,1)</f>
        <v>0</v>
      </c>
      <c r="J869" s="24"/>
    </row>
    <row r="870" spans="7:10" x14ac:dyDescent="0.25">
      <c r="G870" s="24" t="str">
        <f>IF(tblEmployee[[#This Row],[Payable Flag]]="Y","Pay","No Pay")</f>
        <v>No Pay</v>
      </c>
      <c r="H87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70" s="24">
        <f>IF(tblEmployee[[#This Row],[Payable Flag]]="N",0,1)</f>
        <v>0</v>
      </c>
      <c r="J870" s="24"/>
    </row>
    <row r="871" spans="7:10" x14ac:dyDescent="0.25">
      <c r="G871" s="24" t="str">
        <f>IF(tblEmployee[[#This Row],[Payable Flag]]="Y","Pay","No Pay")</f>
        <v>No Pay</v>
      </c>
      <c r="H87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71" s="24">
        <f>IF(tblEmployee[[#This Row],[Payable Flag]]="N",0,1)</f>
        <v>0</v>
      </c>
      <c r="J871" s="24"/>
    </row>
    <row r="872" spans="7:10" x14ac:dyDescent="0.25">
      <c r="G872" s="24" t="str">
        <f>IF(tblEmployee[[#This Row],[Payable Flag]]="Y","Pay","No Pay")</f>
        <v>No Pay</v>
      </c>
      <c r="H87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72" s="24">
        <f>IF(tblEmployee[[#This Row],[Payable Flag]]="N",0,1)</f>
        <v>0</v>
      </c>
      <c r="J872" s="24"/>
    </row>
    <row r="873" spans="7:10" x14ac:dyDescent="0.25">
      <c r="G873" s="24" t="str">
        <f>IF(tblEmployee[[#This Row],[Payable Flag]]="Y","Pay","No Pay")</f>
        <v>No Pay</v>
      </c>
      <c r="H87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73" s="24">
        <f>IF(tblEmployee[[#This Row],[Payable Flag]]="N",0,1)</f>
        <v>0</v>
      </c>
      <c r="J873" s="24"/>
    </row>
    <row r="874" spans="7:10" x14ac:dyDescent="0.25">
      <c r="G874" s="24" t="str">
        <f>IF(tblEmployee[[#This Row],[Payable Flag]]="Y","Pay","No Pay")</f>
        <v>No Pay</v>
      </c>
      <c r="H87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74" s="24">
        <f>IF(tblEmployee[[#This Row],[Payable Flag]]="N",0,1)</f>
        <v>0</v>
      </c>
      <c r="J874" s="24"/>
    </row>
    <row r="875" spans="7:10" x14ac:dyDescent="0.25">
      <c r="G875" s="24" t="str">
        <f>IF(tblEmployee[[#This Row],[Payable Flag]]="Y","Pay","No Pay")</f>
        <v>No Pay</v>
      </c>
      <c r="H87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75" s="24">
        <f>IF(tblEmployee[[#This Row],[Payable Flag]]="N",0,1)</f>
        <v>0</v>
      </c>
      <c r="J875" s="24"/>
    </row>
    <row r="876" spans="7:10" x14ac:dyDescent="0.25">
      <c r="G876" s="24" t="str">
        <f>IF(tblEmployee[[#This Row],[Payable Flag]]="Y","Pay","No Pay")</f>
        <v>No Pay</v>
      </c>
      <c r="H87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76" s="24">
        <f>IF(tblEmployee[[#This Row],[Payable Flag]]="N",0,1)</f>
        <v>0</v>
      </c>
      <c r="J876" s="24"/>
    </row>
    <row r="877" spans="7:10" x14ac:dyDescent="0.25">
      <c r="G877" s="24" t="str">
        <f>IF(tblEmployee[[#This Row],[Payable Flag]]="Y","Pay","No Pay")</f>
        <v>No Pay</v>
      </c>
      <c r="H87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77" s="24">
        <f>IF(tblEmployee[[#This Row],[Payable Flag]]="N",0,1)</f>
        <v>0</v>
      </c>
      <c r="J877" s="24"/>
    </row>
    <row r="878" spans="7:10" x14ac:dyDescent="0.25">
      <c r="G878" s="24" t="str">
        <f>IF(tblEmployee[[#This Row],[Payable Flag]]="Y","Pay","No Pay")</f>
        <v>No Pay</v>
      </c>
      <c r="H87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78" s="24">
        <f>IF(tblEmployee[[#This Row],[Payable Flag]]="N",0,1)</f>
        <v>0</v>
      </c>
      <c r="J878" s="24"/>
    </row>
    <row r="879" spans="7:10" x14ac:dyDescent="0.25">
      <c r="G879" s="24" t="str">
        <f>IF(tblEmployee[[#This Row],[Payable Flag]]="Y","Pay","No Pay")</f>
        <v>No Pay</v>
      </c>
      <c r="H87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79" s="24">
        <f>IF(tblEmployee[[#This Row],[Payable Flag]]="N",0,1)</f>
        <v>0</v>
      </c>
      <c r="J879" s="24"/>
    </row>
    <row r="880" spans="7:10" x14ac:dyDescent="0.25">
      <c r="G880" s="24" t="str">
        <f>IF(tblEmployee[[#This Row],[Payable Flag]]="Y","Pay","No Pay")</f>
        <v>No Pay</v>
      </c>
      <c r="H88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80" s="24">
        <f>IF(tblEmployee[[#This Row],[Payable Flag]]="N",0,1)</f>
        <v>0</v>
      </c>
      <c r="J880" s="24"/>
    </row>
    <row r="881" spans="7:10" x14ac:dyDescent="0.25">
      <c r="G881" s="24" t="str">
        <f>IF(tblEmployee[[#This Row],[Payable Flag]]="Y","Pay","No Pay")</f>
        <v>No Pay</v>
      </c>
      <c r="H88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81" s="24">
        <f>IF(tblEmployee[[#This Row],[Payable Flag]]="N",0,1)</f>
        <v>0</v>
      </c>
      <c r="J881" s="24"/>
    </row>
    <row r="882" spans="7:10" x14ac:dyDescent="0.25">
      <c r="G882" s="24" t="str">
        <f>IF(tblEmployee[[#This Row],[Payable Flag]]="Y","Pay","No Pay")</f>
        <v>No Pay</v>
      </c>
      <c r="H88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82" s="24">
        <f>IF(tblEmployee[[#This Row],[Payable Flag]]="N",0,1)</f>
        <v>0</v>
      </c>
      <c r="J882" s="24"/>
    </row>
    <row r="883" spans="7:10" x14ac:dyDescent="0.25">
      <c r="G883" s="24" t="str">
        <f>IF(tblEmployee[[#This Row],[Payable Flag]]="Y","Pay","No Pay")</f>
        <v>No Pay</v>
      </c>
      <c r="H88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83" s="24">
        <f>IF(tblEmployee[[#This Row],[Payable Flag]]="N",0,1)</f>
        <v>0</v>
      </c>
      <c r="J883" s="24"/>
    </row>
    <row r="884" spans="7:10" x14ac:dyDescent="0.25">
      <c r="G884" s="24" t="str">
        <f>IF(tblEmployee[[#This Row],[Payable Flag]]="Y","Pay","No Pay")</f>
        <v>No Pay</v>
      </c>
      <c r="H88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84" s="24">
        <f>IF(tblEmployee[[#This Row],[Payable Flag]]="N",0,1)</f>
        <v>0</v>
      </c>
      <c r="J884" s="24"/>
    </row>
    <row r="885" spans="7:10" x14ac:dyDescent="0.25">
      <c r="G885" s="24" t="str">
        <f>IF(tblEmployee[[#This Row],[Payable Flag]]="Y","Pay","No Pay")</f>
        <v>No Pay</v>
      </c>
      <c r="H88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85" s="24">
        <f>IF(tblEmployee[[#This Row],[Payable Flag]]="N",0,1)</f>
        <v>0</v>
      </c>
      <c r="J885" s="24"/>
    </row>
    <row r="886" spans="7:10" x14ac:dyDescent="0.25">
      <c r="G886" s="24" t="str">
        <f>IF(tblEmployee[[#This Row],[Payable Flag]]="Y","Pay","No Pay")</f>
        <v>No Pay</v>
      </c>
      <c r="H88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86" s="24">
        <f>IF(tblEmployee[[#This Row],[Payable Flag]]="N",0,1)</f>
        <v>0</v>
      </c>
      <c r="J886" s="24"/>
    </row>
    <row r="887" spans="7:10" x14ac:dyDescent="0.25">
      <c r="G887" s="24" t="str">
        <f>IF(tblEmployee[[#This Row],[Payable Flag]]="Y","Pay","No Pay")</f>
        <v>No Pay</v>
      </c>
      <c r="H88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87" s="24">
        <f>IF(tblEmployee[[#This Row],[Payable Flag]]="N",0,1)</f>
        <v>0</v>
      </c>
      <c r="J887" s="24"/>
    </row>
    <row r="888" spans="7:10" x14ac:dyDescent="0.25">
      <c r="G888" s="24" t="str">
        <f>IF(tblEmployee[[#This Row],[Payable Flag]]="Y","Pay","No Pay")</f>
        <v>No Pay</v>
      </c>
      <c r="H88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88" s="24">
        <f>IF(tblEmployee[[#This Row],[Payable Flag]]="N",0,1)</f>
        <v>0</v>
      </c>
      <c r="J888" s="24"/>
    </row>
    <row r="889" spans="7:10" x14ac:dyDescent="0.25">
      <c r="G889" s="24" t="str">
        <f>IF(tblEmployee[[#This Row],[Payable Flag]]="Y","Pay","No Pay")</f>
        <v>No Pay</v>
      </c>
      <c r="H88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89" s="24">
        <f>IF(tblEmployee[[#This Row],[Payable Flag]]="N",0,1)</f>
        <v>0</v>
      </c>
      <c r="J889" s="24"/>
    </row>
    <row r="890" spans="7:10" x14ac:dyDescent="0.25">
      <c r="G890" s="24" t="str">
        <f>IF(tblEmployee[[#This Row],[Payable Flag]]="Y","Pay","No Pay")</f>
        <v>No Pay</v>
      </c>
      <c r="H89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90" s="24">
        <f>IF(tblEmployee[[#This Row],[Payable Flag]]="N",0,1)</f>
        <v>0</v>
      </c>
      <c r="J890" s="24"/>
    </row>
    <row r="891" spans="7:10" x14ac:dyDescent="0.25">
      <c r="G891" s="24" t="str">
        <f>IF(tblEmployee[[#This Row],[Payable Flag]]="Y","Pay","No Pay")</f>
        <v>No Pay</v>
      </c>
      <c r="H89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91" s="24">
        <f>IF(tblEmployee[[#This Row],[Payable Flag]]="N",0,1)</f>
        <v>0</v>
      </c>
      <c r="J891" s="24"/>
    </row>
    <row r="892" spans="7:10" x14ac:dyDescent="0.25">
      <c r="G892" s="24" t="str">
        <f>IF(tblEmployee[[#This Row],[Payable Flag]]="Y","Pay","No Pay")</f>
        <v>No Pay</v>
      </c>
      <c r="H89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92" s="24">
        <f>IF(tblEmployee[[#This Row],[Payable Flag]]="N",0,1)</f>
        <v>0</v>
      </c>
      <c r="J892" s="24"/>
    </row>
    <row r="893" spans="7:10" x14ac:dyDescent="0.25">
      <c r="G893" s="24" t="str">
        <f>IF(tblEmployee[[#This Row],[Payable Flag]]="Y","Pay","No Pay")</f>
        <v>No Pay</v>
      </c>
      <c r="H89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93" s="24">
        <f>IF(tblEmployee[[#This Row],[Payable Flag]]="N",0,1)</f>
        <v>0</v>
      </c>
      <c r="J893" s="24"/>
    </row>
    <row r="894" spans="7:10" x14ac:dyDescent="0.25">
      <c r="G894" s="24" t="str">
        <f>IF(tblEmployee[[#This Row],[Payable Flag]]="Y","Pay","No Pay")</f>
        <v>No Pay</v>
      </c>
      <c r="H89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94" s="24">
        <f>IF(tblEmployee[[#This Row],[Payable Flag]]="N",0,1)</f>
        <v>0</v>
      </c>
      <c r="J894" s="24"/>
    </row>
    <row r="895" spans="7:10" x14ac:dyDescent="0.25">
      <c r="G895" s="24" t="str">
        <f>IF(tblEmployee[[#This Row],[Payable Flag]]="Y","Pay","No Pay")</f>
        <v>No Pay</v>
      </c>
      <c r="H89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95" s="24">
        <f>IF(tblEmployee[[#This Row],[Payable Flag]]="N",0,1)</f>
        <v>0</v>
      </c>
      <c r="J895" s="24"/>
    </row>
    <row r="896" spans="7:10" x14ac:dyDescent="0.25">
      <c r="G896" s="24" t="str">
        <f>IF(tblEmployee[[#This Row],[Payable Flag]]="Y","Pay","No Pay")</f>
        <v>No Pay</v>
      </c>
      <c r="H89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96" s="24">
        <f>IF(tblEmployee[[#This Row],[Payable Flag]]="N",0,1)</f>
        <v>0</v>
      </c>
      <c r="J896" s="24"/>
    </row>
    <row r="897" spans="7:10" x14ac:dyDescent="0.25">
      <c r="G897" s="24" t="str">
        <f>IF(tblEmployee[[#This Row],[Payable Flag]]="Y","Pay","No Pay")</f>
        <v>No Pay</v>
      </c>
      <c r="H89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97" s="24">
        <f>IF(tblEmployee[[#This Row],[Payable Flag]]="N",0,1)</f>
        <v>0</v>
      </c>
      <c r="J897" s="24"/>
    </row>
    <row r="898" spans="7:10" x14ac:dyDescent="0.25">
      <c r="G898" s="24" t="str">
        <f>IF(tblEmployee[[#This Row],[Payable Flag]]="Y","Pay","No Pay")</f>
        <v>No Pay</v>
      </c>
      <c r="H89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98" s="24">
        <f>IF(tblEmployee[[#This Row],[Payable Flag]]="N",0,1)</f>
        <v>0</v>
      </c>
      <c r="J898" s="24"/>
    </row>
    <row r="899" spans="7:10" x14ac:dyDescent="0.25">
      <c r="G899" s="24" t="str">
        <f>IF(tblEmployee[[#This Row],[Payable Flag]]="Y","Pay","No Pay")</f>
        <v>No Pay</v>
      </c>
      <c r="H89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899" s="24">
        <f>IF(tblEmployee[[#This Row],[Payable Flag]]="N",0,1)</f>
        <v>0</v>
      </c>
      <c r="J899" s="24"/>
    </row>
    <row r="900" spans="7:10" x14ac:dyDescent="0.25">
      <c r="G900" s="24" t="str">
        <f>IF(tblEmployee[[#This Row],[Payable Flag]]="Y","Pay","No Pay")</f>
        <v>No Pay</v>
      </c>
      <c r="H90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00" s="24">
        <f>IF(tblEmployee[[#This Row],[Payable Flag]]="N",0,1)</f>
        <v>0</v>
      </c>
      <c r="J900" s="24"/>
    </row>
    <row r="901" spans="7:10" x14ac:dyDescent="0.25">
      <c r="G901" s="24" t="str">
        <f>IF(tblEmployee[[#This Row],[Payable Flag]]="Y","Pay","No Pay")</f>
        <v>No Pay</v>
      </c>
      <c r="H90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01" s="24">
        <f>IF(tblEmployee[[#This Row],[Payable Flag]]="N",0,1)</f>
        <v>0</v>
      </c>
      <c r="J901" s="24"/>
    </row>
    <row r="902" spans="7:10" x14ac:dyDescent="0.25">
      <c r="G902" s="24" t="str">
        <f>IF(tblEmployee[[#This Row],[Payable Flag]]="Y","Pay","No Pay")</f>
        <v>No Pay</v>
      </c>
      <c r="H90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02" s="24">
        <f>IF(tblEmployee[[#This Row],[Payable Flag]]="N",0,1)</f>
        <v>0</v>
      </c>
      <c r="J902" s="24"/>
    </row>
    <row r="903" spans="7:10" x14ac:dyDescent="0.25">
      <c r="G903" s="24" t="str">
        <f>IF(tblEmployee[[#This Row],[Payable Flag]]="Y","Pay","No Pay")</f>
        <v>No Pay</v>
      </c>
      <c r="H90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03" s="24">
        <f>IF(tblEmployee[[#This Row],[Payable Flag]]="N",0,1)</f>
        <v>0</v>
      </c>
      <c r="J903" s="24"/>
    </row>
    <row r="904" spans="7:10" x14ac:dyDescent="0.25">
      <c r="G904" s="24" t="str">
        <f>IF(tblEmployee[[#This Row],[Payable Flag]]="Y","Pay","No Pay")</f>
        <v>No Pay</v>
      </c>
      <c r="H90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04" s="24">
        <f>IF(tblEmployee[[#This Row],[Payable Flag]]="N",0,1)</f>
        <v>0</v>
      </c>
      <c r="J904" s="24"/>
    </row>
    <row r="905" spans="7:10" x14ac:dyDescent="0.25">
      <c r="G905" s="24" t="str">
        <f>IF(tblEmployee[[#This Row],[Payable Flag]]="Y","Pay","No Pay")</f>
        <v>No Pay</v>
      </c>
      <c r="H90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05" s="24">
        <f>IF(tblEmployee[[#This Row],[Payable Flag]]="N",0,1)</f>
        <v>0</v>
      </c>
      <c r="J905" s="24"/>
    </row>
    <row r="906" spans="7:10" x14ac:dyDescent="0.25">
      <c r="G906" s="24" t="str">
        <f>IF(tblEmployee[[#This Row],[Payable Flag]]="Y","Pay","No Pay")</f>
        <v>No Pay</v>
      </c>
      <c r="H90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06" s="24">
        <f>IF(tblEmployee[[#This Row],[Payable Flag]]="N",0,1)</f>
        <v>0</v>
      </c>
      <c r="J906" s="24"/>
    </row>
    <row r="907" spans="7:10" x14ac:dyDescent="0.25">
      <c r="G907" s="24" t="str">
        <f>IF(tblEmployee[[#This Row],[Payable Flag]]="Y","Pay","No Pay")</f>
        <v>No Pay</v>
      </c>
      <c r="H90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07" s="24">
        <f>IF(tblEmployee[[#This Row],[Payable Flag]]="N",0,1)</f>
        <v>0</v>
      </c>
      <c r="J907" s="24"/>
    </row>
    <row r="908" spans="7:10" x14ac:dyDescent="0.25">
      <c r="G908" s="24" t="str">
        <f>IF(tblEmployee[[#This Row],[Payable Flag]]="Y","Pay","No Pay")</f>
        <v>No Pay</v>
      </c>
      <c r="H90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08" s="24">
        <f>IF(tblEmployee[[#This Row],[Payable Flag]]="N",0,1)</f>
        <v>0</v>
      </c>
      <c r="J908" s="24"/>
    </row>
    <row r="909" spans="7:10" x14ac:dyDescent="0.25">
      <c r="G909" s="24" t="str">
        <f>IF(tblEmployee[[#This Row],[Payable Flag]]="Y","Pay","No Pay")</f>
        <v>No Pay</v>
      </c>
      <c r="H90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09" s="24">
        <f>IF(tblEmployee[[#This Row],[Payable Flag]]="N",0,1)</f>
        <v>0</v>
      </c>
      <c r="J909" s="24"/>
    </row>
    <row r="910" spans="7:10" x14ac:dyDescent="0.25">
      <c r="G910" s="24" t="str">
        <f>IF(tblEmployee[[#This Row],[Payable Flag]]="Y","Pay","No Pay")</f>
        <v>No Pay</v>
      </c>
      <c r="H91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10" s="24">
        <f>IF(tblEmployee[[#This Row],[Payable Flag]]="N",0,1)</f>
        <v>0</v>
      </c>
      <c r="J910" s="24"/>
    </row>
    <row r="911" spans="7:10" x14ac:dyDescent="0.25">
      <c r="G911" s="24" t="str">
        <f>IF(tblEmployee[[#This Row],[Payable Flag]]="Y","Pay","No Pay")</f>
        <v>No Pay</v>
      </c>
      <c r="H91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11" s="24">
        <f>IF(tblEmployee[[#This Row],[Payable Flag]]="N",0,1)</f>
        <v>0</v>
      </c>
      <c r="J911" s="24"/>
    </row>
    <row r="912" spans="7:10" x14ac:dyDescent="0.25">
      <c r="G912" s="24" t="str">
        <f>IF(tblEmployee[[#This Row],[Payable Flag]]="Y","Pay","No Pay")</f>
        <v>No Pay</v>
      </c>
      <c r="H91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12" s="24">
        <f>IF(tblEmployee[[#This Row],[Payable Flag]]="N",0,1)</f>
        <v>0</v>
      </c>
      <c r="J912" s="24"/>
    </row>
    <row r="913" spans="7:10" x14ac:dyDescent="0.25">
      <c r="G913" s="24" t="str">
        <f>IF(tblEmployee[[#This Row],[Payable Flag]]="Y","Pay","No Pay")</f>
        <v>No Pay</v>
      </c>
      <c r="H91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13" s="24">
        <f>IF(tblEmployee[[#This Row],[Payable Flag]]="N",0,1)</f>
        <v>0</v>
      </c>
      <c r="J913" s="24"/>
    </row>
    <row r="914" spans="7:10" x14ac:dyDescent="0.25">
      <c r="G914" s="24" t="str">
        <f>IF(tblEmployee[[#This Row],[Payable Flag]]="Y","Pay","No Pay")</f>
        <v>No Pay</v>
      </c>
      <c r="H91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14" s="24">
        <f>IF(tblEmployee[[#This Row],[Payable Flag]]="N",0,1)</f>
        <v>0</v>
      </c>
      <c r="J914" s="24"/>
    </row>
    <row r="915" spans="7:10" x14ac:dyDescent="0.25">
      <c r="G915" s="24" t="str">
        <f>IF(tblEmployee[[#This Row],[Payable Flag]]="Y","Pay","No Pay")</f>
        <v>No Pay</v>
      </c>
      <c r="H91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15" s="24">
        <f>IF(tblEmployee[[#This Row],[Payable Flag]]="N",0,1)</f>
        <v>0</v>
      </c>
      <c r="J915" s="24"/>
    </row>
    <row r="916" spans="7:10" x14ac:dyDescent="0.25">
      <c r="G916" s="24" t="str">
        <f>IF(tblEmployee[[#This Row],[Payable Flag]]="Y","Pay","No Pay")</f>
        <v>No Pay</v>
      </c>
      <c r="H91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16" s="24">
        <f>IF(tblEmployee[[#This Row],[Payable Flag]]="N",0,1)</f>
        <v>0</v>
      </c>
      <c r="J916" s="24"/>
    </row>
    <row r="917" spans="7:10" x14ac:dyDescent="0.25">
      <c r="G917" s="24" t="str">
        <f>IF(tblEmployee[[#This Row],[Payable Flag]]="Y","Pay","No Pay")</f>
        <v>No Pay</v>
      </c>
      <c r="H91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17" s="24">
        <f>IF(tblEmployee[[#This Row],[Payable Flag]]="N",0,1)</f>
        <v>0</v>
      </c>
      <c r="J917" s="24"/>
    </row>
    <row r="918" spans="7:10" x14ac:dyDescent="0.25">
      <c r="G918" s="24" t="str">
        <f>IF(tblEmployee[[#This Row],[Payable Flag]]="Y","Pay","No Pay")</f>
        <v>No Pay</v>
      </c>
      <c r="H91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18" s="24">
        <f>IF(tblEmployee[[#This Row],[Payable Flag]]="N",0,1)</f>
        <v>0</v>
      </c>
      <c r="J918" s="24"/>
    </row>
    <row r="919" spans="7:10" x14ac:dyDescent="0.25">
      <c r="G919" s="24" t="str">
        <f>IF(tblEmployee[[#This Row],[Payable Flag]]="Y","Pay","No Pay")</f>
        <v>No Pay</v>
      </c>
      <c r="H91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19" s="24">
        <f>IF(tblEmployee[[#This Row],[Payable Flag]]="N",0,1)</f>
        <v>0</v>
      </c>
      <c r="J919" s="24"/>
    </row>
    <row r="920" spans="7:10" x14ac:dyDescent="0.25">
      <c r="G920" s="24" t="str">
        <f>IF(tblEmployee[[#This Row],[Payable Flag]]="Y","Pay","No Pay")</f>
        <v>No Pay</v>
      </c>
      <c r="H92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20" s="24">
        <f>IF(tblEmployee[[#This Row],[Payable Flag]]="N",0,1)</f>
        <v>0</v>
      </c>
      <c r="J920" s="24"/>
    </row>
    <row r="921" spans="7:10" x14ac:dyDescent="0.25">
      <c r="G921" s="24" t="str">
        <f>IF(tblEmployee[[#This Row],[Payable Flag]]="Y","Pay","No Pay")</f>
        <v>No Pay</v>
      </c>
      <c r="H92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21" s="24">
        <f>IF(tblEmployee[[#This Row],[Payable Flag]]="N",0,1)</f>
        <v>0</v>
      </c>
      <c r="J921" s="24"/>
    </row>
    <row r="922" spans="7:10" x14ac:dyDescent="0.25">
      <c r="G922" s="24" t="str">
        <f>IF(tblEmployee[[#This Row],[Payable Flag]]="Y","Pay","No Pay")</f>
        <v>No Pay</v>
      </c>
      <c r="H92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22" s="24">
        <f>IF(tblEmployee[[#This Row],[Payable Flag]]="N",0,1)</f>
        <v>0</v>
      </c>
      <c r="J922" s="24"/>
    </row>
    <row r="923" spans="7:10" x14ac:dyDescent="0.25">
      <c r="G923" s="24" t="str">
        <f>IF(tblEmployee[[#This Row],[Payable Flag]]="Y","Pay","No Pay")</f>
        <v>No Pay</v>
      </c>
      <c r="H92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23" s="24">
        <f>IF(tblEmployee[[#This Row],[Payable Flag]]="N",0,1)</f>
        <v>0</v>
      </c>
      <c r="J923" s="24"/>
    </row>
    <row r="924" spans="7:10" x14ac:dyDescent="0.25">
      <c r="G924" s="24" t="str">
        <f>IF(tblEmployee[[#This Row],[Payable Flag]]="Y","Pay","No Pay")</f>
        <v>No Pay</v>
      </c>
      <c r="H92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24" s="24">
        <f>IF(tblEmployee[[#This Row],[Payable Flag]]="N",0,1)</f>
        <v>0</v>
      </c>
      <c r="J924" s="24"/>
    </row>
    <row r="925" spans="7:10" x14ac:dyDescent="0.25">
      <c r="G925" s="24" t="str">
        <f>IF(tblEmployee[[#This Row],[Payable Flag]]="Y","Pay","No Pay")</f>
        <v>No Pay</v>
      </c>
      <c r="H92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25" s="24">
        <f>IF(tblEmployee[[#This Row],[Payable Flag]]="N",0,1)</f>
        <v>0</v>
      </c>
      <c r="J925" s="24"/>
    </row>
    <row r="926" spans="7:10" x14ac:dyDescent="0.25">
      <c r="G926" s="24" t="str">
        <f>IF(tblEmployee[[#This Row],[Payable Flag]]="Y","Pay","No Pay")</f>
        <v>No Pay</v>
      </c>
      <c r="H92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26" s="24">
        <f>IF(tblEmployee[[#This Row],[Payable Flag]]="N",0,1)</f>
        <v>0</v>
      </c>
      <c r="J926" s="24"/>
    </row>
    <row r="927" spans="7:10" x14ac:dyDescent="0.25">
      <c r="G927" s="24" t="str">
        <f>IF(tblEmployee[[#This Row],[Payable Flag]]="Y","Pay","No Pay")</f>
        <v>No Pay</v>
      </c>
      <c r="H92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27" s="24">
        <f>IF(tblEmployee[[#This Row],[Payable Flag]]="N",0,1)</f>
        <v>0</v>
      </c>
      <c r="J927" s="24"/>
    </row>
    <row r="928" spans="7:10" x14ac:dyDescent="0.25">
      <c r="G928" s="24" t="str">
        <f>IF(tblEmployee[[#This Row],[Payable Flag]]="Y","Pay","No Pay")</f>
        <v>No Pay</v>
      </c>
      <c r="H92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28" s="24">
        <f>IF(tblEmployee[[#This Row],[Payable Flag]]="N",0,1)</f>
        <v>0</v>
      </c>
      <c r="J928" s="24"/>
    </row>
    <row r="929" spans="7:10" x14ac:dyDescent="0.25">
      <c r="G929" s="24" t="str">
        <f>IF(tblEmployee[[#This Row],[Payable Flag]]="Y","Pay","No Pay")</f>
        <v>No Pay</v>
      </c>
      <c r="H92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29" s="24">
        <f>IF(tblEmployee[[#This Row],[Payable Flag]]="N",0,1)</f>
        <v>0</v>
      </c>
      <c r="J929" s="24"/>
    </row>
    <row r="930" spans="7:10" x14ac:dyDescent="0.25">
      <c r="G930" s="24" t="str">
        <f>IF(tblEmployee[[#This Row],[Payable Flag]]="Y","Pay","No Pay")</f>
        <v>No Pay</v>
      </c>
      <c r="H93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30" s="24">
        <f>IF(tblEmployee[[#This Row],[Payable Flag]]="N",0,1)</f>
        <v>0</v>
      </c>
      <c r="J930" s="24"/>
    </row>
    <row r="931" spans="7:10" x14ac:dyDescent="0.25">
      <c r="G931" s="24" t="str">
        <f>IF(tblEmployee[[#This Row],[Payable Flag]]="Y","Pay","No Pay")</f>
        <v>No Pay</v>
      </c>
      <c r="H93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31" s="24">
        <f>IF(tblEmployee[[#This Row],[Payable Flag]]="N",0,1)</f>
        <v>0</v>
      </c>
      <c r="J931" s="24"/>
    </row>
    <row r="932" spans="7:10" x14ac:dyDescent="0.25">
      <c r="G932" s="24" t="str">
        <f>IF(tblEmployee[[#This Row],[Payable Flag]]="Y","Pay","No Pay")</f>
        <v>No Pay</v>
      </c>
      <c r="H93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32" s="24">
        <f>IF(tblEmployee[[#This Row],[Payable Flag]]="N",0,1)</f>
        <v>0</v>
      </c>
      <c r="J932" s="24"/>
    </row>
    <row r="933" spans="7:10" x14ac:dyDescent="0.25">
      <c r="G933" s="24" t="str">
        <f>IF(tblEmployee[[#This Row],[Payable Flag]]="Y","Pay","No Pay")</f>
        <v>No Pay</v>
      </c>
      <c r="H93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33" s="24">
        <f>IF(tblEmployee[[#This Row],[Payable Flag]]="N",0,1)</f>
        <v>0</v>
      </c>
      <c r="J933" s="24"/>
    </row>
    <row r="934" spans="7:10" x14ac:dyDescent="0.25">
      <c r="G934" s="24" t="str">
        <f>IF(tblEmployee[[#This Row],[Payable Flag]]="Y","Pay","No Pay")</f>
        <v>No Pay</v>
      </c>
      <c r="H93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34" s="24">
        <f>IF(tblEmployee[[#This Row],[Payable Flag]]="N",0,1)</f>
        <v>0</v>
      </c>
      <c r="J934" s="24"/>
    </row>
    <row r="935" spans="7:10" x14ac:dyDescent="0.25">
      <c r="G935" s="24" t="str">
        <f>IF(tblEmployee[[#This Row],[Payable Flag]]="Y","Pay","No Pay")</f>
        <v>No Pay</v>
      </c>
      <c r="H93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35" s="24">
        <f>IF(tblEmployee[[#This Row],[Payable Flag]]="N",0,1)</f>
        <v>0</v>
      </c>
      <c r="J935" s="24"/>
    </row>
    <row r="936" spans="7:10" x14ac:dyDescent="0.25">
      <c r="G936" s="24" t="str">
        <f>IF(tblEmployee[[#This Row],[Payable Flag]]="Y","Pay","No Pay")</f>
        <v>No Pay</v>
      </c>
      <c r="H93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36" s="24">
        <f>IF(tblEmployee[[#This Row],[Payable Flag]]="N",0,1)</f>
        <v>0</v>
      </c>
      <c r="J936" s="24"/>
    </row>
    <row r="937" spans="7:10" x14ac:dyDescent="0.25">
      <c r="G937" s="24" t="str">
        <f>IF(tblEmployee[[#This Row],[Payable Flag]]="Y","Pay","No Pay")</f>
        <v>No Pay</v>
      </c>
      <c r="H93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37" s="24">
        <f>IF(tblEmployee[[#This Row],[Payable Flag]]="N",0,1)</f>
        <v>0</v>
      </c>
      <c r="J937" s="24"/>
    </row>
    <row r="938" spans="7:10" x14ac:dyDescent="0.25">
      <c r="G938" s="24" t="str">
        <f>IF(tblEmployee[[#This Row],[Payable Flag]]="Y","Pay","No Pay")</f>
        <v>No Pay</v>
      </c>
      <c r="H93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38" s="24">
        <f>IF(tblEmployee[[#This Row],[Payable Flag]]="N",0,1)</f>
        <v>0</v>
      </c>
      <c r="J938" s="24"/>
    </row>
    <row r="939" spans="7:10" x14ac:dyDescent="0.25">
      <c r="G939" s="24" t="str">
        <f>IF(tblEmployee[[#This Row],[Payable Flag]]="Y","Pay","No Pay")</f>
        <v>No Pay</v>
      </c>
      <c r="H93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39" s="24">
        <f>IF(tblEmployee[[#This Row],[Payable Flag]]="N",0,1)</f>
        <v>0</v>
      </c>
      <c r="J939" s="24"/>
    </row>
    <row r="940" spans="7:10" x14ac:dyDescent="0.25">
      <c r="G940" s="24" t="str">
        <f>IF(tblEmployee[[#This Row],[Payable Flag]]="Y","Pay","No Pay")</f>
        <v>No Pay</v>
      </c>
      <c r="H94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40" s="24">
        <f>IF(tblEmployee[[#This Row],[Payable Flag]]="N",0,1)</f>
        <v>0</v>
      </c>
      <c r="J940" s="24"/>
    </row>
    <row r="941" spans="7:10" x14ac:dyDescent="0.25">
      <c r="G941" s="24" t="str">
        <f>IF(tblEmployee[[#This Row],[Payable Flag]]="Y","Pay","No Pay")</f>
        <v>No Pay</v>
      </c>
      <c r="H94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41" s="24">
        <f>IF(tblEmployee[[#This Row],[Payable Flag]]="N",0,1)</f>
        <v>0</v>
      </c>
      <c r="J941" s="24"/>
    </row>
    <row r="942" spans="7:10" x14ac:dyDescent="0.25">
      <c r="G942" s="24" t="str">
        <f>IF(tblEmployee[[#This Row],[Payable Flag]]="Y","Pay","No Pay")</f>
        <v>No Pay</v>
      </c>
      <c r="H94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42" s="24">
        <f>IF(tblEmployee[[#This Row],[Payable Flag]]="N",0,1)</f>
        <v>0</v>
      </c>
      <c r="J942" s="24"/>
    </row>
    <row r="943" spans="7:10" x14ac:dyDescent="0.25">
      <c r="G943" s="24" t="str">
        <f>IF(tblEmployee[[#This Row],[Payable Flag]]="Y","Pay","No Pay")</f>
        <v>No Pay</v>
      </c>
      <c r="H94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43" s="24">
        <f>IF(tblEmployee[[#This Row],[Payable Flag]]="N",0,1)</f>
        <v>0</v>
      </c>
      <c r="J943" s="24"/>
    </row>
    <row r="944" spans="7:10" x14ac:dyDescent="0.25">
      <c r="G944" s="24" t="str">
        <f>IF(tblEmployee[[#This Row],[Payable Flag]]="Y","Pay","No Pay")</f>
        <v>No Pay</v>
      </c>
      <c r="H94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44" s="24">
        <f>IF(tblEmployee[[#This Row],[Payable Flag]]="N",0,1)</f>
        <v>0</v>
      </c>
      <c r="J944" s="24"/>
    </row>
    <row r="945" spans="7:10" x14ac:dyDescent="0.25">
      <c r="G945" s="24" t="str">
        <f>IF(tblEmployee[[#This Row],[Payable Flag]]="Y","Pay","No Pay")</f>
        <v>No Pay</v>
      </c>
      <c r="H94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45" s="24">
        <f>IF(tblEmployee[[#This Row],[Payable Flag]]="N",0,1)</f>
        <v>0</v>
      </c>
      <c r="J945" s="24"/>
    </row>
    <row r="946" spans="7:10" x14ac:dyDescent="0.25">
      <c r="G946" s="24" t="str">
        <f>IF(tblEmployee[[#This Row],[Payable Flag]]="Y","Pay","No Pay")</f>
        <v>No Pay</v>
      </c>
      <c r="H94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46" s="24">
        <f>IF(tblEmployee[[#This Row],[Payable Flag]]="N",0,1)</f>
        <v>0</v>
      </c>
      <c r="J946" s="24"/>
    </row>
    <row r="947" spans="7:10" x14ac:dyDescent="0.25">
      <c r="G947" s="24" t="str">
        <f>IF(tblEmployee[[#This Row],[Payable Flag]]="Y","Pay","No Pay")</f>
        <v>No Pay</v>
      </c>
      <c r="H94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47" s="24">
        <f>IF(tblEmployee[[#This Row],[Payable Flag]]="N",0,1)</f>
        <v>0</v>
      </c>
      <c r="J947" s="24"/>
    </row>
    <row r="948" spans="7:10" x14ac:dyDescent="0.25">
      <c r="G948" s="24" t="str">
        <f>IF(tblEmployee[[#This Row],[Payable Flag]]="Y","Pay","No Pay")</f>
        <v>No Pay</v>
      </c>
      <c r="H94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48" s="24">
        <f>IF(tblEmployee[[#This Row],[Payable Flag]]="N",0,1)</f>
        <v>0</v>
      </c>
      <c r="J948" s="24"/>
    </row>
    <row r="949" spans="7:10" x14ac:dyDescent="0.25">
      <c r="G949" s="24" t="str">
        <f>IF(tblEmployee[[#This Row],[Payable Flag]]="Y","Pay","No Pay")</f>
        <v>No Pay</v>
      </c>
      <c r="H94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49" s="24">
        <f>IF(tblEmployee[[#This Row],[Payable Flag]]="N",0,1)</f>
        <v>0</v>
      </c>
      <c r="J949" s="24"/>
    </row>
    <row r="950" spans="7:10" x14ac:dyDescent="0.25">
      <c r="G950" s="24" t="str">
        <f>IF(tblEmployee[[#This Row],[Payable Flag]]="Y","Pay","No Pay")</f>
        <v>No Pay</v>
      </c>
      <c r="H95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50" s="24">
        <f>IF(tblEmployee[[#This Row],[Payable Flag]]="N",0,1)</f>
        <v>0</v>
      </c>
      <c r="J950" s="24"/>
    </row>
    <row r="951" spans="7:10" x14ac:dyDescent="0.25">
      <c r="G951" s="24" t="str">
        <f>IF(tblEmployee[[#This Row],[Payable Flag]]="Y","Pay","No Pay")</f>
        <v>No Pay</v>
      </c>
      <c r="H95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51" s="24">
        <f>IF(tblEmployee[[#This Row],[Payable Flag]]="N",0,1)</f>
        <v>0</v>
      </c>
      <c r="J951" s="24"/>
    </row>
    <row r="952" spans="7:10" x14ac:dyDescent="0.25">
      <c r="G952" s="24" t="str">
        <f>IF(tblEmployee[[#This Row],[Payable Flag]]="Y","Pay","No Pay")</f>
        <v>No Pay</v>
      </c>
      <c r="H95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52" s="24">
        <f>IF(tblEmployee[[#This Row],[Payable Flag]]="N",0,1)</f>
        <v>0</v>
      </c>
      <c r="J952" s="24"/>
    </row>
    <row r="953" spans="7:10" x14ac:dyDescent="0.25">
      <c r="G953" s="24" t="str">
        <f>IF(tblEmployee[[#This Row],[Payable Flag]]="Y","Pay","No Pay")</f>
        <v>No Pay</v>
      </c>
      <c r="H95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53" s="24">
        <f>IF(tblEmployee[[#This Row],[Payable Flag]]="N",0,1)</f>
        <v>0</v>
      </c>
      <c r="J953" s="24"/>
    </row>
    <row r="954" spans="7:10" x14ac:dyDescent="0.25">
      <c r="G954" s="24" t="str">
        <f>IF(tblEmployee[[#This Row],[Payable Flag]]="Y","Pay","No Pay")</f>
        <v>No Pay</v>
      </c>
      <c r="H95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54" s="24">
        <f>IF(tblEmployee[[#This Row],[Payable Flag]]="N",0,1)</f>
        <v>0</v>
      </c>
      <c r="J954" s="24"/>
    </row>
    <row r="955" spans="7:10" x14ac:dyDescent="0.25">
      <c r="G955" s="24" t="str">
        <f>IF(tblEmployee[[#This Row],[Payable Flag]]="Y","Pay","No Pay")</f>
        <v>No Pay</v>
      </c>
      <c r="H95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55" s="24">
        <f>IF(tblEmployee[[#This Row],[Payable Flag]]="N",0,1)</f>
        <v>0</v>
      </c>
      <c r="J955" s="24"/>
    </row>
    <row r="956" spans="7:10" x14ac:dyDescent="0.25">
      <c r="G956" s="24" t="str">
        <f>IF(tblEmployee[[#This Row],[Payable Flag]]="Y","Pay","No Pay")</f>
        <v>No Pay</v>
      </c>
      <c r="H95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56" s="24">
        <f>IF(tblEmployee[[#This Row],[Payable Flag]]="N",0,1)</f>
        <v>0</v>
      </c>
      <c r="J956" s="24"/>
    </row>
    <row r="957" spans="7:10" x14ac:dyDescent="0.25">
      <c r="G957" s="24" t="str">
        <f>IF(tblEmployee[[#This Row],[Payable Flag]]="Y","Pay","No Pay")</f>
        <v>No Pay</v>
      </c>
      <c r="H95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57" s="24">
        <f>IF(tblEmployee[[#This Row],[Payable Flag]]="N",0,1)</f>
        <v>0</v>
      </c>
      <c r="J957" s="24"/>
    </row>
    <row r="958" spans="7:10" x14ac:dyDescent="0.25">
      <c r="G958" s="24" t="str">
        <f>IF(tblEmployee[[#This Row],[Payable Flag]]="Y","Pay","No Pay")</f>
        <v>No Pay</v>
      </c>
      <c r="H95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58" s="24">
        <f>IF(tblEmployee[[#This Row],[Payable Flag]]="N",0,1)</f>
        <v>0</v>
      </c>
      <c r="J958" s="24"/>
    </row>
    <row r="959" spans="7:10" x14ac:dyDescent="0.25">
      <c r="G959" s="24" t="str">
        <f>IF(tblEmployee[[#This Row],[Payable Flag]]="Y","Pay","No Pay")</f>
        <v>No Pay</v>
      </c>
      <c r="H95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59" s="24">
        <f>IF(tblEmployee[[#This Row],[Payable Flag]]="N",0,1)</f>
        <v>0</v>
      </c>
      <c r="J959" s="24"/>
    </row>
    <row r="960" spans="7:10" x14ac:dyDescent="0.25">
      <c r="G960" s="24" t="str">
        <f>IF(tblEmployee[[#This Row],[Payable Flag]]="Y","Pay","No Pay")</f>
        <v>No Pay</v>
      </c>
      <c r="H96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60" s="24">
        <f>IF(tblEmployee[[#This Row],[Payable Flag]]="N",0,1)</f>
        <v>0</v>
      </c>
      <c r="J960" s="24"/>
    </row>
    <row r="961" spans="7:10" x14ac:dyDescent="0.25">
      <c r="G961" s="24" t="str">
        <f>IF(tblEmployee[[#This Row],[Payable Flag]]="Y","Pay","No Pay")</f>
        <v>No Pay</v>
      </c>
      <c r="H96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61" s="24">
        <f>IF(tblEmployee[[#This Row],[Payable Flag]]="N",0,1)</f>
        <v>0</v>
      </c>
      <c r="J961" s="24"/>
    </row>
    <row r="962" spans="7:10" x14ac:dyDescent="0.25">
      <c r="G962" s="24" t="str">
        <f>IF(tblEmployee[[#This Row],[Payable Flag]]="Y","Pay","No Pay")</f>
        <v>No Pay</v>
      </c>
      <c r="H96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62" s="24">
        <f>IF(tblEmployee[[#This Row],[Payable Flag]]="N",0,1)</f>
        <v>0</v>
      </c>
      <c r="J962" s="24"/>
    </row>
    <row r="963" spans="7:10" x14ac:dyDescent="0.25">
      <c r="G963" s="24" t="str">
        <f>IF(tblEmployee[[#This Row],[Payable Flag]]="Y","Pay","No Pay")</f>
        <v>No Pay</v>
      </c>
      <c r="H96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63" s="24">
        <f>IF(tblEmployee[[#This Row],[Payable Flag]]="N",0,1)</f>
        <v>0</v>
      </c>
      <c r="J963" s="24"/>
    </row>
    <row r="964" spans="7:10" x14ac:dyDescent="0.25">
      <c r="G964" s="24" t="str">
        <f>IF(tblEmployee[[#This Row],[Payable Flag]]="Y","Pay","No Pay")</f>
        <v>No Pay</v>
      </c>
      <c r="H96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64" s="24">
        <f>IF(tblEmployee[[#This Row],[Payable Flag]]="N",0,1)</f>
        <v>0</v>
      </c>
      <c r="J964" s="24"/>
    </row>
    <row r="965" spans="7:10" x14ac:dyDescent="0.25">
      <c r="G965" s="24" t="str">
        <f>IF(tblEmployee[[#This Row],[Payable Flag]]="Y","Pay","No Pay")</f>
        <v>No Pay</v>
      </c>
      <c r="H96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65" s="24">
        <f>IF(tblEmployee[[#This Row],[Payable Flag]]="N",0,1)</f>
        <v>0</v>
      </c>
      <c r="J965" s="24"/>
    </row>
    <row r="966" spans="7:10" x14ac:dyDescent="0.25">
      <c r="G966" s="24" t="str">
        <f>IF(tblEmployee[[#This Row],[Payable Flag]]="Y","Pay","No Pay")</f>
        <v>No Pay</v>
      </c>
      <c r="H96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66" s="24">
        <f>IF(tblEmployee[[#This Row],[Payable Flag]]="N",0,1)</f>
        <v>0</v>
      </c>
      <c r="J966" s="24"/>
    </row>
    <row r="967" spans="7:10" x14ac:dyDescent="0.25">
      <c r="G967" s="24" t="str">
        <f>IF(tblEmployee[[#This Row],[Payable Flag]]="Y","Pay","No Pay")</f>
        <v>No Pay</v>
      </c>
      <c r="H96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67" s="24">
        <f>IF(tblEmployee[[#This Row],[Payable Flag]]="N",0,1)</f>
        <v>0</v>
      </c>
      <c r="J967" s="24"/>
    </row>
    <row r="968" spans="7:10" x14ac:dyDescent="0.25">
      <c r="G968" s="24" t="str">
        <f>IF(tblEmployee[[#This Row],[Payable Flag]]="Y","Pay","No Pay")</f>
        <v>No Pay</v>
      </c>
      <c r="H96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68" s="24">
        <f>IF(tblEmployee[[#This Row],[Payable Flag]]="N",0,1)</f>
        <v>0</v>
      </c>
      <c r="J968" s="24"/>
    </row>
    <row r="969" spans="7:10" x14ac:dyDescent="0.25">
      <c r="G969" s="24" t="str">
        <f>IF(tblEmployee[[#This Row],[Payable Flag]]="Y","Pay","No Pay")</f>
        <v>No Pay</v>
      </c>
      <c r="H96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69" s="24">
        <f>IF(tblEmployee[[#This Row],[Payable Flag]]="N",0,1)</f>
        <v>0</v>
      </c>
      <c r="J969" s="24"/>
    </row>
    <row r="970" spans="7:10" x14ac:dyDescent="0.25">
      <c r="G970" s="24" t="str">
        <f>IF(tblEmployee[[#This Row],[Payable Flag]]="Y","Pay","No Pay")</f>
        <v>No Pay</v>
      </c>
      <c r="H97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70" s="24">
        <f>IF(tblEmployee[[#This Row],[Payable Flag]]="N",0,1)</f>
        <v>0</v>
      </c>
      <c r="J970" s="24"/>
    </row>
    <row r="971" spans="7:10" x14ac:dyDescent="0.25">
      <c r="G971" s="24" t="str">
        <f>IF(tblEmployee[[#This Row],[Payable Flag]]="Y","Pay","No Pay")</f>
        <v>No Pay</v>
      </c>
      <c r="H97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71" s="24">
        <f>IF(tblEmployee[[#This Row],[Payable Flag]]="N",0,1)</f>
        <v>0</v>
      </c>
      <c r="J971" s="24"/>
    </row>
    <row r="972" spans="7:10" x14ac:dyDescent="0.25">
      <c r="G972" s="24" t="str">
        <f>IF(tblEmployee[[#This Row],[Payable Flag]]="Y","Pay","No Pay")</f>
        <v>No Pay</v>
      </c>
      <c r="H97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72" s="24">
        <f>IF(tblEmployee[[#This Row],[Payable Flag]]="N",0,1)</f>
        <v>0</v>
      </c>
      <c r="J972" s="24"/>
    </row>
    <row r="973" spans="7:10" x14ac:dyDescent="0.25">
      <c r="G973" s="24" t="str">
        <f>IF(tblEmployee[[#This Row],[Payable Flag]]="Y","Pay","No Pay")</f>
        <v>No Pay</v>
      </c>
      <c r="H97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73" s="24">
        <f>IF(tblEmployee[[#This Row],[Payable Flag]]="N",0,1)</f>
        <v>0</v>
      </c>
      <c r="J973" s="24"/>
    </row>
    <row r="974" spans="7:10" x14ac:dyDescent="0.25">
      <c r="G974" s="24" t="str">
        <f>IF(tblEmployee[[#This Row],[Payable Flag]]="Y","Pay","No Pay")</f>
        <v>No Pay</v>
      </c>
      <c r="H97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74" s="24">
        <f>IF(tblEmployee[[#This Row],[Payable Flag]]="N",0,1)</f>
        <v>0</v>
      </c>
      <c r="J974" s="24"/>
    </row>
    <row r="975" spans="7:10" x14ac:dyDescent="0.25">
      <c r="G975" s="24" t="str">
        <f>IF(tblEmployee[[#This Row],[Payable Flag]]="Y","Pay","No Pay")</f>
        <v>No Pay</v>
      </c>
      <c r="H97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75" s="24">
        <f>IF(tblEmployee[[#This Row],[Payable Flag]]="N",0,1)</f>
        <v>0</v>
      </c>
      <c r="J975" s="24"/>
    </row>
    <row r="976" spans="7:10" x14ac:dyDescent="0.25">
      <c r="G976" s="24" t="str">
        <f>IF(tblEmployee[[#This Row],[Payable Flag]]="Y","Pay","No Pay")</f>
        <v>No Pay</v>
      </c>
      <c r="H97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76" s="24">
        <f>IF(tblEmployee[[#This Row],[Payable Flag]]="N",0,1)</f>
        <v>0</v>
      </c>
      <c r="J976" s="24"/>
    </row>
    <row r="977" spans="7:10" x14ac:dyDescent="0.25">
      <c r="G977" s="24" t="str">
        <f>IF(tblEmployee[[#This Row],[Payable Flag]]="Y","Pay","No Pay")</f>
        <v>No Pay</v>
      </c>
      <c r="H97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77" s="24">
        <f>IF(tblEmployee[[#This Row],[Payable Flag]]="N",0,1)</f>
        <v>0</v>
      </c>
      <c r="J977" s="24"/>
    </row>
    <row r="978" spans="7:10" x14ac:dyDescent="0.25">
      <c r="G978" s="24" t="str">
        <f>IF(tblEmployee[[#This Row],[Payable Flag]]="Y","Pay","No Pay")</f>
        <v>No Pay</v>
      </c>
      <c r="H97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78" s="24">
        <f>IF(tblEmployee[[#This Row],[Payable Flag]]="N",0,1)</f>
        <v>0</v>
      </c>
      <c r="J978" s="24"/>
    </row>
    <row r="979" spans="7:10" x14ac:dyDescent="0.25">
      <c r="G979" s="24" t="str">
        <f>IF(tblEmployee[[#This Row],[Payable Flag]]="Y","Pay","No Pay")</f>
        <v>No Pay</v>
      </c>
      <c r="H97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79" s="24">
        <f>IF(tblEmployee[[#This Row],[Payable Flag]]="N",0,1)</f>
        <v>0</v>
      </c>
      <c r="J979" s="24"/>
    </row>
    <row r="980" spans="7:10" x14ac:dyDescent="0.25">
      <c r="G980" s="24" t="str">
        <f>IF(tblEmployee[[#This Row],[Payable Flag]]="Y","Pay","No Pay")</f>
        <v>No Pay</v>
      </c>
      <c r="H98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80" s="24">
        <f>IF(tblEmployee[[#This Row],[Payable Flag]]="N",0,1)</f>
        <v>0</v>
      </c>
      <c r="J980" s="24"/>
    </row>
    <row r="981" spans="7:10" x14ac:dyDescent="0.25">
      <c r="G981" s="24" t="str">
        <f>IF(tblEmployee[[#This Row],[Payable Flag]]="Y","Pay","No Pay")</f>
        <v>No Pay</v>
      </c>
      <c r="H98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81" s="24">
        <f>IF(tblEmployee[[#This Row],[Payable Flag]]="N",0,1)</f>
        <v>0</v>
      </c>
      <c r="J981" s="24"/>
    </row>
    <row r="982" spans="7:10" x14ac:dyDescent="0.25">
      <c r="G982" s="24" t="str">
        <f>IF(tblEmployee[[#This Row],[Payable Flag]]="Y","Pay","No Pay")</f>
        <v>No Pay</v>
      </c>
      <c r="H98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82" s="24">
        <f>IF(tblEmployee[[#This Row],[Payable Flag]]="N",0,1)</f>
        <v>0</v>
      </c>
      <c r="J982" s="24"/>
    </row>
    <row r="983" spans="7:10" x14ac:dyDescent="0.25">
      <c r="G983" s="24" t="str">
        <f>IF(tblEmployee[[#This Row],[Payable Flag]]="Y","Pay","No Pay")</f>
        <v>No Pay</v>
      </c>
      <c r="H98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83" s="24">
        <f>IF(tblEmployee[[#This Row],[Payable Flag]]="N",0,1)</f>
        <v>0</v>
      </c>
      <c r="J983" s="24"/>
    </row>
    <row r="984" spans="7:10" x14ac:dyDescent="0.25">
      <c r="G984" s="24" t="str">
        <f>IF(tblEmployee[[#This Row],[Payable Flag]]="Y","Pay","No Pay")</f>
        <v>No Pay</v>
      </c>
      <c r="H98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84" s="24">
        <f>IF(tblEmployee[[#This Row],[Payable Flag]]="N",0,1)</f>
        <v>0</v>
      </c>
      <c r="J984" s="24"/>
    </row>
    <row r="985" spans="7:10" x14ac:dyDescent="0.25">
      <c r="G985" s="24" t="str">
        <f>IF(tblEmployee[[#This Row],[Payable Flag]]="Y","Pay","No Pay")</f>
        <v>No Pay</v>
      </c>
      <c r="H98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85" s="24">
        <f>IF(tblEmployee[[#This Row],[Payable Flag]]="N",0,1)</f>
        <v>0</v>
      </c>
      <c r="J985" s="24"/>
    </row>
    <row r="986" spans="7:10" x14ac:dyDescent="0.25">
      <c r="G986" s="24" t="str">
        <f>IF(tblEmployee[[#This Row],[Payable Flag]]="Y","Pay","No Pay")</f>
        <v>No Pay</v>
      </c>
      <c r="H98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86" s="24">
        <f>IF(tblEmployee[[#This Row],[Payable Flag]]="N",0,1)</f>
        <v>0</v>
      </c>
      <c r="J986" s="24"/>
    </row>
    <row r="987" spans="7:10" x14ac:dyDescent="0.25">
      <c r="G987" s="24" t="str">
        <f>IF(tblEmployee[[#This Row],[Payable Flag]]="Y","Pay","No Pay")</f>
        <v>No Pay</v>
      </c>
      <c r="H98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87" s="24">
        <f>IF(tblEmployee[[#This Row],[Payable Flag]]="N",0,1)</f>
        <v>0</v>
      </c>
      <c r="J987" s="24"/>
    </row>
    <row r="988" spans="7:10" x14ac:dyDescent="0.25">
      <c r="G988" s="24" t="str">
        <f>IF(tblEmployee[[#This Row],[Payable Flag]]="Y","Pay","No Pay")</f>
        <v>No Pay</v>
      </c>
      <c r="H98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88" s="24">
        <f>IF(tblEmployee[[#This Row],[Payable Flag]]="N",0,1)</f>
        <v>0</v>
      </c>
      <c r="J988" s="24"/>
    </row>
    <row r="989" spans="7:10" x14ac:dyDescent="0.25">
      <c r="G989" s="24" t="str">
        <f>IF(tblEmployee[[#This Row],[Payable Flag]]="Y","Pay","No Pay")</f>
        <v>No Pay</v>
      </c>
      <c r="H98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89" s="24">
        <f>IF(tblEmployee[[#This Row],[Payable Flag]]="N",0,1)</f>
        <v>0</v>
      </c>
      <c r="J989" s="24"/>
    </row>
    <row r="990" spans="7:10" x14ac:dyDescent="0.25">
      <c r="G990" s="24" t="str">
        <f>IF(tblEmployee[[#This Row],[Payable Flag]]="Y","Pay","No Pay")</f>
        <v>No Pay</v>
      </c>
      <c r="H990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90" s="24">
        <f>IF(tblEmployee[[#This Row],[Payable Flag]]="N",0,1)</f>
        <v>0</v>
      </c>
      <c r="J990" s="24"/>
    </row>
    <row r="991" spans="7:10" x14ac:dyDescent="0.25">
      <c r="G991" s="24" t="str">
        <f>IF(tblEmployee[[#This Row],[Payable Flag]]="Y","Pay","No Pay")</f>
        <v>No Pay</v>
      </c>
      <c r="H991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91" s="24">
        <f>IF(tblEmployee[[#This Row],[Payable Flag]]="N",0,1)</f>
        <v>0</v>
      </c>
      <c r="J991" s="24"/>
    </row>
    <row r="992" spans="7:10" x14ac:dyDescent="0.25">
      <c r="G992" s="24" t="str">
        <f>IF(tblEmployee[[#This Row],[Payable Flag]]="Y","Pay","No Pay")</f>
        <v>No Pay</v>
      </c>
      <c r="H992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92" s="24">
        <f>IF(tblEmployee[[#This Row],[Payable Flag]]="N",0,1)</f>
        <v>0</v>
      </c>
      <c r="J992" s="24"/>
    </row>
    <row r="993" spans="7:10" x14ac:dyDescent="0.25">
      <c r="G993" s="24" t="str">
        <f>IF(tblEmployee[[#This Row],[Payable Flag]]="Y","Pay","No Pay")</f>
        <v>No Pay</v>
      </c>
      <c r="H993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93" s="24">
        <f>IF(tblEmployee[[#This Row],[Payable Flag]]="N",0,1)</f>
        <v>0</v>
      </c>
      <c r="J993" s="24"/>
    </row>
    <row r="994" spans="7:10" x14ac:dyDescent="0.25">
      <c r="G994" s="24" t="str">
        <f>IF(tblEmployee[[#This Row],[Payable Flag]]="Y","Pay","No Pay")</f>
        <v>No Pay</v>
      </c>
      <c r="H994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94" s="24">
        <f>IF(tblEmployee[[#This Row],[Payable Flag]]="N",0,1)</f>
        <v>0</v>
      </c>
      <c r="J994" s="24"/>
    </row>
    <row r="995" spans="7:10" x14ac:dyDescent="0.25">
      <c r="G995" s="24" t="str">
        <f>IF(tblEmployee[[#This Row],[Payable Flag]]="Y","Pay","No Pay")</f>
        <v>No Pay</v>
      </c>
      <c r="H995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95" s="24">
        <f>IF(tblEmployee[[#This Row],[Payable Flag]]="N",0,1)</f>
        <v>0</v>
      </c>
      <c r="J995" s="24"/>
    </row>
    <row r="996" spans="7:10" x14ac:dyDescent="0.25">
      <c r="G996" s="24" t="str">
        <f>IF(tblEmployee[[#This Row],[Payable Flag]]="Y","Pay","No Pay")</f>
        <v>No Pay</v>
      </c>
      <c r="H996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96" s="24">
        <f>IF(tblEmployee[[#This Row],[Payable Flag]]="N",0,1)</f>
        <v>0</v>
      </c>
      <c r="J996" s="24"/>
    </row>
    <row r="997" spans="7:10" x14ac:dyDescent="0.25">
      <c r="G997" s="24" t="str">
        <f>IF(tblEmployee[[#This Row],[Payable Flag]]="Y","Pay","No Pay")</f>
        <v>No Pay</v>
      </c>
      <c r="H997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97" s="24">
        <f>IF(tblEmployee[[#This Row],[Payable Flag]]="N",0,1)</f>
        <v>0</v>
      </c>
      <c r="J997" s="24"/>
    </row>
    <row r="998" spans="7:10" x14ac:dyDescent="0.25">
      <c r="G998" s="24" t="str">
        <f>IF(tblEmployee[[#This Row],[Payable Flag]]="Y","Pay","No Pay")</f>
        <v>No Pay</v>
      </c>
      <c r="H998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98" s="24">
        <f>IF(tblEmployee[[#This Row],[Payable Flag]]="N",0,1)</f>
        <v>0</v>
      </c>
      <c r="J998" s="24"/>
    </row>
    <row r="999" spans="7:10" x14ac:dyDescent="0.25">
      <c r="G999" s="24" t="str">
        <f>IF(tblEmployee[[#This Row],[Payable Flag]]="Y","Pay","No Pay")</f>
        <v>No Pay</v>
      </c>
      <c r="H999" s="26" t="str">
        <f>IF(AND(tblEmployee[[#This Row],[Employee Start]]&lt;&gt;"",tblEmployee[[#This Row],[Employee End]]=""),IF(LOWER(TRIM(tblEmployee[[#This Row],[Leave Type]]))="injury","N",IF(LOWER(TRIM(tblEmployee[[#This Row],[Leave Type]]))="sick",IF(AND(tblEmployee[[#This Row],[Leave Period From]]&lt;&gt;"",DATEDIF(tblEmployee[[#This Row],[Employee Start]],tblEmployee[[#This Row],[Leave Period From]],"m")&lt;6),"N","Y"),"Y")),"N")</f>
        <v>N</v>
      </c>
      <c r="I999" s="24">
        <f>IF(tblEmployee[[#This Row],[Payable Flag]]="N",0,1)</f>
        <v>0</v>
      </c>
      <c r="J999" s="24"/>
    </row>
  </sheetData>
  <phoneticPr fontId="6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12AEFD3-54CE-4D07-9F96-619931BEE977}">
          <x14:formula1>
            <xm:f>Rules!#REF!</xm:f>
          </x14:formula1>
          <xm:sqref>L5:M1048576 M4 L2:M3</xm:sqref>
        </x14:dataValidation>
        <x14:dataValidation type="list" allowBlank="1" showInputMessage="1" showErrorMessage="1" xr:uid="{F16B01A5-1613-48D9-AD5D-B227E156D548}">
          <x14:formula1>
            <xm:f>Rules!$F$2:$F$5</xm:f>
          </x14:formula1>
          <xm:sqref>F1:F1048576</xm:sqref>
        </x14:dataValidation>
        <x14:dataValidation type="list" allowBlank="1" showInputMessage="1" showErrorMessage="1" xr:uid="{B42CF3D2-23C2-43D6-B279-5D741EB14CB6}">
          <x14:formula1>
            <xm:f>Rules!$H:$H</xm:f>
          </x14:formula1>
          <xm:sqref>C1:C1048576</xm:sqref>
        </x14:dataValidation>
        <x14:dataValidation type="list" allowBlank="1" showInputMessage="1" showErrorMessage="1" xr:uid="{79AA76CE-09CE-466E-9260-3F2CF2402127}">
          <x14:formula1>
            <xm:f>Rules!$F$8:$F$9</xm:f>
          </x14:formula1>
          <xm:sqref>J1:J1048576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7A23D-36B3-428D-B8CF-9A19CDED2204}">
  <dimension ref="A1:G1"/>
  <sheetViews>
    <sheetView workbookViewId="0">
      <selection activeCell="A2" sqref="A2:G3"/>
    </sheetView>
  </sheetViews>
  <sheetFormatPr defaultRowHeight="15" x14ac:dyDescent="0.25"/>
  <cols>
    <col min="1" max="1" width="14.7109375" bestFit="1" customWidth="1"/>
    <col min="2" max="2" width="40.28515625" bestFit="1" customWidth="1"/>
    <col min="3" max="3" width="18.140625" style="10" bestFit="1" customWidth="1"/>
    <col min="4" max="4" width="17.28515625" style="10" bestFit="1" customWidth="1"/>
    <col min="5" max="5" width="30.42578125" bestFit="1" customWidth="1"/>
    <col min="6" max="6" width="32.85546875" bestFit="1" customWidth="1"/>
    <col min="7" max="7" width="18.140625" bestFit="1" customWidth="1"/>
  </cols>
  <sheetData>
    <row r="1" spans="1:7" x14ac:dyDescent="0.25">
      <c r="A1" t="s">
        <v>51</v>
      </c>
      <c r="B1" t="s">
        <v>605</v>
      </c>
      <c r="C1" s="10" t="s">
        <v>606</v>
      </c>
      <c r="D1" s="10" t="s">
        <v>607</v>
      </c>
      <c r="E1" t="s">
        <v>608</v>
      </c>
      <c r="F1" t="s">
        <v>609</v>
      </c>
      <c r="G1" t="s">
        <v>610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9A5E90-551B-424E-84D3-20A1C6E77E95}">
          <x14:formula1>
            <xm:f>Rules!$A$2:$A$6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14326-B40A-4F29-9894-C0FA6AE9ECE0}">
  <sheetPr codeName="Sheet6"/>
  <dimension ref="A1:G53"/>
  <sheetViews>
    <sheetView workbookViewId="0">
      <selection activeCell="A14" sqref="A14"/>
    </sheetView>
  </sheetViews>
  <sheetFormatPr defaultColWidth="36.42578125" defaultRowHeight="15" x14ac:dyDescent="0.25"/>
  <cols>
    <col min="1" max="1" width="14.140625" customWidth="1"/>
    <col min="2" max="2" width="13.28515625" style="10" customWidth="1"/>
    <col min="3" max="3" width="12.42578125" style="10" customWidth="1"/>
    <col min="4" max="4" width="15.7109375" customWidth="1"/>
    <col min="5" max="5" width="10.85546875" customWidth="1"/>
    <col min="6" max="6" width="8.85546875" customWidth="1"/>
    <col min="7" max="7" width="7.140625" customWidth="1"/>
  </cols>
  <sheetData>
    <row r="1" spans="1:7" x14ac:dyDescent="0.25">
      <c r="A1" s="30" t="s">
        <v>74</v>
      </c>
      <c r="B1" s="38" t="s">
        <v>75</v>
      </c>
      <c r="C1" s="38" t="s">
        <v>76</v>
      </c>
      <c r="D1" s="30" t="s">
        <v>77</v>
      </c>
      <c r="E1" s="32" t="s">
        <v>78</v>
      </c>
      <c r="F1" s="32" t="s">
        <v>79</v>
      </c>
      <c r="G1" s="32" t="s">
        <v>80</v>
      </c>
    </row>
    <row r="2" spans="1:7" x14ac:dyDescent="0.25">
      <c r="A2" s="33" t="s">
        <v>81</v>
      </c>
      <c r="B2" s="39">
        <v>46027</v>
      </c>
      <c r="C2" s="39">
        <v>46032</v>
      </c>
      <c r="D2" s="33" t="s">
        <v>55</v>
      </c>
      <c r="E2" s="31">
        <v>1</v>
      </c>
      <c r="F2" s="31">
        <v>1</v>
      </c>
      <c r="G2" s="31">
        <v>2026</v>
      </c>
    </row>
    <row r="3" spans="1:7" x14ac:dyDescent="0.25">
      <c r="A3" s="33" t="s">
        <v>82</v>
      </c>
      <c r="B3" s="39">
        <v>46034</v>
      </c>
      <c r="C3" s="39">
        <v>46039</v>
      </c>
      <c r="D3" s="33" t="s">
        <v>55</v>
      </c>
      <c r="E3" s="31">
        <v>2</v>
      </c>
      <c r="F3" s="31">
        <v>1</v>
      </c>
      <c r="G3" s="31">
        <v>2026</v>
      </c>
    </row>
    <row r="4" spans="1:7" x14ac:dyDescent="0.25">
      <c r="A4" s="33" t="s">
        <v>83</v>
      </c>
      <c r="B4" s="39">
        <v>46041</v>
      </c>
      <c r="C4" s="39">
        <v>46046</v>
      </c>
      <c r="D4" s="33" t="s">
        <v>55</v>
      </c>
      <c r="E4" s="31">
        <v>3</v>
      </c>
      <c r="F4" s="31">
        <v>1</v>
      </c>
      <c r="G4" s="31">
        <v>2026</v>
      </c>
    </row>
    <row r="5" spans="1:7" x14ac:dyDescent="0.25">
      <c r="A5" s="33" t="s">
        <v>84</v>
      </c>
      <c r="B5" s="39">
        <v>46048</v>
      </c>
      <c r="C5" s="39">
        <v>46053</v>
      </c>
      <c r="D5" s="33" t="s">
        <v>55</v>
      </c>
      <c r="E5" s="31">
        <v>4</v>
      </c>
      <c r="F5" s="31">
        <v>1</v>
      </c>
      <c r="G5" s="31">
        <v>2026</v>
      </c>
    </row>
    <row r="6" spans="1:7" x14ac:dyDescent="0.25">
      <c r="A6" s="33" t="s">
        <v>85</v>
      </c>
      <c r="B6" s="39">
        <v>46055</v>
      </c>
      <c r="C6" s="39">
        <v>46060</v>
      </c>
      <c r="D6" s="33" t="s">
        <v>55</v>
      </c>
      <c r="E6" s="31">
        <v>5</v>
      </c>
      <c r="F6" s="31">
        <v>2</v>
      </c>
      <c r="G6" s="31">
        <v>2026</v>
      </c>
    </row>
    <row r="7" spans="1:7" x14ac:dyDescent="0.25">
      <c r="A7" s="33" t="s">
        <v>86</v>
      </c>
      <c r="B7" s="39">
        <v>46062</v>
      </c>
      <c r="C7" s="39">
        <v>46067</v>
      </c>
      <c r="D7" s="33" t="s">
        <v>55</v>
      </c>
      <c r="E7" s="31">
        <v>6</v>
      </c>
      <c r="F7" s="31">
        <v>2</v>
      </c>
      <c r="G7" s="31">
        <v>2026</v>
      </c>
    </row>
    <row r="8" spans="1:7" x14ac:dyDescent="0.25">
      <c r="A8" s="33" t="s">
        <v>87</v>
      </c>
      <c r="B8" s="39">
        <v>46069</v>
      </c>
      <c r="C8" s="39">
        <v>46074</v>
      </c>
      <c r="D8" s="33" t="s">
        <v>55</v>
      </c>
      <c r="E8" s="31">
        <v>7</v>
      </c>
      <c r="F8" s="31">
        <v>2</v>
      </c>
      <c r="G8" s="31">
        <v>2026</v>
      </c>
    </row>
    <row r="9" spans="1:7" x14ac:dyDescent="0.25">
      <c r="A9" s="33" t="s">
        <v>88</v>
      </c>
      <c r="B9" s="39">
        <v>46076</v>
      </c>
      <c r="C9" s="39">
        <v>46081</v>
      </c>
      <c r="D9" s="33" t="s">
        <v>55</v>
      </c>
      <c r="E9" s="31">
        <v>8</v>
      </c>
      <c r="F9" s="31">
        <v>2</v>
      </c>
      <c r="G9" s="31">
        <v>2026</v>
      </c>
    </row>
    <row r="10" spans="1:7" x14ac:dyDescent="0.25">
      <c r="A10" s="33" t="s">
        <v>89</v>
      </c>
      <c r="B10" s="39">
        <v>46083</v>
      </c>
      <c r="C10" s="39">
        <v>46088</v>
      </c>
      <c r="D10" s="33" t="s">
        <v>55</v>
      </c>
      <c r="E10" s="31">
        <v>9</v>
      </c>
      <c r="F10" s="31">
        <v>3</v>
      </c>
      <c r="G10" s="31">
        <v>2026</v>
      </c>
    </row>
    <row r="11" spans="1:7" x14ac:dyDescent="0.25">
      <c r="A11" s="33" t="s">
        <v>90</v>
      </c>
      <c r="B11" s="39">
        <v>46090</v>
      </c>
      <c r="C11" s="39">
        <v>46095</v>
      </c>
      <c r="D11" s="33" t="s">
        <v>55</v>
      </c>
      <c r="E11" s="31">
        <v>10</v>
      </c>
      <c r="F11" s="31">
        <v>3</v>
      </c>
      <c r="G11" s="31">
        <v>2026</v>
      </c>
    </row>
    <row r="12" spans="1:7" x14ac:dyDescent="0.25">
      <c r="A12" s="33" t="s">
        <v>91</v>
      </c>
      <c r="B12" s="39">
        <v>46097</v>
      </c>
      <c r="C12" s="39">
        <v>46102</v>
      </c>
      <c r="D12" s="33" t="s">
        <v>55</v>
      </c>
      <c r="E12" s="31">
        <v>11</v>
      </c>
      <c r="F12" s="31">
        <v>3</v>
      </c>
      <c r="G12" s="31">
        <v>2026</v>
      </c>
    </row>
    <row r="13" spans="1:7" x14ac:dyDescent="0.25">
      <c r="A13" s="33" t="s">
        <v>92</v>
      </c>
      <c r="B13" s="39">
        <v>46104</v>
      </c>
      <c r="C13" s="39">
        <v>46109</v>
      </c>
      <c r="D13" s="33" t="s">
        <v>55</v>
      </c>
      <c r="E13" s="31">
        <v>12</v>
      </c>
      <c r="F13" s="31">
        <v>3</v>
      </c>
      <c r="G13" s="31">
        <v>2026</v>
      </c>
    </row>
    <row r="14" spans="1:7" x14ac:dyDescent="0.25">
      <c r="A14" s="33" t="s">
        <v>93</v>
      </c>
      <c r="B14" s="39">
        <v>46111</v>
      </c>
      <c r="C14" s="39">
        <v>46116</v>
      </c>
      <c r="D14" s="33" t="s">
        <v>55</v>
      </c>
      <c r="E14" s="31">
        <v>13</v>
      </c>
      <c r="F14" s="31">
        <v>4</v>
      </c>
      <c r="G14" s="31">
        <v>2026</v>
      </c>
    </row>
    <row r="15" spans="1:7" x14ac:dyDescent="0.25">
      <c r="A15" s="33" t="s">
        <v>94</v>
      </c>
      <c r="B15" s="39">
        <v>46118</v>
      </c>
      <c r="C15" s="39">
        <v>46123</v>
      </c>
      <c r="D15" s="33" t="s">
        <v>55</v>
      </c>
      <c r="E15" s="31">
        <v>14</v>
      </c>
      <c r="F15" s="31">
        <v>4</v>
      </c>
      <c r="G15" s="31">
        <v>2026</v>
      </c>
    </row>
    <row r="16" spans="1:7" x14ac:dyDescent="0.25">
      <c r="A16" s="33" t="s">
        <v>95</v>
      </c>
      <c r="B16" s="39">
        <v>46125</v>
      </c>
      <c r="C16" s="39">
        <v>46130</v>
      </c>
      <c r="D16" s="33" t="s">
        <v>55</v>
      </c>
      <c r="E16" s="31">
        <v>15</v>
      </c>
      <c r="F16" s="31">
        <v>4</v>
      </c>
      <c r="G16" s="31">
        <v>2026</v>
      </c>
    </row>
    <row r="17" spans="1:7" x14ac:dyDescent="0.25">
      <c r="A17" s="33" t="s">
        <v>96</v>
      </c>
      <c r="B17" s="39">
        <v>46132</v>
      </c>
      <c r="C17" s="39">
        <v>46137</v>
      </c>
      <c r="D17" s="33" t="s">
        <v>55</v>
      </c>
      <c r="E17" s="31">
        <v>16</v>
      </c>
      <c r="F17" s="31">
        <v>4</v>
      </c>
      <c r="G17" s="31">
        <v>2026</v>
      </c>
    </row>
    <row r="18" spans="1:7" x14ac:dyDescent="0.25">
      <c r="A18" s="33" t="s">
        <v>97</v>
      </c>
      <c r="B18" s="39">
        <v>46139</v>
      </c>
      <c r="C18" s="39">
        <v>46144</v>
      </c>
      <c r="D18" s="33" t="s">
        <v>55</v>
      </c>
      <c r="E18" s="31">
        <v>17</v>
      </c>
      <c r="F18" s="31">
        <v>5</v>
      </c>
      <c r="G18" s="31">
        <v>2026</v>
      </c>
    </row>
    <row r="19" spans="1:7" x14ac:dyDescent="0.25">
      <c r="A19" s="33" t="s">
        <v>98</v>
      </c>
      <c r="B19" s="39">
        <v>46146</v>
      </c>
      <c r="C19" s="39">
        <v>46151</v>
      </c>
      <c r="D19" s="33" t="s">
        <v>55</v>
      </c>
      <c r="E19" s="31">
        <v>18</v>
      </c>
      <c r="F19" s="31">
        <v>5</v>
      </c>
      <c r="G19" s="31">
        <v>2026</v>
      </c>
    </row>
    <row r="20" spans="1:7" x14ac:dyDescent="0.25">
      <c r="A20" s="33" t="s">
        <v>99</v>
      </c>
      <c r="B20" s="39">
        <v>46153</v>
      </c>
      <c r="C20" s="39">
        <v>46158</v>
      </c>
      <c r="D20" s="33" t="s">
        <v>55</v>
      </c>
      <c r="E20" s="31">
        <v>19</v>
      </c>
      <c r="F20" s="31">
        <v>5</v>
      </c>
      <c r="G20" s="31">
        <v>2026</v>
      </c>
    </row>
    <row r="21" spans="1:7" x14ac:dyDescent="0.25">
      <c r="A21" s="33" t="s">
        <v>100</v>
      </c>
      <c r="B21" s="39">
        <v>46160</v>
      </c>
      <c r="C21" s="39">
        <v>46165</v>
      </c>
      <c r="D21" s="33" t="s">
        <v>55</v>
      </c>
      <c r="E21" s="31">
        <v>20</v>
      </c>
      <c r="F21" s="31">
        <v>5</v>
      </c>
      <c r="G21" s="31">
        <v>2026</v>
      </c>
    </row>
    <row r="22" spans="1:7" x14ac:dyDescent="0.25">
      <c r="A22" s="33" t="s">
        <v>101</v>
      </c>
      <c r="B22" s="39">
        <v>46167</v>
      </c>
      <c r="C22" s="39">
        <v>46172</v>
      </c>
      <c r="D22" s="33" t="s">
        <v>55</v>
      </c>
      <c r="E22" s="31">
        <v>21</v>
      </c>
      <c r="F22" s="31">
        <v>5</v>
      </c>
      <c r="G22" s="31">
        <v>2026</v>
      </c>
    </row>
    <row r="23" spans="1:7" x14ac:dyDescent="0.25">
      <c r="A23" s="33" t="s">
        <v>102</v>
      </c>
      <c r="B23" s="39">
        <v>46174</v>
      </c>
      <c r="C23" s="39">
        <v>46179</v>
      </c>
      <c r="D23" s="33" t="s">
        <v>55</v>
      </c>
      <c r="E23" s="31">
        <v>22</v>
      </c>
      <c r="F23" s="31">
        <v>6</v>
      </c>
      <c r="G23" s="31">
        <v>2026</v>
      </c>
    </row>
    <row r="24" spans="1:7" x14ac:dyDescent="0.25">
      <c r="A24" s="33" t="s">
        <v>103</v>
      </c>
      <c r="B24" s="39">
        <v>46181</v>
      </c>
      <c r="C24" s="39">
        <v>46186</v>
      </c>
      <c r="D24" s="33" t="s">
        <v>55</v>
      </c>
      <c r="E24" s="31">
        <v>23</v>
      </c>
      <c r="F24" s="31">
        <v>6</v>
      </c>
      <c r="G24" s="31">
        <v>2026</v>
      </c>
    </row>
    <row r="25" spans="1:7" x14ac:dyDescent="0.25">
      <c r="A25" s="33" t="s">
        <v>104</v>
      </c>
      <c r="B25" s="39">
        <v>46188</v>
      </c>
      <c r="C25" s="39">
        <v>46193</v>
      </c>
      <c r="D25" s="33" t="s">
        <v>55</v>
      </c>
      <c r="E25" s="31">
        <v>24</v>
      </c>
      <c r="F25" s="31">
        <v>6</v>
      </c>
      <c r="G25" s="31">
        <v>2026</v>
      </c>
    </row>
    <row r="26" spans="1:7" x14ac:dyDescent="0.25">
      <c r="A26" s="33" t="s">
        <v>105</v>
      </c>
      <c r="B26" s="39">
        <v>46195</v>
      </c>
      <c r="C26" s="39">
        <v>46200</v>
      </c>
      <c r="D26" s="33" t="s">
        <v>55</v>
      </c>
      <c r="E26" s="31">
        <v>25</v>
      </c>
      <c r="F26" s="31">
        <v>6</v>
      </c>
      <c r="G26" s="31">
        <v>2026</v>
      </c>
    </row>
    <row r="27" spans="1:7" x14ac:dyDescent="0.25">
      <c r="A27" s="33" t="s">
        <v>106</v>
      </c>
      <c r="B27" s="39">
        <v>46202</v>
      </c>
      <c r="C27" s="39">
        <v>46207</v>
      </c>
      <c r="D27" s="33" t="s">
        <v>55</v>
      </c>
      <c r="E27" s="31">
        <v>26</v>
      </c>
      <c r="F27" s="31">
        <v>7</v>
      </c>
      <c r="G27" s="31">
        <v>2026</v>
      </c>
    </row>
    <row r="28" spans="1:7" x14ac:dyDescent="0.25">
      <c r="A28" s="33" t="s">
        <v>107</v>
      </c>
      <c r="B28" s="39">
        <v>46209</v>
      </c>
      <c r="C28" s="39">
        <v>46214</v>
      </c>
      <c r="D28" s="33" t="s">
        <v>55</v>
      </c>
      <c r="E28" s="31">
        <v>27</v>
      </c>
      <c r="F28" s="31">
        <v>7</v>
      </c>
      <c r="G28" s="31">
        <v>2026</v>
      </c>
    </row>
    <row r="29" spans="1:7" x14ac:dyDescent="0.25">
      <c r="A29" s="33" t="s">
        <v>108</v>
      </c>
      <c r="B29" s="39">
        <v>46216</v>
      </c>
      <c r="C29" s="39">
        <v>46221</v>
      </c>
      <c r="D29" s="33" t="s">
        <v>55</v>
      </c>
      <c r="E29" s="31">
        <v>28</v>
      </c>
      <c r="F29" s="31">
        <v>7</v>
      </c>
      <c r="G29" s="31">
        <v>2026</v>
      </c>
    </row>
    <row r="30" spans="1:7" x14ac:dyDescent="0.25">
      <c r="A30" s="33" t="s">
        <v>109</v>
      </c>
      <c r="B30" s="39">
        <v>46223</v>
      </c>
      <c r="C30" s="39">
        <v>46228</v>
      </c>
      <c r="D30" s="33" t="s">
        <v>55</v>
      </c>
      <c r="E30" s="31">
        <v>29</v>
      </c>
      <c r="F30" s="31">
        <v>7</v>
      </c>
      <c r="G30" s="31">
        <v>2026</v>
      </c>
    </row>
    <row r="31" spans="1:7" x14ac:dyDescent="0.25">
      <c r="A31" s="33" t="s">
        <v>110</v>
      </c>
      <c r="B31" s="39">
        <v>46230</v>
      </c>
      <c r="C31" s="39">
        <v>46235</v>
      </c>
      <c r="D31" s="33" t="s">
        <v>55</v>
      </c>
      <c r="E31" s="31">
        <v>30</v>
      </c>
      <c r="F31" s="31">
        <v>7</v>
      </c>
      <c r="G31" s="31">
        <v>2026</v>
      </c>
    </row>
    <row r="32" spans="1:7" x14ac:dyDescent="0.25">
      <c r="A32" s="33" t="s">
        <v>111</v>
      </c>
      <c r="B32" s="39">
        <v>46237</v>
      </c>
      <c r="C32" s="39">
        <v>46242</v>
      </c>
      <c r="D32" s="33" t="s">
        <v>55</v>
      </c>
      <c r="E32" s="31">
        <v>31</v>
      </c>
      <c r="F32" s="31">
        <v>8</v>
      </c>
      <c r="G32" s="31">
        <v>2026</v>
      </c>
    </row>
    <row r="33" spans="1:7" x14ac:dyDescent="0.25">
      <c r="A33" s="33" t="s">
        <v>112</v>
      </c>
      <c r="B33" s="39">
        <v>46244</v>
      </c>
      <c r="C33" s="39">
        <v>46249</v>
      </c>
      <c r="D33" s="33" t="s">
        <v>55</v>
      </c>
      <c r="E33" s="31">
        <v>32</v>
      </c>
      <c r="F33" s="31">
        <v>8</v>
      </c>
      <c r="G33" s="31">
        <v>2026</v>
      </c>
    </row>
    <row r="34" spans="1:7" x14ac:dyDescent="0.25">
      <c r="A34" s="33" t="s">
        <v>113</v>
      </c>
      <c r="B34" s="39">
        <v>46251</v>
      </c>
      <c r="C34" s="39">
        <v>46256</v>
      </c>
      <c r="D34" s="33" t="s">
        <v>55</v>
      </c>
      <c r="E34" s="31">
        <v>33</v>
      </c>
      <c r="F34" s="31">
        <v>8</v>
      </c>
      <c r="G34" s="31">
        <v>2026</v>
      </c>
    </row>
    <row r="35" spans="1:7" x14ac:dyDescent="0.25">
      <c r="A35" s="33" t="s">
        <v>114</v>
      </c>
      <c r="B35" s="39">
        <v>46258</v>
      </c>
      <c r="C35" s="39">
        <v>46263</v>
      </c>
      <c r="D35" s="33" t="s">
        <v>55</v>
      </c>
      <c r="E35" s="31">
        <v>34</v>
      </c>
      <c r="F35" s="31">
        <v>8</v>
      </c>
      <c r="G35" s="31">
        <v>2026</v>
      </c>
    </row>
    <row r="36" spans="1:7" x14ac:dyDescent="0.25">
      <c r="A36" s="33" t="s">
        <v>115</v>
      </c>
      <c r="B36" s="39">
        <v>46265</v>
      </c>
      <c r="C36" s="39">
        <v>46270</v>
      </c>
      <c r="D36" s="33" t="s">
        <v>55</v>
      </c>
      <c r="E36" s="31">
        <v>35</v>
      </c>
      <c r="F36" s="31">
        <v>8</v>
      </c>
      <c r="G36" s="31">
        <v>2026</v>
      </c>
    </row>
    <row r="37" spans="1:7" x14ac:dyDescent="0.25">
      <c r="A37" s="33" t="s">
        <v>116</v>
      </c>
      <c r="B37" s="39">
        <v>46272</v>
      </c>
      <c r="C37" s="39">
        <v>46277</v>
      </c>
      <c r="D37" s="33" t="s">
        <v>55</v>
      </c>
      <c r="E37" s="31">
        <v>36</v>
      </c>
      <c r="F37" s="31">
        <v>9</v>
      </c>
      <c r="G37" s="31">
        <v>2026</v>
      </c>
    </row>
    <row r="38" spans="1:7" x14ac:dyDescent="0.25">
      <c r="A38" s="33" t="s">
        <v>117</v>
      </c>
      <c r="B38" s="39">
        <v>46279</v>
      </c>
      <c r="C38" s="39">
        <v>46284</v>
      </c>
      <c r="D38" s="33" t="s">
        <v>55</v>
      </c>
      <c r="E38" s="31">
        <v>37</v>
      </c>
      <c r="F38" s="31">
        <v>9</v>
      </c>
      <c r="G38" s="31">
        <v>2026</v>
      </c>
    </row>
    <row r="39" spans="1:7" x14ac:dyDescent="0.25">
      <c r="A39" s="33" t="s">
        <v>118</v>
      </c>
      <c r="B39" s="39">
        <v>46286</v>
      </c>
      <c r="C39" s="39">
        <v>46291</v>
      </c>
      <c r="D39" s="33" t="s">
        <v>55</v>
      </c>
      <c r="E39" s="31">
        <v>38</v>
      </c>
      <c r="F39" s="31">
        <v>9</v>
      </c>
      <c r="G39" s="31">
        <v>2026</v>
      </c>
    </row>
    <row r="40" spans="1:7" x14ac:dyDescent="0.25">
      <c r="A40" s="33" t="s">
        <v>119</v>
      </c>
      <c r="B40" s="39">
        <v>46293</v>
      </c>
      <c r="C40" s="39">
        <v>46298</v>
      </c>
      <c r="D40" s="33" t="s">
        <v>55</v>
      </c>
      <c r="E40" s="31">
        <v>39</v>
      </c>
      <c r="F40" s="31">
        <v>9</v>
      </c>
      <c r="G40" s="31">
        <v>2026</v>
      </c>
    </row>
    <row r="41" spans="1:7" x14ac:dyDescent="0.25">
      <c r="A41" s="33" t="s">
        <v>120</v>
      </c>
      <c r="B41" s="39">
        <v>46300</v>
      </c>
      <c r="C41" s="39">
        <v>46305</v>
      </c>
      <c r="D41" s="33" t="s">
        <v>55</v>
      </c>
      <c r="E41" s="31">
        <v>40</v>
      </c>
      <c r="F41" s="31">
        <v>10</v>
      </c>
      <c r="G41" s="31">
        <v>2026</v>
      </c>
    </row>
    <row r="42" spans="1:7" x14ac:dyDescent="0.25">
      <c r="A42" s="33" t="s">
        <v>121</v>
      </c>
      <c r="B42" s="39">
        <v>46307</v>
      </c>
      <c r="C42" s="39">
        <v>46312</v>
      </c>
      <c r="D42" s="33" t="s">
        <v>55</v>
      </c>
      <c r="E42" s="31">
        <v>41</v>
      </c>
      <c r="F42" s="31">
        <v>10</v>
      </c>
      <c r="G42" s="31">
        <v>2026</v>
      </c>
    </row>
    <row r="43" spans="1:7" x14ac:dyDescent="0.25">
      <c r="A43" s="33" t="s">
        <v>122</v>
      </c>
      <c r="B43" s="39">
        <v>46314</v>
      </c>
      <c r="C43" s="39">
        <v>46319</v>
      </c>
      <c r="D43" s="33" t="s">
        <v>55</v>
      </c>
      <c r="E43" s="31">
        <v>42</v>
      </c>
      <c r="F43" s="31">
        <v>10</v>
      </c>
      <c r="G43" s="31">
        <v>2026</v>
      </c>
    </row>
    <row r="44" spans="1:7" x14ac:dyDescent="0.25">
      <c r="A44" s="33" t="s">
        <v>123</v>
      </c>
      <c r="B44" s="39">
        <v>46321</v>
      </c>
      <c r="C44" s="39">
        <v>46326</v>
      </c>
      <c r="D44" s="33" t="s">
        <v>55</v>
      </c>
      <c r="E44" s="31">
        <v>43</v>
      </c>
      <c r="F44" s="31">
        <v>10</v>
      </c>
      <c r="G44" s="31">
        <v>2026</v>
      </c>
    </row>
    <row r="45" spans="1:7" x14ac:dyDescent="0.25">
      <c r="A45" s="33" t="s">
        <v>124</v>
      </c>
      <c r="B45" s="39">
        <v>46328</v>
      </c>
      <c r="C45" s="39">
        <v>46333</v>
      </c>
      <c r="D45" s="33" t="s">
        <v>55</v>
      </c>
      <c r="E45" s="31">
        <v>44</v>
      </c>
      <c r="F45" s="31">
        <v>11</v>
      </c>
      <c r="G45" s="31">
        <v>2026</v>
      </c>
    </row>
    <row r="46" spans="1:7" x14ac:dyDescent="0.25">
      <c r="A46" s="33" t="s">
        <v>125</v>
      </c>
      <c r="B46" s="39">
        <v>46335</v>
      </c>
      <c r="C46" s="39">
        <v>46340</v>
      </c>
      <c r="D46" s="33" t="s">
        <v>55</v>
      </c>
      <c r="E46" s="31">
        <v>45</v>
      </c>
      <c r="F46" s="31">
        <v>11</v>
      </c>
      <c r="G46" s="31">
        <v>2026</v>
      </c>
    </row>
    <row r="47" spans="1:7" x14ac:dyDescent="0.25">
      <c r="A47" s="33" t="s">
        <v>126</v>
      </c>
      <c r="B47" s="39">
        <v>46342</v>
      </c>
      <c r="C47" s="39">
        <v>46347</v>
      </c>
      <c r="D47" s="33" t="s">
        <v>55</v>
      </c>
      <c r="E47" s="31">
        <v>46</v>
      </c>
      <c r="F47" s="31">
        <v>11</v>
      </c>
      <c r="G47" s="31">
        <v>2026</v>
      </c>
    </row>
    <row r="48" spans="1:7" x14ac:dyDescent="0.25">
      <c r="A48" s="33" t="s">
        <v>127</v>
      </c>
      <c r="B48" s="39">
        <v>46349</v>
      </c>
      <c r="C48" s="39">
        <v>46354</v>
      </c>
      <c r="D48" s="33" t="s">
        <v>55</v>
      </c>
      <c r="E48" s="31">
        <v>47</v>
      </c>
      <c r="F48" s="31">
        <v>11</v>
      </c>
      <c r="G48" s="31">
        <v>2026</v>
      </c>
    </row>
    <row r="49" spans="1:7" x14ac:dyDescent="0.25">
      <c r="A49" s="33" t="s">
        <v>128</v>
      </c>
      <c r="B49" s="39">
        <v>46356</v>
      </c>
      <c r="C49" s="39">
        <v>46361</v>
      </c>
      <c r="D49" s="33" t="s">
        <v>55</v>
      </c>
      <c r="E49" s="31">
        <v>48</v>
      </c>
      <c r="F49" s="31">
        <v>11</v>
      </c>
      <c r="G49" s="31">
        <v>2026</v>
      </c>
    </row>
    <row r="50" spans="1:7" x14ac:dyDescent="0.25">
      <c r="A50" s="33" t="s">
        <v>129</v>
      </c>
      <c r="B50" s="39">
        <v>46363</v>
      </c>
      <c r="C50" s="39">
        <v>46368</v>
      </c>
      <c r="D50" s="33" t="s">
        <v>55</v>
      </c>
      <c r="E50" s="31">
        <v>49</v>
      </c>
      <c r="F50" s="31">
        <v>12</v>
      </c>
      <c r="G50" s="31">
        <v>2026</v>
      </c>
    </row>
    <row r="51" spans="1:7" x14ac:dyDescent="0.25">
      <c r="A51" s="33" t="s">
        <v>130</v>
      </c>
      <c r="B51" s="39">
        <v>46370</v>
      </c>
      <c r="C51" s="39">
        <v>46375</v>
      </c>
      <c r="D51" s="33" t="s">
        <v>55</v>
      </c>
      <c r="E51" s="31">
        <v>50</v>
      </c>
      <c r="F51" s="31">
        <v>12</v>
      </c>
      <c r="G51" s="31">
        <v>2026</v>
      </c>
    </row>
    <row r="52" spans="1:7" x14ac:dyDescent="0.25">
      <c r="A52" s="33" t="s">
        <v>131</v>
      </c>
      <c r="B52" s="39">
        <v>46377</v>
      </c>
      <c r="C52" s="39">
        <v>46382</v>
      </c>
      <c r="D52" s="33" t="s">
        <v>55</v>
      </c>
      <c r="E52" s="31">
        <v>51</v>
      </c>
      <c r="F52" s="31">
        <v>12</v>
      </c>
      <c r="G52" s="31">
        <v>2026</v>
      </c>
    </row>
    <row r="53" spans="1:7" x14ac:dyDescent="0.25">
      <c r="A53" s="33" t="s">
        <v>132</v>
      </c>
      <c r="B53" s="39">
        <v>46384</v>
      </c>
      <c r="C53" s="39">
        <v>46389</v>
      </c>
      <c r="D53" s="33" t="s">
        <v>55</v>
      </c>
      <c r="E53" s="31">
        <v>52</v>
      </c>
      <c r="F53" s="31">
        <v>12</v>
      </c>
      <c r="G53" s="31">
        <v>2026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3E99B-E15F-4D2F-A7D8-D3A1477163A3}">
  <sheetPr codeName="Sheet9"/>
  <dimension ref="A1:PB116"/>
  <sheetViews>
    <sheetView topLeftCell="A13" workbookViewId="0">
      <pane xSplit="2" topLeftCell="G1" activePane="topRight" state="frozen"/>
      <selection pane="topRight" activeCell="N65" sqref="N65"/>
    </sheetView>
  </sheetViews>
  <sheetFormatPr defaultColWidth="16" defaultRowHeight="15" x14ac:dyDescent="0.25"/>
  <cols>
    <col min="1" max="1" width="17" bestFit="1" customWidth="1"/>
    <col min="2" max="2" width="22.28515625" customWidth="1"/>
    <col min="3" max="3" width="18.7109375" bestFit="1" customWidth="1"/>
    <col min="4" max="4" width="21.28515625" bestFit="1" customWidth="1"/>
    <col min="5" max="5" width="13.85546875" bestFit="1" customWidth="1"/>
    <col min="6" max="6" width="17.7109375" bestFit="1" customWidth="1"/>
    <col min="7" max="8" width="12.7109375" bestFit="1" customWidth="1"/>
    <col min="9" max="9" width="16.5703125" bestFit="1" customWidth="1"/>
    <col min="10" max="10" width="17" bestFit="1" customWidth="1"/>
    <col min="11" max="11" width="18.7109375" bestFit="1" customWidth="1"/>
    <col min="12" max="12" width="13" bestFit="1" customWidth="1"/>
    <col min="13" max="13" width="16.5703125" bestFit="1" customWidth="1"/>
    <col min="14" max="14" width="12.7109375" bestFit="1" customWidth="1"/>
    <col min="15" max="19" width="14.85546875" bestFit="1" customWidth="1"/>
    <col min="20" max="25" width="12.7109375" bestFit="1" customWidth="1"/>
    <col min="26" max="26" width="11.85546875" bestFit="1" customWidth="1"/>
    <col min="27" max="33" width="12.7109375" bestFit="1" customWidth="1"/>
    <col min="34" max="34" width="11.85546875" bestFit="1" customWidth="1"/>
    <col min="35" max="41" width="12.7109375" bestFit="1" customWidth="1"/>
    <col min="42" max="42" width="11.85546875" bestFit="1" customWidth="1"/>
    <col min="43" max="49" width="12.7109375" bestFit="1" customWidth="1"/>
    <col min="50" max="50" width="11.85546875" bestFit="1" customWidth="1"/>
    <col min="51" max="57" width="12.7109375" bestFit="1" customWidth="1"/>
    <col min="58" max="58" width="11.85546875" bestFit="1" customWidth="1"/>
    <col min="59" max="65" width="12.7109375" bestFit="1" customWidth="1"/>
    <col min="66" max="66" width="11.85546875" bestFit="1" customWidth="1"/>
    <col min="67" max="73" width="12.7109375" bestFit="1" customWidth="1"/>
    <col min="74" max="74" width="11.85546875" bestFit="1" customWidth="1"/>
    <col min="75" max="81" width="12.7109375" bestFit="1" customWidth="1"/>
    <col min="82" max="82" width="11.85546875" bestFit="1" customWidth="1"/>
    <col min="83" max="89" width="12.7109375" bestFit="1" customWidth="1"/>
    <col min="90" max="90" width="11.85546875" bestFit="1" customWidth="1"/>
    <col min="91" max="97" width="12.7109375" bestFit="1" customWidth="1"/>
    <col min="98" max="98" width="11.85546875" bestFit="1" customWidth="1"/>
    <col min="99" max="105" width="12.7109375" bestFit="1" customWidth="1"/>
    <col min="106" max="106" width="12.85546875" bestFit="1" customWidth="1"/>
    <col min="107" max="113" width="12.7109375" bestFit="1" customWidth="1"/>
    <col min="114" max="114" width="12.85546875" bestFit="1" customWidth="1"/>
    <col min="115" max="121" width="12.7109375" bestFit="1" customWidth="1"/>
    <col min="122" max="122" width="12.85546875" bestFit="1" customWidth="1"/>
    <col min="123" max="129" width="12.7109375" bestFit="1" customWidth="1"/>
    <col min="130" max="130" width="12.85546875" bestFit="1" customWidth="1"/>
    <col min="131" max="137" width="12.7109375" bestFit="1" customWidth="1"/>
    <col min="138" max="138" width="12.85546875" bestFit="1" customWidth="1"/>
    <col min="139" max="145" width="12.7109375" bestFit="1" customWidth="1"/>
    <col min="146" max="146" width="12.85546875" bestFit="1" customWidth="1"/>
    <col min="147" max="153" width="12.7109375" bestFit="1" customWidth="1"/>
    <col min="154" max="154" width="12.85546875" bestFit="1" customWidth="1"/>
    <col min="155" max="161" width="12.7109375" bestFit="1" customWidth="1"/>
    <col min="162" max="162" width="12.85546875" bestFit="1" customWidth="1"/>
    <col min="163" max="169" width="12.7109375" bestFit="1" customWidth="1"/>
    <col min="170" max="170" width="12.85546875" bestFit="1" customWidth="1"/>
    <col min="171" max="177" width="12.7109375" bestFit="1" customWidth="1"/>
    <col min="178" max="178" width="12.85546875" bestFit="1" customWidth="1"/>
    <col min="179" max="185" width="12.7109375" bestFit="1" customWidth="1"/>
    <col min="186" max="186" width="12.85546875" bestFit="1" customWidth="1"/>
    <col min="187" max="193" width="12.7109375" bestFit="1" customWidth="1"/>
    <col min="194" max="194" width="12.85546875" bestFit="1" customWidth="1"/>
    <col min="195" max="201" width="12.7109375" bestFit="1" customWidth="1"/>
    <col min="202" max="202" width="12.85546875" bestFit="1" customWidth="1"/>
    <col min="203" max="209" width="12.7109375" bestFit="1" customWidth="1"/>
    <col min="210" max="210" width="12.85546875" bestFit="1" customWidth="1"/>
    <col min="211" max="217" width="12.7109375" bestFit="1" customWidth="1"/>
    <col min="218" max="218" width="12.85546875" bestFit="1" customWidth="1"/>
    <col min="219" max="225" width="12.7109375" bestFit="1" customWidth="1"/>
    <col min="226" max="226" width="12.85546875" bestFit="1" customWidth="1"/>
    <col min="227" max="233" width="12.7109375" bestFit="1" customWidth="1"/>
    <col min="234" max="234" width="12.85546875" bestFit="1" customWidth="1"/>
    <col min="235" max="241" width="12.7109375" bestFit="1" customWidth="1"/>
    <col min="242" max="242" width="12.85546875" bestFit="1" customWidth="1"/>
    <col min="243" max="249" width="12.7109375" bestFit="1" customWidth="1"/>
    <col min="250" max="250" width="12.85546875" bestFit="1" customWidth="1"/>
    <col min="251" max="257" width="12.7109375" bestFit="1" customWidth="1"/>
    <col min="258" max="258" width="12.85546875" bestFit="1" customWidth="1"/>
    <col min="259" max="265" width="12.7109375" bestFit="1" customWidth="1"/>
    <col min="266" max="266" width="12.85546875" bestFit="1" customWidth="1"/>
    <col min="267" max="273" width="12.7109375" bestFit="1" customWidth="1"/>
    <col min="274" max="274" width="12.85546875" bestFit="1" customWidth="1"/>
    <col min="275" max="281" width="12.7109375" bestFit="1" customWidth="1"/>
    <col min="282" max="282" width="12.85546875" bestFit="1" customWidth="1"/>
    <col min="283" max="289" width="12.7109375" bestFit="1" customWidth="1"/>
    <col min="290" max="290" width="12.85546875" bestFit="1" customWidth="1"/>
    <col min="291" max="297" width="12.7109375" bestFit="1" customWidth="1"/>
    <col min="298" max="298" width="12.85546875" bestFit="1" customWidth="1"/>
    <col min="299" max="305" width="12.7109375" bestFit="1" customWidth="1"/>
    <col min="306" max="306" width="12.85546875" bestFit="1" customWidth="1"/>
    <col min="307" max="313" width="12.7109375" bestFit="1" customWidth="1"/>
    <col min="314" max="314" width="12.85546875" bestFit="1" customWidth="1"/>
    <col min="315" max="321" width="12.7109375" bestFit="1" customWidth="1"/>
    <col min="322" max="322" width="12.85546875" bestFit="1" customWidth="1"/>
    <col min="323" max="329" width="12.7109375" bestFit="1" customWidth="1"/>
    <col min="330" max="330" width="12.85546875" bestFit="1" customWidth="1"/>
    <col min="331" max="337" width="12.7109375" bestFit="1" customWidth="1"/>
    <col min="338" max="338" width="12.85546875" bestFit="1" customWidth="1"/>
    <col min="339" max="345" width="12.7109375" bestFit="1" customWidth="1"/>
    <col min="346" max="346" width="12.85546875" bestFit="1" customWidth="1"/>
    <col min="347" max="353" width="12.7109375" bestFit="1" customWidth="1"/>
    <col min="354" max="354" width="12.85546875" bestFit="1" customWidth="1"/>
    <col min="355" max="361" width="12.7109375" bestFit="1" customWidth="1"/>
    <col min="362" max="362" width="12.85546875" bestFit="1" customWidth="1"/>
    <col min="363" max="369" width="12.7109375" bestFit="1" customWidth="1"/>
    <col min="370" max="370" width="12.85546875" bestFit="1" customWidth="1"/>
    <col min="371" max="377" width="12.7109375" bestFit="1" customWidth="1"/>
    <col min="378" max="378" width="12.85546875" bestFit="1" customWidth="1"/>
    <col min="379" max="385" width="12.7109375" bestFit="1" customWidth="1"/>
    <col min="386" max="386" width="12.85546875" bestFit="1" customWidth="1"/>
    <col min="387" max="393" width="12.7109375" bestFit="1" customWidth="1"/>
    <col min="394" max="394" width="12.85546875" bestFit="1" customWidth="1"/>
    <col min="395" max="401" width="12.7109375" bestFit="1" customWidth="1"/>
    <col min="402" max="402" width="12.85546875" bestFit="1" customWidth="1"/>
    <col min="403" max="409" width="12.7109375" bestFit="1" customWidth="1"/>
    <col min="410" max="410" width="12.85546875" bestFit="1" customWidth="1"/>
    <col min="411" max="417" width="12.7109375" bestFit="1" customWidth="1"/>
    <col min="418" max="418" width="12.85546875" bestFit="1" customWidth="1"/>
  </cols>
  <sheetData>
    <row r="1" spans="1:418" s="60" customFormat="1" x14ac:dyDescent="0.25">
      <c r="A1" s="66" t="s">
        <v>51</v>
      </c>
      <c r="B1" s="61" t="s">
        <v>158</v>
      </c>
      <c r="C1" s="62" t="s">
        <v>159</v>
      </c>
      <c r="D1" s="62" t="s">
        <v>160</v>
      </c>
      <c r="E1" s="62" t="s">
        <v>161</v>
      </c>
      <c r="F1" s="62" t="s">
        <v>162</v>
      </c>
      <c r="G1" s="62" t="s">
        <v>163</v>
      </c>
      <c r="H1" s="62" t="s">
        <v>164</v>
      </c>
      <c r="I1" s="62" t="s">
        <v>165</v>
      </c>
      <c r="J1" s="33" t="s">
        <v>81</v>
      </c>
      <c r="K1" s="62" t="s">
        <v>166</v>
      </c>
      <c r="L1" s="62" t="s">
        <v>167</v>
      </c>
      <c r="M1" s="62" t="s">
        <v>168</v>
      </c>
      <c r="N1" s="62" t="s">
        <v>169</v>
      </c>
      <c r="O1" s="62" t="s">
        <v>170</v>
      </c>
      <c r="P1" s="62" t="s">
        <v>171</v>
      </c>
      <c r="Q1" s="62" t="s">
        <v>172</v>
      </c>
      <c r="R1" s="33" t="s">
        <v>82</v>
      </c>
      <c r="S1" s="62" t="s">
        <v>173</v>
      </c>
      <c r="T1" s="62" t="s">
        <v>174</v>
      </c>
      <c r="U1" s="62" t="s">
        <v>175</v>
      </c>
      <c r="V1" s="62" t="s">
        <v>176</v>
      </c>
      <c r="W1" s="62" t="s">
        <v>177</v>
      </c>
      <c r="X1" s="62" t="s">
        <v>178</v>
      </c>
      <c r="Y1" s="62" t="s">
        <v>179</v>
      </c>
      <c r="Z1" s="33" t="s">
        <v>83</v>
      </c>
      <c r="AA1" s="62" t="s">
        <v>180</v>
      </c>
      <c r="AB1" s="62" t="s">
        <v>181</v>
      </c>
      <c r="AC1" s="62" t="s">
        <v>182</v>
      </c>
      <c r="AD1" s="62" t="s">
        <v>183</v>
      </c>
      <c r="AE1" s="62" t="s">
        <v>184</v>
      </c>
      <c r="AF1" s="62" t="s">
        <v>185</v>
      </c>
      <c r="AG1" s="62" t="s">
        <v>186</v>
      </c>
      <c r="AH1" s="33" t="s">
        <v>84</v>
      </c>
      <c r="AI1" s="62" t="s">
        <v>187</v>
      </c>
      <c r="AJ1" s="62" t="s">
        <v>188</v>
      </c>
      <c r="AK1" s="62" t="s">
        <v>189</v>
      </c>
      <c r="AL1" s="62" t="s">
        <v>190</v>
      </c>
      <c r="AM1" s="62" t="s">
        <v>191</v>
      </c>
      <c r="AN1" s="62" t="s">
        <v>192</v>
      </c>
      <c r="AO1" s="62" t="s">
        <v>193</v>
      </c>
      <c r="AP1" s="33" t="s">
        <v>85</v>
      </c>
      <c r="AQ1" s="62" t="s">
        <v>194</v>
      </c>
      <c r="AR1" s="62" t="s">
        <v>195</v>
      </c>
      <c r="AS1" s="62" t="s">
        <v>196</v>
      </c>
      <c r="AT1" s="62" t="s">
        <v>197</v>
      </c>
      <c r="AU1" s="62" t="s">
        <v>198</v>
      </c>
      <c r="AV1" s="62" t="s">
        <v>199</v>
      </c>
      <c r="AW1" s="62" t="s">
        <v>200</v>
      </c>
      <c r="AX1" s="33" t="s">
        <v>86</v>
      </c>
      <c r="AY1" s="62" t="s">
        <v>201</v>
      </c>
      <c r="AZ1" s="62" t="s">
        <v>202</v>
      </c>
      <c r="BA1" s="62" t="s">
        <v>203</v>
      </c>
      <c r="BB1" s="62" t="s">
        <v>204</v>
      </c>
      <c r="BC1" s="62" t="s">
        <v>205</v>
      </c>
      <c r="BD1" s="62" t="s">
        <v>206</v>
      </c>
      <c r="BE1" s="62" t="s">
        <v>207</v>
      </c>
      <c r="BF1" s="33" t="s">
        <v>87</v>
      </c>
      <c r="BG1" s="62" t="s">
        <v>208</v>
      </c>
      <c r="BH1" s="62" t="s">
        <v>209</v>
      </c>
      <c r="BI1" s="62" t="s">
        <v>210</v>
      </c>
      <c r="BJ1" s="62" t="s">
        <v>211</v>
      </c>
      <c r="BK1" s="62" t="s">
        <v>212</v>
      </c>
      <c r="BL1" s="62" t="s">
        <v>213</v>
      </c>
      <c r="BM1" s="62" t="s">
        <v>214</v>
      </c>
      <c r="BN1" s="33" t="s">
        <v>88</v>
      </c>
      <c r="BO1" s="62" t="s">
        <v>215</v>
      </c>
      <c r="BP1" s="62" t="s">
        <v>216</v>
      </c>
      <c r="BQ1" s="62" t="s">
        <v>217</v>
      </c>
      <c r="BR1" s="62" t="s">
        <v>218</v>
      </c>
      <c r="BS1" s="62" t="s">
        <v>219</v>
      </c>
      <c r="BT1" s="62" t="s">
        <v>220</v>
      </c>
      <c r="BU1" s="62" t="s">
        <v>221</v>
      </c>
      <c r="BV1" s="33" t="s">
        <v>89</v>
      </c>
      <c r="BW1" s="62" t="s">
        <v>222</v>
      </c>
      <c r="BX1" s="62" t="s">
        <v>223</v>
      </c>
      <c r="BY1" s="62" t="s">
        <v>224</v>
      </c>
      <c r="BZ1" s="62" t="s">
        <v>225</v>
      </c>
      <c r="CA1" s="62" t="s">
        <v>226</v>
      </c>
      <c r="CB1" s="62" t="s">
        <v>227</v>
      </c>
      <c r="CC1" s="62" t="s">
        <v>228</v>
      </c>
      <c r="CD1" s="33" t="s">
        <v>90</v>
      </c>
      <c r="CE1" s="62" t="s">
        <v>229</v>
      </c>
      <c r="CF1" s="62" t="s">
        <v>230</v>
      </c>
      <c r="CG1" s="62" t="s">
        <v>231</v>
      </c>
      <c r="CH1" s="62" t="s">
        <v>232</v>
      </c>
      <c r="CI1" s="62" t="s">
        <v>233</v>
      </c>
      <c r="CJ1" s="62" t="s">
        <v>234</v>
      </c>
      <c r="CK1" s="62" t="s">
        <v>235</v>
      </c>
      <c r="CL1" s="33" t="s">
        <v>91</v>
      </c>
      <c r="CM1" s="62" t="s">
        <v>236</v>
      </c>
      <c r="CN1" s="62" t="s">
        <v>237</v>
      </c>
      <c r="CO1" s="62" t="s">
        <v>238</v>
      </c>
      <c r="CP1" s="62" t="s">
        <v>239</v>
      </c>
      <c r="CQ1" s="62" t="s">
        <v>240</v>
      </c>
      <c r="CR1" s="62" t="s">
        <v>241</v>
      </c>
      <c r="CS1" s="62" t="s">
        <v>242</v>
      </c>
      <c r="CT1" s="33" t="s">
        <v>92</v>
      </c>
      <c r="CU1" s="62" t="s">
        <v>243</v>
      </c>
      <c r="CV1" s="62" t="s">
        <v>244</v>
      </c>
      <c r="CW1" s="62" t="s">
        <v>245</v>
      </c>
      <c r="CX1" s="62" t="s">
        <v>246</v>
      </c>
      <c r="CY1" s="62" t="s">
        <v>247</v>
      </c>
      <c r="CZ1" s="62" t="s">
        <v>248</v>
      </c>
      <c r="DA1" s="62" t="s">
        <v>249</v>
      </c>
      <c r="DB1" s="62" t="s">
        <v>250</v>
      </c>
      <c r="DC1" s="62" t="s">
        <v>251</v>
      </c>
      <c r="DD1" s="62" t="s">
        <v>252</v>
      </c>
      <c r="DE1" s="62" t="s">
        <v>253</v>
      </c>
      <c r="DF1" s="62" t="s">
        <v>254</v>
      </c>
      <c r="DG1" s="62" t="s">
        <v>255</v>
      </c>
      <c r="DH1" s="62" t="s">
        <v>256</v>
      </c>
      <c r="DI1" s="62" t="s">
        <v>257</v>
      </c>
      <c r="DJ1" s="62" t="s">
        <v>258</v>
      </c>
      <c r="DK1" s="62" t="s">
        <v>259</v>
      </c>
      <c r="DL1" s="62" t="s">
        <v>260</v>
      </c>
      <c r="DM1" s="62" t="s">
        <v>261</v>
      </c>
      <c r="DN1" s="62" t="s">
        <v>262</v>
      </c>
      <c r="DO1" s="62" t="s">
        <v>263</v>
      </c>
      <c r="DP1" s="62" t="s">
        <v>264</v>
      </c>
      <c r="DQ1" s="62" t="s">
        <v>265</v>
      </c>
      <c r="DR1" s="62" t="s">
        <v>266</v>
      </c>
      <c r="DS1" s="62" t="s">
        <v>267</v>
      </c>
      <c r="DT1" s="62" t="s">
        <v>268</v>
      </c>
      <c r="DU1" s="62" t="s">
        <v>269</v>
      </c>
      <c r="DV1" s="62" t="s">
        <v>270</v>
      </c>
      <c r="DW1" s="62" t="s">
        <v>271</v>
      </c>
      <c r="DX1" s="62" t="s">
        <v>272</v>
      </c>
      <c r="DY1" s="62" t="s">
        <v>273</v>
      </c>
      <c r="DZ1" s="62" t="s">
        <v>274</v>
      </c>
      <c r="EA1" s="62" t="s">
        <v>275</v>
      </c>
      <c r="EB1" s="62" t="s">
        <v>276</v>
      </c>
      <c r="EC1" s="62" t="s">
        <v>277</v>
      </c>
      <c r="ED1" s="62" t="s">
        <v>278</v>
      </c>
      <c r="EE1" s="62" t="s">
        <v>279</v>
      </c>
      <c r="EF1" s="62" t="s">
        <v>280</v>
      </c>
      <c r="EG1" s="62" t="s">
        <v>281</v>
      </c>
      <c r="EH1" s="62" t="s">
        <v>282</v>
      </c>
      <c r="EI1" s="62" t="s">
        <v>283</v>
      </c>
      <c r="EJ1" s="62" t="s">
        <v>284</v>
      </c>
      <c r="EK1" s="62" t="s">
        <v>285</v>
      </c>
      <c r="EL1" s="62" t="s">
        <v>286</v>
      </c>
      <c r="EM1" s="62" t="s">
        <v>287</v>
      </c>
      <c r="EN1" s="62" t="s">
        <v>288</v>
      </c>
      <c r="EO1" s="62" t="s">
        <v>289</v>
      </c>
      <c r="EP1" s="62" t="s">
        <v>290</v>
      </c>
      <c r="EQ1" s="62" t="s">
        <v>291</v>
      </c>
      <c r="ER1" s="62" t="s">
        <v>292</v>
      </c>
      <c r="ES1" s="62" t="s">
        <v>293</v>
      </c>
      <c r="ET1" s="62" t="s">
        <v>294</v>
      </c>
      <c r="EU1" s="62" t="s">
        <v>295</v>
      </c>
      <c r="EV1" s="62" t="s">
        <v>296</v>
      </c>
      <c r="EW1" s="62" t="s">
        <v>297</v>
      </c>
      <c r="EX1" s="62" t="s">
        <v>298</v>
      </c>
      <c r="EY1" s="62" t="s">
        <v>299</v>
      </c>
      <c r="EZ1" s="62" t="s">
        <v>300</v>
      </c>
      <c r="FA1" s="62" t="s">
        <v>301</v>
      </c>
      <c r="FB1" s="62" t="s">
        <v>302</v>
      </c>
      <c r="FC1" s="62" t="s">
        <v>303</v>
      </c>
      <c r="FD1" s="62" t="s">
        <v>304</v>
      </c>
      <c r="FE1" s="62" t="s">
        <v>305</v>
      </c>
      <c r="FF1" s="62" t="s">
        <v>306</v>
      </c>
      <c r="FG1" s="62" t="s">
        <v>307</v>
      </c>
      <c r="FH1" s="62" t="s">
        <v>308</v>
      </c>
      <c r="FI1" s="62" t="s">
        <v>309</v>
      </c>
      <c r="FJ1" s="62" t="s">
        <v>310</v>
      </c>
      <c r="FK1" s="62" t="s">
        <v>311</v>
      </c>
      <c r="FL1" s="62" t="s">
        <v>312</v>
      </c>
      <c r="FM1" s="62" t="s">
        <v>313</v>
      </c>
      <c r="FN1" s="62" t="s">
        <v>314</v>
      </c>
      <c r="FO1" s="62" t="s">
        <v>315</v>
      </c>
      <c r="FP1" s="62" t="s">
        <v>316</v>
      </c>
      <c r="FQ1" s="62" t="s">
        <v>317</v>
      </c>
      <c r="FR1" s="62" t="s">
        <v>318</v>
      </c>
      <c r="FS1" s="62" t="s">
        <v>319</v>
      </c>
      <c r="FT1" s="62" t="s">
        <v>320</v>
      </c>
      <c r="FU1" s="62" t="s">
        <v>321</v>
      </c>
      <c r="FV1" s="62" t="s">
        <v>322</v>
      </c>
      <c r="FW1" s="62" t="s">
        <v>323</v>
      </c>
      <c r="FX1" s="62" t="s">
        <v>324</v>
      </c>
      <c r="FY1" s="62" t="s">
        <v>325</v>
      </c>
      <c r="FZ1" s="62" t="s">
        <v>326</v>
      </c>
      <c r="GA1" s="62" t="s">
        <v>327</v>
      </c>
      <c r="GB1" s="62" t="s">
        <v>328</v>
      </c>
      <c r="GC1" s="62" t="s">
        <v>329</v>
      </c>
      <c r="GD1" s="62" t="s">
        <v>330</v>
      </c>
      <c r="GE1" s="62" t="s">
        <v>331</v>
      </c>
      <c r="GF1" s="62" t="s">
        <v>332</v>
      </c>
      <c r="GG1" s="62" t="s">
        <v>333</v>
      </c>
      <c r="GH1" s="62" t="s">
        <v>334</v>
      </c>
      <c r="GI1" s="62" t="s">
        <v>335</v>
      </c>
      <c r="GJ1" s="62" t="s">
        <v>336</v>
      </c>
      <c r="GK1" s="62" t="s">
        <v>337</v>
      </c>
      <c r="GL1" s="62" t="s">
        <v>338</v>
      </c>
      <c r="GM1" s="62" t="s">
        <v>339</v>
      </c>
      <c r="GN1" s="62" t="s">
        <v>340</v>
      </c>
      <c r="GO1" s="62" t="s">
        <v>341</v>
      </c>
      <c r="GP1" s="62" t="s">
        <v>342</v>
      </c>
      <c r="GQ1" s="62" t="s">
        <v>343</v>
      </c>
      <c r="GR1" s="62" t="s">
        <v>344</v>
      </c>
      <c r="GS1" s="62" t="s">
        <v>345</v>
      </c>
      <c r="GT1" s="62" t="s">
        <v>346</v>
      </c>
      <c r="GU1" s="62" t="s">
        <v>347</v>
      </c>
      <c r="GV1" s="62" t="s">
        <v>348</v>
      </c>
      <c r="GW1" s="62" t="s">
        <v>349</v>
      </c>
      <c r="GX1" s="62" t="s">
        <v>350</v>
      </c>
      <c r="GY1" s="62" t="s">
        <v>351</v>
      </c>
      <c r="GZ1" s="62" t="s">
        <v>352</v>
      </c>
      <c r="HA1" s="62" t="s">
        <v>353</v>
      </c>
      <c r="HB1" s="62" t="s">
        <v>354</v>
      </c>
      <c r="HC1" s="62" t="s">
        <v>355</v>
      </c>
      <c r="HD1" s="62" t="s">
        <v>356</v>
      </c>
      <c r="HE1" s="62" t="s">
        <v>357</v>
      </c>
      <c r="HF1" s="62" t="s">
        <v>358</v>
      </c>
      <c r="HG1" s="62" t="s">
        <v>359</v>
      </c>
      <c r="HH1" s="62" t="s">
        <v>360</v>
      </c>
      <c r="HI1" s="62" t="s">
        <v>361</v>
      </c>
      <c r="HJ1" s="62" t="s">
        <v>362</v>
      </c>
      <c r="HK1" s="62" t="s">
        <v>363</v>
      </c>
      <c r="HL1" s="62" t="s">
        <v>364</v>
      </c>
      <c r="HM1" s="62" t="s">
        <v>365</v>
      </c>
      <c r="HN1" s="62" t="s">
        <v>366</v>
      </c>
      <c r="HO1" s="62" t="s">
        <v>367</v>
      </c>
      <c r="HP1" s="62" t="s">
        <v>368</v>
      </c>
      <c r="HQ1" s="62" t="s">
        <v>369</v>
      </c>
      <c r="HR1" s="62" t="s">
        <v>370</v>
      </c>
      <c r="HS1" s="62" t="s">
        <v>371</v>
      </c>
      <c r="HT1" s="62" t="s">
        <v>372</v>
      </c>
      <c r="HU1" s="62" t="s">
        <v>373</v>
      </c>
      <c r="HV1" s="62" t="s">
        <v>374</v>
      </c>
      <c r="HW1" s="62" t="s">
        <v>375</v>
      </c>
      <c r="HX1" s="62" t="s">
        <v>376</v>
      </c>
      <c r="HY1" s="62" t="s">
        <v>377</v>
      </c>
      <c r="HZ1" s="62" t="s">
        <v>378</v>
      </c>
      <c r="IA1" s="62" t="s">
        <v>379</v>
      </c>
      <c r="IB1" s="62" t="s">
        <v>380</v>
      </c>
      <c r="IC1" s="62" t="s">
        <v>381</v>
      </c>
      <c r="ID1" s="62" t="s">
        <v>382</v>
      </c>
      <c r="IE1" s="62" t="s">
        <v>383</v>
      </c>
      <c r="IF1" s="62" t="s">
        <v>384</v>
      </c>
      <c r="IG1" s="62" t="s">
        <v>385</v>
      </c>
      <c r="IH1" s="62" t="s">
        <v>386</v>
      </c>
      <c r="II1" s="62" t="s">
        <v>387</v>
      </c>
      <c r="IJ1" s="62" t="s">
        <v>388</v>
      </c>
      <c r="IK1" s="62" t="s">
        <v>389</v>
      </c>
      <c r="IL1" s="62" t="s">
        <v>390</v>
      </c>
      <c r="IM1" s="62" t="s">
        <v>391</v>
      </c>
      <c r="IN1" s="62" t="s">
        <v>392</v>
      </c>
      <c r="IO1" s="62" t="s">
        <v>393</v>
      </c>
      <c r="IP1" s="62" t="s">
        <v>394</v>
      </c>
      <c r="IQ1" s="62" t="s">
        <v>395</v>
      </c>
      <c r="IR1" s="62" t="s">
        <v>396</v>
      </c>
      <c r="IS1" s="62" t="s">
        <v>397</v>
      </c>
      <c r="IT1" s="62" t="s">
        <v>398</v>
      </c>
      <c r="IU1" s="62" t="s">
        <v>399</v>
      </c>
      <c r="IV1" s="62" t="s">
        <v>400</v>
      </c>
      <c r="IW1" s="62" t="s">
        <v>401</v>
      </c>
      <c r="IX1" s="62" t="s">
        <v>402</v>
      </c>
      <c r="IY1" s="62" t="s">
        <v>403</v>
      </c>
      <c r="IZ1" s="62" t="s">
        <v>404</v>
      </c>
      <c r="JA1" s="62" t="s">
        <v>405</v>
      </c>
      <c r="JB1" s="62" t="s">
        <v>406</v>
      </c>
      <c r="JC1" s="62" t="s">
        <v>407</v>
      </c>
      <c r="JD1" s="62" t="s">
        <v>408</v>
      </c>
      <c r="JE1" s="62" t="s">
        <v>409</v>
      </c>
      <c r="JF1" s="62" t="s">
        <v>410</v>
      </c>
      <c r="JG1" s="62" t="s">
        <v>411</v>
      </c>
      <c r="JH1" s="62" t="s">
        <v>412</v>
      </c>
      <c r="JI1" s="62" t="s">
        <v>413</v>
      </c>
      <c r="JJ1" s="62" t="s">
        <v>414</v>
      </c>
      <c r="JK1" s="62" t="s">
        <v>415</v>
      </c>
      <c r="JL1" s="62" t="s">
        <v>416</v>
      </c>
      <c r="JM1" s="62" t="s">
        <v>417</v>
      </c>
      <c r="JN1" s="62" t="s">
        <v>418</v>
      </c>
      <c r="JO1" s="62" t="s">
        <v>419</v>
      </c>
      <c r="JP1" s="62" t="s">
        <v>420</v>
      </c>
      <c r="JQ1" s="62" t="s">
        <v>421</v>
      </c>
      <c r="JR1" s="62" t="s">
        <v>422</v>
      </c>
      <c r="JS1" s="62" t="s">
        <v>423</v>
      </c>
      <c r="JT1" s="62" t="s">
        <v>424</v>
      </c>
      <c r="JU1" s="62" t="s">
        <v>425</v>
      </c>
      <c r="JV1" s="62" t="s">
        <v>426</v>
      </c>
      <c r="JW1" s="62" t="s">
        <v>427</v>
      </c>
      <c r="JX1" s="62" t="s">
        <v>428</v>
      </c>
      <c r="JY1" s="62" t="s">
        <v>429</v>
      </c>
      <c r="JZ1" s="62" t="s">
        <v>430</v>
      </c>
      <c r="KA1" s="62" t="s">
        <v>431</v>
      </c>
      <c r="KB1" s="62" t="s">
        <v>432</v>
      </c>
      <c r="KC1" s="62" t="s">
        <v>433</v>
      </c>
      <c r="KD1" s="62" t="s">
        <v>434</v>
      </c>
      <c r="KE1" s="62" t="s">
        <v>435</v>
      </c>
      <c r="KF1" s="62" t="s">
        <v>436</v>
      </c>
      <c r="KG1" s="62" t="s">
        <v>437</v>
      </c>
      <c r="KH1" s="62" t="s">
        <v>438</v>
      </c>
      <c r="KI1" s="62" t="s">
        <v>439</v>
      </c>
      <c r="KJ1" s="62" t="s">
        <v>440</v>
      </c>
      <c r="KK1" s="62" t="s">
        <v>441</v>
      </c>
      <c r="KL1" s="62" t="s">
        <v>442</v>
      </c>
      <c r="KM1" s="62" t="s">
        <v>443</v>
      </c>
      <c r="KN1" s="62" t="s">
        <v>444</v>
      </c>
      <c r="KO1" s="62" t="s">
        <v>445</v>
      </c>
      <c r="KP1" s="62" t="s">
        <v>446</v>
      </c>
      <c r="KQ1" s="62" t="s">
        <v>447</v>
      </c>
      <c r="KR1" s="62" t="s">
        <v>448</v>
      </c>
      <c r="KS1" s="62" t="s">
        <v>449</v>
      </c>
      <c r="KT1" s="62" t="s">
        <v>450</v>
      </c>
      <c r="KU1" s="62" t="s">
        <v>451</v>
      </c>
      <c r="KV1" s="62" t="s">
        <v>452</v>
      </c>
      <c r="KW1" s="62" t="s">
        <v>453</v>
      </c>
      <c r="KX1" s="62" t="s">
        <v>454</v>
      </c>
      <c r="KY1" s="62" t="s">
        <v>455</v>
      </c>
      <c r="KZ1" s="62" t="s">
        <v>456</v>
      </c>
      <c r="LA1" s="62" t="s">
        <v>457</v>
      </c>
      <c r="LB1" s="62" t="s">
        <v>458</v>
      </c>
      <c r="LC1" s="62" t="s">
        <v>459</v>
      </c>
      <c r="LD1" s="62" t="s">
        <v>460</v>
      </c>
      <c r="LE1" s="62" t="s">
        <v>461</v>
      </c>
      <c r="LF1" s="62" t="s">
        <v>462</v>
      </c>
      <c r="LG1" s="62" t="s">
        <v>463</v>
      </c>
      <c r="LH1" s="62" t="s">
        <v>464</v>
      </c>
      <c r="LI1" s="62" t="s">
        <v>465</v>
      </c>
      <c r="LJ1" s="62" t="s">
        <v>466</v>
      </c>
      <c r="LK1" s="62" t="s">
        <v>467</v>
      </c>
      <c r="LL1" s="62" t="s">
        <v>468</v>
      </c>
      <c r="LM1" s="62" t="s">
        <v>469</v>
      </c>
      <c r="LN1" s="62" t="s">
        <v>470</v>
      </c>
      <c r="LO1" s="62" t="s">
        <v>471</v>
      </c>
      <c r="LP1" s="62" t="s">
        <v>472</v>
      </c>
      <c r="LQ1" s="62" t="s">
        <v>473</v>
      </c>
      <c r="LR1" s="62" t="s">
        <v>474</v>
      </c>
      <c r="LS1" s="62" t="s">
        <v>475</v>
      </c>
      <c r="LT1" s="62" t="s">
        <v>476</v>
      </c>
      <c r="LU1" s="62" t="s">
        <v>477</v>
      </c>
      <c r="LV1" s="62" t="s">
        <v>478</v>
      </c>
      <c r="LW1" s="62" t="s">
        <v>479</v>
      </c>
      <c r="LX1" s="62" t="s">
        <v>480</v>
      </c>
      <c r="LY1" s="62" t="s">
        <v>481</v>
      </c>
      <c r="LZ1" s="62" t="s">
        <v>482</v>
      </c>
      <c r="MA1" s="62" t="s">
        <v>483</v>
      </c>
      <c r="MB1" s="62" t="s">
        <v>484</v>
      </c>
      <c r="MC1" s="62" t="s">
        <v>485</v>
      </c>
      <c r="MD1" s="62" t="s">
        <v>486</v>
      </c>
      <c r="ME1" s="62" t="s">
        <v>487</v>
      </c>
      <c r="MF1" s="62" t="s">
        <v>488</v>
      </c>
      <c r="MG1" s="62" t="s">
        <v>489</v>
      </c>
      <c r="MH1" s="62" t="s">
        <v>490</v>
      </c>
      <c r="MI1" s="62" t="s">
        <v>491</v>
      </c>
      <c r="MJ1" s="62" t="s">
        <v>492</v>
      </c>
      <c r="MK1" s="62" t="s">
        <v>493</v>
      </c>
      <c r="ML1" s="62" t="s">
        <v>494</v>
      </c>
      <c r="MM1" s="62" t="s">
        <v>495</v>
      </c>
      <c r="MN1" s="62" t="s">
        <v>496</v>
      </c>
      <c r="MO1" s="62" t="s">
        <v>497</v>
      </c>
      <c r="MP1" s="62" t="s">
        <v>498</v>
      </c>
      <c r="MQ1" s="62" t="s">
        <v>499</v>
      </c>
      <c r="MR1" s="62" t="s">
        <v>500</v>
      </c>
      <c r="MS1" s="62" t="s">
        <v>501</v>
      </c>
      <c r="MT1" s="62" t="s">
        <v>502</v>
      </c>
      <c r="MU1" s="62" t="s">
        <v>503</v>
      </c>
      <c r="MV1" s="62" t="s">
        <v>504</v>
      </c>
      <c r="MW1" s="62" t="s">
        <v>505</v>
      </c>
      <c r="MX1" s="62" t="s">
        <v>506</v>
      </c>
      <c r="MY1" s="62" t="s">
        <v>507</v>
      </c>
      <c r="MZ1" s="62" t="s">
        <v>508</v>
      </c>
      <c r="NA1" s="62" t="s">
        <v>509</v>
      </c>
      <c r="NB1" s="62" t="s">
        <v>510</v>
      </c>
      <c r="NC1" s="62" t="s">
        <v>511</v>
      </c>
      <c r="ND1" s="62" t="s">
        <v>512</v>
      </c>
      <c r="NE1" s="62" t="s">
        <v>513</v>
      </c>
      <c r="NF1" s="62" t="s">
        <v>514</v>
      </c>
      <c r="NG1" s="62" t="s">
        <v>515</v>
      </c>
      <c r="NH1" s="62" t="s">
        <v>516</v>
      </c>
      <c r="NI1" s="62" t="s">
        <v>517</v>
      </c>
      <c r="NJ1" s="62" t="s">
        <v>518</v>
      </c>
      <c r="NK1" s="62" t="s">
        <v>519</v>
      </c>
      <c r="NL1" s="62" t="s">
        <v>520</v>
      </c>
      <c r="NM1" s="62" t="s">
        <v>521</v>
      </c>
      <c r="NN1" s="62" t="s">
        <v>522</v>
      </c>
      <c r="NO1" s="62" t="s">
        <v>523</v>
      </c>
      <c r="NP1" s="62" t="s">
        <v>524</v>
      </c>
      <c r="NQ1" s="62" t="s">
        <v>525</v>
      </c>
      <c r="NR1" s="62" t="s">
        <v>526</v>
      </c>
      <c r="NS1" s="62" t="s">
        <v>527</v>
      </c>
      <c r="NT1" s="62" t="s">
        <v>528</v>
      </c>
      <c r="NU1" s="62" t="s">
        <v>529</v>
      </c>
      <c r="NV1" s="62" t="s">
        <v>530</v>
      </c>
      <c r="NW1" s="62" t="s">
        <v>531</v>
      </c>
      <c r="NX1" s="62" t="s">
        <v>532</v>
      </c>
      <c r="NY1" s="62" t="s">
        <v>533</v>
      </c>
      <c r="NZ1" s="62" t="s">
        <v>534</v>
      </c>
      <c r="OA1" s="62" t="s">
        <v>535</v>
      </c>
      <c r="OB1" s="62" t="s">
        <v>536</v>
      </c>
      <c r="OC1" s="62" t="s">
        <v>537</v>
      </c>
      <c r="OD1" s="62" t="s">
        <v>538</v>
      </c>
      <c r="OE1" s="62" t="s">
        <v>539</v>
      </c>
      <c r="OF1" s="62" t="s">
        <v>540</v>
      </c>
      <c r="OG1" s="62" t="s">
        <v>541</v>
      </c>
      <c r="OH1" s="62" t="s">
        <v>542</v>
      </c>
      <c r="OI1" s="62" t="s">
        <v>543</v>
      </c>
      <c r="OJ1" s="62" t="s">
        <v>544</v>
      </c>
      <c r="OK1" s="62" t="s">
        <v>545</v>
      </c>
      <c r="OL1" s="62" t="s">
        <v>546</v>
      </c>
      <c r="OM1" s="62" t="s">
        <v>547</v>
      </c>
      <c r="ON1" s="62" t="s">
        <v>548</v>
      </c>
      <c r="OO1" s="62" t="s">
        <v>549</v>
      </c>
      <c r="OP1" s="62" t="s">
        <v>550</v>
      </c>
      <c r="OQ1" s="62" t="s">
        <v>551</v>
      </c>
      <c r="OR1" s="62" t="s">
        <v>552</v>
      </c>
      <c r="OS1" s="62" t="s">
        <v>553</v>
      </c>
      <c r="OT1" s="62" t="s">
        <v>554</v>
      </c>
      <c r="OU1" s="62" t="s">
        <v>555</v>
      </c>
      <c r="OV1" s="62" t="s">
        <v>556</v>
      </c>
      <c r="OW1" s="62" t="s">
        <v>557</v>
      </c>
      <c r="OX1" s="62" t="s">
        <v>558</v>
      </c>
      <c r="OY1" s="62" t="s">
        <v>559</v>
      </c>
      <c r="OZ1" s="62" t="s">
        <v>560</v>
      </c>
      <c r="PA1" s="62" t="s">
        <v>561</v>
      </c>
      <c r="PB1" s="63" t="s">
        <v>562</v>
      </c>
    </row>
    <row r="2" spans="1:418" s="58" customFormat="1" x14ac:dyDescent="0.25">
      <c r="A2" s="68" t="str" cm="1">
        <f t="array" ref="A2">_xlfn.LET(_xlpm.lst,_xlfn._xlws.FILTER(tblEmployee[Employee ID],(tblEmployee[Pay Frequency]&lt;&gt;"Monthly")*(tblEmployee[Employee Start]&lt;&gt;"")*(tblEmployee[Employee End]="")),IFERROR(INDEX(_xlpm.lst,ROWS($A$2:A2)),""))</f>
        <v/>
      </c>
      <c r="B2" s="35" t="str" cm="1">
        <f t="array" ref="B2">_xlfn.LET(_xlpm.lst,_xlfn._xlws.FILTER(tblEmployee[Employee Name],(tblEmployee[Pay Frequency]&lt;&gt;"Monthly")*(tblEmployee[Employee Start]&lt;&gt;"")*(tblEmployee[Employee End]="")),IFERROR(INDEX(_xlpm.lst,ROWS($B$2:B2)),""))</f>
        <v/>
      </c>
      <c r="C2" s="56"/>
      <c r="D2" s="56"/>
      <c r="E2" s="56"/>
      <c r="F2" s="56"/>
      <c r="G2" s="56"/>
      <c r="H2" s="56"/>
      <c r="I2" s="56"/>
      <c r="J2" s="56">
        <f>SUM(C2:I2)</f>
        <v>0</v>
      </c>
      <c r="K2" s="56"/>
      <c r="L2" s="56"/>
      <c r="M2" s="56"/>
      <c r="N2" s="56"/>
      <c r="O2" s="56"/>
      <c r="P2" s="56"/>
      <c r="Q2" s="56"/>
      <c r="R2" s="56">
        <f>SUM(K2:Q2)</f>
        <v>0</v>
      </c>
      <c r="S2" s="56"/>
      <c r="T2" s="56"/>
      <c r="U2" s="56"/>
      <c r="V2" s="56"/>
      <c r="W2" s="56"/>
      <c r="X2" s="56"/>
      <c r="Y2" s="56"/>
      <c r="Z2" s="56">
        <f>SUM(S2:Y2)</f>
        <v>0</v>
      </c>
      <c r="AA2" s="56"/>
      <c r="AB2" s="56"/>
      <c r="AC2" s="56"/>
      <c r="AD2" s="56"/>
      <c r="AE2" s="56"/>
      <c r="AF2" s="56"/>
      <c r="AG2" s="56"/>
      <c r="AH2" s="56">
        <f>SUM(AA2:AG2)</f>
        <v>0</v>
      </c>
      <c r="AI2" s="56"/>
      <c r="AJ2" s="56"/>
      <c r="AK2" s="56"/>
      <c r="AL2" s="56"/>
      <c r="AM2" s="56"/>
      <c r="AN2" s="56"/>
      <c r="AO2" s="56"/>
      <c r="AP2" s="56">
        <f>SUM(AI2:AO2)</f>
        <v>0</v>
      </c>
      <c r="AQ2" s="56"/>
      <c r="AR2" s="56"/>
      <c r="AS2" s="56"/>
      <c r="AT2" s="56"/>
      <c r="AU2" s="56"/>
      <c r="AV2" s="56"/>
      <c r="AW2" s="56"/>
      <c r="AX2" s="56">
        <f>SUM(AQ2:AW2)</f>
        <v>0</v>
      </c>
      <c r="AY2" s="56"/>
      <c r="AZ2" s="56"/>
      <c r="BA2" s="56"/>
      <c r="BB2" s="56"/>
      <c r="BC2" s="56"/>
      <c r="BD2" s="56"/>
      <c r="BE2" s="56"/>
      <c r="BF2" s="56">
        <f>SUM(AY2:BE2)</f>
        <v>0</v>
      </c>
      <c r="BG2" s="56"/>
      <c r="BH2" s="56"/>
      <c r="BI2" s="56"/>
      <c r="BJ2" s="56"/>
      <c r="BK2" s="56"/>
      <c r="BL2" s="56"/>
      <c r="BM2" s="56"/>
      <c r="BN2" s="56">
        <f>SUM(BG2:BM2)</f>
        <v>0</v>
      </c>
      <c r="BO2" s="56"/>
      <c r="BP2" s="56"/>
      <c r="BQ2" s="56"/>
      <c r="BR2" s="56"/>
      <c r="BS2" s="56"/>
      <c r="BT2" s="56"/>
      <c r="BU2" s="56"/>
      <c r="BV2" s="56">
        <f>SUM(BO2:BU2)</f>
        <v>0</v>
      </c>
      <c r="BW2" s="56"/>
      <c r="BX2" s="56"/>
      <c r="BY2" s="56"/>
      <c r="BZ2" s="56"/>
      <c r="CA2" s="56"/>
      <c r="CB2" s="56"/>
      <c r="CC2" s="56"/>
      <c r="CD2" s="56">
        <f>SUM(BW2:CC2)</f>
        <v>0</v>
      </c>
      <c r="CE2" s="56"/>
      <c r="CF2" s="56"/>
      <c r="CG2" s="56"/>
      <c r="CH2" s="56"/>
      <c r="CI2" s="56"/>
      <c r="CJ2" s="56"/>
      <c r="CK2" s="56"/>
      <c r="CL2" s="56">
        <f>SUM(CE2:CK2)</f>
        <v>0</v>
      </c>
      <c r="CM2" s="56"/>
      <c r="CN2" s="56"/>
      <c r="CO2" s="56"/>
      <c r="CP2" s="56"/>
      <c r="CQ2" s="56"/>
      <c r="CR2" s="56"/>
      <c r="CS2" s="56"/>
      <c r="CT2" s="56">
        <f>SUM(CM2:CS2)</f>
        <v>0</v>
      </c>
      <c r="CU2" s="56"/>
      <c r="CV2" s="56"/>
      <c r="CW2" s="56"/>
      <c r="CX2" s="56"/>
      <c r="CY2" s="56"/>
      <c r="CZ2" s="56"/>
      <c r="DA2" s="56"/>
      <c r="DB2" s="56">
        <f>SUM(CU2:DA2)</f>
        <v>0</v>
      </c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  <c r="DO2" s="56"/>
      <c r="DP2" s="56"/>
      <c r="DQ2" s="56"/>
      <c r="DR2" s="56"/>
      <c r="DS2" s="56"/>
      <c r="DT2" s="56"/>
      <c r="DU2" s="56"/>
      <c r="DV2" s="56"/>
      <c r="DW2" s="56"/>
      <c r="DX2" s="56"/>
      <c r="DY2" s="56"/>
      <c r="DZ2" s="56"/>
      <c r="EA2" s="56"/>
      <c r="EB2" s="56"/>
      <c r="EC2" s="56"/>
      <c r="ED2" s="56"/>
      <c r="EE2" s="56"/>
      <c r="EF2" s="56"/>
      <c r="EG2" s="56"/>
      <c r="EH2" s="56"/>
      <c r="EI2" s="56"/>
      <c r="EJ2" s="56"/>
      <c r="EK2" s="56"/>
      <c r="EL2" s="56"/>
      <c r="EM2" s="56"/>
      <c r="EN2" s="56"/>
      <c r="EO2" s="56"/>
      <c r="EP2" s="56"/>
      <c r="EQ2" s="56"/>
      <c r="ER2" s="56"/>
      <c r="ES2" s="56"/>
      <c r="ET2" s="56"/>
      <c r="EU2" s="56"/>
      <c r="EV2" s="56"/>
      <c r="EW2" s="56"/>
      <c r="EX2" s="56"/>
      <c r="EY2" s="56"/>
      <c r="EZ2" s="56"/>
      <c r="FA2" s="56"/>
      <c r="FB2" s="56"/>
      <c r="FC2" s="56"/>
      <c r="FD2" s="56"/>
      <c r="FE2" s="56"/>
      <c r="FF2" s="56"/>
      <c r="FG2" s="56"/>
      <c r="FH2" s="56"/>
      <c r="FI2" s="56"/>
      <c r="FJ2" s="56"/>
      <c r="FK2" s="56"/>
      <c r="FL2" s="56"/>
      <c r="FM2" s="56"/>
      <c r="FN2" s="56"/>
      <c r="FO2" s="56"/>
      <c r="FP2" s="56"/>
      <c r="FQ2" s="56"/>
      <c r="FR2" s="56"/>
      <c r="FS2" s="56"/>
      <c r="FT2" s="56"/>
      <c r="FU2" s="56"/>
      <c r="FV2" s="56"/>
      <c r="FW2" s="56"/>
      <c r="FX2" s="56"/>
      <c r="FY2" s="56"/>
      <c r="FZ2" s="56"/>
      <c r="GA2" s="56"/>
      <c r="GB2" s="56"/>
      <c r="GC2" s="56"/>
      <c r="GD2" s="56"/>
      <c r="GE2" s="56"/>
      <c r="GF2" s="56"/>
      <c r="GG2" s="56"/>
      <c r="GH2" s="56"/>
      <c r="GI2" s="56"/>
      <c r="GJ2" s="56"/>
      <c r="GK2" s="56"/>
      <c r="GL2" s="56"/>
      <c r="GM2" s="56"/>
      <c r="GN2" s="56"/>
      <c r="GO2" s="56"/>
      <c r="GP2" s="56"/>
      <c r="GQ2" s="56"/>
      <c r="GR2" s="56"/>
      <c r="GS2" s="56"/>
      <c r="GT2" s="56"/>
      <c r="GU2" s="56"/>
      <c r="GV2" s="56"/>
      <c r="GW2" s="56"/>
      <c r="GX2" s="56"/>
      <c r="GY2" s="56"/>
      <c r="GZ2" s="56"/>
      <c r="HA2" s="56"/>
      <c r="HB2" s="56"/>
      <c r="HC2" s="56"/>
      <c r="HD2" s="56"/>
      <c r="HE2" s="56"/>
      <c r="HF2" s="56"/>
      <c r="HG2" s="56"/>
      <c r="HH2" s="56"/>
      <c r="HI2" s="56"/>
      <c r="HJ2" s="56"/>
      <c r="HK2" s="56"/>
      <c r="HL2" s="56"/>
      <c r="HM2" s="56"/>
      <c r="HN2" s="56"/>
      <c r="HO2" s="56"/>
      <c r="HP2" s="56"/>
      <c r="HQ2" s="56"/>
      <c r="HR2" s="56"/>
      <c r="HS2" s="56"/>
      <c r="HT2" s="56"/>
      <c r="HU2" s="56"/>
      <c r="HV2" s="56"/>
      <c r="HW2" s="56"/>
      <c r="HX2" s="56"/>
      <c r="HY2" s="56"/>
      <c r="HZ2" s="56"/>
      <c r="IA2" s="56"/>
      <c r="IB2" s="56"/>
      <c r="IC2" s="56"/>
      <c r="ID2" s="56"/>
      <c r="IE2" s="56"/>
      <c r="IF2" s="56"/>
      <c r="IG2" s="56"/>
      <c r="IH2" s="56"/>
      <c r="II2" s="56"/>
      <c r="IJ2" s="56"/>
      <c r="IK2" s="56"/>
      <c r="IL2" s="56"/>
      <c r="IM2" s="56"/>
      <c r="IN2" s="56"/>
      <c r="IO2" s="56"/>
      <c r="IP2" s="56"/>
      <c r="IQ2" s="56"/>
      <c r="IR2" s="56"/>
      <c r="IS2" s="56"/>
      <c r="IT2" s="56"/>
      <c r="IU2" s="56"/>
      <c r="IV2" s="56"/>
      <c r="IW2" s="56"/>
      <c r="IX2" s="56"/>
      <c r="IY2" s="56"/>
      <c r="IZ2" s="56"/>
      <c r="JA2" s="56"/>
      <c r="JB2" s="56"/>
      <c r="JC2" s="56"/>
      <c r="JD2" s="56"/>
      <c r="JE2" s="56"/>
      <c r="JF2" s="56"/>
      <c r="JG2" s="56"/>
      <c r="JH2" s="56"/>
      <c r="JI2" s="56"/>
      <c r="JJ2" s="56"/>
      <c r="JK2" s="56"/>
      <c r="JL2" s="56"/>
      <c r="JM2" s="56"/>
      <c r="JN2" s="56"/>
      <c r="JO2" s="56"/>
      <c r="JP2" s="56"/>
      <c r="JQ2" s="56"/>
      <c r="JR2" s="56"/>
      <c r="JS2" s="56"/>
      <c r="JT2" s="56"/>
      <c r="JU2" s="56"/>
      <c r="JV2" s="56"/>
      <c r="JW2" s="56"/>
      <c r="JX2" s="56"/>
      <c r="JY2" s="56"/>
      <c r="JZ2" s="56"/>
      <c r="KA2" s="56"/>
      <c r="KB2" s="56"/>
      <c r="KC2" s="56"/>
      <c r="KD2" s="56"/>
      <c r="KE2" s="56"/>
      <c r="KF2" s="56"/>
      <c r="KG2" s="56"/>
      <c r="KH2" s="56"/>
      <c r="KI2" s="56"/>
      <c r="KJ2" s="56"/>
      <c r="KK2" s="56"/>
      <c r="KL2" s="56"/>
      <c r="KM2" s="56"/>
      <c r="KN2" s="56"/>
      <c r="KO2" s="56"/>
      <c r="KP2" s="56"/>
      <c r="KQ2" s="56"/>
      <c r="KR2" s="56"/>
      <c r="KS2" s="56"/>
      <c r="KT2" s="56"/>
      <c r="KU2" s="56"/>
      <c r="KV2" s="56"/>
      <c r="KW2" s="56"/>
      <c r="KX2" s="56"/>
      <c r="KY2" s="56"/>
      <c r="KZ2" s="56"/>
      <c r="LA2" s="56"/>
      <c r="LB2" s="56"/>
      <c r="LC2" s="56"/>
      <c r="LD2" s="56"/>
      <c r="LE2" s="56"/>
      <c r="LF2" s="56"/>
      <c r="LG2" s="56"/>
      <c r="LH2" s="56"/>
      <c r="LI2" s="56"/>
      <c r="LJ2" s="56"/>
      <c r="LK2" s="56"/>
      <c r="LL2" s="56"/>
      <c r="LM2" s="56"/>
      <c r="LN2" s="56"/>
      <c r="LO2" s="56"/>
      <c r="LP2" s="56"/>
      <c r="LQ2" s="56"/>
      <c r="LR2" s="56"/>
      <c r="LS2" s="56"/>
      <c r="LT2" s="56"/>
      <c r="LU2" s="56"/>
      <c r="LV2" s="56"/>
      <c r="LW2" s="56"/>
      <c r="LX2" s="56"/>
      <c r="LY2" s="56"/>
      <c r="LZ2" s="56"/>
      <c r="MA2" s="56"/>
      <c r="MB2" s="56"/>
      <c r="MC2" s="56"/>
      <c r="MD2" s="56"/>
      <c r="ME2" s="56"/>
      <c r="MF2" s="56"/>
      <c r="MG2" s="56"/>
      <c r="MH2" s="56"/>
      <c r="MI2" s="56"/>
      <c r="MJ2" s="56"/>
      <c r="MK2" s="56"/>
      <c r="ML2" s="56"/>
      <c r="MM2" s="56"/>
      <c r="MN2" s="56"/>
      <c r="MO2" s="56"/>
      <c r="MP2" s="56"/>
      <c r="MQ2" s="56"/>
      <c r="MR2" s="56"/>
      <c r="MS2" s="56"/>
      <c r="MT2" s="56"/>
      <c r="MU2" s="56"/>
      <c r="MV2" s="56"/>
      <c r="MW2" s="56"/>
      <c r="MX2" s="56"/>
      <c r="MY2" s="56"/>
      <c r="MZ2" s="56"/>
      <c r="NA2" s="56"/>
      <c r="NB2" s="56"/>
      <c r="NC2" s="56"/>
      <c r="ND2" s="56"/>
      <c r="NE2" s="56"/>
      <c r="NF2" s="56"/>
      <c r="NG2" s="56"/>
      <c r="NH2" s="56"/>
      <c r="NI2" s="56"/>
      <c r="NJ2" s="56"/>
      <c r="NK2" s="56"/>
      <c r="NL2" s="56"/>
      <c r="NM2" s="56"/>
      <c r="NN2" s="56"/>
      <c r="NO2" s="56"/>
      <c r="NP2" s="56"/>
      <c r="NQ2" s="56"/>
      <c r="NR2" s="56"/>
      <c r="NS2" s="56"/>
      <c r="NT2" s="56"/>
      <c r="NU2" s="56"/>
      <c r="NV2" s="56"/>
      <c r="NW2" s="56"/>
      <c r="NX2" s="56"/>
      <c r="NY2" s="56"/>
      <c r="NZ2" s="56"/>
      <c r="OA2" s="56"/>
      <c r="OB2" s="56"/>
      <c r="OC2" s="56"/>
      <c r="OD2" s="56"/>
      <c r="OE2" s="56"/>
      <c r="OF2" s="56"/>
      <c r="OG2" s="56"/>
      <c r="OH2" s="56"/>
      <c r="OI2" s="56"/>
      <c r="OJ2" s="56"/>
      <c r="OK2" s="56"/>
      <c r="OL2" s="56"/>
      <c r="OM2" s="56"/>
      <c r="ON2" s="56"/>
      <c r="OO2" s="56"/>
      <c r="OP2" s="56"/>
      <c r="OQ2" s="56"/>
      <c r="OR2" s="56"/>
      <c r="OS2" s="56"/>
      <c r="OT2" s="56"/>
      <c r="OU2" s="56"/>
      <c r="OV2" s="56"/>
      <c r="OW2" s="56"/>
      <c r="OX2" s="56"/>
      <c r="OY2" s="56"/>
      <c r="OZ2" s="56"/>
      <c r="PA2" s="56"/>
      <c r="PB2" s="64"/>
    </row>
    <row r="3" spans="1:418" x14ac:dyDescent="0.25">
      <c r="A3" s="68" t="str" cm="1">
        <f t="array" ref="A3">_xlfn.LET(_xlpm.lst,_xlfn._xlws.FILTER(tblEmployee[Employee ID],(tblEmployee[Pay Frequency]&lt;&gt;"Monthly")*(tblEmployee[Employee Start]&lt;&gt;"")*(tblEmployee[Employee End]="")),IFERROR(INDEX(_xlpm.lst,ROWS($A$2:A3)),""))</f>
        <v/>
      </c>
      <c r="B3" s="35" t="str" cm="1">
        <f t="array" ref="B3">_xlfn.LET(_xlpm.lst,_xlfn._xlws.FILTER(tblEmployee[Employee Name],(tblEmployee[Pay Frequency]&lt;&gt;"Monthly")*(tblEmployee[Employee Start]&lt;&gt;"")*(tblEmployee[Employee End]="")),IFERROR(INDEX(_xlpm.lst,ROWS($B$2:B3)),""))</f>
        <v/>
      </c>
      <c r="C3" s="56"/>
      <c r="D3" s="56"/>
      <c r="E3" s="56"/>
      <c r="F3" s="56"/>
      <c r="G3" s="56"/>
      <c r="H3" s="56"/>
      <c r="I3" s="56"/>
      <c r="J3" s="56">
        <f t="shared" ref="J3:J7" si="0">SUM(C3:I3)</f>
        <v>0</v>
      </c>
      <c r="K3" s="56"/>
      <c r="L3" s="56"/>
      <c r="M3" s="56"/>
      <c r="N3" s="56"/>
      <c r="O3" s="56"/>
      <c r="P3" s="56"/>
      <c r="Q3" s="56"/>
      <c r="R3" s="56">
        <f t="shared" ref="R3:R7" si="1">SUM(K3:Q3)</f>
        <v>0</v>
      </c>
      <c r="S3" s="56"/>
      <c r="T3" s="56"/>
      <c r="U3" s="56"/>
      <c r="V3" s="56"/>
      <c r="W3" s="56"/>
      <c r="X3" s="56"/>
      <c r="Y3" s="56"/>
      <c r="Z3" s="56">
        <f t="shared" ref="Z3:Z7" si="2">SUM(S3:Y3)</f>
        <v>0</v>
      </c>
      <c r="AA3" s="56"/>
      <c r="AB3" s="56"/>
      <c r="AC3" s="56"/>
      <c r="AD3" s="56"/>
      <c r="AE3" s="56"/>
      <c r="AF3" s="56"/>
      <c r="AG3" s="56"/>
      <c r="AH3" s="56">
        <f t="shared" ref="AH3:AH7" si="3">SUM(AA3:AG3)</f>
        <v>0</v>
      </c>
      <c r="AI3" s="56"/>
      <c r="AJ3" s="56"/>
      <c r="AK3" s="56"/>
      <c r="AL3" s="56"/>
      <c r="AM3" s="56"/>
      <c r="AN3" s="56"/>
      <c r="AO3" s="56"/>
      <c r="AP3" s="56">
        <f t="shared" ref="AP3:AP7" si="4">SUM(AI3:AO3)</f>
        <v>0</v>
      </c>
      <c r="AQ3" s="56"/>
      <c r="AR3" s="56"/>
      <c r="AS3" s="56"/>
      <c r="AT3" s="56"/>
      <c r="AU3" s="56"/>
      <c r="AV3" s="56"/>
      <c r="AW3" s="56"/>
      <c r="AX3" s="56">
        <f t="shared" ref="AX3:AX7" si="5">SUM(AQ3:AW3)</f>
        <v>0</v>
      </c>
      <c r="AY3" s="56"/>
      <c r="AZ3" s="56"/>
      <c r="BA3" s="56"/>
      <c r="BB3" s="56"/>
      <c r="BC3" s="56"/>
      <c r="BD3" s="56"/>
      <c r="BE3" s="56"/>
      <c r="BF3" s="56">
        <f t="shared" ref="BF3:BF7" si="6">SUM(AY3:BE3)</f>
        <v>0</v>
      </c>
      <c r="BG3" s="56"/>
      <c r="BH3" s="56"/>
      <c r="BI3" s="56"/>
      <c r="BJ3" s="56"/>
      <c r="BK3" s="56"/>
      <c r="BL3" s="56"/>
      <c r="BM3" s="56"/>
      <c r="BN3" s="56">
        <f t="shared" ref="BN3:BN7" si="7">SUM(BG3:BM3)</f>
        <v>0</v>
      </c>
      <c r="BO3" s="56"/>
      <c r="BP3" s="56"/>
      <c r="BQ3" s="56"/>
      <c r="BR3" s="56"/>
      <c r="BS3" s="56"/>
      <c r="BT3" s="56"/>
      <c r="BU3" s="56"/>
      <c r="BV3" s="56">
        <f t="shared" ref="BV3:BV7" si="8">SUM(BO3:BU3)</f>
        <v>0</v>
      </c>
      <c r="BW3" s="56"/>
      <c r="BX3" s="56"/>
      <c r="BY3" s="56"/>
      <c r="BZ3" s="56"/>
      <c r="CA3" s="56"/>
      <c r="CB3" s="56"/>
      <c r="CC3" s="56"/>
      <c r="CD3" s="56">
        <f t="shared" ref="CD3:CD7" si="9">SUM(BW3:CC3)</f>
        <v>0</v>
      </c>
      <c r="CE3" s="56"/>
      <c r="CF3" s="56"/>
      <c r="CG3" s="56"/>
      <c r="CH3" s="56"/>
      <c r="CI3" s="56"/>
      <c r="CJ3" s="56"/>
      <c r="CK3" s="56"/>
      <c r="CL3" s="56">
        <f t="shared" ref="CL3:CL7" si="10">SUM(CE3:CK3)</f>
        <v>0</v>
      </c>
      <c r="CM3" s="56"/>
      <c r="CN3" s="56"/>
      <c r="CO3" s="56"/>
      <c r="CP3" s="56"/>
      <c r="CQ3" s="56"/>
      <c r="CR3" s="56"/>
      <c r="CS3" s="56"/>
      <c r="CT3" s="56">
        <f t="shared" ref="CT3:CT7" si="11">SUM(CM3:CS3)</f>
        <v>0</v>
      </c>
      <c r="CU3" s="56"/>
      <c r="CV3" s="56"/>
      <c r="CW3" s="56"/>
      <c r="CX3" s="56"/>
      <c r="CY3" s="56"/>
      <c r="CZ3" s="56"/>
      <c r="DA3" s="56"/>
      <c r="DB3" s="56">
        <f t="shared" ref="DB3:DB7" si="12">SUM(CU3:DA3)</f>
        <v>0</v>
      </c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  <c r="DO3" s="56"/>
      <c r="DP3" s="56"/>
      <c r="DQ3" s="56"/>
      <c r="DR3" s="56"/>
      <c r="DS3" s="56"/>
      <c r="DT3" s="56"/>
      <c r="DU3" s="56"/>
      <c r="DV3" s="56"/>
      <c r="DW3" s="56"/>
      <c r="DX3" s="56"/>
      <c r="DY3" s="56"/>
      <c r="DZ3" s="56"/>
      <c r="EA3" s="56"/>
      <c r="EB3" s="56"/>
      <c r="EC3" s="56"/>
      <c r="ED3" s="56"/>
      <c r="EE3" s="56"/>
      <c r="EF3" s="56"/>
      <c r="EG3" s="56"/>
      <c r="EH3" s="56"/>
      <c r="EI3" s="56"/>
      <c r="EJ3" s="56"/>
      <c r="EK3" s="56"/>
      <c r="EL3" s="56"/>
      <c r="EM3" s="56"/>
      <c r="EN3" s="56"/>
      <c r="EO3" s="56"/>
      <c r="EP3" s="56"/>
      <c r="EQ3" s="56"/>
      <c r="ER3" s="56"/>
      <c r="ES3" s="56"/>
      <c r="ET3" s="56"/>
      <c r="EU3" s="56"/>
      <c r="EV3" s="56"/>
      <c r="EW3" s="56"/>
      <c r="EX3" s="56"/>
      <c r="EY3" s="56"/>
      <c r="EZ3" s="56"/>
      <c r="FA3" s="56"/>
      <c r="FB3" s="56"/>
      <c r="FC3" s="56"/>
      <c r="FD3" s="56"/>
      <c r="FE3" s="56"/>
      <c r="FF3" s="56"/>
      <c r="FG3" s="56"/>
      <c r="FH3" s="56"/>
      <c r="FI3" s="56"/>
      <c r="FJ3" s="56"/>
      <c r="FK3" s="56"/>
      <c r="FL3" s="56"/>
      <c r="FM3" s="56"/>
      <c r="FN3" s="56"/>
      <c r="FO3" s="56"/>
      <c r="FP3" s="56"/>
      <c r="FQ3" s="56"/>
      <c r="FR3" s="56"/>
      <c r="FS3" s="56"/>
      <c r="FT3" s="56"/>
      <c r="FU3" s="56"/>
      <c r="FV3" s="56"/>
      <c r="FW3" s="56"/>
      <c r="FX3" s="56"/>
      <c r="FY3" s="56"/>
      <c r="FZ3" s="56"/>
      <c r="GA3" s="56"/>
      <c r="GB3" s="56"/>
      <c r="GC3" s="56"/>
      <c r="GD3" s="56"/>
      <c r="GE3" s="56"/>
      <c r="GF3" s="56"/>
      <c r="GG3" s="56"/>
      <c r="GH3" s="56"/>
      <c r="GI3" s="56"/>
      <c r="GJ3" s="56"/>
      <c r="GK3" s="56"/>
      <c r="GL3" s="56"/>
      <c r="GM3" s="56"/>
      <c r="GN3" s="56"/>
      <c r="GO3" s="56"/>
      <c r="GP3" s="56"/>
      <c r="GQ3" s="56"/>
      <c r="GR3" s="56"/>
      <c r="GS3" s="56"/>
      <c r="GT3" s="56"/>
      <c r="GU3" s="56"/>
      <c r="GV3" s="56"/>
      <c r="GW3" s="56"/>
      <c r="GX3" s="56"/>
      <c r="GY3" s="56"/>
      <c r="GZ3" s="56"/>
      <c r="HA3" s="56"/>
      <c r="HB3" s="56"/>
      <c r="HC3" s="56"/>
      <c r="HD3" s="56"/>
      <c r="HE3" s="56"/>
      <c r="HF3" s="56"/>
      <c r="HG3" s="56"/>
      <c r="HH3" s="56"/>
      <c r="HI3" s="56"/>
      <c r="HJ3" s="56"/>
      <c r="HK3" s="56"/>
      <c r="HL3" s="56"/>
      <c r="HM3" s="56"/>
      <c r="HN3" s="56"/>
      <c r="HO3" s="56"/>
      <c r="HP3" s="56"/>
      <c r="HQ3" s="56"/>
      <c r="HR3" s="56"/>
      <c r="HS3" s="56"/>
      <c r="HT3" s="56"/>
      <c r="HU3" s="56"/>
      <c r="HV3" s="56"/>
      <c r="HW3" s="56"/>
      <c r="HX3" s="56"/>
      <c r="HY3" s="56"/>
      <c r="HZ3" s="56"/>
      <c r="IA3" s="56"/>
      <c r="IB3" s="56"/>
      <c r="IC3" s="56"/>
      <c r="ID3" s="56"/>
      <c r="IE3" s="56"/>
      <c r="IF3" s="56"/>
      <c r="IG3" s="56"/>
      <c r="IH3" s="56"/>
      <c r="II3" s="56"/>
      <c r="IJ3" s="56"/>
      <c r="IK3" s="56"/>
      <c r="IL3" s="56"/>
      <c r="IM3" s="56"/>
      <c r="IN3" s="56"/>
      <c r="IO3" s="56"/>
      <c r="IP3" s="56"/>
      <c r="IQ3" s="56"/>
      <c r="IR3" s="56"/>
      <c r="IS3" s="56"/>
      <c r="IT3" s="56"/>
      <c r="IU3" s="56"/>
      <c r="IV3" s="56"/>
      <c r="IW3" s="56"/>
      <c r="IX3" s="56"/>
      <c r="IY3" s="56"/>
      <c r="IZ3" s="56"/>
      <c r="JA3" s="56"/>
      <c r="JB3" s="56"/>
      <c r="JC3" s="56"/>
      <c r="JD3" s="56"/>
      <c r="JE3" s="56"/>
      <c r="JF3" s="56"/>
      <c r="JG3" s="56"/>
      <c r="JH3" s="56"/>
      <c r="JI3" s="56"/>
      <c r="JJ3" s="56"/>
      <c r="JK3" s="56"/>
      <c r="JL3" s="56"/>
      <c r="JM3" s="56"/>
      <c r="JN3" s="56"/>
      <c r="JO3" s="56"/>
      <c r="JP3" s="56"/>
      <c r="JQ3" s="56"/>
      <c r="JR3" s="56"/>
      <c r="JS3" s="56"/>
      <c r="JT3" s="56"/>
      <c r="JU3" s="56"/>
      <c r="JV3" s="56"/>
      <c r="JW3" s="56"/>
      <c r="JX3" s="56"/>
      <c r="JY3" s="56"/>
      <c r="JZ3" s="56"/>
      <c r="KA3" s="56"/>
      <c r="KB3" s="56"/>
      <c r="KC3" s="56"/>
      <c r="KD3" s="56"/>
      <c r="KE3" s="56"/>
      <c r="KF3" s="56"/>
      <c r="KG3" s="56"/>
      <c r="KH3" s="56"/>
      <c r="KI3" s="56"/>
      <c r="KJ3" s="56"/>
      <c r="KK3" s="56"/>
      <c r="KL3" s="56"/>
      <c r="KM3" s="56"/>
      <c r="KN3" s="56"/>
      <c r="KO3" s="56"/>
      <c r="KP3" s="56"/>
      <c r="KQ3" s="56"/>
      <c r="KR3" s="56"/>
      <c r="KS3" s="56"/>
      <c r="KT3" s="56"/>
      <c r="KU3" s="56"/>
      <c r="KV3" s="56"/>
      <c r="KW3" s="56"/>
      <c r="KX3" s="56"/>
      <c r="KY3" s="56"/>
      <c r="KZ3" s="56"/>
      <c r="LA3" s="56"/>
      <c r="LB3" s="56"/>
      <c r="LC3" s="56"/>
      <c r="LD3" s="56"/>
      <c r="LE3" s="56"/>
      <c r="LF3" s="56"/>
      <c r="LG3" s="56"/>
      <c r="LH3" s="56"/>
      <c r="LI3" s="56"/>
      <c r="LJ3" s="56"/>
      <c r="LK3" s="56"/>
      <c r="LL3" s="56"/>
      <c r="LM3" s="56"/>
      <c r="LN3" s="56"/>
      <c r="LO3" s="56"/>
      <c r="LP3" s="56"/>
      <c r="LQ3" s="56"/>
      <c r="LR3" s="56"/>
      <c r="LS3" s="56"/>
      <c r="LT3" s="56"/>
      <c r="LU3" s="56"/>
      <c r="LV3" s="56"/>
      <c r="LW3" s="56"/>
      <c r="LX3" s="56"/>
      <c r="LY3" s="56"/>
      <c r="LZ3" s="56"/>
      <c r="MA3" s="56"/>
      <c r="MB3" s="56"/>
      <c r="MC3" s="56"/>
      <c r="MD3" s="56"/>
      <c r="ME3" s="56"/>
      <c r="MF3" s="56"/>
      <c r="MG3" s="56"/>
      <c r="MH3" s="56"/>
      <c r="MI3" s="56"/>
      <c r="MJ3" s="56"/>
      <c r="MK3" s="56"/>
      <c r="ML3" s="56"/>
      <c r="MM3" s="56"/>
      <c r="MN3" s="56"/>
      <c r="MO3" s="56"/>
      <c r="MP3" s="56"/>
      <c r="MQ3" s="56"/>
      <c r="MR3" s="56"/>
      <c r="MS3" s="56"/>
      <c r="MT3" s="56"/>
      <c r="MU3" s="56"/>
      <c r="MV3" s="56"/>
      <c r="MW3" s="56"/>
      <c r="MX3" s="56"/>
      <c r="MY3" s="56"/>
      <c r="MZ3" s="56"/>
      <c r="NA3" s="56"/>
      <c r="NB3" s="56"/>
      <c r="NC3" s="56"/>
      <c r="ND3" s="56"/>
      <c r="NE3" s="56"/>
      <c r="NF3" s="56"/>
      <c r="NG3" s="56"/>
      <c r="NH3" s="56"/>
      <c r="NI3" s="56"/>
      <c r="NJ3" s="56"/>
      <c r="NK3" s="56"/>
      <c r="NL3" s="56"/>
      <c r="NM3" s="56"/>
      <c r="NN3" s="56"/>
      <c r="NO3" s="56"/>
      <c r="NP3" s="56"/>
      <c r="NQ3" s="56"/>
      <c r="NR3" s="56"/>
      <c r="NS3" s="56"/>
      <c r="NT3" s="56"/>
      <c r="NU3" s="56"/>
      <c r="NV3" s="56"/>
      <c r="NW3" s="56"/>
      <c r="NX3" s="56"/>
      <c r="NY3" s="56"/>
      <c r="NZ3" s="56"/>
      <c r="OA3" s="56"/>
      <c r="OB3" s="56"/>
      <c r="OC3" s="56"/>
      <c r="OD3" s="56"/>
      <c r="OE3" s="56"/>
      <c r="OF3" s="56"/>
      <c r="OG3" s="56"/>
      <c r="OH3" s="56"/>
      <c r="OI3" s="56"/>
      <c r="OJ3" s="56"/>
      <c r="OK3" s="56"/>
      <c r="OL3" s="56"/>
      <c r="OM3" s="56"/>
      <c r="ON3" s="56"/>
      <c r="OO3" s="56"/>
      <c r="OP3" s="56"/>
      <c r="OQ3" s="56"/>
      <c r="OR3" s="56"/>
      <c r="OS3" s="56"/>
      <c r="OT3" s="56"/>
      <c r="OU3" s="56"/>
      <c r="OV3" s="56"/>
      <c r="OW3" s="56"/>
      <c r="OX3" s="56"/>
      <c r="OY3" s="56"/>
      <c r="OZ3" s="56"/>
      <c r="PA3" s="56"/>
      <c r="PB3" s="64"/>
    </row>
    <row r="4" spans="1:418" x14ac:dyDescent="0.25">
      <c r="A4" s="68" t="str" cm="1">
        <f t="array" ref="A4">_xlfn.LET(_xlpm.lst,_xlfn._xlws.FILTER(tblEmployee[Employee ID],(tblEmployee[Pay Frequency]&lt;&gt;"Monthly")*(tblEmployee[Employee Start]&lt;&gt;"")*(tblEmployee[Employee End]="")),IFERROR(INDEX(_xlpm.lst,ROWS($A$2:A4)),""))</f>
        <v/>
      </c>
      <c r="B4" s="35" t="str" cm="1">
        <f t="array" ref="B4">_xlfn.LET(_xlpm.lst,_xlfn._xlws.FILTER(tblEmployee[Employee Name],(tblEmployee[Pay Frequency]&lt;&gt;"Monthly")*(tblEmployee[Employee Start]&lt;&gt;"")*(tblEmployee[Employee End]="")),IFERROR(INDEX(_xlpm.lst,ROWS($B$2:B4)),""))</f>
        <v/>
      </c>
      <c r="C4" s="56"/>
      <c r="D4" s="56"/>
      <c r="E4" s="56"/>
      <c r="F4" s="56"/>
      <c r="G4" s="56"/>
      <c r="H4" s="56"/>
      <c r="I4" s="56"/>
      <c r="J4" s="56">
        <f t="shared" si="0"/>
        <v>0</v>
      </c>
      <c r="K4" s="56"/>
      <c r="L4" s="56"/>
      <c r="M4" s="56"/>
      <c r="N4" s="56"/>
      <c r="O4" s="56"/>
      <c r="P4" s="56"/>
      <c r="Q4" s="56"/>
      <c r="R4" s="56">
        <f t="shared" si="1"/>
        <v>0</v>
      </c>
      <c r="S4" s="56"/>
      <c r="T4" s="56"/>
      <c r="U4" s="56"/>
      <c r="V4" s="56"/>
      <c r="W4" s="56"/>
      <c r="X4" s="56"/>
      <c r="Y4" s="56"/>
      <c r="Z4" s="56">
        <f t="shared" si="2"/>
        <v>0</v>
      </c>
      <c r="AA4" s="56"/>
      <c r="AB4" s="56"/>
      <c r="AC4" s="56"/>
      <c r="AD4" s="56"/>
      <c r="AE4" s="56"/>
      <c r="AF4" s="56"/>
      <c r="AG4" s="56"/>
      <c r="AH4" s="56">
        <f t="shared" si="3"/>
        <v>0</v>
      </c>
      <c r="AI4" s="56"/>
      <c r="AJ4" s="56"/>
      <c r="AK4" s="56"/>
      <c r="AL4" s="56"/>
      <c r="AM4" s="56"/>
      <c r="AN4" s="56"/>
      <c r="AO4" s="56"/>
      <c r="AP4" s="56">
        <f t="shared" si="4"/>
        <v>0</v>
      </c>
      <c r="AQ4" s="56"/>
      <c r="AR4" s="56"/>
      <c r="AS4" s="56"/>
      <c r="AT4" s="56"/>
      <c r="AU4" s="56"/>
      <c r="AV4" s="56"/>
      <c r="AW4" s="56"/>
      <c r="AX4" s="56">
        <f t="shared" si="5"/>
        <v>0</v>
      </c>
      <c r="AY4" s="56"/>
      <c r="AZ4" s="56"/>
      <c r="BA4" s="56"/>
      <c r="BB4" s="56"/>
      <c r="BC4" s="56"/>
      <c r="BD4" s="56"/>
      <c r="BE4" s="56"/>
      <c r="BF4" s="56">
        <f t="shared" si="6"/>
        <v>0</v>
      </c>
      <c r="BG4" s="56"/>
      <c r="BH4" s="56"/>
      <c r="BI4" s="56"/>
      <c r="BJ4" s="56"/>
      <c r="BK4" s="56"/>
      <c r="BL4" s="56"/>
      <c r="BM4" s="56"/>
      <c r="BN4" s="56">
        <f t="shared" si="7"/>
        <v>0</v>
      </c>
      <c r="BO4" s="56"/>
      <c r="BP4" s="56"/>
      <c r="BQ4" s="56"/>
      <c r="BR4" s="56"/>
      <c r="BS4" s="56"/>
      <c r="BT4" s="56"/>
      <c r="BU4" s="56"/>
      <c r="BV4" s="56">
        <f t="shared" si="8"/>
        <v>0</v>
      </c>
      <c r="BW4" s="56"/>
      <c r="BX4" s="56"/>
      <c r="BY4" s="56"/>
      <c r="BZ4" s="56"/>
      <c r="CA4" s="56"/>
      <c r="CB4" s="56"/>
      <c r="CC4" s="56"/>
      <c r="CD4" s="56">
        <f t="shared" si="9"/>
        <v>0</v>
      </c>
      <c r="CE4" s="56"/>
      <c r="CF4" s="56"/>
      <c r="CG4" s="56"/>
      <c r="CH4" s="56"/>
      <c r="CI4" s="56"/>
      <c r="CJ4" s="56"/>
      <c r="CK4" s="56"/>
      <c r="CL4" s="56">
        <f t="shared" si="10"/>
        <v>0</v>
      </c>
      <c r="CM4" s="56"/>
      <c r="CN4" s="56"/>
      <c r="CO4" s="56"/>
      <c r="CP4" s="56"/>
      <c r="CQ4" s="56"/>
      <c r="CR4" s="56"/>
      <c r="CS4" s="56"/>
      <c r="CT4" s="56">
        <f t="shared" si="11"/>
        <v>0</v>
      </c>
      <c r="CU4" s="56"/>
      <c r="CV4" s="56"/>
      <c r="CW4" s="56"/>
      <c r="CX4" s="56"/>
      <c r="CY4" s="56"/>
      <c r="CZ4" s="56"/>
      <c r="DA4" s="56"/>
      <c r="DB4" s="56">
        <f t="shared" si="12"/>
        <v>0</v>
      </c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  <c r="DP4" s="56"/>
      <c r="DQ4" s="56"/>
      <c r="DR4" s="56"/>
      <c r="DS4" s="56"/>
      <c r="DT4" s="56"/>
      <c r="DU4" s="56"/>
      <c r="DV4" s="56"/>
      <c r="DW4" s="56"/>
      <c r="DX4" s="56"/>
      <c r="DY4" s="56"/>
      <c r="DZ4" s="56"/>
      <c r="EA4" s="56"/>
      <c r="EB4" s="56"/>
      <c r="EC4" s="56"/>
      <c r="ED4" s="56"/>
      <c r="EE4" s="56"/>
      <c r="EF4" s="56"/>
      <c r="EG4" s="56"/>
      <c r="EH4" s="56"/>
      <c r="EI4" s="56"/>
      <c r="EJ4" s="56"/>
      <c r="EK4" s="56"/>
      <c r="EL4" s="56"/>
      <c r="EM4" s="56"/>
      <c r="EN4" s="56"/>
      <c r="EO4" s="56"/>
      <c r="EP4" s="56"/>
      <c r="EQ4" s="56"/>
      <c r="ER4" s="56"/>
      <c r="ES4" s="56"/>
      <c r="ET4" s="56"/>
      <c r="EU4" s="56"/>
      <c r="EV4" s="56"/>
      <c r="EW4" s="56"/>
      <c r="EX4" s="56"/>
      <c r="EY4" s="56"/>
      <c r="EZ4" s="56"/>
      <c r="FA4" s="56"/>
      <c r="FB4" s="56"/>
      <c r="FC4" s="56"/>
      <c r="FD4" s="56"/>
      <c r="FE4" s="56"/>
      <c r="FF4" s="56"/>
      <c r="FG4" s="56"/>
      <c r="FH4" s="56"/>
      <c r="FI4" s="56"/>
      <c r="FJ4" s="56"/>
      <c r="FK4" s="56"/>
      <c r="FL4" s="56"/>
      <c r="FM4" s="56"/>
      <c r="FN4" s="56"/>
      <c r="FO4" s="56"/>
      <c r="FP4" s="56"/>
      <c r="FQ4" s="56"/>
      <c r="FR4" s="56"/>
      <c r="FS4" s="56"/>
      <c r="FT4" s="56"/>
      <c r="FU4" s="56"/>
      <c r="FV4" s="56"/>
      <c r="FW4" s="56"/>
      <c r="FX4" s="56"/>
      <c r="FY4" s="56"/>
      <c r="FZ4" s="56"/>
      <c r="GA4" s="56"/>
      <c r="GB4" s="56"/>
      <c r="GC4" s="56"/>
      <c r="GD4" s="56"/>
      <c r="GE4" s="56"/>
      <c r="GF4" s="56"/>
      <c r="GG4" s="56"/>
      <c r="GH4" s="56"/>
      <c r="GI4" s="56"/>
      <c r="GJ4" s="56"/>
      <c r="GK4" s="56"/>
      <c r="GL4" s="56"/>
      <c r="GM4" s="56"/>
      <c r="GN4" s="56"/>
      <c r="GO4" s="56"/>
      <c r="GP4" s="56"/>
      <c r="GQ4" s="56"/>
      <c r="GR4" s="56"/>
      <c r="GS4" s="56"/>
      <c r="GT4" s="56"/>
      <c r="GU4" s="56"/>
      <c r="GV4" s="56"/>
      <c r="GW4" s="56"/>
      <c r="GX4" s="56"/>
      <c r="GY4" s="56"/>
      <c r="GZ4" s="56"/>
      <c r="HA4" s="56"/>
      <c r="HB4" s="56"/>
      <c r="HC4" s="56"/>
      <c r="HD4" s="56"/>
      <c r="HE4" s="56"/>
      <c r="HF4" s="56"/>
      <c r="HG4" s="56"/>
      <c r="HH4" s="56"/>
      <c r="HI4" s="56"/>
      <c r="HJ4" s="56"/>
      <c r="HK4" s="56"/>
      <c r="HL4" s="56"/>
      <c r="HM4" s="56"/>
      <c r="HN4" s="56"/>
      <c r="HO4" s="56"/>
      <c r="HP4" s="56"/>
      <c r="HQ4" s="56"/>
      <c r="HR4" s="56"/>
      <c r="HS4" s="56"/>
      <c r="HT4" s="56"/>
      <c r="HU4" s="56"/>
      <c r="HV4" s="56"/>
      <c r="HW4" s="56"/>
      <c r="HX4" s="56"/>
      <c r="HY4" s="56"/>
      <c r="HZ4" s="56"/>
      <c r="IA4" s="56"/>
      <c r="IB4" s="56"/>
      <c r="IC4" s="56"/>
      <c r="ID4" s="56"/>
      <c r="IE4" s="56"/>
      <c r="IF4" s="56"/>
      <c r="IG4" s="56"/>
      <c r="IH4" s="56"/>
      <c r="II4" s="56"/>
      <c r="IJ4" s="56"/>
      <c r="IK4" s="56"/>
      <c r="IL4" s="56"/>
      <c r="IM4" s="56"/>
      <c r="IN4" s="56"/>
      <c r="IO4" s="56"/>
      <c r="IP4" s="56"/>
      <c r="IQ4" s="56"/>
      <c r="IR4" s="56"/>
      <c r="IS4" s="56"/>
      <c r="IT4" s="56"/>
      <c r="IU4" s="56"/>
      <c r="IV4" s="56"/>
      <c r="IW4" s="56"/>
      <c r="IX4" s="56"/>
      <c r="IY4" s="56"/>
      <c r="IZ4" s="56"/>
      <c r="JA4" s="56"/>
      <c r="JB4" s="56"/>
      <c r="JC4" s="56"/>
      <c r="JD4" s="56"/>
      <c r="JE4" s="56"/>
      <c r="JF4" s="56"/>
      <c r="JG4" s="56"/>
      <c r="JH4" s="56"/>
      <c r="JI4" s="56"/>
      <c r="JJ4" s="56"/>
      <c r="JK4" s="56"/>
      <c r="JL4" s="56"/>
      <c r="JM4" s="56"/>
      <c r="JN4" s="56"/>
      <c r="JO4" s="56"/>
      <c r="JP4" s="56"/>
      <c r="JQ4" s="56"/>
      <c r="JR4" s="56"/>
      <c r="JS4" s="56"/>
      <c r="JT4" s="56"/>
      <c r="JU4" s="56"/>
      <c r="JV4" s="56"/>
      <c r="JW4" s="56"/>
      <c r="JX4" s="56"/>
      <c r="JY4" s="56"/>
      <c r="JZ4" s="56"/>
      <c r="KA4" s="56"/>
      <c r="KB4" s="56"/>
      <c r="KC4" s="56"/>
      <c r="KD4" s="56"/>
      <c r="KE4" s="56"/>
      <c r="KF4" s="56"/>
      <c r="KG4" s="56"/>
      <c r="KH4" s="56"/>
      <c r="KI4" s="56"/>
      <c r="KJ4" s="56"/>
      <c r="KK4" s="56"/>
      <c r="KL4" s="56"/>
      <c r="KM4" s="56"/>
      <c r="KN4" s="56"/>
      <c r="KO4" s="56"/>
      <c r="KP4" s="56"/>
      <c r="KQ4" s="56"/>
      <c r="KR4" s="56"/>
      <c r="KS4" s="56"/>
      <c r="KT4" s="56"/>
      <c r="KU4" s="56"/>
      <c r="KV4" s="56"/>
      <c r="KW4" s="56"/>
      <c r="KX4" s="56"/>
      <c r="KY4" s="56"/>
      <c r="KZ4" s="56"/>
      <c r="LA4" s="56"/>
      <c r="LB4" s="56"/>
      <c r="LC4" s="56"/>
      <c r="LD4" s="56"/>
      <c r="LE4" s="56"/>
      <c r="LF4" s="56"/>
      <c r="LG4" s="56"/>
      <c r="LH4" s="56"/>
      <c r="LI4" s="56"/>
      <c r="LJ4" s="56"/>
      <c r="LK4" s="56"/>
      <c r="LL4" s="56"/>
      <c r="LM4" s="56"/>
      <c r="LN4" s="56"/>
      <c r="LO4" s="56"/>
      <c r="LP4" s="56"/>
      <c r="LQ4" s="56"/>
      <c r="LR4" s="56"/>
      <c r="LS4" s="56"/>
      <c r="LT4" s="56"/>
      <c r="LU4" s="56"/>
      <c r="LV4" s="56"/>
      <c r="LW4" s="56"/>
      <c r="LX4" s="56"/>
      <c r="LY4" s="56"/>
      <c r="LZ4" s="56"/>
      <c r="MA4" s="56"/>
      <c r="MB4" s="56"/>
      <c r="MC4" s="56"/>
      <c r="MD4" s="56"/>
      <c r="ME4" s="56"/>
      <c r="MF4" s="56"/>
      <c r="MG4" s="56"/>
      <c r="MH4" s="56"/>
      <c r="MI4" s="56"/>
      <c r="MJ4" s="56"/>
      <c r="MK4" s="56"/>
      <c r="ML4" s="56"/>
      <c r="MM4" s="56"/>
      <c r="MN4" s="56"/>
      <c r="MO4" s="56"/>
      <c r="MP4" s="56"/>
      <c r="MQ4" s="56"/>
      <c r="MR4" s="56"/>
      <c r="MS4" s="56"/>
      <c r="MT4" s="56"/>
      <c r="MU4" s="56"/>
      <c r="MV4" s="56"/>
      <c r="MW4" s="56"/>
      <c r="MX4" s="56"/>
      <c r="MY4" s="56"/>
      <c r="MZ4" s="56"/>
      <c r="NA4" s="56"/>
      <c r="NB4" s="56"/>
      <c r="NC4" s="56"/>
      <c r="ND4" s="56"/>
      <c r="NE4" s="56"/>
      <c r="NF4" s="56"/>
      <c r="NG4" s="56"/>
      <c r="NH4" s="56"/>
      <c r="NI4" s="56"/>
      <c r="NJ4" s="56"/>
      <c r="NK4" s="56"/>
      <c r="NL4" s="56"/>
      <c r="NM4" s="56"/>
      <c r="NN4" s="56"/>
      <c r="NO4" s="56"/>
      <c r="NP4" s="56"/>
      <c r="NQ4" s="56"/>
      <c r="NR4" s="56"/>
      <c r="NS4" s="56"/>
      <c r="NT4" s="56"/>
      <c r="NU4" s="56"/>
      <c r="NV4" s="56"/>
      <c r="NW4" s="56"/>
      <c r="NX4" s="56"/>
      <c r="NY4" s="56"/>
      <c r="NZ4" s="56"/>
      <c r="OA4" s="56"/>
      <c r="OB4" s="56"/>
      <c r="OC4" s="56"/>
      <c r="OD4" s="56"/>
      <c r="OE4" s="56"/>
      <c r="OF4" s="56"/>
      <c r="OG4" s="56"/>
      <c r="OH4" s="56"/>
      <c r="OI4" s="56"/>
      <c r="OJ4" s="56"/>
      <c r="OK4" s="56"/>
      <c r="OL4" s="56"/>
      <c r="OM4" s="56"/>
      <c r="ON4" s="56"/>
      <c r="OO4" s="56"/>
      <c r="OP4" s="56"/>
      <c r="OQ4" s="56"/>
      <c r="OR4" s="56"/>
      <c r="OS4" s="56"/>
      <c r="OT4" s="56"/>
      <c r="OU4" s="56"/>
      <c r="OV4" s="56"/>
      <c r="OW4" s="56"/>
      <c r="OX4" s="56"/>
      <c r="OY4" s="56"/>
      <c r="OZ4" s="56"/>
      <c r="PA4" s="56"/>
      <c r="PB4" s="64"/>
    </row>
    <row r="5" spans="1:418" x14ac:dyDescent="0.25">
      <c r="A5" s="68" t="str" cm="1">
        <f t="array" ref="A5">_xlfn.LET(_xlpm.lst,_xlfn._xlws.FILTER(tblEmployee[Employee ID],(tblEmployee[Pay Frequency]&lt;&gt;"Monthly")*(tblEmployee[Employee Start]&lt;&gt;"")*(tblEmployee[Employee End]="")),IFERROR(INDEX(_xlpm.lst,ROWS($A$2:A5)),""))</f>
        <v/>
      </c>
      <c r="B5" s="35" t="str" cm="1">
        <f t="array" ref="B5">_xlfn.LET(_xlpm.lst,_xlfn._xlws.FILTER(tblEmployee[Employee Name],(tblEmployee[Pay Frequency]&lt;&gt;"Monthly")*(tblEmployee[Employee Start]&lt;&gt;"")*(tblEmployee[Employee End]="")),IFERROR(INDEX(_xlpm.lst,ROWS($B$2:B5)),""))</f>
        <v/>
      </c>
      <c r="C5" s="56"/>
      <c r="D5" s="56"/>
      <c r="E5" s="56"/>
      <c r="F5" s="56"/>
      <c r="G5" s="56"/>
      <c r="H5" s="56"/>
      <c r="I5" s="56"/>
      <c r="J5" s="56">
        <f t="shared" si="0"/>
        <v>0</v>
      </c>
      <c r="K5" s="56"/>
      <c r="L5" s="56"/>
      <c r="M5" s="56"/>
      <c r="N5" s="56"/>
      <c r="O5" s="56"/>
      <c r="P5" s="56"/>
      <c r="Q5" s="56"/>
      <c r="R5" s="56">
        <f t="shared" si="1"/>
        <v>0</v>
      </c>
      <c r="S5" s="56"/>
      <c r="T5" s="56"/>
      <c r="U5" s="56"/>
      <c r="V5" s="56"/>
      <c r="W5" s="56"/>
      <c r="X5" s="56"/>
      <c r="Y5" s="56"/>
      <c r="Z5" s="56">
        <f t="shared" si="2"/>
        <v>0</v>
      </c>
      <c r="AA5" s="56"/>
      <c r="AB5" s="56"/>
      <c r="AC5" s="56"/>
      <c r="AD5" s="56"/>
      <c r="AE5" s="56"/>
      <c r="AF5" s="56"/>
      <c r="AG5" s="56"/>
      <c r="AH5" s="56">
        <f t="shared" si="3"/>
        <v>0</v>
      </c>
      <c r="AI5" s="56"/>
      <c r="AJ5" s="56"/>
      <c r="AK5" s="56"/>
      <c r="AL5" s="56"/>
      <c r="AM5" s="56"/>
      <c r="AN5" s="56"/>
      <c r="AO5" s="56"/>
      <c r="AP5" s="56">
        <f t="shared" si="4"/>
        <v>0</v>
      </c>
      <c r="AQ5" s="56"/>
      <c r="AR5" s="56"/>
      <c r="AS5" s="56"/>
      <c r="AT5" s="56"/>
      <c r="AU5" s="56"/>
      <c r="AV5" s="56"/>
      <c r="AW5" s="56"/>
      <c r="AX5" s="56">
        <f t="shared" si="5"/>
        <v>0</v>
      </c>
      <c r="AY5" s="56"/>
      <c r="AZ5" s="56"/>
      <c r="BA5" s="56"/>
      <c r="BB5" s="56"/>
      <c r="BC5" s="56"/>
      <c r="BD5" s="56"/>
      <c r="BE5" s="56"/>
      <c r="BF5" s="56">
        <f t="shared" si="6"/>
        <v>0</v>
      </c>
      <c r="BG5" s="56"/>
      <c r="BH5" s="56"/>
      <c r="BI5" s="56"/>
      <c r="BJ5" s="56"/>
      <c r="BK5" s="56"/>
      <c r="BL5" s="56"/>
      <c r="BM5" s="56"/>
      <c r="BN5" s="56">
        <f t="shared" si="7"/>
        <v>0</v>
      </c>
      <c r="BO5" s="56"/>
      <c r="BP5" s="56"/>
      <c r="BQ5" s="56"/>
      <c r="BR5" s="56"/>
      <c r="BS5" s="56"/>
      <c r="BT5" s="56"/>
      <c r="BU5" s="56"/>
      <c r="BV5" s="56">
        <f t="shared" si="8"/>
        <v>0</v>
      </c>
      <c r="BW5" s="56"/>
      <c r="BX5" s="56"/>
      <c r="BY5" s="56"/>
      <c r="BZ5" s="56"/>
      <c r="CA5" s="56"/>
      <c r="CB5" s="56"/>
      <c r="CC5" s="56"/>
      <c r="CD5" s="56">
        <f t="shared" si="9"/>
        <v>0</v>
      </c>
      <c r="CE5" s="56"/>
      <c r="CF5" s="56"/>
      <c r="CG5" s="56"/>
      <c r="CH5" s="56"/>
      <c r="CI5" s="56"/>
      <c r="CJ5" s="56"/>
      <c r="CK5" s="56"/>
      <c r="CL5" s="56">
        <f t="shared" si="10"/>
        <v>0</v>
      </c>
      <c r="CM5" s="56"/>
      <c r="CN5" s="56"/>
      <c r="CO5" s="56"/>
      <c r="CP5" s="56"/>
      <c r="CQ5" s="56"/>
      <c r="CR5" s="56"/>
      <c r="CS5" s="56"/>
      <c r="CT5" s="56">
        <f t="shared" si="11"/>
        <v>0</v>
      </c>
      <c r="CU5" s="56"/>
      <c r="CV5" s="56"/>
      <c r="CW5" s="56"/>
      <c r="CX5" s="56"/>
      <c r="CY5" s="56"/>
      <c r="CZ5" s="56"/>
      <c r="DA5" s="56"/>
      <c r="DB5" s="56">
        <f t="shared" si="12"/>
        <v>0</v>
      </c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  <c r="DO5" s="56"/>
      <c r="DP5" s="56"/>
      <c r="DQ5" s="56"/>
      <c r="DR5" s="56"/>
      <c r="DS5" s="56"/>
      <c r="DT5" s="56"/>
      <c r="DU5" s="56"/>
      <c r="DV5" s="56"/>
      <c r="DW5" s="56"/>
      <c r="DX5" s="56"/>
      <c r="DY5" s="56"/>
      <c r="DZ5" s="56"/>
      <c r="EA5" s="56"/>
      <c r="EB5" s="56"/>
      <c r="EC5" s="56"/>
      <c r="ED5" s="56"/>
      <c r="EE5" s="56"/>
      <c r="EF5" s="56"/>
      <c r="EG5" s="56"/>
      <c r="EH5" s="56"/>
      <c r="EI5" s="56"/>
      <c r="EJ5" s="56"/>
      <c r="EK5" s="56"/>
      <c r="EL5" s="56"/>
      <c r="EM5" s="56"/>
      <c r="EN5" s="56"/>
      <c r="EO5" s="56"/>
      <c r="EP5" s="56"/>
      <c r="EQ5" s="56"/>
      <c r="ER5" s="56"/>
      <c r="ES5" s="56"/>
      <c r="ET5" s="56"/>
      <c r="EU5" s="56"/>
      <c r="EV5" s="56"/>
      <c r="EW5" s="56"/>
      <c r="EX5" s="56"/>
      <c r="EY5" s="56"/>
      <c r="EZ5" s="56"/>
      <c r="FA5" s="56"/>
      <c r="FB5" s="56"/>
      <c r="FC5" s="56"/>
      <c r="FD5" s="56"/>
      <c r="FE5" s="56"/>
      <c r="FF5" s="56"/>
      <c r="FG5" s="56"/>
      <c r="FH5" s="56"/>
      <c r="FI5" s="56"/>
      <c r="FJ5" s="56"/>
      <c r="FK5" s="56"/>
      <c r="FL5" s="56"/>
      <c r="FM5" s="56"/>
      <c r="FN5" s="56"/>
      <c r="FO5" s="56"/>
      <c r="FP5" s="56"/>
      <c r="FQ5" s="56"/>
      <c r="FR5" s="56"/>
      <c r="FS5" s="56"/>
      <c r="FT5" s="56"/>
      <c r="FU5" s="56"/>
      <c r="FV5" s="56"/>
      <c r="FW5" s="56"/>
      <c r="FX5" s="56"/>
      <c r="FY5" s="56"/>
      <c r="FZ5" s="56"/>
      <c r="GA5" s="56"/>
      <c r="GB5" s="56"/>
      <c r="GC5" s="56"/>
      <c r="GD5" s="56"/>
      <c r="GE5" s="56"/>
      <c r="GF5" s="56"/>
      <c r="GG5" s="56"/>
      <c r="GH5" s="56"/>
      <c r="GI5" s="56"/>
      <c r="GJ5" s="56"/>
      <c r="GK5" s="56"/>
      <c r="GL5" s="56"/>
      <c r="GM5" s="56"/>
      <c r="GN5" s="56"/>
      <c r="GO5" s="56"/>
      <c r="GP5" s="56"/>
      <c r="GQ5" s="56"/>
      <c r="GR5" s="56"/>
      <c r="GS5" s="56"/>
      <c r="GT5" s="56"/>
      <c r="GU5" s="56"/>
      <c r="GV5" s="56"/>
      <c r="GW5" s="56"/>
      <c r="GX5" s="56"/>
      <c r="GY5" s="56"/>
      <c r="GZ5" s="56"/>
      <c r="HA5" s="56"/>
      <c r="HB5" s="56"/>
      <c r="HC5" s="56"/>
      <c r="HD5" s="56"/>
      <c r="HE5" s="56"/>
      <c r="HF5" s="56"/>
      <c r="HG5" s="56"/>
      <c r="HH5" s="56"/>
      <c r="HI5" s="56"/>
      <c r="HJ5" s="56"/>
      <c r="HK5" s="56"/>
      <c r="HL5" s="56"/>
      <c r="HM5" s="56"/>
      <c r="HN5" s="56"/>
      <c r="HO5" s="56"/>
      <c r="HP5" s="56"/>
      <c r="HQ5" s="56"/>
      <c r="HR5" s="56"/>
      <c r="HS5" s="56"/>
      <c r="HT5" s="56"/>
      <c r="HU5" s="56"/>
      <c r="HV5" s="56"/>
      <c r="HW5" s="56"/>
      <c r="HX5" s="56"/>
      <c r="HY5" s="56"/>
      <c r="HZ5" s="56"/>
      <c r="IA5" s="56"/>
      <c r="IB5" s="56"/>
      <c r="IC5" s="56"/>
      <c r="ID5" s="56"/>
      <c r="IE5" s="56"/>
      <c r="IF5" s="56"/>
      <c r="IG5" s="56"/>
      <c r="IH5" s="56"/>
      <c r="II5" s="56"/>
      <c r="IJ5" s="56"/>
      <c r="IK5" s="56"/>
      <c r="IL5" s="56"/>
      <c r="IM5" s="56"/>
      <c r="IN5" s="56"/>
      <c r="IO5" s="56"/>
      <c r="IP5" s="56"/>
      <c r="IQ5" s="56"/>
      <c r="IR5" s="56"/>
      <c r="IS5" s="56"/>
      <c r="IT5" s="56"/>
      <c r="IU5" s="56"/>
      <c r="IV5" s="56"/>
      <c r="IW5" s="56"/>
      <c r="IX5" s="56"/>
      <c r="IY5" s="56"/>
      <c r="IZ5" s="56"/>
      <c r="JA5" s="56"/>
      <c r="JB5" s="56"/>
      <c r="JC5" s="56"/>
      <c r="JD5" s="56"/>
      <c r="JE5" s="56"/>
      <c r="JF5" s="56"/>
      <c r="JG5" s="56"/>
      <c r="JH5" s="56"/>
      <c r="JI5" s="56"/>
      <c r="JJ5" s="56"/>
      <c r="JK5" s="56"/>
      <c r="JL5" s="56"/>
      <c r="JM5" s="56"/>
      <c r="JN5" s="56"/>
      <c r="JO5" s="56"/>
      <c r="JP5" s="56"/>
      <c r="JQ5" s="56"/>
      <c r="JR5" s="56"/>
      <c r="JS5" s="56"/>
      <c r="JT5" s="56"/>
      <c r="JU5" s="56"/>
      <c r="JV5" s="56"/>
      <c r="JW5" s="56"/>
      <c r="JX5" s="56"/>
      <c r="JY5" s="56"/>
      <c r="JZ5" s="56"/>
      <c r="KA5" s="56"/>
      <c r="KB5" s="56"/>
      <c r="KC5" s="56"/>
      <c r="KD5" s="56"/>
      <c r="KE5" s="56"/>
      <c r="KF5" s="56"/>
      <c r="KG5" s="56"/>
      <c r="KH5" s="56"/>
      <c r="KI5" s="56"/>
      <c r="KJ5" s="56"/>
      <c r="KK5" s="56"/>
      <c r="KL5" s="56"/>
      <c r="KM5" s="56"/>
      <c r="KN5" s="56"/>
      <c r="KO5" s="56"/>
      <c r="KP5" s="56"/>
      <c r="KQ5" s="56"/>
      <c r="KR5" s="56"/>
      <c r="KS5" s="56"/>
      <c r="KT5" s="56"/>
      <c r="KU5" s="56"/>
      <c r="KV5" s="56"/>
      <c r="KW5" s="56"/>
      <c r="KX5" s="56"/>
      <c r="KY5" s="56"/>
      <c r="KZ5" s="56"/>
      <c r="LA5" s="56"/>
      <c r="LB5" s="56"/>
      <c r="LC5" s="56"/>
      <c r="LD5" s="56"/>
      <c r="LE5" s="56"/>
      <c r="LF5" s="56"/>
      <c r="LG5" s="56"/>
      <c r="LH5" s="56"/>
      <c r="LI5" s="56"/>
      <c r="LJ5" s="56"/>
      <c r="LK5" s="56"/>
      <c r="LL5" s="56"/>
      <c r="LM5" s="56"/>
      <c r="LN5" s="56"/>
      <c r="LO5" s="56"/>
      <c r="LP5" s="56"/>
      <c r="LQ5" s="56"/>
      <c r="LR5" s="56"/>
      <c r="LS5" s="56"/>
      <c r="LT5" s="56"/>
      <c r="LU5" s="56"/>
      <c r="LV5" s="56"/>
      <c r="LW5" s="56"/>
      <c r="LX5" s="56"/>
      <c r="LY5" s="56"/>
      <c r="LZ5" s="56"/>
      <c r="MA5" s="56"/>
      <c r="MB5" s="56"/>
      <c r="MC5" s="56"/>
      <c r="MD5" s="56"/>
      <c r="ME5" s="56"/>
      <c r="MF5" s="56"/>
      <c r="MG5" s="56"/>
      <c r="MH5" s="56"/>
      <c r="MI5" s="56"/>
      <c r="MJ5" s="56"/>
      <c r="MK5" s="56"/>
      <c r="ML5" s="56"/>
      <c r="MM5" s="56"/>
      <c r="MN5" s="56"/>
      <c r="MO5" s="56"/>
      <c r="MP5" s="56"/>
      <c r="MQ5" s="56"/>
      <c r="MR5" s="56"/>
      <c r="MS5" s="56"/>
      <c r="MT5" s="56"/>
      <c r="MU5" s="56"/>
      <c r="MV5" s="56"/>
      <c r="MW5" s="56"/>
      <c r="MX5" s="56"/>
      <c r="MY5" s="56"/>
      <c r="MZ5" s="56"/>
      <c r="NA5" s="56"/>
      <c r="NB5" s="56"/>
      <c r="NC5" s="56"/>
      <c r="ND5" s="56"/>
      <c r="NE5" s="56"/>
      <c r="NF5" s="56"/>
      <c r="NG5" s="56"/>
      <c r="NH5" s="56"/>
      <c r="NI5" s="56"/>
      <c r="NJ5" s="56"/>
      <c r="NK5" s="56"/>
      <c r="NL5" s="56"/>
      <c r="NM5" s="56"/>
      <c r="NN5" s="56"/>
      <c r="NO5" s="56"/>
      <c r="NP5" s="56"/>
      <c r="NQ5" s="56"/>
      <c r="NR5" s="56"/>
      <c r="NS5" s="56"/>
      <c r="NT5" s="56"/>
      <c r="NU5" s="56"/>
      <c r="NV5" s="56"/>
      <c r="NW5" s="56"/>
      <c r="NX5" s="56"/>
      <c r="NY5" s="56"/>
      <c r="NZ5" s="56"/>
      <c r="OA5" s="56"/>
      <c r="OB5" s="56"/>
      <c r="OC5" s="56"/>
      <c r="OD5" s="56"/>
      <c r="OE5" s="56"/>
      <c r="OF5" s="56"/>
      <c r="OG5" s="56"/>
      <c r="OH5" s="56"/>
      <c r="OI5" s="56"/>
      <c r="OJ5" s="56"/>
      <c r="OK5" s="56"/>
      <c r="OL5" s="56"/>
      <c r="OM5" s="56"/>
      <c r="ON5" s="56"/>
      <c r="OO5" s="56"/>
      <c r="OP5" s="56"/>
      <c r="OQ5" s="56"/>
      <c r="OR5" s="56"/>
      <c r="OS5" s="56"/>
      <c r="OT5" s="56"/>
      <c r="OU5" s="56"/>
      <c r="OV5" s="56"/>
      <c r="OW5" s="56"/>
      <c r="OX5" s="56"/>
      <c r="OY5" s="56"/>
      <c r="OZ5" s="56"/>
      <c r="PA5" s="56"/>
      <c r="PB5" s="64"/>
    </row>
    <row r="6" spans="1:418" x14ac:dyDescent="0.25">
      <c r="A6" s="68" t="str" cm="1">
        <f t="array" ref="A6">_xlfn.LET(_xlpm.lst,_xlfn._xlws.FILTER(tblEmployee[Employee ID],(tblEmployee[Pay Frequency]&lt;&gt;"Monthly")*(tblEmployee[Employee Start]&lt;&gt;"")*(tblEmployee[Employee End]="")),IFERROR(INDEX(_xlpm.lst,ROWS($A$2:A6)),""))</f>
        <v/>
      </c>
      <c r="B6" s="35" t="str" cm="1">
        <f t="array" ref="B6">_xlfn.LET(_xlpm.lst,_xlfn._xlws.FILTER(tblEmployee[Employee Name],(tblEmployee[Pay Frequency]&lt;&gt;"Monthly")*(tblEmployee[Employee Start]&lt;&gt;"")*(tblEmployee[Employee End]="")),IFERROR(INDEX(_xlpm.lst,ROWS($B$2:B6)),""))</f>
        <v/>
      </c>
      <c r="C6" s="56"/>
      <c r="D6" s="56"/>
      <c r="E6" s="56"/>
      <c r="F6" s="56"/>
      <c r="G6" s="56"/>
      <c r="H6" s="56"/>
      <c r="I6" s="56"/>
      <c r="J6" s="56">
        <f t="shared" si="0"/>
        <v>0</v>
      </c>
      <c r="K6" s="56"/>
      <c r="L6" s="56"/>
      <c r="M6" s="56"/>
      <c r="N6" s="56"/>
      <c r="O6" s="56"/>
      <c r="P6" s="56"/>
      <c r="Q6" s="56"/>
      <c r="R6" s="56">
        <f t="shared" si="1"/>
        <v>0</v>
      </c>
      <c r="S6" s="56"/>
      <c r="T6" s="56"/>
      <c r="U6" s="56"/>
      <c r="V6" s="56"/>
      <c r="W6" s="56"/>
      <c r="X6" s="56"/>
      <c r="Y6" s="56"/>
      <c r="Z6" s="56">
        <f t="shared" si="2"/>
        <v>0</v>
      </c>
      <c r="AA6" s="56"/>
      <c r="AB6" s="56"/>
      <c r="AC6" s="56"/>
      <c r="AD6" s="56"/>
      <c r="AE6" s="56"/>
      <c r="AF6" s="56"/>
      <c r="AG6" s="56"/>
      <c r="AH6" s="56">
        <f t="shared" si="3"/>
        <v>0</v>
      </c>
      <c r="AI6" s="56"/>
      <c r="AJ6" s="56"/>
      <c r="AK6" s="56"/>
      <c r="AL6" s="56"/>
      <c r="AM6" s="56"/>
      <c r="AN6" s="56"/>
      <c r="AO6" s="56"/>
      <c r="AP6" s="56">
        <f t="shared" si="4"/>
        <v>0</v>
      </c>
      <c r="AQ6" s="56"/>
      <c r="AR6" s="56"/>
      <c r="AS6" s="56"/>
      <c r="AT6" s="56"/>
      <c r="AU6" s="56"/>
      <c r="AV6" s="56"/>
      <c r="AW6" s="56"/>
      <c r="AX6" s="56">
        <f t="shared" si="5"/>
        <v>0</v>
      </c>
      <c r="AY6" s="56"/>
      <c r="AZ6" s="56"/>
      <c r="BA6" s="56"/>
      <c r="BB6" s="56"/>
      <c r="BC6" s="56"/>
      <c r="BD6" s="56"/>
      <c r="BE6" s="56"/>
      <c r="BF6" s="56">
        <f t="shared" si="6"/>
        <v>0</v>
      </c>
      <c r="BG6" s="56"/>
      <c r="BH6" s="56"/>
      <c r="BI6" s="56"/>
      <c r="BJ6" s="56"/>
      <c r="BK6" s="56"/>
      <c r="BL6" s="56"/>
      <c r="BM6" s="56"/>
      <c r="BN6" s="56">
        <f t="shared" si="7"/>
        <v>0</v>
      </c>
      <c r="BO6" s="56"/>
      <c r="BP6" s="56"/>
      <c r="BQ6" s="56"/>
      <c r="BR6" s="56"/>
      <c r="BS6" s="56"/>
      <c r="BT6" s="56"/>
      <c r="BU6" s="56"/>
      <c r="BV6" s="56">
        <f t="shared" si="8"/>
        <v>0</v>
      </c>
      <c r="BW6" s="56"/>
      <c r="BX6" s="56"/>
      <c r="BY6" s="56"/>
      <c r="BZ6" s="56"/>
      <c r="CA6" s="56"/>
      <c r="CB6" s="56"/>
      <c r="CC6" s="56"/>
      <c r="CD6" s="56">
        <f t="shared" si="9"/>
        <v>0</v>
      </c>
      <c r="CE6" s="56"/>
      <c r="CF6" s="56"/>
      <c r="CG6" s="56"/>
      <c r="CH6" s="56"/>
      <c r="CI6" s="56"/>
      <c r="CJ6" s="56"/>
      <c r="CK6" s="56"/>
      <c r="CL6" s="56">
        <f t="shared" si="10"/>
        <v>0</v>
      </c>
      <c r="CM6" s="56"/>
      <c r="CN6" s="56"/>
      <c r="CO6" s="56"/>
      <c r="CP6" s="56"/>
      <c r="CQ6" s="56"/>
      <c r="CR6" s="56"/>
      <c r="CS6" s="56"/>
      <c r="CT6" s="56">
        <f t="shared" si="11"/>
        <v>0</v>
      </c>
      <c r="CU6" s="56"/>
      <c r="CV6" s="56"/>
      <c r="CW6" s="56"/>
      <c r="CX6" s="56"/>
      <c r="CY6" s="56"/>
      <c r="CZ6" s="56"/>
      <c r="DA6" s="56"/>
      <c r="DB6" s="56">
        <f t="shared" si="12"/>
        <v>0</v>
      </c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  <c r="DO6" s="56"/>
      <c r="DP6" s="56"/>
      <c r="DQ6" s="56"/>
      <c r="DR6" s="56"/>
      <c r="DS6" s="56"/>
      <c r="DT6" s="56"/>
      <c r="DU6" s="56"/>
      <c r="DV6" s="56"/>
      <c r="DW6" s="56"/>
      <c r="DX6" s="56"/>
      <c r="DY6" s="56"/>
      <c r="DZ6" s="56"/>
      <c r="EA6" s="56"/>
      <c r="EB6" s="56"/>
      <c r="EC6" s="56"/>
      <c r="ED6" s="56"/>
      <c r="EE6" s="56"/>
      <c r="EF6" s="56"/>
      <c r="EG6" s="56"/>
      <c r="EH6" s="56"/>
      <c r="EI6" s="56"/>
      <c r="EJ6" s="56"/>
      <c r="EK6" s="56"/>
      <c r="EL6" s="56"/>
      <c r="EM6" s="56"/>
      <c r="EN6" s="56"/>
      <c r="EO6" s="56"/>
      <c r="EP6" s="56"/>
      <c r="EQ6" s="56"/>
      <c r="ER6" s="56"/>
      <c r="ES6" s="56"/>
      <c r="ET6" s="56"/>
      <c r="EU6" s="56"/>
      <c r="EV6" s="56"/>
      <c r="EW6" s="56"/>
      <c r="EX6" s="56"/>
      <c r="EY6" s="56"/>
      <c r="EZ6" s="56"/>
      <c r="FA6" s="56"/>
      <c r="FB6" s="56"/>
      <c r="FC6" s="56"/>
      <c r="FD6" s="56"/>
      <c r="FE6" s="56"/>
      <c r="FF6" s="56"/>
      <c r="FG6" s="56"/>
      <c r="FH6" s="56"/>
      <c r="FI6" s="56"/>
      <c r="FJ6" s="56"/>
      <c r="FK6" s="56"/>
      <c r="FL6" s="56"/>
      <c r="FM6" s="56"/>
      <c r="FN6" s="56"/>
      <c r="FO6" s="56"/>
      <c r="FP6" s="56"/>
      <c r="FQ6" s="56"/>
      <c r="FR6" s="56"/>
      <c r="FS6" s="56"/>
      <c r="FT6" s="56"/>
      <c r="FU6" s="56"/>
      <c r="FV6" s="56"/>
      <c r="FW6" s="56"/>
      <c r="FX6" s="56"/>
      <c r="FY6" s="56"/>
      <c r="FZ6" s="56"/>
      <c r="GA6" s="56"/>
      <c r="GB6" s="56"/>
      <c r="GC6" s="56"/>
      <c r="GD6" s="56"/>
      <c r="GE6" s="56"/>
      <c r="GF6" s="56"/>
      <c r="GG6" s="56"/>
      <c r="GH6" s="56"/>
      <c r="GI6" s="56"/>
      <c r="GJ6" s="56"/>
      <c r="GK6" s="56"/>
      <c r="GL6" s="56"/>
      <c r="GM6" s="56"/>
      <c r="GN6" s="56"/>
      <c r="GO6" s="56"/>
      <c r="GP6" s="56"/>
      <c r="GQ6" s="56"/>
      <c r="GR6" s="56"/>
      <c r="GS6" s="56"/>
      <c r="GT6" s="56"/>
      <c r="GU6" s="56"/>
      <c r="GV6" s="56"/>
      <c r="GW6" s="56"/>
      <c r="GX6" s="56"/>
      <c r="GY6" s="56"/>
      <c r="GZ6" s="56"/>
      <c r="HA6" s="56"/>
      <c r="HB6" s="56"/>
      <c r="HC6" s="56"/>
      <c r="HD6" s="56"/>
      <c r="HE6" s="56"/>
      <c r="HF6" s="56"/>
      <c r="HG6" s="56"/>
      <c r="HH6" s="56"/>
      <c r="HI6" s="56"/>
      <c r="HJ6" s="56"/>
      <c r="HK6" s="56"/>
      <c r="HL6" s="56"/>
      <c r="HM6" s="56"/>
      <c r="HN6" s="56"/>
      <c r="HO6" s="56"/>
      <c r="HP6" s="56"/>
      <c r="HQ6" s="56"/>
      <c r="HR6" s="56"/>
      <c r="HS6" s="56"/>
      <c r="HT6" s="56"/>
      <c r="HU6" s="56"/>
      <c r="HV6" s="56"/>
      <c r="HW6" s="56"/>
      <c r="HX6" s="56"/>
      <c r="HY6" s="56"/>
      <c r="HZ6" s="56"/>
      <c r="IA6" s="56"/>
      <c r="IB6" s="56"/>
      <c r="IC6" s="56"/>
      <c r="ID6" s="56"/>
      <c r="IE6" s="56"/>
      <c r="IF6" s="56"/>
      <c r="IG6" s="56"/>
      <c r="IH6" s="56"/>
      <c r="II6" s="56"/>
      <c r="IJ6" s="56"/>
      <c r="IK6" s="56"/>
      <c r="IL6" s="56"/>
      <c r="IM6" s="56"/>
      <c r="IN6" s="56"/>
      <c r="IO6" s="56"/>
      <c r="IP6" s="56"/>
      <c r="IQ6" s="56"/>
      <c r="IR6" s="56"/>
      <c r="IS6" s="56"/>
      <c r="IT6" s="56"/>
      <c r="IU6" s="56"/>
      <c r="IV6" s="56"/>
      <c r="IW6" s="56"/>
      <c r="IX6" s="56"/>
      <c r="IY6" s="56"/>
      <c r="IZ6" s="56"/>
      <c r="JA6" s="56"/>
      <c r="JB6" s="56"/>
      <c r="JC6" s="56"/>
      <c r="JD6" s="56"/>
      <c r="JE6" s="56"/>
      <c r="JF6" s="56"/>
      <c r="JG6" s="56"/>
      <c r="JH6" s="56"/>
      <c r="JI6" s="56"/>
      <c r="JJ6" s="56"/>
      <c r="JK6" s="56"/>
      <c r="JL6" s="56"/>
      <c r="JM6" s="56"/>
      <c r="JN6" s="56"/>
      <c r="JO6" s="56"/>
      <c r="JP6" s="56"/>
      <c r="JQ6" s="56"/>
      <c r="JR6" s="56"/>
      <c r="JS6" s="56"/>
      <c r="JT6" s="56"/>
      <c r="JU6" s="56"/>
      <c r="JV6" s="56"/>
      <c r="JW6" s="56"/>
      <c r="JX6" s="56"/>
      <c r="JY6" s="56"/>
      <c r="JZ6" s="56"/>
      <c r="KA6" s="56"/>
      <c r="KB6" s="56"/>
      <c r="KC6" s="56"/>
      <c r="KD6" s="56"/>
      <c r="KE6" s="56"/>
      <c r="KF6" s="56"/>
      <c r="KG6" s="56"/>
      <c r="KH6" s="56"/>
      <c r="KI6" s="56"/>
      <c r="KJ6" s="56"/>
      <c r="KK6" s="56"/>
      <c r="KL6" s="56"/>
      <c r="KM6" s="56"/>
      <c r="KN6" s="56"/>
      <c r="KO6" s="56"/>
      <c r="KP6" s="56"/>
      <c r="KQ6" s="56"/>
      <c r="KR6" s="56"/>
      <c r="KS6" s="56"/>
      <c r="KT6" s="56"/>
      <c r="KU6" s="56"/>
      <c r="KV6" s="56"/>
      <c r="KW6" s="56"/>
      <c r="KX6" s="56"/>
      <c r="KY6" s="56"/>
      <c r="KZ6" s="56"/>
      <c r="LA6" s="56"/>
      <c r="LB6" s="56"/>
      <c r="LC6" s="56"/>
      <c r="LD6" s="56"/>
      <c r="LE6" s="56"/>
      <c r="LF6" s="56"/>
      <c r="LG6" s="56"/>
      <c r="LH6" s="56"/>
      <c r="LI6" s="56"/>
      <c r="LJ6" s="56"/>
      <c r="LK6" s="56"/>
      <c r="LL6" s="56"/>
      <c r="LM6" s="56"/>
      <c r="LN6" s="56"/>
      <c r="LO6" s="56"/>
      <c r="LP6" s="56"/>
      <c r="LQ6" s="56"/>
      <c r="LR6" s="56"/>
      <c r="LS6" s="56"/>
      <c r="LT6" s="56"/>
      <c r="LU6" s="56"/>
      <c r="LV6" s="56"/>
      <c r="LW6" s="56"/>
      <c r="LX6" s="56"/>
      <c r="LY6" s="56"/>
      <c r="LZ6" s="56"/>
      <c r="MA6" s="56"/>
      <c r="MB6" s="56"/>
      <c r="MC6" s="56"/>
      <c r="MD6" s="56"/>
      <c r="ME6" s="56"/>
      <c r="MF6" s="56"/>
      <c r="MG6" s="56"/>
      <c r="MH6" s="56"/>
      <c r="MI6" s="56"/>
      <c r="MJ6" s="56"/>
      <c r="MK6" s="56"/>
      <c r="ML6" s="56"/>
      <c r="MM6" s="56"/>
      <c r="MN6" s="56"/>
      <c r="MO6" s="56"/>
      <c r="MP6" s="56"/>
      <c r="MQ6" s="56"/>
      <c r="MR6" s="56"/>
      <c r="MS6" s="56"/>
      <c r="MT6" s="56"/>
      <c r="MU6" s="56"/>
      <c r="MV6" s="56"/>
      <c r="MW6" s="56"/>
      <c r="MX6" s="56"/>
      <c r="MY6" s="56"/>
      <c r="MZ6" s="56"/>
      <c r="NA6" s="56"/>
      <c r="NB6" s="56"/>
      <c r="NC6" s="56"/>
      <c r="ND6" s="56"/>
      <c r="NE6" s="56"/>
      <c r="NF6" s="56"/>
      <c r="NG6" s="56"/>
      <c r="NH6" s="56"/>
      <c r="NI6" s="56"/>
      <c r="NJ6" s="56"/>
      <c r="NK6" s="56"/>
      <c r="NL6" s="56"/>
      <c r="NM6" s="56"/>
      <c r="NN6" s="56"/>
      <c r="NO6" s="56"/>
      <c r="NP6" s="56"/>
      <c r="NQ6" s="56"/>
      <c r="NR6" s="56"/>
      <c r="NS6" s="56"/>
      <c r="NT6" s="56"/>
      <c r="NU6" s="56"/>
      <c r="NV6" s="56"/>
      <c r="NW6" s="56"/>
      <c r="NX6" s="56"/>
      <c r="NY6" s="56"/>
      <c r="NZ6" s="56"/>
      <c r="OA6" s="56"/>
      <c r="OB6" s="56"/>
      <c r="OC6" s="56"/>
      <c r="OD6" s="56"/>
      <c r="OE6" s="56"/>
      <c r="OF6" s="56"/>
      <c r="OG6" s="56"/>
      <c r="OH6" s="56"/>
      <c r="OI6" s="56"/>
      <c r="OJ6" s="56"/>
      <c r="OK6" s="56"/>
      <c r="OL6" s="56"/>
      <c r="OM6" s="56"/>
      <c r="ON6" s="56"/>
      <c r="OO6" s="56"/>
      <c r="OP6" s="56"/>
      <c r="OQ6" s="56"/>
      <c r="OR6" s="56"/>
      <c r="OS6" s="56"/>
      <c r="OT6" s="56"/>
      <c r="OU6" s="56"/>
      <c r="OV6" s="56"/>
      <c r="OW6" s="56"/>
      <c r="OX6" s="56"/>
      <c r="OY6" s="56"/>
      <c r="OZ6" s="56"/>
      <c r="PA6" s="56"/>
      <c r="PB6" s="64"/>
    </row>
    <row r="7" spans="1:418" x14ac:dyDescent="0.25">
      <c r="A7" s="68" t="str" cm="1">
        <f t="array" ref="A7">_xlfn.LET(_xlpm.lst,_xlfn._xlws.FILTER(tblEmployee[Employee ID],(tblEmployee[Pay Frequency]&lt;&gt;"Monthly")*(tblEmployee[Employee Start]&lt;&gt;"")*(tblEmployee[Employee End]="")),IFERROR(INDEX(_xlpm.lst,ROWS($A$2:A7)),""))</f>
        <v/>
      </c>
      <c r="B7" s="35" t="str" cm="1">
        <f t="array" ref="B7">_xlfn.LET(_xlpm.lst,_xlfn._xlws.FILTER(tblEmployee[Employee Name],(tblEmployee[Pay Frequency]&lt;&gt;"Monthly")*(tblEmployee[Employee Start]&lt;&gt;"")*(tblEmployee[Employee End]="")),IFERROR(INDEX(_xlpm.lst,ROWS($B$2:B7)),""))</f>
        <v/>
      </c>
      <c r="C7" s="65"/>
      <c r="D7" s="65"/>
      <c r="E7" s="65"/>
      <c r="F7" s="65"/>
      <c r="G7" s="65"/>
      <c r="H7" s="65"/>
      <c r="I7" s="65"/>
      <c r="J7" s="65">
        <f t="shared" si="0"/>
        <v>0</v>
      </c>
      <c r="K7" s="65"/>
      <c r="L7" s="65"/>
      <c r="M7" s="65"/>
      <c r="N7" s="65"/>
      <c r="O7" s="65"/>
      <c r="P7" s="65"/>
      <c r="Q7" s="65"/>
      <c r="R7" s="65">
        <f t="shared" si="1"/>
        <v>0</v>
      </c>
      <c r="S7" s="65"/>
      <c r="T7" s="65"/>
      <c r="U7" s="65"/>
      <c r="V7" s="65"/>
      <c r="W7" s="65"/>
      <c r="X7" s="65"/>
      <c r="Y7" s="65"/>
      <c r="Z7" s="65">
        <f t="shared" si="2"/>
        <v>0</v>
      </c>
      <c r="AA7" s="65"/>
      <c r="AB7" s="65"/>
      <c r="AC7" s="65"/>
      <c r="AD7" s="65"/>
      <c r="AE7" s="65"/>
      <c r="AF7" s="65"/>
      <c r="AG7" s="65"/>
      <c r="AH7" s="65">
        <f t="shared" si="3"/>
        <v>0</v>
      </c>
      <c r="AI7" s="65"/>
      <c r="AJ7" s="65"/>
      <c r="AK7" s="65"/>
      <c r="AL7" s="65"/>
      <c r="AM7" s="65"/>
      <c r="AN7" s="65"/>
      <c r="AO7" s="65"/>
      <c r="AP7" s="65">
        <f t="shared" si="4"/>
        <v>0</v>
      </c>
      <c r="AQ7" s="65"/>
      <c r="AR7" s="65"/>
      <c r="AS7" s="65"/>
      <c r="AT7" s="65"/>
      <c r="AU7" s="65"/>
      <c r="AV7" s="65"/>
      <c r="AW7" s="65"/>
      <c r="AX7" s="65">
        <f t="shared" si="5"/>
        <v>0</v>
      </c>
      <c r="AY7" s="65"/>
      <c r="AZ7" s="65"/>
      <c r="BA7" s="65"/>
      <c r="BB7" s="65"/>
      <c r="BC7" s="65"/>
      <c r="BD7" s="65"/>
      <c r="BE7" s="65"/>
      <c r="BF7" s="65">
        <f t="shared" si="6"/>
        <v>0</v>
      </c>
      <c r="BG7" s="65"/>
      <c r="BH7" s="65"/>
      <c r="BI7" s="65"/>
      <c r="BJ7" s="65"/>
      <c r="BK7" s="65"/>
      <c r="BL7" s="65"/>
      <c r="BM7" s="65"/>
      <c r="BN7" s="65">
        <f t="shared" si="7"/>
        <v>0</v>
      </c>
      <c r="BO7" s="65"/>
      <c r="BP7" s="65"/>
      <c r="BQ7" s="65"/>
      <c r="BR7" s="65"/>
      <c r="BS7" s="65"/>
      <c r="BT7" s="65"/>
      <c r="BU7" s="65"/>
      <c r="BV7" s="65">
        <f t="shared" si="8"/>
        <v>0</v>
      </c>
      <c r="BW7" s="65"/>
      <c r="BX7" s="65"/>
      <c r="BY7" s="65"/>
      <c r="BZ7" s="65"/>
      <c r="CA7" s="65"/>
      <c r="CB7" s="65"/>
      <c r="CC7" s="65"/>
      <c r="CD7" s="65">
        <f t="shared" si="9"/>
        <v>0</v>
      </c>
      <c r="CE7" s="65"/>
      <c r="CF7" s="65"/>
      <c r="CG7" s="65"/>
      <c r="CH7" s="65"/>
      <c r="CI7" s="65"/>
      <c r="CJ7" s="65"/>
      <c r="CK7" s="65"/>
      <c r="CL7" s="65">
        <f t="shared" si="10"/>
        <v>0</v>
      </c>
      <c r="CM7" s="65"/>
      <c r="CN7" s="65"/>
      <c r="CO7" s="65"/>
      <c r="CP7" s="65"/>
      <c r="CQ7" s="65"/>
      <c r="CR7" s="65"/>
      <c r="CS7" s="65"/>
      <c r="CT7" s="65">
        <f t="shared" si="11"/>
        <v>0</v>
      </c>
      <c r="CU7" s="65"/>
      <c r="CV7" s="65"/>
      <c r="CW7" s="65"/>
      <c r="CX7" s="65"/>
      <c r="CY7" s="65"/>
      <c r="CZ7" s="65"/>
      <c r="DA7" s="65"/>
      <c r="DB7" s="65">
        <f t="shared" si="12"/>
        <v>0</v>
      </c>
      <c r="DC7" s="65"/>
      <c r="DD7" s="65"/>
      <c r="DE7" s="65"/>
      <c r="DF7" s="65"/>
      <c r="DG7" s="65"/>
      <c r="DH7" s="65"/>
      <c r="DI7" s="65"/>
      <c r="DJ7" s="65"/>
      <c r="DK7" s="65"/>
      <c r="DL7" s="65"/>
      <c r="DM7" s="65"/>
      <c r="DN7" s="65"/>
      <c r="DO7" s="65"/>
      <c r="DP7" s="65"/>
      <c r="DQ7" s="65"/>
      <c r="DR7" s="65"/>
      <c r="DS7" s="65"/>
      <c r="DT7" s="65"/>
      <c r="DU7" s="65"/>
      <c r="DV7" s="65"/>
      <c r="DW7" s="65"/>
      <c r="DX7" s="65"/>
      <c r="DY7" s="65"/>
      <c r="DZ7" s="65"/>
      <c r="EA7" s="65"/>
      <c r="EB7" s="65"/>
      <c r="EC7" s="65"/>
      <c r="ED7" s="65"/>
      <c r="EE7" s="65"/>
      <c r="EF7" s="65"/>
      <c r="EG7" s="65"/>
      <c r="EH7" s="65"/>
      <c r="EI7" s="65"/>
      <c r="EJ7" s="65"/>
      <c r="EK7" s="65"/>
      <c r="EL7" s="65"/>
      <c r="EM7" s="65"/>
      <c r="EN7" s="65"/>
      <c r="EO7" s="65"/>
      <c r="EP7" s="65"/>
      <c r="EQ7" s="65"/>
      <c r="ER7" s="65"/>
      <c r="ES7" s="65"/>
      <c r="ET7" s="65"/>
      <c r="EU7" s="65"/>
      <c r="EV7" s="65"/>
      <c r="EW7" s="65"/>
      <c r="EX7" s="65"/>
      <c r="EY7" s="65"/>
      <c r="EZ7" s="65"/>
      <c r="FA7" s="65"/>
      <c r="FB7" s="65"/>
      <c r="FC7" s="65"/>
      <c r="FD7" s="65"/>
      <c r="FE7" s="65"/>
      <c r="FF7" s="65"/>
      <c r="FG7" s="65"/>
      <c r="FH7" s="65"/>
      <c r="FI7" s="65"/>
      <c r="FJ7" s="65"/>
      <c r="FK7" s="65"/>
      <c r="FL7" s="65"/>
      <c r="FM7" s="65"/>
      <c r="FN7" s="65"/>
      <c r="FO7" s="65"/>
      <c r="FP7" s="65"/>
      <c r="FQ7" s="65"/>
      <c r="FR7" s="65"/>
      <c r="FS7" s="65"/>
      <c r="FT7" s="65"/>
      <c r="FU7" s="65"/>
      <c r="FV7" s="65"/>
      <c r="FW7" s="65"/>
      <c r="FX7" s="65"/>
      <c r="FY7" s="65"/>
      <c r="FZ7" s="65"/>
      <c r="GA7" s="65"/>
      <c r="GB7" s="65"/>
      <c r="GC7" s="65"/>
      <c r="GD7" s="65"/>
      <c r="GE7" s="65"/>
      <c r="GF7" s="65"/>
      <c r="GG7" s="65"/>
      <c r="GH7" s="65"/>
      <c r="GI7" s="65"/>
      <c r="GJ7" s="65"/>
      <c r="GK7" s="65"/>
      <c r="GL7" s="65"/>
      <c r="GM7" s="65"/>
      <c r="GN7" s="65"/>
      <c r="GO7" s="65"/>
      <c r="GP7" s="65"/>
      <c r="GQ7" s="65"/>
      <c r="GR7" s="65"/>
      <c r="GS7" s="65"/>
      <c r="GT7" s="65"/>
      <c r="GU7" s="65"/>
      <c r="GV7" s="65"/>
      <c r="GW7" s="65"/>
      <c r="GX7" s="65"/>
      <c r="GY7" s="65"/>
      <c r="GZ7" s="65"/>
      <c r="HA7" s="65"/>
      <c r="HB7" s="65"/>
      <c r="HC7" s="65"/>
      <c r="HD7" s="65"/>
      <c r="HE7" s="65"/>
      <c r="HF7" s="65"/>
      <c r="HG7" s="65"/>
      <c r="HH7" s="65"/>
      <c r="HI7" s="65"/>
      <c r="HJ7" s="65"/>
      <c r="HK7" s="65"/>
      <c r="HL7" s="65"/>
      <c r="HM7" s="65"/>
      <c r="HN7" s="65"/>
      <c r="HO7" s="65"/>
      <c r="HP7" s="65"/>
      <c r="HQ7" s="65"/>
      <c r="HR7" s="65"/>
      <c r="HS7" s="65"/>
      <c r="HT7" s="65"/>
      <c r="HU7" s="65"/>
      <c r="HV7" s="65"/>
      <c r="HW7" s="65"/>
      <c r="HX7" s="65"/>
      <c r="HY7" s="65"/>
      <c r="HZ7" s="65"/>
      <c r="IA7" s="65"/>
      <c r="IB7" s="65"/>
      <c r="IC7" s="65"/>
      <c r="ID7" s="65"/>
      <c r="IE7" s="65"/>
      <c r="IF7" s="65"/>
      <c r="IG7" s="65"/>
      <c r="IH7" s="65"/>
      <c r="II7" s="65"/>
      <c r="IJ7" s="65"/>
      <c r="IK7" s="65"/>
      <c r="IL7" s="65"/>
      <c r="IM7" s="65"/>
      <c r="IN7" s="65"/>
      <c r="IO7" s="65"/>
      <c r="IP7" s="65"/>
      <c r="IQ7" s="65"/>
      <c r="IR7" s="65"/>
      <c r="IS7" s="65"/>
      <c r="IT7" s="65"/>
      <c r="IU7" s="65"/>
      <c r="IV7" s="65"/>
      <c r="IW7" s="65"/>
      <c r="IX7" s="65"/>
      <c r="IY7" s="65"/>
      <c r="IZ7" s="65"/>
      <c r="JA7" s="65"/>
      <c r="JB7" s="65"/>
      <c r="JC7" s="65"/>
      <c r="JD7" s="65"/>
      <c r="JE7" s="65"/>
      <c r="JF7" s="65"/>
      <c r="JG7" s="65"/>
      <c r="JH7" s="65"/>
      <c r="JI7" s="65"/>
      <c r="JJ7" s="65"/>
      <c r="JK7" s="65"/>
      <c r="JL7" s="65"/>
      <c r="JM7" s="65"/>
      <c r="JN7" s="65"/>
      <c r="JO7" s="65"/>
      <c r="JP7" s="65"/>
      <c r="JQ7" s="65"/>
      <c r="JR7" s="65"/>
      <c r="JS7" s="65"/>
      <c r="JT7" s="65"/>
      <c r="JU7" s="65"/>
      <c r="JV7" s="65"/>
      <c r="JW7" s="65"/>
      <c r="JX7" s="65"/>
      <c r="JY7" s="65"/>
      <c r="JZ7" s="65"/>
      <c r="KA7" s="65"/>
      <c r="KB7" s="65"/>
      <c r="KC7" s="65"/>
      <c r="KD7" s="65"/>
      <c r="KE7" s="65"/>
      <c r="KF7" s="65"/>
      <c r="KG7" s="65"/>
      <c r="KH7" s="65"/>
      <c r="KI7" s="65"/>
      <c r="KJ7" s="65"/>
      <c r="KK7" s="65"/>
      <c r="KL7" s="65"/>
      <c r="KM7" s="65"/>
      <c r="KN7" s="65"/>
      <c r="KO7" s="65"/>
      <c r="KP7" s="65"/>
      <c r="KQ7" s="65"/>
      <c r="KR7" s="65"/>
      <c r="KS7" s="65"/>
      <c r="KT7" s="65"/>
      <c r="KU7" s="65"/>
      <c r="KV7" s="65"/>
      <c r="KW7" s="65"/>
      <c r="KX7" s="65"/>
      <c r="KY7" s="65"/>
      <c r="KZ7" s="65"/>
      <c r="LA7" s="65"/>
      <c r="LB7" s="65"/>
      <c r="LC7" s="65"/>
      <c r="LD7" s="65"/>
      <c r="LE7" s="65"/>
      <c r="LF7" s="65"/>
      <c r="LG7" s="65"/>
      <c r="LH7" s="65"/>
      <c r="LI7" s="65"/>
      <c r="LJ7" s="65"/>
      <c r="LK7" s="65"/>
      <c r="LL7" s="65"/>
      <c r="LM7" s="65"/>
      <c r="LN7" s="65"/>
      <c r="LO7" s="65"/>
      <c r="LP7" s="65"/>
      <c r="LQ7" s="65"/>
      <c r="LR7" s="65"/>
      <c r="LS7" s="65"/>
      <c r="LT7" s="65"/>
      <c r="LU7" s="65"/>
      <c r="LV7" s="65"/>
      <c r="LW7" s="65"/>
      <c r="LX7" s="65"/>
      <c r="LY7" s="65"/>
      <c r="LZ7" s="65"/>
      <c r="MA7" s="65"/>
      <c r="MB7" s="65"/>
      <c r="MC7" s="65"/>
      <c r="MD7" s="65"/>
      <c r="ME7" s="65"/>
      <c r="MF7" s="65"/>
      <c r="MG7" s="65"/>
      <c r="MH7" s="65"/>
      <c r="MI7" s="65"/>
      <c r="MJ7" s="65"/>
      <c r="MK7" s="65"/>
      <c r="ML7" s="65"/>
      <c r="MM7" s="65"/>
      <c r="MN7" s="65"/>
      <c r="MO7" s="65"/>
      <c r="MP7" s="65"/>
      <c r="MQ7" s="65"/>
      <c r="MR7" s="65"/>
      <c r="MS7" s="65"/>
      <c r="MT7" s="65"/>
      <c r="MU7" s="65"/>
      <c r="MV7" s="65"/>
      <c r="MW7" s="65"/>
      <c r="MX7" s="65"/>
      <c r="MY7" s="65"/>
      <c r="MZ7" s="65"/>
      <c r="NA7" s="65"/>
      <c r="NB7" s="65"/>
      <c r="NC7" s="65"/>
      <c r="ND7" s="65"/>
      <c r="NE7" s="65"/>
      <c r="NF7" s="65"/>
      <c r="NG7" s="65"/>
      <c r="NH7" s="65"/>
      <c r="NI7" s="65"/>
      <c r="NJ7" s="65"/>
      <c r="NK7" s="65"/>
      <c r="NL7" s="65"/>
      <c r="NM7" s="65"/>
      <c r="NN7" s="65"/>
      <c r="NO7" s="65"/>
      <c r="NP7" s="65"/>
      <c r="NQ7" s="65"/>
      <c r="NR7" s="65"/>
      <c r="NS7" s="65"/>
      <c r="NT7" s="65"/>
      <c r="NU7" s="65"/>
      <c r="NV7" s="65"/>
      <c r="NW7" s="65"/>
      <c r="NX7" s="65"/>
      <c r="NY7" s="65"/>
      <c r="NZ7" s="65"/>
      <c r="OA7" s="65"/>
      <c r="OB7" s="65"/>
      <c r="OC7" s="65"/>
      <c r="OD7" s="65"/>
      <c r="OE7" s="65"/>
      <c r="OF7" s="65"/>
      <c r="OG7" s="65"/>
      <c r="OH7" s="65"/>
      <c r="OI7" s="65"/>
      <c r="OJ7" s="65"/>
      <c r="OK7" s="65"/>
      <c r="OL7" s="65"/>
      <c r="OM7" s="65"/>
      <c r="ON7" s="65"/>
      <c r="OO7" s="65"/>
      <c r="OP7" s="65"/>
      <c r="OQ7" s="65"/>
      <c r="OR7" s="65"/>
      <c r="OS7" s="65"/>
      <c r="OT7" s="65"/>
      <c r="OU7" s="65"/>
      <c r="OV7" s="65"/>
      <c r="OW7" s="65"/>
      <c r="OX7" s="65"/>
      <c r="OY7" s="65"/>
      <c r="OZ7" s="65"/>
      <c r="PA7" s="65"/>
      <c r="PB7" s="57"/>
    </row>
    <row r="8" spans="1:418" x14ac:dyDescent="0.25">
      <c r="A8" s="68" t="str" cm="1">
        <f t="array" ref="A8">_xlfn.LET(_xlpm.lst,_xlfn._xlws.FILTER(tblEmployee[Employee ID],(tblEmployee[Pay Frequency]&lt;&gt;"Monthly")*(tblEmployee[Employee Start]&lt;&gt;"")*(tblEmployee[Employee End]="")),IFERROR(INDEX(_xlpm.lst,ROWS($A$2:A8)),""))</f>
        <v/>
      </c>
      <c r="B8" s="35" t="str" cm="1">
        <f t="array" ref="B8">_xlfn.LET(_xlpm.lst,_xlfn._xlws.FILTER(tblEmployee[Employee Name],(tblEmployee[Pay Frequency]&lt;&gt;"Monthly")*(tblEmployee[Employee Start]&lt;&gt;"")*(tblEmployee[Employee End]="")),IFERROR(INDEX(_xlpm.lst,ROWS($B$2:B8)),""))</f>
        <v/>
      </c>
      <c r="C8" s="56"/>
      <c r="D8" s="56"/>
      <c r="E8" s="56"/>
      <c r="F8" s="56"/>
      <c r="G8" s="56"/>
      <c r="H8" s="56"/>
      <c r="I8" s="56"/>
      <c r="J8" s="56">
        <f t="shared" ref="J8:J15" si="13">SUM(C8:I8)</f>
        <v>0</v>
      </c>
      <c r="K8" s="56"/>
      <c r="L8" s="56"/>
      <c r="M8" s="56"/>
      <c r="N8" s="56"/>
      <c r="O8" s="56"/>
      <c r="P8" s="56"/>
      <c r="Q8" s="56"/>
      <c r="R8" s="56">
        <f t="shared" ref="R8:R15" si="14">SUM(K8:Q8)</f>
        <v>0</v>
      </c>
      <c r="S8" s="56"/>
      <c r="T8" s="56"/>
      <c r="U8" s="56"/>
      <c r="V8" s="56"/>
      <c r="W8" s="56"/>
      <c r="X8" s="56"/>
      <c r="Y8" s="56"/>
      <c r="Z8" s="56">
        <f t="shared" ref="Z8:Z15" si="15">SUM(S8:Y8)</f>
        <v>0</v>
      </c>
      <c r="AA8" s="56"/>
      <c r="AB8" s="56"/>
      <c r="AC8" s="56"/>
      <c r="AD8" s="56"/>
      <c r="AE8" s="56"/>
      <c r="AF8" s="56"/>
      <c r="AG8" s="56"/>
      <c r="AH8" s="56">
        <f t="shared" ref="AH8:AH15" si="16">SUM(AA8:AG8)</f>
        <v>0</v>
      </c>
      <c r="AI8" s="56"/>
      <c r="AJ8" s="56"/>
      <c r="AK8" s="56"/>
      <c r="AL8" s="56"/>
      <c r="AM8" s="56"/>
      <c r="AN8" s="56"/>
      <c r="AO8" s="56"/>
      <c r="AP8" s="56">
        <f t="shared" ref="AP8:AP15" si="17">SUM(AI8:AO8)</f>
        <v>0</v>
      </c>
      <c r="AQ8" s="56"/>
      <c r="AR8" s="56"/>
      <c r="AS8" s="56"/>
      <c r="AT8" s="56"/>
      <c r="AU8" s="56"/>
      <c r="AV8" s="56"/>
      <c r="AW8" s="56"/>
      <c r="AX8" s="56">
        <f t="shared" ref="AX8:AX15" si="18">SUM(AQ8:AW8)</f>
        <v>0</v>
      </c>
      <c r="AY8" s="56"/>
      <c r="AZ8" s="56"/>
      <c r="BA8" s="56"/>
      <c r="BB8" s="56"/>
      <c r="BC8" s="56"/>
      <c r="BD8" s="56"/>
      <c r="BE8" s="56"/>
      <c r="BF8" s="56">
        <f t="shared" ref="BF8:BF15" si="19">SUM(AY8:BE8)</f>
        <v>0</v>
      </c>
      <c r="BG8" s="56"/>
      <c r="BH8" s="56"/>
      <c r="BI8" s="56"/>
      <c r="BJ8" s="56"/>
      <c r="BK8" s="56"/>
      <c r="BL8" s="56"/>
      <c r="BM8" s="56"/>
      <c r="BN8" s="56">
        <f t="shared" ref="BN8:BN15" si="20">SUM(BG8:BM8)</f>
        <v>0</v>
      </c>
      <c r="BO8" s="56"/>
      <c r="BP8" s="56"/>
      <c r="BQ8" s="56"/>
      <c r="BR8" s="56"/>
      <c r="BS8" s="56"/>
      <c r="BT8" s="56"/>
      <c r="BU8" s="56"/>
      <c r="BV8" s="56">
        <f t="shared" ref="BV8:BV15" si="21">SUM(BO8:BU8)</f>
        <v>0</v>
      </c>
      <c r="BW8" s="56"/>
      <c r="BX8" s="56"/>
      <c r="BY8" s="56"/>
      <c r="BZ8" s="56"/>
      <c r="CA8" s="56"/>
      <c r="CB8" s="56"/>
      <c r="CC8" s="56"/>
      <c r="CD8" s="56">
        <f t="shared" ref="CD8:CD15" si="22">SUM(BW8:CC8)</f>
        <v>0</v>
      </c>
      <c r="CE8" s="56"/>
      <c r="CF8" s="56"/>
      <c r="CG8" s="56"/>
      <c r="CH8" s="56"/>
      <c r="CI8" s="56"/>
      <c r="CJ8" s="56"/>
      <c r="CK8" s="56"/>
      <c r="CL8" s="56">
        <f t="shared" ref="CL8:CL15" si="23">SUM(CE8:CK8)</f>
        <v>0</v>
      </c>
      <c r="CM8" s="56"/>
      <c r="CN8" s="56"/>
      <c r="CO8" s="56"/>
      <c r="CP8" s="56"/>
      <c r="CQ8" s="56"/>
      <c r="CR8" s="56"/>
      <c r="CS8" s="56"/>
      <c r="CT8" s="56">
        <f t="shared" ref="CT8:CT15" si="24">SUM(CM8:CS8)</f>
        <v>0</v>
      </c>
      <c r="CU8" s="56"/>
      <c r="CV8" s="56"/>
      <c r="CW8" s="56"/>
      <c r="CX8" s="56"/>
      <c r="CY8" s="56"/>
      <c r="CZ8" s="56"/>
      <c r="DA8" s="56"/>
      <c r="DB8" s="56">
        <f t="shared" ref="DB8:DB15" si="25">SUM(CU8:DA8)</f>
        <v>0</v>
      </c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56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56"/>
      <c r="FE8" s="56"/>
      <c r="FF8" s="56"/>
      <c r="FG8" s="56"/>
      <c r="FH8" s="56"/>
      <c r="FI8" s="56"/>
      <c r="FJ8" s="56"/>
      <c r="FK8" s="56"/>
      <c r="FL8" s="56"/>
      <c r="FM8" s="56"/>
      <c r="FN8" s="56"/>
      <c r="FO8" s="56"/>
      <c r="FP8" s="56"/>
      <c r="FQ8" s="56"/>
      <c r="FR8" s="56"/>
      <c r="FS8" s="56"/>
      <c r="FT8" s="56"/>
      <c r="FU8" s="56"/>
      <c r="FV8" s="56"/>
      <c r="FW8" s="56"/>
      <c r="FX8" s="56"/>
      <c r="FY8" s="56"/>
      <c r="FZ8" s="56"/>
      <c r="GA8" s="56"/>
      <c r="GB8" s="56"/>
      <c r="GC8" s="56"/>
      <c r="GD8" s="56"/>
      <c r="GE8" s="56"/>
      <c r="GF8" s="56"/>
      <c r="GG8" s="56"/>
      <c r="GH8" s="56"/>
      <c r="GI8" s="56"/>
      <c r="GJ8" s="56"/>
      <c r="GK8" s="56"/>
      <c r="GL8" s="56"/>
      <c r="GM8" s="56"/>
      <c r="GN8" s="56"/>
      <c r="GO8" s="56"/>
      <c r="GP8" s="56"/>
      <c r="GQ8" s="56"/>
      <c r="GR8" s="56"/>
      <c r="GS8" s="56"/>
      <c r="GT8" s="56"/>
      <c r="GU8" s="56"/>
      <c r="GV8" s="56"/>
      <c r="GW8" s="56"/>
      <c r="GX8" s="56"/>
      <c r="GY8" s="56"/>
      <c r="GZ8" s="56"/>
      <c r="HA8" s="56"/>
      <c r="HB8" s="56"/>
      <c r="HC8" s="56"/>
      <c r="HD8" s="56"/>
      <c r="HE8" s="56"/>
      <c r="HF8" s="56"/>
      <c r="HG8" s="56"/>
      <c r="HH8" s="56"/>
      <c r="HI8" s="56"/>
      <c r="HJ8" s="56"/>
      <c r="HK8" s="56"/>
      <c r="HL8" s="56"/>
      <c r="HM8" s="56"/>
      <c r="HN8" s="56"/>
      <c r="HO8" s="56"/>
      <c r="HP8" s="56"/>
      <c r="HQ8" s="56"/>
      <c r="HR8" s="56"/>
      <c r="HS8" s="56"/>
      <c r="HT8" s="56"/>
      <c r="HU8" s="56"/>
      <c r="HV8" s="56"/>
      <c r="HW8" s="56"/>
      <c r="HX8" s="56"/>
      <c r="HY8" s="56"/>
      <c r="HZ8" s="56"/>
      <c r="IA8" s="56"/>
      <c r="IB8" s="56"/>
      <c r="IC8" s="56"/>
      <c r="ID8" s="56"/>
      <c r="IE8" s="56"/>
      <c r="IF8" s="56"/>
      <c r="IG8" s="56"/>
      <c r="IH8" s="56"/>
      <c r="II8" s="56"/>
      <c r="IJ8" s="56"/>
      <c r="IK8" s="56"/>
      <c r="IL8" s="56"/>
      <c r="IM8" s="56"/>
      <c r="IN8" s="56"/>
      <c r="IO8" s="56"/>
      <c r="IP8" s="56"/>
      <c r="IQ8" s="56"/>
      <c r="IR8" s="56"/>
      <c r="IS8" s="56"/>
      <c r="IT8" s="56"/>
      <c r="IU8" s="56"/>
      <c r="IV8" s="56"/>
      <c r="IW8" s="56"/>
      <c r="IX8" s="56"/>
      <c r="IY8" s="56"/>
      <c r="IZ8" s="56"/>
      <c r="JA8" s="56"/>
      <c r="JB8" s="56"/>
      <c r="JC8" s="56"/>
      <c r="JD8" s="56"/>
      <c r="JE8" s="56"/>
      <c r="JF8" s="56"/>
      <c r="JG8" s="56"/>
      <c r="JH8" s="56"/>
      <c r="JI8" s="56"/>
      <c r="JJ8" s="56"/>
      <c r="JK8" s="56"/>
      <c r="JL8" s="56"/>
      <c r="JM8" s="56"/>
      <c r="JN8" s="56"/>
      <c r="JO8" s="56"/>
      <c r="JP8" s="56"/>
      <c r="JQ8" s="56"/>
      <c r="JR8" s="56"/>
      <c r="JS8" s="56"/>
      <c r="JT8" s="56"/>
      <c r="JU8" s="56"/>
      <c r="JV8" s="56"/>
      <c r="JW8" s="56"/>
      <c r="JX8" s="56"/>
      <c r="JY8" s="56"/>
      <c r="JZ8" s="56"/>
      <c r="KA8" s="56"/>
      <c r="KB8" s="56"/>
      <c r="KC8" s="56"/>
      <c r="KD8" s="56"/>
      <c r="KE8" s="56"/>
      <c r="KF8" s="56"/>
      <c r="KG8" s="56"/>
      <c r="KH8" s="56"/>
      <c r="KI8" s="56"/>
      <c r="KJ8" s="56"/>
      <c r="KK8" s="56"/>
      <c r="KL8" s="56"/>
      <c r="KM8" s="56"/>
      <c r="KN8" s="56"/>
      <c r="KO8" s="56"/>
      <c r="KP8" s="56"/>
      <c r="KQ8" s="56"/>
      <c r="KR8" s="56"/>
      <c r="KS8" s="56"/>
      <c r="KT8" s="56"/>
      <c r="KU8" s="56"/>
      <c r="KV8" s="56"/>
      <c r="KW8" s="56"/>
      <c r="KX8" s="56"/>
      <c r="KY8" s="56"/>
      <c r="KZ8" s="56"/>
      <c r="LA8" s="56"/>
      <c r="LB8" s="56"/>
      <c r="LC8" s="56"/>
      <c r="LD8" s="56"/>
      <c r="LE8" s="56"/>
      <c r="LF8" s="56"/>
      <c r="LG8" s="56"/>
      <c r="LH8" s="56"/>
      <c r="LI8" s="56"/>
      <c r="LJ8" s="56"/>
      <c r="LK8" s="56"/>
      <c r="LL8" s="56"/>
      <c r="LM8" s="56"/>
      <c r="LN8" s="56"/>
      <c r="LO8" s="56"/>
      <c r="LP8" s="56"/>
      <c r="LQ8" s="56"/>
      <c r="LR8" s="56"/>
      <c r="LS8" s="56"/>
      <c r="LT8" s="56"/>
      <c r="LU8" s="56"/>
      <c r="LV8" s="56"/>
      <c r="LW8" s="56"/>
      <c r="LX8" s="56"/>
      <c r="LY8" s="56"/>
      <c r="LZ8" s="56"/>
      <c r="MA8" s="56"/>
      <c r="MB8" s="56"/>
      <c r="MC8" s="56"/>
      <c r="MD8" s="56"/>
      <c r="ME8" s="56"/>
      <c r="MF8" s="56"/>
      <c r="MG8" s="56"/>
      <c r="MH8" s="56"/>
      <c r="MI8" s="56"/>
      <c r="MJ8" s="56"/>
      <c r="MK8" s="56"/>
      <c r="ML8" s="56"/>
      <c r="MM8" s="56"/>
      <c r="MN8" s="56"/>
      <c r="MO8" s="56"/>
      <c r="MP8" s="56"/>
      <c r="MQ8" s="56"/>
      <c r="MR8" s="56"/>
      <c r="MS8" s="56"/>
      <c r="MT8" s="56"/>
      <c r="MU8" s="56"/>
      <c r="MV8" s="56"/>
      <c r="MW8" s="56"/>
      <c r="MX8" s="56"/>
      <c r="MY8" s="56"/>
      <c r="MZ8" s="56"/>
      <c r="NA8" s="56"/>
      <c r="NB8" s="56"/>
      <c r="NC8" s="56"/>
      <c r="ND8" s="56"/>
      <c r="NE8" s="56"/>
      <c r="NF8" s="56"/>
      <c r="NG8" s="56"/>
      <c r="NH8" s="56"/>
      <c r="NI8" s="56"/>
      <c r="NJ8" s="56"/>
      <c r="NK8" s="56"/>
      <c r="NL8" s="56"/>
      <c r="NM8" s="56"/>
      <c r="NN8" s="56"/>
      <c r="NO8" s="56"/>
      <c r="NP8" s="56"/>
      <c r="NQ8" s="56"/>
      <c r="NR8" s="56"/>
      <c r="NS8" s="56"/>
      <c r="NT8" s="56"/>
      <c r="NU8" s="56"/>
      <c r="NV8" s="56"/>
      <c r="NW8" s="56"/>
      <c r="NX8" s="56"/>
      <c r="NY8" s="56"/>
      <c r="NZ8" s="56"/>
      <c r="OA8" s="56"/>
      <c r="OB8" s="56"/>
      <c r="OC8" s="56"/>
      <c r="OD8" s="56"/>
      <c r="OE8" s="56"/>
      <c r="OF8" s="56"/>
      <c r="OG8" s="56"/>
      <c r="OH8" s="56"/>
      <c r="OI8" s="56"/>
      <c r="OJ8" s="56"/>
      <c r="OK8" s="56"/>
      <c r="OL8" s="56"/>
      <c r="OM8" s="56"/>
      <c r="ON8" s="56"/>
      <c r="OO8" s="56"/>
      <c r="OP8" s="56"/>
      <c r="OQ8" s="56"/>
      <c r="OR8" s="56"/>
      <c r="OS8" s="56"/>
      <c r="OT8" s="56"/>
      <c r="OU8" s="56"/>
      <c r="OV8" s="56"/>
      <c r="OW8" s="56"/>
      <c r="OX8" s="56"/>
      <c r="OY8" s="56"/>
      <c r="OZ8" s="56"/>
      <c r="PA8" s="56"/>
      <c r="PB8" s="64"/>
    </row>
    <row r="9" spans="1:418" x14ac:dyDescent="0.25">
      <c r="A9" s="68" t="str" cm="1">
        <f t="array" ref="A9">_xlfn.LET(_xlpm.lst,_xlfn._xlws.FILTER(tblEmployee[Employee ID],(tblEmployee[Pay Frequency]&lt;&gt;"Monthly")*(tblEmployee[Employee Start]&lt;&gt;"")*(tblEmployee[Employee End]="")),IFERROR(INDEX(_xlpm.lst,ROWS($A$2:A9)),""))</f>
        <v/>
      </c>
      <c r="B9" s="35" t="str" cm="1">
        <f t="array" ref="B9">_xlfn.LET(_xlpm.lst,_xlfn._xlws.FILTER(tblEmployee[Employee Name],(tblEmployee[Pay Frequency]&lt;&gt;"Monthly")*(tblEmployee[Employee Start]&lt;&gt;"")*(tblEmployee[Employee End]="")),IFERROR(INDEX(_xlpm.lst,ROWS($B$2:B9)),""))</f>
        <v/>
      </c>
      <c r="C9" s="56"/>
      <c r="D9" s="56"/>
      <c r="E9" s="56"/>
      <c r="F9" s="56"/>
      <c r="G9" s="56"/>
      <c r="H9" s="56"/>
      <c r="I9" s="56"/>
      <c r="J9" s="56">
        <f t="shared" si="13"/>
        <v>0</v>
      </c>
      <c r="K9" s="56"/>
      <c r="L9" s="56"/>
      <c r="M9" s="56"/>
      <c r="N9" s="56"/>
      <c r="O9" s="56"/>
      <c r="P9" s="56"/>
      <c r="Q9" s="56"/>
      <c r="R9" s="56">
        <f t="shared" si="14"/>
        <v>0</v>
      </c>
      <c r="S9" s="56"/>
      <c r="T9" s="56"/>
      <c r="U9" s="56"/>
      <c r="V9" s="56"/>
      <c r="W9" s="56"/>
      <c r="X9" s="56"/>
      <c r="Y9" s="56"/>
      <c r="Z9" s="56">
        <f t="shared" si="15"/>
        <v>0</v>
      </c>
      <c r="AA9" s="56"/>
      <c r="AB9" s="56"/>
      <c r="AC9" s="56"/>
      <c r="AD9" s="56"/>
      <c r="AE9" s="56"/>
      <c r="AF9" s="56"/>
      <c r="AG9" s="56"/>
      <c r="AH9" s="56">
        <f t="shared" si="16"/>
        <v>0</v>
      </c>
      <c r="AI9" s="56"/>
      <c r="AJ9" s="56"/>
      <c r="AK9" s="56"/>
      <c r="AL9" s="56"/>
      <c r="AM9" s="56"/>
      <c r="AN9" s="56"/>
      <c r="AO9" s="56"/>
      <c r="AP9" s="56">
        <f t="shared" si="17"/>
        <v>0</v>
      </c>
      <c r="AQ9" s="56"/>
      <c r="AR9" s="56"/>
      <c r="AS9" s="56"/>
      <c r="AT9" s="56"/>
      <c r="AU9" s="56"/>
      <c r="AV9" s="56"/>
      <c r="AW9" s="56"/>
      <c r="AX9" s="56">
        <f t="shared" si="18"/>
        <v>0</v>
      </c>
      <c r="AY9" s="56"/>
      <c r="AZ9" s="56"/>
      <c r="BA9" s="56"/>
      <c r="BB9" s="56"/>
      <c r="BC9" s="56"/>
      <c r="BD9" s="56"/>
      <c r="BE9" s="56"/>
      <c r="BF9" s="56">
        <f t="shared" si="19"/>
        <v>0</v>
      </c>
      <c r="BG9" s="56"/>
      <c r="BH9" s="56"/>
      <c r="BI9" s="56"/>
      <c r="BJ9" s="56"/>
      <c r="BK9" s="56"/>
      <c r="BL9" s="56"/>
      <c r="BM9" s="56"/>
      <c r="BN9" s="56">
        <f t="shared" si="20"/>
        <v>0</v>
      </c>
      <c r="BO9" s="56"/>
      <c r="BP9" s="56"/>
      <c r="BQ9" s="56"/>
      <c r="BR9" s="56"/>
      <c r="BS9" s="56"/>
      <c r="BT9" s="56"/>
      <c r="BU9" s="56"/>
      <c r="BV9" s="56">
        <f t="shared" si="21"/>
        <v>0</v>
      </c>
      <c r="BW9" s="56"/>
      <c r="BX9" s="56"/>
      <c r="BY9" s="56"/>
      <c r="BZ9" s="56"/>
      <c r="CA9" s="56"/>
      <c r="CB9" s="56"/>
      <c r="CC9" s="56"/>
      <c r="CD9" s="56">
        <f t="shared" si="22"/>
        <v>0</v>
      </c>
      <c r="CE9" s="56"/>
      <c r="CF9" s="56"/>
      <c r="CG9" s="56"/>
      <c r="CH9" s="56"/>
      <c r="CI9" s="56"/>
      <c r="CJ9" s="56"/>
      <c r="CK9" s="56"/>
      <c r="CL9" s="56">
        <f t="shared" si="23"/>
        <v>0</v>
      </c>
      <c r="CM9" s="56"/>
      <c r="CN9" s="56"/>
      <c r="CO9" s="56"/>
      <c r="CP9" s="56"/>
      <c r="CQ9" s="56"/>
      <c r="CR9" s="56"/>
      <c r="CS9" s="56"/>
      <c r="CT9" s="56">
        <f t="shared" si="24"/>
        <v>0</v>
      </c>
      <c r="CU9" s="56"/>
      <c r="CV9" s="56"/>
      <c r="CW9" s="56"/>
      <c r="CX9" s="56"/>
      <c r="CY9" s="56"/>
      <c r="CZ9" s="56"/>
      <c r="DA9" s="56"/>
      <c r="DB9" s="56">
        <f t="shared" si="25"/>
        <v>0</v>
      </c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  <c r="DO9" s="56"/>
      <c r="DP9" s="56"/>
      <c r="DQ9" s="56"/>
      <c r="DR9" s="56"/>
      <c r="DS9" s="56"/>
      <c r="DT9" s="56"/>
      <c r="DU9" s="56"/>
      <c r="DV9" s="56"/>
      <c r="DW9" s="56"/>
      <c r="DX9" s="56"/>
      <c r="DY9" s="56"/>
      <c r="DZ9" s="56"/>
      <c r="EA9" s="56"/>
      <c r="EB9" s="56"/>
      <c r="EC9" s="56"/>
      <c r="ED9" s="56"/>
      <c r="EE9" s="56"/>
      <c r="EF9" s="56"/>
      <c r="EG9" s="56"/>
      <c r="EH9" s="56"/>
      <c r="EI9" s="56"/>
      <c r="EJ9" s="56"/>
      <c r="EK9" s="56"/>
      <c r="EL9" s="56"/>
      <c r="EM9" s="56"/>
      <c r="EN9" s="56"/>
      <c r="EO9" s="56"/>
      <c r="EP9" s="56"/>
      <c r="EQ9" s="56"/>
      <c r="ER9" s="56"/>
      <c r="ES9" s="56"/>
      <c r="ET9" s="56"/>
      <c r="EU9" s="56"/>
      <c r="EV9" s="56"/>
      <c r="EW9" s="56"/>
      <c r="EX9" s="56"/>
      <c r="EY9" s="56"/>
      <c r="EZ9" s="56"/>
      <c r="FA9" s="56"/>
      <c r="FB9" s="56"/>
      <c r="FC9" s="56"/>
      <c r="FD9" s="56"/>
      <c r="FE9" s="56"/>
      <c r="FF9" s="56"/>
      <c r="FG9" s="56"/>
      <c r="FH9" s="56"/>
      <c r="FI9" s="56"/>
      <c r="FJ9" s="56"/>
      <c r="FK9" s="56"/>
      <c r="FL9" s="56"/>
      <c r="FM9" s="56"/>
      <c r="FN9" s="56"/>
      <c r="FO9" s="56"/>
      <c r="FP9" s="56"/>
      <c r="FQ9" s="56"/>
      <c r="FR9" s="56"/>
      <c r="FS9" s="56"/>
      <c r="FT9" s="56"/>
      <c r="FU9" s="56"/>
      <c r="FV9" s="56"/>
      <c r="FW9" s="56"/>
      <c r="FX9" s="56"/>
      <c r="FY9" s="56"/>
      <c r="FZ9" s="56"/>
      <c r="GA9" s="56"/>
      <c r="GB9" s="56"/>
      <c r="GC9" s="56"/>
      <c r="GD9" s="56"/>
      <c r="GE9" s="56"/>
      <c r="GF9" s="56"/>
      <c r="GG9" s="56"/>
      <c r="GH9" s="56"/>
      <c r="GI9" s="56"/>
      <c r="GJ9" s="56"/>
      <c r="GK9" s="56"/>
      <c r="GL9" s="56"/>
      <c r="GM9" s="56"/>
      <c r="GN9" s="56"/>
      <c r="GO9" s="56"/>
      <c r="GP9" s="56"/>
      <c r="GQ9" s="56"/>
      <c r="GR9" s="56"/>
      <c r="GS9" s="56"/>
      <c r="GT9" s="56"/>
      <c r="GU9" s="56"/>
      <c r="GV9" s="56"/>
      <c r="GW9" s="56"/>
      <c r="GX9" s="56"/>
      <c r="GY9" s="56"/>
      <c r="GZ9" s="56"/>
      <c r="HA9" s="56"/>
      <c r="HB9" s="56"/>
      <c r="HC9" s="56"/>
      <c r="HD9" s="56"/>
      <c r="HE9" s="56"/>
      <c r="HF9" s="56"/>
      <c r="HG9" s="56"/>
      <c r="HH9" s="56"/>
      <c r="HI9" s="56"/>
      <c r="HJ9" s="56"/>
      <c r="HK9" s="56"/>
      <c r="HL9" s="56"/>
      <c r="HM9" s="56"/>
      <c r="HN9" s="56"/>
      <c r="HO9" s="56"/>
      <c r="HP9" s="56"/>
      <c r="HQ9" s="56"/>
      <c r="HR9" s="56"/>
      <c r="HS9" s="56"/>
      <c r="HT9" s="56"/>
      <c r="HU9" s="56"/>
      <c r="HV9" s="56"/>
      <c r="HW9" s="56"/>
      <c r="HX9" s="56"/>
      <c r="HY9" s="56"/>
      <c r="HZ9" s="56"/>
      <c r="IA9" s="56"/>
      <c r="IB9" s="56"/>
      <c r="IC9" s="56"/>
      <c r="ID9" s="56"/>
      <c r="IE9" s="56"/>
      <c r="IF9" s="56"/>
      <c r="IG9" s="56"/>
      <c r="IH9" s="56"/>
      <c r="II9" s="56"/>
      <c r="IJ9" s="56"/>
      <c r="IK9" s="56"/>
      <c r="IL9" s="56"/>
      <c r="IM9" s="56"/>
      <c r="IN9" s="56"/>
      <c r="IO9" s="56"/>
      <c r="IP9" s="56"/>
      <c r="IQ9" s="56"/>
      <c r="IR9" s="56"/>
      <c r="IS9" s="56"/>
      <c r="IT9" s="56"/>
      <c r="IU9" s="56"/>
      <c r="IV9" s="56"/>
      <c r="IW9" s="56"/>
      <c r="IX9" s="56"/>
      <c r="IY9" s="56"/>
      <c r="IZ9" s="56"/>
      <c r="JA9" s="56"/>
      <c r="JB9" s="56"/>
      <c r="JC9" s="56"/>
      <c r="JD9" s="56"/>
      <c r="JE9" s="56"/>
      <c r="JF9" s="56"/>
      <c r="JG9" s="56"/>
      <c r="JH9" s="56"/>
      <c r="JI9" s="56"/>
      <c r="JJ9" s="56"/>
      <c r="JK9" s="56"/>
      <c r="JL9" s="56"/>
      <c r="JM9" s="56"/>
      <c r="JN9" s="56"/>
      <c r="JO9" s="56"/>
      <c r="JP9" s="56"/>
      <c r="JQ9" s="56"/>
      <c r="JR9" s="56"/>
      <c r="JS9" s="56"/>
      <c r="JT9" s="56"/>
      <c r="JU9" s="56"/>
      <c r="JV9" s="56"/>
      <c r="JW9" s="56"/>
      <c r="JX9" s="56"/>
      <c r="JY9" s="56"/>
      <c r="JZ9" s="56"/>
      <c r="KA9" s="56"/>
      <c r="KB9" s="56"/>
      <c r="KC9" s="56"/>
      <c r="KD9" s="56"/>
      <c r="KE9" s="56"/>
      <c r="KF9" s="56"/>
      <c r="KG9" s="56"/>
      <c r="KH9" s="56"/>
      <c r="KI9" s="56"/>
      <c r="KJ9" s="56"/>
      <c r="KK9" s="56"/>
      <c r="KL9" s="56"/>
      <c r="KM9" s="56"/>
      <c r="KN9" s="56"/>
      <c r="KO9" s="56"/>
      <c r="KP9" s="56"/>
      <c r="KQ9" s="56"/>
      <c r="KR9" s="56"/>
      <c r="KS9" s="56"/>
      <c r="KT9" s="56"/>
      <c r="KU9" s="56"/>
      <c r="KV9" s="56"/>
      <c r="KW9" s="56"/>
      <c r="KX9" s="56"/>
      <c r="KY9" s="56"/>
      <c r="KZ9" s="56"/>
      <c r="LA9" s="56"/>
      <c r="LB9" s="56"/>
      <c r="LC9" s="56"/>
      <c r="LD9" s="56"/>
      <c r="LE9" s="56"/>
      <c r="LF9" s="56"/>
      <c r="LG9" s="56"/>
      <c r="LH9" s="56"/>
      <c r="LI9" s="56"/>
      <c r="LJ9" s="56"/>
      <c r="LK9" s="56"/>
      <c r="LL9" s="56"/>
      <c r="LM9" s="56"/>
      <c r="LN9" s="56"/>
      <c r="LO9" s="56"/>
      <c r="LP9" s="56"/>
      <c r="LQ9" s="56"/>
      <c r="LR9" s="56"/>
      <c r="LS9" s="56"/>
      <c r="LT9" s="56"/>
      <c r="LU9" s="56"/>
      <c r="LV9" s="56"/>
      <c r="LW9" s="56"/>
      <c r="LX9" s="56"/>
      <c r="LY9" s="56"/>
      <c r="LZ9" s="56"/>
      <c r="MA9" s="56"/>
      <c r="MB9" s="56"/>
      <c r="MC9" s="56"/>
      <c r="MD9" s="56"/>
      <c r="ME9" s="56"/>
      <c r="MF9" s="56"/>
      <c r="MG9" s="56"/>
      <c r="MH9" s="56"/>
      <c r="MI9" s="56"/>
      <c r="MJ9" s="56"/>
      <c r="MK9" s="56"/>
      <c r="ML9" s="56"/>
      <c r="MM9" s="56"/>
      <c r="MN9" s="56"/>
      <c r="MO9" s="56"/>
      <c r="MP9" s="56"/>
      <c r="MQ9" s="56"/>
      <c r="MR9" s="56"/>
      <c r="MS9" s="56"/>
      <c r="MT9" s="56"/>
      <c r="MU9" s="56"/>
      <c r="MV9" s="56"/>
      <c r="MW9" s="56"/>
      <c r="MX9" s="56"/>
      <c r="MY9" s="56"/>
      <c r="MZ9" s="56"/>
      <c r="NA9" s="56"/>
      <c r="NB9" s="56"/>
      <c r="NC9" s="56"/>
      <c r="ND9" s="56"/>
      <c r="NE9" s="56"/>
      <c r="NF9" s="56"/>
      <c r="NG9" s="56"/>
      <c r="NH9" s="56"/>
      <c r="NI9" s="56"/>
      <c r="NJ9" s="56"/>
      <c r="NK9" s="56"/>
      <c r="NL9" s="56"/>
      <c r="NM9" s="56"/>
      <c r="NN9" s="56"/>
      <c r="NO9" s="56"/>
      <c r="NP9" s="56"/>
      <c r="NQ9" s="56"/>
      <c r="NR9" s="56"/>
      <c r="NS9" s="56"/>
      <c r="NT9" s="56"/>
      <c r="NU9" s="56"/>
      <c r="NV9" s="56"/>
      <c r="NW9" s="56"/>
      <c r="NX9" s="56"/>
      <c r="NY9" s="56"/>
      <c r="NZ9" s="56"/>
      <c r="OA9" s="56"/>
      <c r="OB9" s="56"/>
      <c r="OC9" s="56"/>
      <c r="OD9" s="56"/>
      <c r="OE9" s="56"/>
      <c r="OF9" s="56"/>
      <c r="OG9" s="56"/>
      <c r="OH9" s="56"/>
      <c r="OI9" s="56"/>
      <c r="OJ9" s="56"/>
      <c r="OK9" s="56"/>
      <c r="OL9" s="56"/>
      <c r="OM9" s="56"/>
      <c r="ON9" s="56"/>
      <c r="OO9" s="56"/>
      <c r="OP9" s="56"/>
      <c r="OQ9" s="56"/>
      <c r="OR9" s="56"/>
      <c r="OS9" s="56"/>
      <c r="OT9" s="56"/>
      <c r="OU9" s="56"/>
      <c r="OV9" s="56"/>
      <c r="OW9" s="56"/>
      <c r="OX9" s="56"/>
      <c r="OY9" s="56"/>
      <c r="OZ9" s="56"/>
      <c r="PA9" s="56"/>
      <c r="PB9" s="64"/>
    </row>
    <row r="10" spans="1:418" x14ac:dyDescent="0.25">
      <c r="A10" s="68" t="str" cm="1">
        <f t="array" ref="A10">_xlfn.LET(_xlpm.lst,_xlfn._xlws.FILTER(tblEmployee[Employee ID],(tblEmployee[Pay Frequency]&lt;&gt;"Monthly")*(tblEmployee[Employee Start]&lt;&gt;"")*(tblEmployee[Employee End]="")),IFERROR(INDEX(_xlpm.lst,ROWS($A$2:A10)),""))</f>
        <v/>
      </c>
      <c r="B10" s="35" t="str" cm="1">
        <f t="array" ref="B10">_xlfn.LET(_xlpm.lst,_xlfn._xlws.FILTER(tblEmployee[Employee Name],(tblEmployee[Pay Frequency]&lt;&gt;"Monthly")*(tblEmployee[Employee Start]&lt;&gt;"")*(tblEmployee[Employee End]="")),IFERROR(INDEX(_xlpm.lst,ROWS($B$2:B10)),""))</f>
        <v/>
      </c>
      <c r="C10" s="56"/>
      <c r="D10" s="56"/>
      <c r="E10" s="56"/>
      <c r="F10" s="56"/>
      <c r="G10" s="56"/>
      <c r="H10" s="56"/>
      <c r="I10" s="56"/>
      <c r="J10" s="56">
        <f t="shared" si="13"/>
        <v>0</v>
      </c>
      <c r="K10" s="56"/>
      <c r="L10" s="56"/>
      <c r="M10" s="56"/>
      <c r="N10" s="56"/>
      <c r="O10" s="56"/>
      <c r="P10" s="56"/>
      <c r="Q10" s="56"/>
      <c r="R10" s="56">
        <f t="shared" si="14"/>
        <v>0</v>
      </c>
      <c r="S10" s="56"/>
      <c r="T10" s="56"/>
      <c r="U10" s="56"/>
      <c r="V10" s="56"/>
      <c r="W10" s="56"/>
      <c r="X10" s="56"/>
      <c r="Y10" s="56"/>
      <c r="Z10" s="56">
        <f t="shared" si="15"/>
        <v>0</v>
      </c>
      <c r="AA10" s="56"/>
      <c r="AB10" s="56"/>
      <c r="AC10" s="56"/>
      <c r="AD10" s="56"/>
      <c r="AE10" s="56"/>
      <c r="AF10" s="56"/>
      <c r="AG10" s="56"/>
      <c r="AH10" s="56">
        <f t="shared" si="16"/>
        <v>0</v>
      </c>
      <c r="AI10" s="56"/>
      <c r="AJ10" s="56"/>
      <c r="AK10" s="56"/>
      <c r="AL10" s="56"/>
      <c r="AM10" s="56"/>
      <c r="AN10" s="56"/>
      <c r="AO10" s="56"/>
      <c r="AP10" s="56">
        <f t="shared" si="17"/>
        <v>0</v>
      </c>
      <c r="AQ10" s="56"/>
      <c r="AR10" s="56"/>
      <c r="AS10" s="56"/>
      <c r="AT10" s="56"/>
      <c r="AU10" s="56"/>
      <c r="AV10" s="56"/>
      <c r="AW10" s="56"/>
      <c r="AX10" s="56">
        <f t="shared" si="18"/>
        <v>0</v>
      </c>
      <c r="AY10" s="56"/>
      <c r="AZ10" s="56"/>
      <c r="BA10" s="56"/>
      <c r="BB10" s="56"/>
      <c r="BC10" s="56"/>
      <c r="BD10" s="56"/>
      <c r="BE10" s="56"/>
      <c r="BF10" s="56">
        <f t="shared" si="19"/>
        <v>0</v>
      </c>
      <c r="BG10" s="56"/>
      <c r="BH10" s="56"/>
      <c r="BI10" s="56"/>
      <c r="BJ10" s="56"/>
      <c r="BK10" s="56"/>
      <c r="BL10" s="56"/>
      <c r="BM10" s="56"/>
      <c r="BN10" s="56">
        <f t="shared" si="20"/>
        <v>0</v>
      </c>
      <c r="BO10" s="56"/>
      <c r="BP10" s="56"/>
      <c r="BQ10" s="56"/>
      <c r="BR10" s="56"/>
      <c r="BS10" s="56"/>
      <c r="BT10" s="56"/>
      <c r="BU10" s="56"/>
      <c r="BV10" s="56">
        <f t="shared" si="21"/>
        <v>0</v>
      </c>
      <c r="BW10" s="56"/>
      <c r="BX10" s="56"/>
      <c r="BY10" s="56"/>
      <c r="BZ10" s="56"/>
      <c r="CA10" s="56"/>
      <c r="CB10" s="56"/>
      <c r="CC10" s="56"/>
      <c r="CD10" s="56">
        <f t="shared" si="22"/>
        <v>0</v>
      </c>
      <c r="CE10" s="56"/>
      <c r="CF10" s="56"/>
      <c r="CG10" s="56"/>
      <c r="CH10" s="56"/>
      <c r="CI10" s="56"/>
      <c r="CJ10" s="56"/>
      <c r="CK10" s="56"/>
      <c r="CL10" s="56">
        <f t="shared" si="23"/>
        <v>0</v>
      </c>
      <c r="CM10" s="56"/>
      <c r="CN10" s="56"/>
      <c r="CO10" s="56"/>
      <c r="CP10" s="56"/>
      <c r="CQ10" s="56"/>
      <c r="CR10" s="56"/>
      <c r="CS10" s="56"/>
      <c r="CT10" s="56">
        <f t="shared" si="24"/>
        <v>0</v>
      </c>
      <c r="CU10" s="56"/>
      <c r="CV10" s="56"/>
      <c r="CW10" s="56"/>
      <c r="CX10" s="56"/>
      <c r="CY10" s="56"/>
      <c r="CZ10" s="56"/>
      <c r="DA10" s="56"/>
      <c r="DB10" s="56">
        <f t="shared" si="25"/>
        <v>0</v>
      </c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  <c r="DO10" s="56"/>
      <c r="DP10" s="56"/>
      <c r="DQ10" s="56"/>
      <c r="DR10" s="56"/>
      <c r="DS10" s="56"/>
      <c r="DT10" s="56"/>
      <c r="DU10" s="56"/>
      <c r="DV10" s="56"/>
      <c r="DW10" s="56"/>
      <c r="DX10" s="56"/>
      <c r="DY10" s="56"/>
      <c r="DZ10" s="56"/>
      <c r="EA10" s="56"/>
      <c r="EB10" s="56"/>
      <c r="EC10" s="56"/>
      <c r="ED10" s="56"/>
      <c r="EE10" s="56"/>
      <c r="EF10" s="56"/>
      <c r="EG10" s="56"/>
      <c r="EH10" s="56"/>
      <c r="EI10" s="56"/>
      <c r="EJ10" s="56"/>
      <c r="EK10" s="56"/>
      <c r="EL10" s="56"/>
      <c r="EM10" s="56"/>
      <c r="EN10" s="56"/>
      <c r="EO10" s="56"/>
      <c r="EP10" s="56"/>
      <c r="EQ10" s="56"/>
      <c r="ER10" s="56"/>
      <c r="ES10" s="56"/>
      <c r="ET10" s="56"/>
      <c r="EU10" s="56"/>
      <c r="EV10" s="56"/>
      <c r="EW10" s="56"/>
      <c r="EX10" s="56"/>
      <c r="EY10" s="56"/>
      <c r="EZ10" s="56"/>
      <c r="FA10" s="56"/>
      <c r="FB10" s="56"/>
      <c r="FC10" s="56"/>
      <c r="FD10" s="56"/>
      <c r="FE10" s="56"/>
      <c r="FF10" s="56"/>
      <c r="FG10" s="56"/>
      <c r="FH10" s="56"/>
      <c r="FI10" s="56"/>
      <c r="FJ10" s="56"/>
      <c r="FK10" s="56"/>
      <c r="FL10" s="56"/>
      <c r="FM10" s="56"/>
      <c r="FN10" s="56"/>
      <c r="FO10" s="56"/>
      <c r="FP10" s="56"/>
      <c r="FQ10" s="56"/>
      <c r="FR10" s="56"/>
      <c r="FS10" s="56"/>
      <c r="FT10" s="56"/>
      <c r="FU10" s="56"/>
      <c r="FV10" s="56"/>
      <c r="FW10" s="56"/>
      <c r="FX10" s="56"/>
      <c r="FY10" s="56"/>
      <c r="FZ10" s="56"/>
      <c r="GA10" s="56"/>
      <c r="GB10" s="56"/>
      <c r="GC10" s="56"/>
      <c r="GD10" s="56"/>
      <c r="GE10" s="56"/>
      <c r="GF10" s="56"/>
      <c r="GG10" s="56"/>
      <c r="GH10" s="56"/>
      <c r="GI10" s="56"/>
      <c r="GJ10" s="56"/>
      <c r="GK10" s="56"/>
      <c r="GL10" s="56"/>
      <c r="GM10" s="56"/>
      <c r="GN10" s="56"/>
      <c r="GO10" s="56"/>
      <c r="GP10" s="56"/>
      <c r="GQ10" s="56"/>
      <c r="GR10" s="56"/>
      <c r="GS10" s="56"/>
      <c r="GT10" s="56"/>
      <c r="GU10" s="56"/>
      <c r="GV10" s="56"/>
      <c r="GW10" s="56"/>
      <c r="GX10" s="56"/>
      <c r="GY10" s="56"/>
      <c r="GZ10" s="56"/>
      <c r="HA10" s="56"/>
      <c r="HB10" s="56"/>
      <c r="HC10" s="56"/>
      <c r="HD10" s="56"/>
      <c r="HE10" s="56"/>
      <c r="HF10" s="56"/>
      <c r="HG10" s="56"/>
      <c r="HH10" s="56"/>
      <c r="HI10" s="56"/>
      <c r="HJ10" s="56"/>
      <c r="HK10" s="56"/>
      <c r="HL10" s="56"/>
      <c r="HM10" s="56"/>
      <c r="HN10" s="56"/>
      <c r="HO10" s="56"/>
      <c r="HP10" s="56"/>
      <c r="HQ10" s="56"/>
      <c r="HR10" s="56"/>
      <c r="HS10" s="56"/>
      <c r="HT10" s="56"/>
      <c r="HU10" s="56"/>
      <c r="HV10" s="56"/>
      <c r="HW10" s="56"/>
      <c r="HX10" s="56"/>
      <c r="HY10" s="56"/>
      <c r="HZ10" s="56"/>
      <c r="IA10" s="56"/>
      <c r="IB10" s="56"/>
      <c r="IC10" s="56"/>
      <c r="ID10" s="56"/>
      <c r="IE10" s="56"/>
      <c r="IF10" s="56"/>
      <c r="IG10" s="56"/>
      <c r="IH10" s="56"/>
      <c r="II10" s="56"/>
      <c r="IJ10" s="56"/>
      <c r="IK10" s="56"/>
      <c r="IL10" s="56"/>
      <c r="IM10" s="56"/>
      <c r="IN10" s="56"/>
      <c r="IO10" s="56"/>
      <c r="IP10" s="56"/>
      <c r="IQ10" s="56"/>
      <c r="IR10" s="56"/>
      <c r="IS10" s="56"/>
      <c r="IT10" s="56"/>
      <c r="IU10" s="56"/>
      <c r="IV10" s="56"/>
      <c r="IW10" s="56"/>
      <c r="IX10" s="56"/>
      <c r="IY10" s="56"/>
      <c r="IZ10" s="56"/>
      <c r="JA10" s="56"/>
      <c r="JB10" s="56"/>
      <c r="JC10" s="56"/>
      <c r="JD10" s="56"/>
      <c r="JE10" s="56"/>
      <c r="JF10" s="56"/>
      <c r="JG10" s="56"/>
      <c r="JH10" s="56"/>
      <c r="JI10" s="56"/>
      <c r="JJ10" s="56"/>
      <c r="JK10" s="56"/>
      <c r="JL10" s="56"/>
      <c r="JM10" s="56"/>
      <c r="JN10" s="56"/>
      <c r="JO10" s="56"/>
      <c r="JP10" s="56"/>
      <c r="JQ10" s="56"/>
      <c r="JR10" s="56"/>
      <c r="JS10" s="56"/>
      <c r="JT10" s="56"/>
      <c r="JU10" s="56"/>
      <c r="JV10" s="56"/>
      <c r="JW10" s="56"/>
      <c r="JX10" s="56"/>
      <c r="JY10" s="56"/>
      <c r="JZ10" s="56"/>
      <c r="KA10" s="56"/>
      <c r="KB10" s="56"/>
      <c r="KC10" s="56"/>
      <c r="KD10" s="56"/>
      <c r="KE10" s="56"/>
      <c r="KF10" s="56"/>
      <c r="KG10" s="56"/>
      <c r="KH10" s="56"/>
      <c r="KI10" s="56"/>
      <c r="KJ10" s="56"/>
      <c r="KK10" s="56"/>
      <c r="KL10" s="56"/>
      <c r="KM10" s="56"/>
      <c r="KN10" s="56"/>
      <c r="KO10" s="56"/>
      <c r="KP10" s="56"/>
      <c r="KQ10" s="56"/>
      <c r="KR10" s="56"/>
      <c r="KS10" s="56"/>
      <c r="KT10" s="56"/>
      <c r="KU10" s="56"/>
      <c r="KV10" s="56"/>
      <c r="KW10" s="56"/>
      <c r="KX10" s="56"/>
      <c r="KY10" s="56"/>
      <c r="KZ10" s="56"/>
      <c r="LA10" s="56"/>
      <c r="LB10" s="56"/>
      <c r="LC10" s="56"/>
      <c r="LD10" s="56"/>
      <c r="LE10" s="56"/>
      <c r="LF10" s="56"/>
      <c r="LG10" s="56"/>
      <c r="LH10" s="56"/>
      <c r="LI10" s="56"/>
      <c r="LJ10" s="56"/>
      <c r="LK10" s="56"/>
      <c r="LL10" s="56"/>
      <c r="LM10" s="56"/>
      <c r="LN10" s="56"/>
      <c r="LO10" s="56"/>
      <c r="LP10" s="56"/>
      <c r="LQ10" s="56"/>
      <c r="LR10" s="56"/>
      <c r="LS10" s="56"/>
      <c r="LT10" s="56"/>
      <c r="LU10" s="56"/>
      <c r="LV10" s="56"/>
      <c r="LW10" s="56"/>
      <c r="LX10" s="56"/>
      <c r="LY10" s="56"/>
      <c r="LZ10" s="56"/>
      <c r="MA10" s="56"/>
      <c r="MB10" s="56"/>
      <c r="MC10" s="56"/>
      <c r="MD10" s="56"/>
      <c r="ME10" s="56"/>
      <c r="MF10" s="56"/>
      <c r="MG10" s="56"/>
      <c r="MH10" s="56"/>
      <c r="MI10" s="56"/>
      <c r="MJ10" s="56"/>
      <c r="MK10" s="56"/>
      <c r="ML10" s="56"/>
      <c r="MM10" s="56"/>
      <c r="MN10" s="56"/>
      <c r="MO10" s="56"/>
      <c r="MP10" s="56"/>
      <c r="MQ10" s="56"/>
      <c r="MR10" s="56"/>
      <c r="MS10" s="56"/>
      <c r="MT10" s="56"/>
      <c r="MU10" s="56"/>
      <c r="MV10" s="56"/>
      <c r="MW10" s="56"/>
      <c r="MX10" s="56"/>
      <c r="MY10" s="56"/>
      <c r="MZ10" s="56"/>
      <c r="NA10" s="56"/>
      <c r="NB10" s="56"/>
      <c r="NC10" s="56"/>
      <c r="ND10" s="56"/>
      <c r="NE10" s="56"/>
      <c r="NF10" s="56"/>
      <c r="NG10" s="56"/>
      <c r="NH10" s="56"/>
      <c r="NI10" s="56"/>
      <c r="NJ10" s="56"/>
      <c r="NK10" s="56"/>
      <c r="NL10" s="56"/>
      <c r="NM10" s="56"/>
      <c r="NN10" s="56"/>
      <c r="NO10" s="56"/>
      <c r="NP10" s="56"/>
      <c r="NQ10" s="56"/>
      <c r="NR10" s="56"/>
      <c r="NS10" s="56"/>
      <c r="NT10" s="56"/>
      <c r="NU10" s="56"/>
      <c r="NV10" s="56"/>
      <c r="NW10" s="56"/>
      <c r="NX10" s="56"/>
      <c r="NY10" s="56"/>
      <c r="NZ10" s="56"/>
      <c r="OA10" s="56"/>
      <c r="OB10" s="56"/>
      <c r="OC10" s="56"/>
      <c r="OD10" s="56"/>
      <c r="OE10" s="56"/>
      <c r="OF10" s="56"/>
      <c r="OG10" s="56"/>
      <c r="OH10" s="56"/>
      <c r="OI10" s="56"/>
      <c r="OJ10" s="56"/>
      <c r="OK10" s="56"/>
      <c r="OL10" s="56"/>
      <c r="OM10" s="56"/>
      <c r="ON10" s="56"/>
      <c r="OO10" s="56"/>
      <c r="OP10" s="56"/>
      <c r="OQ10" s="56"/>
      <c r="OR10" s="56"/>
      <c r="OS10" s="56"/>
      <c r="OT10" s="56"/>
      <c r="OU10" s="56"/>
      <c r="OV10" s="56"/>
      <c r="OW10" s="56"/>
      <c r="OX10" s="56"/>
      <c r="OY10" s="56"/>
      <c r="OZ10" s="56"/>
      <c r="PA10" s="56"/>
      <c r="PB10" s="64"/>
    </row>
    <row r="11" spans="1:418" x14ac:dyDescent="0.25">
      <c r="A11" s="68" t="str" cm="1">
        <f t="array" ref="A11">_xlfn.LET(_xlpm.lst,_xlfn._xlws.FILTER(tblEmployee[Employee ID],(tblEmployee[Pay Frequency]&lt;&gt;"Monthly")*(tblEmployee[Employee Start]&lt;&gt;"")*(tblEmployee[Employee End]="")),IFERROR(INDEX(_xlpm.lst,ROWS($A$2:A11)),""))</f>
        <v/>
      </c>
      <c r="B11" s="35" t="str" cm="1">
        <f t="array" ref="B11">_xlfn.LET(_xlpm.lst,_xlfn._xlws.FILTER(tblEmployee[Employee Name],(tblEmployee[Pay Frequency]&lt;&gt;"Monthly")*(tblEmployee[Employee Start]&lt;&gt;"")*(tblEmployee[Employee End]="")),IFERROR(INDEX(_xlpm.lst,ROWS($B$2:B11)),""))</f>
        <v/>
      </c>
      <c r="C11" s="56"/>
      <c r="D11" s="56"/>
      <c r="E11" s="56"/>
      <c r="F11" s="56"/>
      <c r="G11" s="56"/>
      <c r="H11" s="56"/>
      <c r="I11" s="56"/>
      <c r="J11" s="56">
        <f t="shared" si="13"/>
        <v>0</v>
      </c>
      <c r="K11" s="56"/>
      <c r="L11" s="56"/>
      <c r="M11" s="56"/>
      <c r="N11" s="56"/>
      <c r="O11" s="56"/>
      <c r="P11" s="56"/>
      <c r="Q11" s="56"/>
      <c r="R11" s="56">
        <f t="shared" si="14"/>
        <v>0</v>
      </c>
      <c r="S11" s="56"/>
      <c r="T11" s="56"/>
      <c r="U11" s="56"/>
      <c r="V11" s="56"/>
      <c r="W11" s="56"/>
      <c r="X11" s="56"/>
      <c r="Y11" s="56"/>
      <c r="Z11" s="56">
        <f t="shared" si="15"/>
        <v>0</v>
      </c>
      <c r="AA11" s="56"/>
      <c r="AB11" s="56"/>
      <c r="AC11" s="56"/>
      <c r="AD11" s="56"/>
      <c r="AE11" s="56"/>
      <c r="AF11" s="56"/>
      <c r="AG11" s="56"/>
      <c r="AH11" s="56">
        <f t="shared" si="16"/>
        <v>0</v>
      </c>
      <c r="AI11" s="56"/>
      <c r="AJ11" s="56"/>
      <c r="AK11" s="56"/>
      <c r="AL11" s="56"/>
      <c r="AM11" s="56"/>
      <c r="AN11" s="56"/>
      <c r="AO11" s="56"/>
      <c r="AP11" s="56">
        <f t="shared" si="17"/>
        <v>0</v>
      </c>
      <c r="AQ11" s="56"/>
      <c r="AR11" s="56"/>
      <c r="AS11" s="56"/>
      <c r="AT11" s="56"/>
      <c r="AU11" s="56"/>
      <c r="AV11" s="56"/>
      <c r="AW11" s="56"/>
      <c r="AX11" s="56">
        <f t="shared" si="18"/>
        <v>0</v>
      </c>
      <c r="AY11" s="56"/>
      <c r="AZ11" s="56"/>
      <c r="BA11" s="56"/>
      <c r="BB11" s="56"/>
      <c r="BC11" s="56"/>
      <c r="BD11" s="56"/>
      <c r="BE11" s="56"/>
      <c r="BF11" s="56">
        <f t="shared" si="19"/>
        <v>0</v>
      </c>
      <c r="BG11" s="56"/>
      <c r="BH11" s="56"/>
      <c r="BI11" s="56"/>
      <c r="BJ11" s="56"/>
      <c r="BK11" s="56"/>
      <c r="BL11" s="56"/>
      <c r="BM11" s="56"/>
      <c r="BN11" s="56">
        <f t="shared" si="20"/>
        <v>0</v>
      </c>
      <c r="BO11" s="56"/>
      <c r="BP11" s="56"/>
      <c r="BQ11" s="56"/>
      <c r="BR11" s="56"/>
      <c r="BS11" s="56"/>
      <c r="BT11" s="56"/>
      <c r="BU11" s="56"/>
      <c r="BV11" s="56">
        <f t="shared" si="21"/>
        <v>0</v>
      </c>
      <c r="BW11" s="56"/>
      <c r="BX11" s="56"/>
      <c r="BY11" s="56"/>
      <c r="BZ11" s="56"/>
      <c r="CA11" s="56"/>
      <c r="CB11" s="56"/>
      <c r="CC11" s="56"/>
      <c r="CD11" s="56">
        <f t="shared" si="22"/>
        <v>0</v>
      </c>
      <c r="CE11" s="56"/>
      <c r="CF11" s="56"/>
      <c r="CG11" s="56"/>
      <c r="CH11" s="56"/>
      <c r="CI11" s="56"/>
      <c r="CJ11" s="56"/>
      <c r="CK11" s="56"/>
      <c r="CL11" s="56">
        <f t="shared" si="23"/>
        <v>0</v>
      </c>
      <c r="CM11" s="56"/>
      <c r="CN11" s="56"/>
      <c r="CO11" s="56"/>
      <c r="CP11" s="56"/>
      <c r="CQ11" s="56"/>
      <c r="CR11" s="56"/>
      <c r="CS11" s="56"/>
      <c r="CT11" s="56">
        <f t="shared" si="24"/>
        <v>0</v>
      </c>
      <c r="CU11" s="56"/>
      <c r="CV11" s="56"/>
      <c r="CW11" s="56"/>
      <c r="CX11" s="56"/>
      <c r="CY11" s="56"/>
      <c r="CZ11" s="56"/>
      <c r="DA11" s="56"/>
      <c r="DB11" s="56">
        <f t="shared" si="25"/>
        <v>0</v>
      </c>
      <c r="DC11" s="56"/>
      <c r="DD11" s="56"/>
      <c r="DE11" s="56"/>
      <c r="DF11" s="56"/>
      <c r="DG11" s="56"/>
      <c r="DH11" s="56"/>
      <c r="DI11" s="56"/>
      <c r="DJ11" s="56"/>
      <c r="DK11" s="56"/>
      <c r="DL11" s="56"/>
      <c r="DM11" s="56"/>
      <c r="DN11" s="56"/>
      <c r="DO11" s="56"/>
      <c r="DP11" s="56"/>
      <c r="DQ11" s="56"/>
      <c r="DR11" s="56"/>
      <c r="DS11" s="56"/>
      <c r="DT11" s="56"/>
      <c r="DU11" s="56"/>
      <c r="DV11" s="56"/>
      <c r="DW11" s="56"/>
      <c r="DX11" s="56"/>
      <c r="DY11" s="56"/>
      <c r="DZ11" s="56"/>
      <c r="EA11" s="56"/>
      <c r="EB11" s="56"/>
      <c r="EC11" s="56"/>
      <c r="ED11" s="56"/>
      <c r="EE11" s="56"/>
      <c r="EF11" s="56"/>
      <c r="EG11" s="56"/>
      <c r="EH11" s="56"/>
      <c r="EI11" s="56"/>
      <c r="EJ11" s="56"/>
      <c r="EK11" s="56"/>
      <c r="EL11" s="56"/>
      <c r="EM11" s="56"/>
      <c r="EN11" s="56"/>
      <c r="EO11" s="56"/>
      <c r="EP11" s="56"/>
      <c r="EQ11" s="56"/>
      <c r="ER11" s="56"/>
      <c r="ES11" s="56"/>
      <c r="ET11" s="56"/>
      <c r="EU11" s="56"/>
      <c r="EV11" s="56"/>
      <c r="EW11" s="56"/>
      <c r="EX11" s="56"/>
      <c r="EY11" s="56"/>
      <c r="EZ11" s="56"/>
      <c r="FA11" s="56"/>
      <c r="FB11" s="56"/>
      <c r="FC11" s="56"/>
      <c r="FD11" s="56"/>
      <c r="FE11" s="56"/>
      <c r="FF11" s="56"/>
      <c r="FG11" s="56"/>
      <c r="FH11" s="56"/>
      <c r="FI11" s="56"/>
      <c r="FJ11" s="56"/>
      <c r="FK11" s="56"/>
      <c r="FL11" s="56"/>
      <c r="FM11" s="56"/>
      <c r="FN11" s="56"/>
      <c r="FO11" s="56"/>
      <c r="FP11" s="56"/>
      <c r="FQ11" s="56"/>
      <c r="FR11" s="56"/>
      <c r="FS11" s="56"/>
      <c r="FT11" s="56"/>
      <c r="FU11" s="56"/>
      <c r="FV11" s="56"/>
      <c r="FW11" s="56"/>
      <c r="FX11" s="56"/>
      <c r="FY11" s="56"/>
      <c r="FZ11" s="56"/>
      <c r="GA11" s="56"/>
      <c r="GB11" s="56"/>
      <c r="GC11" s="56"/>
      <c r="GD11" s="56"/>
      <c r="GE11" s="56"/>
      <c r="GF11" s="56"/>
      <c r="GG11" s="56"/>
      <c r="GH11" s="56"/>
      <c r="GI11" s="56"/>
      <c r="GJ11" s="56"/>
      <c r="GK11" s="56"/>
      <c r="GL11" s="56"/>
      <c r="GM11" s="56"/>
      <c r="GN11" s="56"/>
      <c r="GO11" s="56"/>
      <c r="GP11" s="56"/>
      <c r="GQ11" s="56"/>
      <c r="GR11" s="56"/>
      <c r="GS11" s="56"/>
      <c r="GT11" s="56"/>
      <c r="GU11" s="56"/>
      <c r="GV11" s="56"/>
      <c r="GW11" s="56"/>
      <c r="GX11" s="56"/>
      <c r="GY11" s="56"/>
      <c r="GZ11" s="56"/>
      <c r="HA11" s="56"/>
      <c r="HB11" s="56"/>
      <c r="HC11" s="56"/>
      <c r="HD11" s="56"/>
      <c r="HE11" s="56"/>
      <c r="HF11" s="56"/>
      <c r="HG11" s="56"/>
      <c r="HH11" s="56"/>
      <c r="HI11" s="56"/>
      <c r="HJ11" s="56"/>
      <c r="HK11" s="56"/>
      <c r="HL11" s="56"/>
      <c r="HM11" s="56"/>
      <c r="HN11" s="56"/>
      <c r="HO11" s="56"/>
      <c r="HP11" s="56"/>
      <c r="HQ11" s="56"/>
      <c r="HR11" s="56"/>
      <c r="HS11" s="56"/>
      <c r="HT11" s="56"/>
      <c r="HU11" s="56"/>
      <c r="HV11" s="56"/>
      <c r="HW11" s="56"/>
      <c r="HX11" s="56"/>
      <c r="HY11" s="56"/>
      <c r="HZ11" s="56"/>
      <c r="IA11" s="56"/>
      <c r="IB11" s="56"/>
      <c r="IC11" s="56"/>
      <c r="ID11" s="56"/>
      <c r="IE11" s="56"/>
      <c r="IF11" s="56"/>
      <c r="IG11" s="56"/>
      <c r="IH11" s="56"/>
      <c r="II11" s="56"/>
      <c r="IJ11" s="56"/>
      <c r="IK11" s="56"/>
      <c r="IL11" s="56"/>
      <c r="IM11" s="56"/>
      <c r="IN11" s="56"/>
      <c r="IO11" s="56"/>
      <c r="IP11" s="56"/>
      <c r="IQ11" s="56"/>
      <c r="IR11" s="56"/>
      <c r="IS11" s="56"/>
      <c r="IT11" s="56"/>
      <c r="IU11" s="56"/>
      <c r="IV11" s="56"/>
      <c r="IW11" s="56"/>
      <c r="IX11" s="56"/>
      <c r="IY11" s="56"/>
      <c r="IZ11" s="56"/>
      <c r="JA11" s="56"/>
      <c r="JB11" s="56"/>
      <c r="JC11" s="56"/>
      <c r="JD11" s="56"/>
      <c r="JE11" s="56"/>
      <c r="JF11" s="56"/>
      <c r="JG11" s="56"/>
      <c r="JH11" s="56"/>
      <c r="JI11" s="56"/>
      <c r="JJ11" s="56"/>
      <c r="JK11" s="56"/>
      <c r="JL11" s="56"/>
      <c r="JM11" s="56"/>
      <c r="JN11" s="56"/>
      <c r="JO11" s="56"/>
      <c r="JP11" s="56"/>
      <c r="JQ11" s="56"/>
      <c r="JR11" s="56"/>
      <c r="JS11" s="56"/>
      <c r="JT11" s="56"/>
      <c r="JU11" s="56"/>
      <c r="JV11" s="56"/>
      <c r="JW11" s="56"/>
      <c r="JX11" s="56"/>
      <c r="JY11" s="56"/>
      <c r="JZ11" s="56"/>
      <c r="KA11" s="56"/>
      <c r="KB11" s="56"/>
      <c r="KC11" s="56"/>
      <c r="KD11" s="56"/>
      <c r="KE11" s="56"/>
      <c r="KF11" s="56"/>
      <c r="KG11" s="56"/>
      <c r="KH11" s="56"/>
      <c r="KI11" s="56"/>
      <c r="KJ11" s="56"/>
      <c r="KK11" s="56"/>
      <c r="KL11" s="56"/>
      <c r="KM11" s="56"/>
      <c r="KN11" s="56"/>
      <c r="KO11" s="56"/>
      <c r="KP11" s="56"/>
      <c r="KQ11" s="56"/>
      <c r="KR11" s="56"/>
      <c r="KS11" s="56"/>
      <c r="KT11" s="56"/>
      <c r="KU11" s="56"/>
      <c r="KV11" s="56"/>
      <c r="KW11" s="56"/>
      <c r="KX11" s="56"/>
      <c r="KY11" s="56"/>
      <c r="KZ11" s="56"/>
      <c r="LA11" s="56"/>
      <c r="LB11" s="56"/>
      <c r="LC11" s="56"/>
      <c r="LD11" s="56"/>
      <c r="LE11" s="56"/>
      <c r="LF11" s="56"/>
      <c r="LG11" s="56"/>
      <c r="LH11" s="56"/>
      <c r="LI11" s="56"/>
      <c r="LJ11" s="56"/>
      <c r="LK11" s="56"/>
      <c r="LL11" s="56"/>
      <c r="LM11" s="56"/>
      <c r="LN11" s="56"/>
      <c r="LO11" s="56"/>
      <c r="LP11" s="56"/>
      <c r="LQ11" s="56"/>
      <c r="LR11" s="56"/>
      <c r="LS11" s="56"/>
      <c r="LT11" s="56"/>
      <c r="LU11" s="56"/>
      <c r="LV11" s="56"/>
      <c r="LW11" s="56"/>
      <c r="LX11" s="56"/>
      <c r="LY11" s="56"/>
      <c r="LZ11" s="56"/>
      <c r="MA11" s="56"/>
      <c r="MB11" s="56"/>
      <c r="MC11" s="56"/>
      <c r="MD11" s="56"/>
      <c r="ME11" s="56"/>
      <c r="MF11" s="56"/>
      <c r="MG11" s="56"/>
      <c r="MH11" s="56"/>
      <c r="MI11" s="56"/>
      <c r="MJ11" s="56"/>
      <c r="MK11" s="56"/>
      <c r="ML11" s="56"/>
      <c r="MM11" s="56"/>
      <c r="MN11" s="56"/>
      <c r="MO11" s="56"/>
      <c r="MP11" s="56"/>
      <c r="MQ11" s="56"/>
      <c r="MR11" s="56"/>
      <c r="MS11" s="56"/>
      <c r="MT11" s="56"/>
      <c r="MU11" s="56"/>
      <c r="MV11" s="56"/>
      <c r="MW11" s="56"/>
      <c r="MX11" s="56"/>
      <c r="MY11" s="56"/>
      <c r="MZ11" s="56"/>
      <c r="NA11" s="56"/>
      <c r="NB11" s="56"/>
      <c r="NC11" s="56"/>
      <c r="ND11" s="56"/>
      <c r="NE11" s="56"/>
      <c r="NF11" s="56"/>
      <c r="NG11" s="56"/>
      <c r="NH11" s="56"/>
      <c r="NI11" s="56"/>
      <c r="NJ11" s="56"/>
      <c r="NK11" s="56"/>
      <c r="NL11" s="56"/>
      <c r="NM11" s="56"/>
      <c r="NN11" s="56"/>
      <c r="NO11" s="56"/>
      <c r="NP11" s="56"/>
      <c r="NQ11" s="56"/>
      <c r="NR11" s="56"/>
      <c r="NS11" s="56"/>
      <c r="NT11" s="56"/>
      <c r="NU11" s="56"/>
      <c r="NV11" s="56"/>
      <c r="NW11" s="56"/>
      <c r="NX11" s="56"/>
      <c r="NY11" s="56"/>
      <c r="NZ11" s="56"/>
      <c r="OA11" s="56"/>
      <c r="OB11" s="56"/>
      <c r="OC11" s="56"/>
      <c r="OD11" s="56"/>
      <c r="OE11" s="56"/>
      <c r="OF11" s="56"/>
      <c r="OG11" s="56"/>
      <c r="OH11" s="56"/>
      <c r="OI11" s="56"/>
      <c r="OJ11" s="56"/>
      <c r="OK11" s="56"/>
      <c r="OL11" s="56"/>
      <c r="OM11" s="56"/>
      <c r="ON11" s="56"/>
      <c r="OO11" s="56"/>
      <c r="OP11" s="56"/>
      <c r="OQ11" s="56"/>
      <c r="OR11" s="56"/>
      <c r="OS11" s="56"/>
      <c r="OT11" s="56"/>
      <c r="OU11" s="56"/>
      <c r="OV11" s="56"/>
      <c r="OW11" s="56"/>
      <c r="OX11" s="56"/>
      <c r="OY11" s="56"/>
      <c r="OZ11" s="56"/>
      <c r="PA11" s="56"/>
      <c r="PB11" s="64"/>
    </row>
    <row r="12" spans="1:418" x14ac:dyDescent="0.25">
      <c r="A12" s="68" t="str" cm="1">
        <f t="array" ref="A12">_xlfn.LET(_xlpm.lst,_xlfn._xlws.FILTER(tblEmployee[Employee ID],(tblEmployee[Pay Frequency]&lt;&gt;"Monthly")*(tblEmployee[Employee Start]&lt;&gt;"")*(tblEmployee[Employee End]="")),IFERROR(INDEX(_xlpm.lst,ROWS($A$2:A12)),""))</f>
        <v/>
      </c>
      <c r="B12" s="35" t="str" cm="1">
        <f t="array" ref="B12">_xlfn.LET(_xlpm.lst,_xlfn._xlws.FILTER(tblEmployee[Employee Name],(tblEmployee[Pay Frequency]&lt;&gt;"Monthly")*(tblEmployee[Employee Start]&lt;&gt;"")*(tblEmployee[Employee End]="")),IFERROR(INDEX(_xlpm.lst,ROWS($B$2:B12)),""))</f>
        <v/>
      </c>
      <c r="C12" s="56"/>
      <c r="D12" s="56"/>
      <c r="E12" s="56"/>
      <c r="F12" s="56"/>
      <c r="G12" s="56"/>
      <c r="H12" s="56"/>
      <c r="I12" s="56"/>
      <c r="J12" s="56">
        <f t="shared" si="13"/>
        <v>0</v>
      </c>
      <c r="K12" s="56"/>
      <c r="L12" s="56"/>
      <c r="M12" s="56"/>
      <c r="N12" s="56"/>
      <c r="O12" s="56"/>
      <c r="P12" s="56"/>
      <c r="Q12" s="56"/>
      <c r="R12" s="56">
        <f t="shared" si="14"/>
        <v>0</v>
      </c>
      <c r="S12" s="56"/>
      <c r="T12" s="56"/>
      <c r="U12" s="56"/>
      <c r="V12" s="56"/>
      <c r="W12" s="56"/>
      <c r="X12" s="56"/>
      <c r="Y12" s="56"/>
      <c r="Z12" s="56">
        <f t="shared" si="15"/>
        <v>0</v>
      </c>
      <c r="AA12" s="56"/>
      <c r="AB12" s="56"/>
      <c r="AC12" s="56"/>
      <c r="AD12" s="56"/>
      <c r="AE12" s="56"/>
      <c r="AF12" s="56"/>
      <c r="AG12" s="56"/>
      <c r="AH12" s="56">
        <f t="shared" si="16"/>
        <v>0</v>
      </c>
      <c r="AI12" s="56"/>
      <c r="AJ12" s="56"/>
      <c r="AK12" s="56"/>
      <c r="AL12" s="56"/>
      <c r="AM12" s="56"/>
      <c r="AN12" s="56"/>
      <c r="AO12" s="56"/>
      <c r="AP12" s="56">
        <f t="shared" si="17"/>
        <v>0</v>
      </c>
      <c r="AQ12" s="56"/>
      <c r="AR12" s="56"/>
      <c r="AS12" s="56"/>
      <c r="AT12" s="56"/>
      <c r="AU12" s="56"/>
      <c r="AV12" s="56"/>
      <c r="AW12" s="56"/>
      <c r="AX12" s="56">
        <f t="shared" si="18"/>
        <v>0</v>
      </c>
      <c r="AY12" s="56"/>
      <c r="AZ12" s="56"/>
      <c r="BA12" s="56"/>
      <c r="BB12" s="56"/>
      <c r="BC12" s="56"/>
      <c r="BD12" s="56"/>
      <c r="BE12" s="56"/>
      <c r="BF12" s="56">
        <f t="shared" si="19"/>
        <v>0</v>
      </c>
      <c r="BG12" s="56"/>
      <c r="BH12" s="56"/>
      <c r="BI12" s="56"/>
      <c r="BJ12" s="56"/>
      <c r="BK12" s="56"/>
      <c r="BL12" s="56"/>
      <c r="BM12" s="56"/>
      <c r="BN12" s="56">
        <f t="shared" si="20"/>
        <v>0</v>
      </c>
      <c r="BO12" s="56"/>
      <c r="BP12" s="56"/>
      <c r="BQ12" s="56"/>
      <c r="BR12" s="56"/>
      <c r="BS12" s="56"/>
      <c r="BT12" s="56"/>
      <c r="BU12" s="56"/>
      <c r="BV12" s="56">
        <f t="shared" si="21"/>
        <v>0</v>
      </c>
      <c r="BW12" s="56"/>
      <c r="BX12" s="56"/>
      <c r="BY12" s="56"/>
      <c r="BZ12" s="56"/>
      <c r="CA12" s="56"/>
      <c r="CB12" s="56"/>
      <c r="CC12" s="56"/>
      <c r="CD12" s="56">
        <f t="shared" si="22"/>
        <v>0</v>
      </c>
      <c r="CE12" s="56"/>
      <c r="CF12" s="56"/>
      <c r="CG12" s="56"/>
      <c r="CH12" s="56"/>
      <c r="CI12" s="56"/>
      <c r="CJ12" s="56"/>
      <c r="CK12" s="56"/>
      <c r="CL12" s="56">
        <f t="shared" si="23"/>
        <v>0</v>
      </c>
      <c r="CM12" s="56"/>
      <c r="CN12" s="56"/>
      <c r="CO12" s="56"/>
      <c r="CP12" s="56"/>
      <c r="CQ12" s="56"/>
      <c r="CR12" s="56"/>
      <c r="CS12" s="56"/>
      <c r="CT12" s="56">
        <f t="shared" si="24"/>
        <v>0</v>
      </c>
      <c r="CU12" s="56"/>
      <c r="CV12" s="56"/>
      <c r="CW12" s="56"/>
      <c r="CX12" s="56"/>
      <c r="CY12" s="56"/>
      <c r="CZ12" s="56"/>
      <c r="DA12" s="56"/>
      <c r="DB12" s="56">
        <f t="shared" si="25"/>
        <v>0</v>
      </c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  <c r="DO12" s="56"/>
      <c r="DP12" s="56"/>
      <c r="DQ12" s="56"/>
      <c r="DR12" s="56"/>
      <c r="DS12" s="56"/>
      <c r="DT12" s="56"/>
      <c r="DU12" s="56"/>
      <c r="DV12" s="56"/>
      <c r="DW12" s="56"/>
      <c r="DX12" s="56"/>
      <c r="DY12" s="56"/>
      <c r="DZ12" s="56"/>
      <c r="EA12" s="56"/>
      <c r="EB12" s="56"/>
      <c r="EC12" s="56"/>
      <c r="ED12" s="56"/>
      <c r="EE12" s="56"/>
      <c r="EF12" s="56"/>
      <c r="EG12" s="56"/>
      <c r="EH12" s="56"/>
      <c r="EI12" s="56"/>
      <c r="EJ12" s="56"/>
      <c r="EK12" s="56"/>
      <c r="EL12" s="56"/>
      <c r="EM12" s="56"/>
      <c r="EN12" s="56"/>
      <c r="EO12" s="56"/>
      <c r="EP12" s="56"/>
      <c r="EQ12" s="56"/>
      <c r="ER12" s="56"/>
      <c r="ES12" s="56"/>
      <c r="ET12" s="56"/>
      <c r="EU12" s="56"/>
      <c r="EV12" s="56"/>
      <c r="EW12" s="56"/>
      <c r="EX12" s="56"/>
      <c r="EY12" s="56"/>
      <c r="EZ12" s="56"/>
      <c r="FA12" s="56"/>
      <c r="FB12" s="56"/>
      <c r="FC12" s="56"/>
      <c r="FD12" s="56"/>
      <c r="FE12" s="56"/>
      <c r="FF12" s="56"/>
      <c r="FG12" s="56"/>
      <c r="FH12" s="56"/>
      <c r="FI12" s="56"/>
      <c r="FJ12" s="56"/>
      <c r="FK12" s="56"/>
      <c r="FL12" s="56"/>
      <c r="FM12" s="56"/>
      <c r="FN12" s="56"/>
      <c r="FO12" s="56"/>
      <c r="FP12" s="56"/>
      <c r="FQ12" s="56"/>
      <c r="FR12" s="56"/>
      <c r="FS12" s="56"/>
      <c r="FT12" s="56"/>
      <c r="FU12" s="56"/>
      <c r="FV12" s="56"/>
      <c r="FW12" s="56"/>
      <c r="FX12" s="56"/>
      <c r="FY12" s="56"/>
      <c r="FZ12" s="56"/>
      <c r="GA12" s="56"/>
      <c r="GB12" s="56"/>
      <c r="GC12" s="56"/>
      <c r="GD12" s="56"/>
      <c r="GE12" s="56"/>
      <c r="GF12" s="56"/>
      <c r="GG12" s="56"/>
      <c r="GH12" s="56"/>
      <c r="GI12" s="56"/>
      <c r="GJ12" s="56"/>
      <c r="GK12" s="56"/>
      <c r="GL12" s="56"/>
      <c r="GM12" s="56"/>
      <c r="GN12" s="56"/>
      <c r="GO12" s="56"/>
      <c r="GP12" s="56"/>
      <c r="GQ12" s="56"/>
      <c r="GR12" s="56"/>
      <c r="GS12" s="56"/>
      <c r="GT12" s="56"/>
      <c r="GU12" s="56"/>
      <c r="GV12" s="56"/>
      <c r="GW12" s="56"/>
      <c r="GX12" s="56"/>
      <c r="GY12" s="56"/>
      <c r="GZ12" s="56"/>
      <c r="HA12" s="56"/>
      <c r="HB12" s="56"/>
      <c r="HC12" s="56"/>
      <c r="HD12" s="56"/>
      <c r="HE12" s="56"/>
      <c r="HF12" s="56"/>
      <c r="HG12" s="56"/>
      <c r="HH12" s="56"/>
      <c r="HI12" s="56"/>
      <c r="HJ12" s="56"/>
      <c r="HK12" s="56"/>
      <c r="HL12" s="56"/>
      <c r="HM12" s="56"/>
      <c r="HN12" s="56"/>
      <c r="HO12" s="56"/>
      <c r="HP12" s="56"/>
      <c r="HQ12" s="56"/>
      <c r="HR12" s="56"/>
      <c r="HS12" s="56"/>
      <c r="HT12" s="56"/>
      <c r="HU12" s="56"/>
      <c r="HV12" s="56"/>
      <c r="HW12" s="56"/>
      <c r="HX12" s="56"/>
      <c r="HY12" s="56"/>
      <c r="HZ12" s="56"/>
      <c r="IA12" s="56"/>
      <c r="IB12" s="56"/>
      <c r="IC12" s="56"/>
      <c r="ID12" s="56"/>
      <c r="IE12" s="56"/>
      <c r="IF12" s="56"/>
      <c r="IG12" s="56"/>
      <c r="IH12" s="56"/>
      <c r="II12" s="56"/>
      <c r="IJ12" s="56"/>
      <c r="IK12" s="56"/>
      <c r="IL12" s="56"/>
      <c r="IM12" s="56"/>
      <c r="IN12" s="56"/>
      <c r="IO12" s="56"/>
      <c r="IP12" s="56"/>
      <c r="IQ12" s="56"/>
      <c r="IR12" s="56"/>
      <c r="IS12" s="56"/>
      <c r="IT12" s="56"/>
      <c r="IU12" s="56"/>
      <c r="IV12" s="56"/>
      <c r="IW12" s="56"/>
      <c r="IX12" s="56"/>
      <c r="IY12" s="56"/>
      <c r="IZ12" s="56"/>
      <c r="JA12" s="56"/>
      <c r="JB12" s="56"/>
      <c r="JC12" s="56"/>
      <c r="JD12" s="56"/>
      <c r="JE12" s="56"/>
      <c r="JF12" s="56"/>
      <c r="JG12" s="56"/>
      <c r="JH12" s="56"/>
      <c r="JI12" s="56"/>
      <c r="JJ12" s="56"/>
      <c r="JK12" s="56"/>
      <c r="JL12" s="56"/>
      <c r="JM12" s="56"/>
      <c r="JN12" s="56"/>
      <c r="JO12" s="56"/>
      <c r="JP12" s="56"/>
      <c r="JQ12" s="56"/>
      <c r="JR12" s="56"/>
      <c r="JS12" s="56"/>
      <c r="JT12" s="56"/>
      <c r="JU12" s="56"/>
      <c r="JV12" s="56"/>
      <c r="JW12" s="56"/>
      <c r="JX12" s="56"/>
      <c r="JY12" s="56"/>
      <c r="JZ12" s="56"/>
      <c r="KA12" s="56"/>
      <c r="KB12" s="56"/>
      <c r="KC12" s="56"/>
      <c r="KD12" s="56"/>
      <c r="KE12" s="56"/>
      <c r="KF12" s="56"/>
      <c r="KG12" s="56"/>
      <c r="KH12" s="56"/>
      <c r="KI12" s="56"/>
      <c r="KJ12" s="56"/>
      <c r="KK12" s="56"/>
      <c r="KL12" s="56"/>
      <c r="KM12" s="56"/>
      <c r="KN12" s="56"/>
      <c r="KO12" s="56"/>
      <c r="KP12" s="56"/>
      <c r="KQ12" s="56"/>
      <c r="KR12" s="56"/>
      <c r="KS12" s="56"/>
      <c r="KT12" s="56"/>
      <c r="KU12" s="56"/>
      <c r="KV12" s="56"/>
      <c r="KW12" s="56"/>
      <c r="KX12" s="56"/>
      <c r="KY12" s="56"/>
      <c r="KZ12" s="56"/>
      <c r="LA12" s="56"/>
      <c r="LB12" s="56"/>
      <c r="LC12" s="56"/>
      <c r="LD12" s="56"/>
      <c r="LE12" s="56"/>
      <c r="LF12" s="56"/>
      <c r="LG12" s="56"/>
      <c r="LH12" s="56"/>
      <c r="LI12" s="56"/>
      <c r="LJ12" s="56"/>
      <c r="LK12" s="56"/>
      <c r="LL12" s="56"/>
      <c r="LM12" s="56"/>
      <c r="LN12" s="56"/>
      <c r="LO12" s="56"/>
      <c r="LP12" s="56"/>
      <c r="LQ12" s="56"/>
      <c r="LR12" s="56"/>
      <c r="LS12" s="56"/>
      <c r="LT12" s="56"/>
      <c r="LU12" s="56"/>
      <c r="LV12" s="56"/>
      <c r="LW12" s="56"/>
      <c r="LX12" s="56"/>
      <c r="LY12" s="56"/>
      <c r="LZ12" s="56"/>
      <c r="MA12" s="56"/>
      <c r="MB12" s="56"/>
      <c r="MC12" s="56"/>
      <c r="MD12" s="56"/>
      <c r="ME12" s="56"/>
      <c r="MF12" s="56"/>
      <c r="MG12" s="56"/>
      <c r="MH12" s="56"/>
      <c r="MI12" s="56"/>
      <c r="MJ12" s="56"/>
      <c r="MK12" s="56"/>
      <c r="ML12" s="56"/>
      <c r="MM12" s="56"/>
      <c r="MN12" s="56"/>
      <c r="MO12" s="56"/>
      <c r="MP12" s="56"/>
      <c r="MQ12" s="56"/>
      <c r="MR12" s="56"/>
      <c r="MS12" s="56"/>
      <c r="MT12" s="56"/>
      <c r="MU12" s="56"/>
      <c r="MV12" s="56"/>
      <c r="MW12" s="56"/>
      <c r="MX12" s="56"/>
      <c r="MY12" s="56"/>
      <c r="MZ12" s="56"/>
      <c r="NA12" s="56"/>
      <c r="NB12" s="56"/>
      <c r="NC12" s="56"/>
      <c r="ND12" s="56"/>
      <c r="NE12" s="56"/>
      <c r="NF12" s="56"/>
      <c r="NG12" s="56"/>
      <c r="NH12" s="56"/>
      <c r="NI12" s="56"/>
      <c r="NJ12" s="56"/>
      <c r="NK12" s="56"/>
      <c r="NL12" s="56"/>
      <c r="NM12" s="56"/>
      <c r="NN12" s="56"/>
      <c r="NO12" s="56"/>
      <c r="NP12" s="56"/>
      <c r="NQ12" s="56"/>
      <c r="NR12" s="56"/>
      <c r="NS12" s="56"/>
      <c r="NT12" s="56"/>
      <c r="NU12" s="56"/>
      <c r="NV12" s="56"/>
      <c r="NW12" s="56"/>
      <c r="NX12" s="56"/>
      <c r="NY12" s="56"/>
      <c r="NZ12" s="56"/>
      <c r="OA12" s="56"/>
      <c r="OB12" s="56"/>
      <c r="OC12" s="56"/>
      <c r="OD12" s="56"/>
      <c r="OE12" s="56"/>
      <c r="OF12" s="56"/>
      <c r="OG12" s="56"/>
      <c r="OH12" s="56"/>
      <c r="OI12" s="56"/>
      <c r="OJ12" s="56"/>
      <c r="OK12" s="56"/>
      <c r="OL12" s="56"/>
      <c r="OM12" s="56"/>
      <c r="ON12" s="56"/>
      <c r="OO12" s="56"/>
      <c r="OP12" s="56"/>
      <c r="OQ12" s="56"/>
      <c r="OR12" s="56"/>
      <c r="OS12" s="56"/>
      <c r="OT12" s="56"/>
      <c r="OU12" s="56"/>
      <c r="OV12" s="56"/>
      <c r="OW12" s="56"/>
      <c r="OX12" s="56"/>
      <c r="OY12" s="56"/>
      <c r="OZ12" s="56"/>
      <c r="PA12" s="56"/>
      <c r="PB12" s="64"/>
    </row>
    <row r="13" spans="1:418" x14ac:dyDescent="0.25">
      <c r="A13" s="68" t="str" cm="1">
        <f t="array" ref="A13">_xlfn.LET(_xlpm.lst,_xlfn._xlws.FILTER(tblEmployee[Employee ID],(tblEmployee[Pay Frequency]&lt;&gt;"Monthly")*(tblEmployee[Employee Start]&lt;&gt;"")*(tblEmployee[Employee End]="")),IFERROR(INDEX(_xlpm.lst,ROWS($A$2:A13)),""))</f>
        <v/>
      </c>
      <c r="B13" s="35" t="str" cm="1">
        <f t="array" ref="B13">_xlfn.LET(_xlpm.lst,_xlfn._xlws.FILTER(tblEmployee[Employee Name],(tblEmployee[Pay Frequency]&lt;&gt;"Monthly")*(tblEmployee[Employee Start]&lt;&gt;"")*(tblEmployee[Employee End]="")),IFERROR(INDEX(_xlpm.lst,ROWS($B$2:B13)),""))</f>
        <v/>
      </c>
      <c r="C13" s="56"/>
      <c r="D13" s="56"/>
      <c r="E13" s="56"/>
      <c r="F13" s="56"/>
      <c r="G13" s="56"/>
      <c r="H13" s="56"/>
      <c r="I13" s="56"/>
      <c r="J13" s="56">
        <f t="shared" si="13"/>
        <v>0</v>
      </c>
      <c r="K13" s="56"/>
      <c r="L13" s="56"/>
      <c r="M13" s="56"/>
      <c r="N13" s="56"/>
      <c r="O13" s="56"/>
      <c r="P13" s="56"/>
      <c r="Q13" s="56"/>
      <c r="R13" s="56">
        <f t="shared" si="14"/>
        <v>0</v>
      </c>
      <c r="S13" s="56"/>
      <c r="T13" s="56"/>
      <c r="U13" s="56"/>
      <c r="V13" s="56"/>
      <c r="W13" s="56"/>
      <c r="X13" s="56"/>
      <c r="Y13" s="56"/>
      <c r="Z13" s="56">
        <f t="shared" si="15"/>
        <v>0</v>
      </c>
      <c r="AA13" s="56"/>
      <c r="AB13" s="56"/>
      <c r="AC13" s="56"/>
      <c r="AD13" s="56"/>
      <c r="AE13" s="56"/>
      <c r="AF13" s="56"/>
      <c r="AG13" s="56"/>
      <c r="AH13" s="56">
        <f t="shared" si="16"/>
        <v>0</v>
      </c>
      <c r="AI13" s="56"/>
      <c r="AJ13" s="56"/>
      <c r="AK13" s="56"/>
      <c r="AL13" s="56"/>
      <c r="AM13" s="56"/>
      <c r="AN13" s="56"/>
      <c r="AO13" s="56"/>
      <c r="AP13" s="56">
        <f t="shared" si="17"/>
        <v>0</v>
      </c>
      <c r="AQ13" s="56"/>
      <c r="AR13" s="56"/>
      <c r="AS13" s="56"/>
      <c r="AT13" s="56"/>
      <c r="AU13" s="56"/>
      <c r="AV13" s="56"/>
      <c r="AW13" s="56"/>
      <c r="AX13" s="56">
        <f t="shared" si="18"/>
        <v>0</v>
      </c>
      <c r="AY13" s="56"/>
      <c r="AZ13" s="56"/>
      <c r="BA13" s="56"/>
      <c r="BB13" s="56"/>
      <c r="BC13" s="56"/>
      <c r="BD13" s="56"/>
      <c r="BE13" s="56"/>
      <c r="BF13" s="56">
        <f t="shared" si="19"/>
        <v>0</v>
      </c>
      <c r="BG13" s="56"/>
      <c r="BH13" s="56"/>
      <c r="BI13" s="56"/>
      <c r="BJ13" s="56"/>
      <c r="BK13" s="56"/>
      <c r="BL13" s="56"/>
      <c r="BM13" s="56"/>
      <c r="BN13" s="56">
        <f t="shared" si="20"/>
        <v>0</v>
      </c>
      <c r="BO13" s="56"/>
      <c r="BP13" s="56"/>
      <c r="BQ13" s="56"/>
      <c r="BR13" s="56"/>
      <c r="BS13" s="56"/>
      <c r="BT13" s="56"/>
      <c r="BU13" s="56"/>
      <c r="BV13" s="56">
        <f t="shared" si="21"/>
        <v>0</v>
      </c>
      <c r="BW13" s="56"/>
      <c r="BX13" s="56"/>
      <c r="BY13" s="56"/>
      <c r="BZ13" s="56"/>
      <c r="CA13" s="56"/>
      <c r="CB13" s="56"/>
      <c r="CC13" s="56"/>
      <c r="CD13" s="56">
        <f t="shared" si="22"/>
        <v>0</v>
      </c>
      <c r="CE13" s="56"/>
      <c r="CF13" s="56"/>
      <c r="CG13" s="56"/>
      <c r="CH13" s="56"/>
      <c r="CI13" s="56"/>
      <c r="CJ13" s="56"/>
      <c r="CK13" s="56"/>
      <c r="CL13" s="56">
        <f t="shared" si="23"/>
        <v>0</v>
      </c>
      <c r="CM13" s="56"/>
      <c r="CN13" s="56"/>
      <c r="CO13" s="56"/>
      <c r="CP13" s="56"/>
      <c r="CQ13" s="56"/>
      <c r="CR13" s="56"/>
      <c r="CS13" s="56"/>
      <c r="CT13" s="56">
        <f t="shared" si="24"/>
        <v>0</v>
      </c>
      <c r="CU13" s="56"/>
      <c r="CV13" s="56"/>
      <c r="CW13" s="56"/>
      <c r="CX13" s="56"/>
      <c r="CY13" s="56"/>
      <c r="CZ13" s="56"/>
      <c r="DA13" s="56"/>
      <c r="DB13" s="56">
        <f t="shared" si="25"/>
        <v>0</v>
      </c>
      <c r="DC13" s="56"/>
      <c r="DD13" s="56"/>
      <c r="DE13" s="56"/>
      <c r="DF13" s="56"/>
      <c r="DG13" s="56"/>
      <c r="DH13" s="56"/>
      <c r="DI13" s="56"/>
      <c r="DJ13" s="56"/>
      <c r="DK13" s="56"/>
      <c r="DL13" s="56"/>
      <c r="DM13" s="56"/>
      <c r="DN13" s="56"/>
      <c r="DO13" s="56"/>
      <c r="DP13" s="56"/>
      <c r="DQ13" s="56"/>
      <c r="DR13" s="56"/>
      <c r="DS13" s="56"/>
      <c r="DT13" s="56"/>
      <c r="DU13" s="56"/>
      <c r="DV13" s="56"/>
      <c r="DW13" s="56"/>
      <c r="DX13" s="56"/>
      <c r="DY13" s="56"/>
      <c r="DZ13" s="56"/>
      <c r="EA13" s="56"/>
      <c r="EB13" s="56"/>
      <c r="EC13" s="56"/>
      <c r="ED13" s="56"/>
      <c r="EE13" s="56"/>
      <c r="EF13" s="56"/>
      <c r="EG13" s="56"/>
      <c r="EH13" s="56"/>
      <c r="EI13" s="56"/>
      <c r="EJ13" s="56"/>
      <c r="EK13" s="56"/>
      <c r="EL13" s="56"/>
      <c r="EM13" s="56"/>
      <c r="EN13" s="56"/>
      <c r="EO13" s="56"/>
      <c r="EP13" s="56"/>
      <c r="EQ13" s="56"/>
      <c r="ER13" s="56"/>
      <c r="ES13" s="56"/>
      <c r="ET13" s="56"/>
      <c r="EU13" s="56"/>
      <c r="EV13" s="56"/>
      <c r="EW13" s="56"/>
      <c r="EX13" s="56"/>
      <c r="EY13" s="56"/>
      <c r="EZ13" s="56"/>
      <c r="FA13" s="56"/>
      <c r="FB13" s="56"/>
      <c r="FC13" s="56"/>
      <c r="FD13" s="56"/>
      <c r="FE13" s="56"/>
      <c r="FF13" s="56"/>
      <c r="FG13" s="56"/>
      <c r="FH13" s="56"/>
      <c r="FI13" s="56"/>
      <c r="FJ13" s="56"/>
      <c r="FK13" s="56"/>
      <c r="FL13" s="56"/>
      <c r="FM13" s="56"/>
      <c r="FN13" s="56"/>
      <c r="FO13" s="56"/>
      <c r="FP13" s="56"/>
      <c r="FQ13" s="56"/>
      <c r="FR13" s="56"/>
      <c r="FS13" s="56"/>
      <c r="FT13" s="56"/>
      <c r="FU13" s="56"/>
      <c r="FV13" s="56"/>
      <c r="FW13" s="56"/>
      <c r="FX13" s="56"/>
      <c r="FY13" s="56"/>
      <c r="FZ13" s="56"/>
      <c r="GA13" s="56"/>
      <c r="GB13" s="56"/>
      <c r="GC13" s="56"/>
      <c r="GD13" s="56"/>
      <c r="GE13" s="56"/>
      <c r="GF13" s="56"/>
      <c r="GG13" s="56"/>
      <c r="GH13" s="56"/>
      <c r="GI13" s="56"/>
      <c r="GJ13" s="56"/>
      <c r="GK13" s="56"/>
      <c r="GL13" s="56"/>
      <c r="GM13" s="56"/>
      <c r="GN13" s="56"/>
      <c r="GO13" s="56"/>
      <c r="GP13" s="56"/>
      <c r="GQ13" s="56"/>
      <c r="GR13" s="56"/>
      <c r="GS13" s="56"/>
      <c r="GT13" s="56"/>
      <c r="GU13" s="56"/>
      <c r="GV13" s="56"/>
      <c r="GW13" s="56"/>
      <c r="GX13" s="56"/>
      <c r="GY13" s="56"/>
      <c r="GZ13" s="56"/>
      <c r="HA13" s="56"/>
      <c r="HB13" s="56"/>
      <c r="HC13" s="56"/>
      <c r="HD13" s="56"/>
      <c r="HE13" s="56"/>
      <c r="HF13" s="56"/>
      <c r="HG13" s="56"/>
      <c r="HH13" s="56"/>
      <c r="HI13" s="56"/>
      <c r="HJ13" s="56"/>
      <c r="HK13" s="56"/>
      <c r="HL13" s="56"/>
      <c r="HM13" s="56"/>
      <c r="HN13" s="56"/>
      <c r="HO13" s="56"/>
      <c r="HP13" s="56"/>
      <c r="HQ13" s="56"/>
      <c r="HR13" s="56"/>
      <c r="HS13" s="56"/>
      <c r="HT13" s="56"/>
      <c r="HU13" s="56"/>
      <c r="HV13" s="56"/>
      <c r="HW13" s="56"/>
      <c r="HX13" s="56"/>
      <c r="HY13" s="56"/>
      <c r="HZ13" s="56"/>
      <c r="IA13" s="56"/>
      <c r="IB13" s="56"/>
      <c r="IC13" s="56"/>
      <c r="ID13" s="56"/>
      <c r="IE13" s="56"/>
      <c r="IF13" s="56"/>
      <c r="IG13" s="56"/>
      <c r="IH13" s="56"/>
      <c r="II13" s="56"/>
      <c r="IJ13" s="56"/>
      <c r="IK13" s="56"/>
      <c r="IL13" s="56"/>
      <c r="IM13" s="56"/>
      <c r="IN13" s="56"/>
      <c r="IO13" s="56"/>
      <c r="IP13" s="56"/>
      <c r="IQ13" s="56"/>
      <c r="IR13" s="56"/>
      <c r="IS13" s="56"/>
      <c r="IT13" s="56"/>
      <c r="IU13" s="56"/>
      <c r="IV13" s="56"/>
      <c r="IW13" s="56"/>
      <c r="IX13" s="56"/>
      <c r="IY13" s="56"/>
      <c r="IZ13" s="56"/>
      <c r="JA13" s="56"/>
      <c r="JB13" s="56"/>
      <c r="JC13" s="56"/>
      <c r="JD13" s="56"/>
      <c r="JE13" s="56"/>
      <c r="JF13" s="56"/>
      <c r="JG13" s="56"/>
      <c r="JH13" s="56"/>
      <c r="JI13" s="56"/>
      <c r="JJ13" s="56"/>
      <c r="JK13" s="56"/>
      <c r="JL13" s="56"/>
      <c r="JM13" s="56"/>
      <c r="JN13" s="56"/>
      <c r="JO13" s="56"/>
      <c r="JP13" s="56"/>
      <c r="JQ13" s="56"/>
      <c r="JR13" s="56"/>
      <c r="JS13" s="56"/>
      <c r="JT13" s="56"/>
      <c r="JU13" s="56"/>
      <c r="JV13" s="56"/>
      <c r="JW13" s="56"/>
      <c r="JX13" s="56"/>
      <c r="JY13" s="56"/>
      <c r="JZ13" s="56"/>
      <c r="KA13" s="56"/>
      <c r="KB13" s="56"/>
      <c r="KC13" s="56"/>
      <c r="KD13" s="56"/>
      <c r="KE13" s="56"/>
      <c r="KF13" s="56"/>
      <c r="KG13" s="56"/>
      <c r="KH13" s="56"/>
      <c r="KI13" s="56"/>
      <c r="KJ13" s="56"/>
      <c r="KK13" s="56"/>
      <c r="KL13" s="56"/>
      <c r="KM13" s="56"/>
      <c r="KN13" s="56"/>
      <c r="KO13" s="56"/>
      <c r="KP13" s="56"/>
      <c r="KQ13" s="56"/>
      <c r="KR13" s="56"/>
      <c r="KS13" s="56"/>
      <c r="KT13" s="56"/>
      <c r="KU13" s="56"/>
      <c r="KV13" s="56"/>
      <c r="KW13" s="56"/>
      <c r="KX13" s="56"/>
      <c r="KY13" s="56"/>
      <c r="KZ13" s="56"/>
      <c r="LA13" s="56"/>
      <c r="LB13" s="56"/>
      <c r="LC13" s="56"/>
      <c r="LD13" s="56"/>
      <c r="LE13" s="56"/>
      <c r="LF13" s="56"/>
      <c r="LG13" s="56"/>
      <c r="LH13" s="56"/>
      <c r="LI13" s="56"/>
      <c r="LJ13" s="56"/>
      <c r="LK13" s="56"/>
      <c r="LL13" s="56"/>
      <c r="LM13" s="56"/>
      <c r="LN13" s="56"/>
      <c r="LO13" s="56"/>
      <c r="LP13" s="56"/>
      <c r="LQ13" s="56"/>
      <c r="LR13" s="56"/>
      <c r="LS13" s="56"/>
      <c r="LT13" s="56"/>
      <c r="LU13" s="56"/>
      <c r="LV13" s="56"/>
      <c r="LW13" s="56"/>
      <c r="LX13" s="56"/>
      <c r="LY13" s="56"/>
      <c r="LZ13" s="56"/>
      <c r="MA13" s="56"/>
      <c r="MB13" s="56"/>
      <c r="MC13" s="56"/>
      <c r="MD13" s="56"/>
      <c r="ME13" s="56"/>
      <c r="MF13" s="56"/>
      <c r="MG13" s="56"/>
      <c r="MH13" s="56"/>
      <c r="MI13" s="56"/>
      <c r="MJ13" s="56"/>
      <c r="MK13" s="56"/>
      <c r="ML13" s="56"/>
      <c r="MM13" s="56"/>
      <c r="MN13" s="56"/>
      <c r="MO13" s="56"/>
      <c r="MP13" s="56"/>
      <c r="MQ13" s="56"/>
      <c r="MR13" s="56"/>
      <c r="MS13" s="56"/>
      <c r="MT13" s="56"/>
      <c r="MU13" s="56"/>
      <c r="MV13" s="56"/>
      <c r="MW13" s="56"/>
      <c r="MX13" s="56"/>
      <c r="MY13" s="56"/>
      <c r="MZ13" s="56"/>
      <c r="NA13" s="56"/>
      <c r="NB13" s="56"/>
      <c r="NC13" s="56"/>
      <c r="ND13" s="56"/>
      <c r="NE13" s="56"/>
      <c r="NF13" s="56"/>
      <c r="NG13" s="56"/>
      <c r="NH13" s="56"/>
      <c r="NI13" s="56"/>
      <c r="NJ13" s="56"/>
      <c r="NK13" s="56"/>
      <c r="NL13" s="56"/>
      <c r="NM13" s="56"/>
      <c r="NN13" s="56"/>
      <c r="NO13" s="56"/>
      <c r="NP13" s="56"/>
      <c r="NQ13" s="56"/>
      <c r="NR13" s="56"/>
      <c r="NS13" s="56"/>
      <c r="NT13" s="56"/>
      <c r="NU13" s="56"/>
      <c r="NV13" s="56"/>
      <c r="NW13" s="56"/>
      <c r="NX13" s="56"/>
      <c r="NY13" s="56"/>
      <c r="NZ13" s="56"/>
      <c r="OA13" s="56"/>
      <c r="OB13" s="56"/>
      <c r="OC13" s="56"/>
      <c r="OD13" s="56"/>
      <c r="OE13" s="56"/>
      <c r="OF13" s="56"/>
      <c r="OG13" s="56"/>
      <c r="OH13" s="56"/>
      <c r="OI13" s="56"/>
      <c r="OJ13" s="56"/>
      <c r="OK13" s="56"/>
      <c r="OL13" s="56"/>
      <c r="OM13" s="56"/>
      <c r="ON13" s="56"/>
      <c r="OO13" s="56"/>
      <c r="OP13" s="56"/>
      <c r="OQ13" s="56"/>
      <c r="OR13" s="56"/>
      <c r="OS13" s="56"/>
      <c r="OT13" s="56"/>
      <c r="OU13" s="56"/>
      <c r="OV13" s="56"/>
      <c r="OW13" s="56"/>
      <c r="OX13" s="56"/>
      <c r="OY13" s="56"/>
      <c r="OZ13" s="56"/>
      <c r="PA13" s="56"/>
      <c r="PB13" s="64"/>
    </row>
    <row r="14" spans="1:418" x14ac:dyDescent="0.25">
      <c r="A14" s="68" t="str" cm="1">
        <f t="array" ref="A14">_xlfn.LET(_xlpm.lst,_xlfn._xlws.FILTER(tblEmployee[Employee ID],(tblEmployee[Pay Frequency]&lt;&gt;"Monthly")*(tblEmployee[Employee Start]&lt;&gt;"")*(tblEmployee[Employee End]="")),IFERROR(INDEX(_xlpm.lst,ROWS($A$2:A14)),""))</f>
        <v/>
      </c>
      <c r="B14" s="35" t="str" cm="1">
        <f t="array" ref="B14">_xlfn.LET(_xlpm.lst,_xlfn._xlws.FILTER(tblEmployee[Employee Name],(tblEmployee[Pay Frequency]&lt;&gt;"Monthly")*(tblEmployee[Employee Start]&lt;&gt;"")*(tblEmployee[Employee End]="")),IFERROR(INDEX(_xlpm.lst,ROWS($B$2:B14)),""))</f>
        <v/>
      </c>
      <c r="C14" s="56"/>
      <c r="D14" s="56"/>
      <c r="E14" s="56"/>
      <c r="F14" s="56"/>
      <c r="G14" s="56"/>
      <c r="H14" s="56"/>
      <c r="I14" s="56"/>
      <c r="J14" s="56">
        <f t="shared" si="13"/>
        <v>0</v>
      </c>
      <c r="K14" s="56"/>
      <c r="L14" s="56"/>
      <c r="M14" s="56"/>
      <c r="N14" s="56"/>
      <c r="O14" s="56"/>
      <c r="P14" s="56"/>
      <c r="Q14" s="56"/>
      <c r="R14" s="56">
        <f t="shared" si="14"/>
        <v>0</v>
      </c>
      <c r="S14" s="56"/>
      <c r="T14" s="56"/>
      <c r="U14" s="56"/>
      <c r="V14" s="56"/>
      <c r="W14" s="56"/>
      <c r="X14" s="56"/>
      <c r="Y14" s="56"/>
      <c r="Z14" s="56">
        <f t="shared" si="15"/>
        <v>0</v>
      </c>
      <c r="AA14" s="56"/>
      <c r="AB14" s="56"/>
      <c r="AC14" s="56"/>
      <c r="AD14" s="56"/>
      <c r="AE14" s="56"/>
      <c r="AF14" s="56"/>
      <c r="AG14" s="56"/>
      <c r="AH14" s="56">
        <f t="shared" si="16"/>
        <v>0</v>
      </c>
      <c r="AI14" s="56"/>
      <c r="AJ14" s="56"/>
      <c r="AK14" s="56"/>
      <c r="AL14" s="56"/>
      <c r="AM14" s="56"/>
      <c r="AN14" s="56"/>
      <c r="AO14" s="56"/>
      <c r="AP14" s="56">
        <f t="shared" si="17"/>
        <v>0</v>
      </c>
      <c r="AQ14" s="56"/>
      <c r="AR14" s="56"/>
      <c r="AS14" s="56"/>
      <c r="AT14" s="56"/>
      <c r="AU14" s="56"/>
      <c r="AV14" s="56"/>
      <c r="AW14" s="56"/>
      <c r="AX14" s="56">
        <f t="shared" si="18"/>
        <v>0</v>
      </c>
      <c r="AY14" s="56"/>
      <c r="AZ14" s="56"/>
      <c r="BA14" s="56"/>
      <c r="BB14" s="56"/>
      <c r="BC14" s="56"/>
      <c r="BD14" s="56"/>
      <c r="BE14" s="56"/>
      <c r="BF14" s="56">
        <f t="shared" si="19"/>
        <v>0</v>
      </c>
      <c r="BG14" s="56"/>
      <c r="BH14" s="56"/>
      <c r="BI14" s="56"/>
      <c r="BJ14" s="56"/>
      <c r="BK14" s="56"/>
      <c r="BL14" s="56"/>
      <c r="BM14" s="56"/>
      <c r="BN14" s="56">
        <f t="shared" si="20"/>
        <v>0</v>
      </c>
      <c r="BO14" s="56"/>
      <c r="BP14" s="56"/>
      <c r="BQ14" s="56"/>
      <c r="BR14" s="56"/>
      <c r="BS14" s="56"/>
      <c r="BT14" s="56"/>
      <c r="BU14" s="56"/>
      <c r="BV14" s="56">
        <f t="shared" si="21"/>
        <v>0</v>
      </c>
      <c r="BW14" s="56"/>
      <c r="BX14" s="56"/>
      <c r="BY14" s="56"/>
      <c r="BZ14" s="56"/>
      <c r="CA14" s="56"/>
      <c r="CB14" s="56"/>
      <c r="CC14" s="56"/>
      <c r="CD14" s="56">
        <f t="shared" si="22"/>
        <v>0</v>
      </c>
      <c r="CE14" s="56"/>
      <c r="CF14" s="56"/>
      <c r="CG14" s="56"/>
      <c r="CH14" s="56"/>
      <c r="CI14" s="56"/>
      <c r="CJ14" s="56"/>
      <c r="CK14" s="56"/>
      <c r="CL14" s="56">
        <f t="shared" si="23"/>
        <v>0</v>
      </c>
      <c r="CM14" s="56"/>
      <c r="CN14" s="56"/>
      <c r="CO14" s="56"/>
      <c r="CP14" s="56"/>
      <c r="CQ14" s="56"/>
      <c r="CR14" s="56"/>
      <c r="CS14" s="56"/>
      <c r="CT14" s="56">
        <f t="shared" si="24"/>
        <v>0</v>
      </c>
      <c r="CU14" s="56"/>
      <c r="CV14" s="56"/>
      <c r="CW14" s="56"/>
      <c r="CX14" s="56"/>
      <c r="CY14" s="56"/>
      <c r="CZ14" s="56"/>
      <c r="DA14" s="56"/>
      <c r="DB14" s="56">
        <f t="shared" si="25"/>
        <v>0</v>
      </c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  <c r="DO14" s="56"/>
      <c r="DP14" s="56"/>
      <c r="DQ14" s="56"/>
      <c r="DR14" s="56"/>
      <c r="DS14" s="56"/>
      <c r="DT14" s="56"/>
      <c r="DU14" s="56"/>
      <c r="DV14" s="56"/>
      <c r="DW14" s="56"/>
      <c r="DX14" s="56"/>
      <c r="DY14" s="56"/>
      <c r="DZ14" s="56"/>
      <c r="EA14" s="56"/>
      <c r="EB14" s="56"/>
      <c r="EC14" s="56"/>
      <c r="ED14" s="56"/>
      <c r="EE14" s="56"/>
      <c r="EF14" s="56"/>
      <c r="EG14" s="56"/>
      <c r="EH14" s="56"/>
      <c r="EI14" s="56"/>
      <c r="EJ14" s="56"/>
      <c r="EK14" s="56"/>
      <c r="EL14" s="56"/>
      <c r="EM14" s="56"/>
      <c r="EN14" s="56"/>
      <c r="EO14" s="56"/>
      <c r="EP14" s="56"/>
      <c r="EQ14" s="56"/>
      <c r="ER14" s="56"/>
      <c r="ES14" s="56"/>
      <c r="ET14" s="56"/>
      <c r="EU14" s="56"/>
      <c r="EV14" s="56"/>
      <c r="EW14" s="56"/>
      <c r="EX14" s="56"/>
      <c r="EY14" s="56"/>
      <c r="EZ14" s="56"/>
      <c r="FA14" s="56"/>
      <c r="FB14" s="56"/>
      <c r="FC14" s="56"/>
      <c r="FD14" s="56"/>
      <c r="FE14" s="56"/>
      <c r="FF14" s="56"/>
      <c r="FG14" s="56"/>
      <c r="FH14" s="56"/>
      <c r="FI14" s="56"/>
      <c r="FJ14" s="56"/>
      <c r="FK14" s="56"/>
      <c r="FL14" s="56"/>
      <c r="FM14" s="56"/>
      <c r="FN14" s="56"/>
      <c r="FO14" s="56"/>
      <c r="FP14" s="56"/>
      <c r="FQ14" s="56"/>
      <c r="FR14" s="56"/>
      <c r="FS14" s="56"/>
      <c r="FT14" s="56"/>
      <c r="FU14" s="56"/>
      <c r="FV14" s="56"/>
      <c r="FW14" s="56"/>
      <c r="FX14" s="56"/>
      <c r="FY14" s="56"/>
      <c r="FZ14" s="56"/>
      <c r="GA14" s="56"/>
      <c r="GB14" s="56"/>
      <c r="GC14" s="56"/>
      <c r="GD14" s="56"/>
      <c r="GE14" s="56"/>
      <c r="GF14" s="56"/>
      <c r="GG14" s="56"/>
      <c r="GH14" s="56"/>
      <c r="GI14" s="56"/>
      <c r="GJ14" s="56"/>
      <c r="GK14" s="56"/>
      <c r="GL14" s="56"/>
      <c r="GM14" s="56"/>
      <c r="GN14" s="56"/>
      <c r="GO14" s="56"/>
      <c r="GP14" s="56"/>
      <c r="GQ14" s="56"/>
      <c r="GR14" s="56"/>
      <c r="GS14" s="56"/>
      <c r="GT14" s="56"/>
      <c r="GU14" s="56"/>
      <c r="GV14" s="56"/>
      <c r="GW14" s="56"/>
      <c r="GX14" s="56"/>
      <c r="GY14" s="56"/>
      <c r="GZ14" s="56"/>
      <c r="HA14" s="56"/>
      <c r="HB14" s="56"/>
      <c r="HC14" s="56"/>
      <c r="HD14" s="56"/>
      <c r="HE14" s="56"/>
      <c r="HF14" s="56"/>
      <c r="HG14" s="56"/>
      <c r="HH14" s="56"/>
      <c r="HI14" s="56"/>
      <c r="HJ14" s="56"/>
      <c r="HK14" s="56"/>
      <c r="HL14" s="56"/>
      <c r="HM14" s="56"/>
      <c r="HN14" s="56"/>
      <c r="HO14" s="56"/>
      <c r="HP14" s="56"/>
      <c r="HQ14" s="56"/>
      <c r="HR14" s="56"/>
      <c r="HS14" s="56"/>
      <c r="HT14" s="56"/>
      <c r="HU14" s="56"/>
      <c r="HV14" s="56"/>
      <c r="HW14" s="56"/>
      <c r="HX14" s="56"/>
      <c r="HY14" s="56"/>
      <c r="HZ14" s="56"/>
      <c r="IA14" s="56"/>
      <c r="IB14" s="56"/>
      <c r="IC14" s="56"/>
      <c r="ID14" s="56"/>
      <c r="IE14" s="56"/>
      <c r="IF14" s="56"/>
      <c r="IG14" s="56"/>
      <c r="IH14" s="56"/>
      <c r="II14" s="56"/>
      <c r="IJ14" s="56"/>
      <c r="IK14" s="56"/>
      <c r="IL14" s="56"/>
      <c r="IM14" s="56"/>
      <c r="IN14" s="56"/>
      <c r="IO14" s="56"/>
      <c r="IP14" s="56"/>
      <c r="IQ14" s="56"/>
      <c r="IR14" s="56"/>
      <c r="IS14" s="56"/>
      <c r="IT14" s="56"/>
      <c r="IU14" s="56"/>
      <c r="IV14" s="56"/>
      <c r="IW14" s="56"/>
      <c r="IX14" s="56"/>
      <c r="IY14" s="56"/>
      <c r="IZ14" s="56"/>
      <c r="JA14" s="56"/>
      <c r="JB14" s="56"/>
      <c r="JC14" s="56"/>
      <c r="JD14" s="56"/>
      <c r="JE14" s="56"/>
      <c r="JF14" s="56"/>
      <c r="JG14" s="56"/>
      <c r="JH14" s="56"/>
      <c r="JI14" s="56"/>
      <c r="JJ14" s="56"/>
      <c r="JK14" s="56"/>
      <c r="JL14" s="56"/>
      <c r="JM14" s="56"/>
      <c r="JN14" s="56"/>
      <c r="JO14" s="56"/>
      <c r="JP14" s="56"/>
      <c r="JQ14" s="56"/>
      <c r="JR14" s="56"/>
      <c r="JS14" s="56"/>
      <c r="JT14" s="56"/>
      <c r="JU14" s="56"/>
      <c r="JV14" s="56"/>
      <c r="JW14" s="56"/>
      <c r="JX14" s="56"/>
      <c r="JY14" s="56"/>
      <c r="JZ14" s="56"/>
      <c r="KA14" s="56"/>
      <c r="KB14" s="56"/>
      <c r="KC14" s="56"/>
      <c r="KD14" s="56"/>
      <c r="KE14" s="56"/>
      <c r="KF14" s="56"/>
      <c r="KG14" s="56"/>
      <c r="KH14" s="56"/>
      <c r="KI14" s="56"/>
      <c r="KJ14" s="56"/>
      <c r="KK14" s="56"/>
      <c r="KL14" s="56"/>
      <c r="KM14" s="56"/>
      <c r="KN14" s="56"/>
      <c r="KO14" s="56"/>
      <c r="KP14" s="56"/>
      <c r="KQ14" s="56"/>
      <c r="KR14" s="56"/>
      <c r="KS14" s="56"/>
      <c r="KT14" s="56"/>
      <c r="KU14" s="56"/>
      <c r="KV14" s="56"/>
      <c r="KW14" s="56"/>
      <c r="KX14" s="56"/>
      <c r="KY14" s="56"/>
      <c r="KZ14" s="56"/>
      <c r="LA14" s="56"/>
      <c r="LB14" s="56"/>
      <c r="LC14" s="56"/>
      <c r="LD14" s="56"/>
      <c r="LE14" s="56"/>
      <c r="LF14" s="56"/>
      <c r="LG14" s="56"/>
      <c r="LH14" s="56"/>
      <c r="LI14" s="56"/>
      <c r="LJ14" s="56"/>
      <c r="LK14" s="56"/>
      <c r="LL14" s="56"/>
      <c r="LM14" s="56"/>
      <c r="LN14" s="56"/>
      <c r="LO14" s="56"/>
      <c r="LP14" s="56"/>
      <c r="LQ14" s="56"/>
      <c r="LR14" s="56"/>
      <c r="LS14" s="56"/>
      <c r="LT14" s="56"/>
      <c r="LU14" s="56"/>
      <c r="LV14" s="56"/>
      <c r="LW14" s="56"/>
      <c r="LX14" s="56"/>
      <c r="LY14" s="56"/>
      <c r="LZ14" s="56"/>
      <c r="MA14" s="56"/>
      <c r="MB14" s="56"/>
      <c r="MC14" s="56"/>
      <c r="MD14" s="56"/>
      <c r="ME14" s="56"/>
      <c r="MF14" s="56"/>
      <c r="MG14" s="56"/>
      <c r="MH14" s="56"/>
      <c r="MI14" s="56"/>
      <c r="MJ14" s="56"/>
      <c r="MK14" s="56"/>
      <c r="ML14" s="56"/>
      <c r="MM14" s="56"/>
      <c r="MN14" s="56"/>
      <c r="MO14" s="56"/>
      <c r="MP14" s="56"/>
      <c r="MQ14" s="56"/>
      <c r="MR14" s="56"/>
      <c r="MS14" s="56"/>
      <c r="MT14" s="56"/>
      <c r="MU14" s="56"/>
      <c r="MV14" s="56"/>
      <c r="MW14" s="56"/>
      <c r="MX14" s="56"/>
      <c r="MY14" s="56"/>
      <c r="MZ14" s="56"/>
      <c r="NA14" s="56"/>
      <c r="NB14" s="56"/>
      <c r="NC14" s="56"/>
      <c r="ND14" s="56"/>
      <c r="NE14" s="56"/>
      <c r="NF14" s="56"/>
      <c r="NG14" s="56"/>
      <c r="NH14" s="56"/>
      <c r="NI14" s="56"/>
      <c r="NJ14" s="56"/>
      <c r="NK14" s="56"/>
      <c r="NL14" s="56"/>
      <c r="NM14" s="56"/>
      <c r="NN14" s="56"/>
      <c r="NO14" s="56"/>
      <c r="NP14" s="56"/>
      <c r="NQ14" s="56"/>
      <c r="NR14" s="56"/>
      <c r="NS14" s="56"/>
      <c r="NT14" s="56"/>
      <c r="NU14" s="56"/>
      <c r="NV14" s="56"/>
      <c r="NW14" s="56"/>
      <c r="NX14" s="56"/>
      <c r="NY14" s="56"/>
      <c r="NZ14" s="56"/>
      <c r="OA14" s="56"/>
      <c r="OB14" s="56"/>
      <c r="OC14" s="56"/>
      <c r="OD14" s="56"/>
      <c r="OE14" s="56"/>
      <c r="OF14" s="56"/>
      <c r="OG14" s="56"/>
      <c r="OH14" s="56"/>
      <c r="OI14" s="56"/>
      <c r="OJ14" s="56"/>
      <c r="OK14" s="56"/>
      <c r="OL14" s="56"/>
      <c r="OM14" s="56"/>
      <c r="ON14" s="56"/>
      <c r="OO14" s="56"/>
      <c r="OP14" s="56"/>
      <c r="OQ14" s="56"/>
      <c r="OR14" s="56"/>
      <c r="OS14" s="56"/>
      <c r="OT14" s="56"/>
      <c r="OU14" s="56"/>
      <c r="OV14" s="56"/>
      <c r="OW14" s="56"/>
      <c r="OX14" s="56"/>
      <c r="OY14" s="56"/>
      <c r="OZ14" s="56"/>
      <c r="PA14" s="56"/>
      <c r="PB14" s="64"/>
    </row>
    <row r="15" spans="1:418" x14ac:dyDescent="0.25">
      <c r="A15" s="56" t="str" cm="1">
        <f t="array" ref="A15">_xlfn.LET(_xlpm.lst,_xlfn._xlws.FILTER(tblEmployee[Employee ID],(tblEmployee[Pay Frequency]&lt;&gt;"Monthly")*(tblEmployee[Employee Start]&lt;&gt;"")*(tblEmployee[Employee End]="")),IFERROR(INDEX(_xlpm.lst,ROWS($A$2:A15)),""))</f>
        <v/>
      </c>
      <c r="B15" s="35" t="str" cm="1">
        <f t="array" ref="B15">_xlfn.LET(_xlpm.lst,_xlfn._xlws.FILTER(tblEmployee[Employee Name],(tblEmployee[Pay Frequency]&lt;&gt;"Monthly")*(tblEmployee[Employee Start]&lt;&gt;"")*(tblEmployee[Employee End]="")),IFERROR(INDEX(_xlpm.lst,ROWS($B$2:B15)),""))</f>
        <v/>
      </c>
      <c r="C15" s="56"/>
      <c r="D15" s="56"/>
      <c r="E15" s="56"/>
      <c r="F15" s="56"/>
      <c r="G15" s="56"/>
      <c r="H15" s="56"/>
      <c r="I15" s="56"/>
      <c r="J15" s="56">
        <f t="shared" si="13"/>
        <v>0</v>
      </c>
      <c r="K15" s="56"/>
      <c r="L15" s="56"/>
      <c r="M15" s="56"/>
      <c r="N15" s="56"/>
      <c r="O15" s="56"/>
      <c r="P15" s="56"/>
      <c r="Q15" s="56"/>
      <c r="R15" s="56">
        <f t="shared" si="14"/>
        <v>0</v>
      </c>
      <c r="S15" s="56"/>
      <c r="T15" s="56"/>
      <c r="U15" s="56"/>
      <c r="V15" s="56"/>
      <c r="W15" s="56"/>
      <c r="X15" s="56"/>
      <c r="Y15" s="56"/>
      <c r="Z15" s="56">
        <f t="shared" si="15"/>
        <v>0</v>
      </c>
      <c r="AA15" s="56"/>
      <c r="AB15" s="56"/>
      <c r="AC15" s="56"/>
      <c r="AD15" s="56"/>
      <c r="AE15" s="56"/>
      <c r="AF15" s="56"/>
      <c r="AG15" s="56"/>
      <c r="AH15" s="56">
        <f t="shared" si="16"/>
        <v>0</v>
      </c>
      <c r="AI15" s="56"/>
      <c r="AJ15" s="56"/>
      <c r="AK15" s="56"/>
      <c r="AL15" s="56"/>
      <c r="AM15" s="56"/>
      <c r="AN15" s="56"/>
      <c r="AO15" s="56"/>
      <c r="AP15" s="56">
        <f t="shared" si="17"/>
        <v>0</v>
      </c>
      <c r="AQ15" s="56"/>
      <c r="AR15" s="56"/>
      <c r="AS15" s="56"/>
      <c r="AT15" s="56"/>
      <c r="AU15" s="56"/>
      <c r="AV15" s="56"/>
      <c r="AW15" s="56"/>
      <c r="AX15" s="56">
        <f t="shared" si="18"/>
        <v>0</v>
      </c>
      <c r="AY15" s="56"/>
      <c r="AZ15" s="56"/>
      <c r="BA15" s="56"/>
      <c r="BB15" s="56"/>
      <c r="BC15" s="56"/>
      <c r="BD15" s="56"/>
      <c r="BE15" s="56"/>
      <c r="BF15" s="56">
        <f t="shared" si="19"/>
        <v>0</v>
      </c>
      <c r="BG15" s="56"/>
      <c r="BH15" s="56"/>
      <c r="BI15" s="56"/>
      <c r="BJ15" s="56"/>
      <c r="BK15" s="56"/>
      <c r="BL15" s="56"/>
      <c r="BM15" s="56"/>
      <c r="BN15" s="56">
        <f t="shared" si="20"/>
        <v>0</v>
      </c>
      <c r="BO15" s="56"/>
      <c r="BP15" s="56"/>
      <c r="BQ15" s="56"/>
      <c r="BR15" s="56"/>
      <c r="BS15" s="56"/>
      <c r="BT15" s="56"/>
      <c r="BU15" s="56"/>
      <c r="BV15" s="56">
        <f t="shared" si="21"/>
        <v>0</v>
      </c>
      <c r="BW15" s="56"/>
      <c r="BX15" s="56"/>
      <c r="BY15" s="56"/>
      <c r="BZ15" s="56"/>
      <c r="CA15" s="56"/>
      <c r="CB15" s="56"/>
      <c r="CC15" s="56"/>
      <c r="CD15" s="56">
        <f t="shared" si="22"/>
        <v>0</v>
      </c>
      <c r="CE15" s="56"/>
      <c r="CF15" s="56"/>
      <c r="CG15" s="56"/>
      <c r="CH15" s="56"/>
      <c r="CI15" s="56"/>
      <c r="CJ15" s="56"/>
      <c r="CK15" s="56"/>
      <c r="CL15" s="56">
        <f t="shared" si="23"/>
        <v>0</v>
      </c>
      <c r="CM15" s="56"/>
      <c r="CN15" s="56"/>
      <c r="CO15" s="56"/>
      <c r="CP15" s="56"/>
      <c r="CQ15" s="56"/>
      <c r="CR15" s="56"/>
      <c r="CS15" s="56"/>
      <c r="CT15" s="56">
        <f t="shared" si="24"/>
        <v>0</v>
      </c>
      <c r="CU15" s="56"/>
      <c r="CV15" s="56"/>
      <c r="CW15" s="56"/>
      <c r="CX15" s="56"/>
      <c r="CY15" s="56"/>
      <c r="CZ15" s="56"/>
      <c r="DA15" s="56"/>
      <c r="DB15" s="56">
        <f t="shared" si="25"/>
        <v>0</v>
      </c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  <c r="DO15" s="56"/>
      <c r="DP15" s="56"/>
      <c r="DQ15" s="56"/>
      <c r="DR15" s="56"/>
      <c r="DS15" s="56"/>
      <c r="DT15" s="56"/>
      <c r="DU15" s="56"/>
      <c r="DV15" s="56"/>
      <c r="DW15" s="56"/>
      <c r="DX15" s="56"/>
      <c r="DY15" s="56"/>
      <c r="DZ15" s="56"/>
      <c r="EA15" s="56"/>
      <c r="EB15" s="56"/>
      <c r="EC15" s="56"/>
      <c r="ED15" s="56"/>
      <c r="EE15" s="56"/>
      <c r="EF15" s="56"/>
      <c r="EG15" s="56"/>
      <c r="EH15" s="56"/>
      <c r="EI15" s="56"/>
      <c r="EJ15" s="56"/>
      <c r="EK15" s="56"/>
      <c r="EL15" s="56"/>
      <c r="EM15" s="56"/>
      <c r="EN15" s="56"/>
      <c r="EO15" s="56"/>
      <c r="EP15" s="56"/>
      <c r="EQ15" s="56"/>
      <c r="ER15" s="56"/>
      <c r="ES15" s="56"/>
      <c r="ET15" s="56"/>
      <c r="EU15" s="56"/>
      <c r="EV15" s="56"/>
      <c r="EW15" s="56"/>
      <c r="EX15" s="56"/>
      <c r="EY15" s="56"/>
      <c r="EZ15" s="56"/>
      <c r="FA15" s="56"/>
      <c r="FB15" s="56"/>
      <c r="FC15" s="56"/>
      <c r="FD15" s="56"/>
      <c r="FE15" s="56"/>
      <c r="FF15" s="56"/>
      <c r="FG15" s="56"/>
      <c r="FH15" s="56"/>
      <c r="FI15" s="56"/>
      <c r="FJ15" s="56"/>
      <c r="FK15" s="56"/>
      <c r="FL15" s="56"/>
      <c r="FM15" s="56"/>
      <c r="FN15" s="56"/>
      <c r="FO15" s="56"/>
      <c r="FP15" s="56"/>
      <c r="FQ15" s="56"/>
      <c r="FR15" s="56"/>
      <c r="FS15" s="56"/>
      <c r="FT15" s="56"/>
      <c r="FU15" s="56"/>
      <c r="FV15" s="56"/>
      <c r="FW15" s="56"/>
      <c r="FX15" s="56"/>
      <c r="FY15" s="56"/>
      <c r="FZ15" s="56"/>
      <c r="GA15" s="56"/>
      <c r="GB15" s="56"/>
      <c r="GC15" s="56"/>
      <c r="GD15" s="56"/>
      <c r="GE15" s="56"/>
      <c r="GF15" s="56"/>
      <c r="GG15" s="56"/>
      <c r="GH15" s="56"/>
      <c r="GI15" s="56"/>
      <c r="GJ15" s="56"/>
      <c r="GK15" s="56"/>
      <c r="GL15" s="56"/>
      <c r="GM15" s="56"/>
      <c r="GN15" s="56"/>
      <c r="GO15" s="56"/>
      <c r="GP15" s="56"/>
      <c r="GQ15" s="56"/>
      <c r="GR15" s="56"/>
      <c r="GS15" s="56"/>
      <c r="GT15" s="56"/>
      <c r="GU15" s="56"/>
      <c r="GV15" s="56"/>
      <c r="GW15" s="56"/>
      <c r="GX15" s="56"/>
      <c r="GY15" s="56"/>
      <c r="GZ15" s="56"/>
      <c r="HA15" s="56"/>
      <c r="HB15" s="56"/>
      <c r="HC15" s="56"/>
      <c r="HD15" s="56"/>
      <c r="HE15" s="56"/>
      <c r="HF15" s="56"/>
      <c r="HG15" s="56"/>
      <c r="HH15" s="56"/>
      <c r="HI15" s="56"/>
      <c r="HJ15" s="56"/>
      <c r="HK15" s="56"/>
      <c r="HL15" s="56"/>
      <c r="HM15" s="56"/>
      <c r="HN15" s="56"/>
      <c r="HO15" s="56"/>
      <c r="HP15" s="56"/>
      <c r="HQ15" s="56"/>
      <c r="HR15" s="56"/>
      <c r="HS15" s="56"/>
      <c r="HT15" s="56"/>
      <c r="HU15" s="56"/>
      <c r="HV15" s="56"/>
      <c r="HW15" s="56"/>
      <c r="HX15" s="56"/>
      <c r="HY15" s="56"/>
      <c r="HZ15" s="56"/>
      <c r="IA15" s="56"/>
      <c r="IB15" s="56"/>
      <c r="IC15" s="56"/>
      <c r="ID15" s="56"/>
      <c r="IE15" s="56"/>
      <c r="IF15" s="56"/>
      <c r="IG15" s="56"/>
      <c r="IH15" s="56"/>
      <c r="II15" s="56"/>
      <c r="IJ15" s="56"/>
      <c r="IK15" s="56"/>
      <c r="IL15" s="56"/>
      <c r="IM15" s="56"/>
      <c r="IN15" s="56"/>
      <c r="IO15" s="56"/>
      <c r="IP15" s="56"/>
      <c r="IQ15" s="56"/>
      <c r="IR15" s="56"/>
      <c r="IS15" s="56"/>
      <c r="IT15" s="56"/>
      <c r="IU15" s="56"/>
      <c r="IV15" s="56"/>
      <c r="IW15" s="56"/>
      <c r="IX15" s="56"/>
      <c r="IY15" s="56"/>
      <c r="IZ15" s="56"/>
      <c r="JA15" s="56"/>
      <c r="JB15" s="56"/>
      <c r="JC15" s="56"/>
      <c r="JD15" s="56"/>
      <c r="JE15" s="56"/>
      <c r="JF15" s="56"/>
      <c r="JG15" s="56"/>
      <c r="JH15" s="56"/>
      <c r="JI15" s="56"/>
      <c r="JJ15" s="56"/>
      <c r="JK15" s="56"/>
      <c r="JL15" s="56"/>
      <c r="JM15" s="56"/>
      <c r="JN15" s="56"/>
      <c r="JO15" s="56"/>
      <c r="JP15" s="56"/>
      <c r="JQ15" s="56"/>
      <c r="JR15" s="56"/>
      <c r="JS15" s="56"/>
      <c r="JT15" s="56"/>
      <c r="JU15" s="56"/>
      <c r="JV15" s="56"/>
      <c r="JW15" s="56"/>
      <c r="JX15" s="56"/>
      <c r="JY15" s="56"/>
      <c r="JZ15" s="56"/>
      <c r="KA15" s="56"/>
      <c r="KB15" s="56"/>
      <c r="KC15" s="56"/>
      <c r="KD15" s="56"/>
      <c r="KE15" s="56"/>
      <c r="KF15" s="56"/>
      <c r="KG15" s="56"/>
      <c r="KH15" s="56"/>
      <c r="KI15" s="56"/>
      <c r="KJ15" s="56"/>
      <c r="KK15" s="56"/>
      <c r="KL15" s="56"/>
      <c r="KM15" s="56"/>
      <c r="KN15" s="56"/>
      <c r="KO15" s="56"/>
      <c r="KP15" s="56"/>
      <c r="KQ15" s="56"/>
      <c r="KR15" s="56"/>
      <c r="KS15" s="56"/>
      <c r="KT15" s="56"/>
      <c r="KU15" s="56"/>
      <c r="KV15" s="56"/>
      <c r="KW15" s="56"/>
      <c r="KX15" s="56"/>
      <c r="KY15" s="56"/>
      <c r="KZ15" s="56"/>
      <c r="LA15" s="56"/>
      <c r="LB15" s="56"/>
      <c r="LC15" s="56"/>
      <c r="LD15" s="56"/>
      <c r="LE15" s="56"/>
      <c r="LF15" s="56"/>
      <c r="LG15" s="56"/>
      <c r="LH15" s="56"/>
      <c r="LI15" s="56"/>
      <c r="LJ15" s="56"/>
      <c r="LK15" s="56"/>
      <c r="LL15" s="56"/>
      <c r="LM15" s="56"/>
      <c r="LN15" s="56"/>
      <c r="LO15" s="56"/>
      <c r="LP15" s="56"/>
      <c r="LQ15" s="56"/>
      <c r="LR15" s="56"/>
      <c r="LS15" s="56"/>
      <c r="LT15" s="56"/>
      <c r="LU15" s="56"/>
      <c r="LV15" s="56"/>
      <c r="LW15" s="56"/>
      <c r="LX15" s="56"/>
      <c r="LY15" s="56"/>
      <c r="LZ15" s="56"/>
      <c r="MA15" s="56"/>
      <c r="MB15" s="56"/>
      <c r="MC15" s="56"/>
      <c r="MD15" s="56"/>
      <c r="ME15" s="56"/>
      <c r="MF15" s="56"/>
      <c r="MG15" s="56"/>
      <c r="MH15" s="56"/>
      <c r="MI15" s="56"/>
      <c r="MJ15" s="56"/>
      <c r="MK15" s="56"/>
      <c r="ML15" s="56"/>
      <c r="MM15" s="56"/>
      <c r="MN15" s="56"/>
      <c r="MO15" s="56"/>
      <c r="MP15" s="56"/>
      <c r="MQ15" s="56"/>
      <c r="MR15" s="56"/>
      <c r="MS15" s="56"/>
      <c r="MT15" s="56"/>
      <c r="MU15" s="56"/>
      <c r="MV15" s="56"/>
      <c r="MW15" s="56"/>
      <c r="MX15" s="56"/>
      <c r="MY15" s="56"/>
      <c r="MZ15" s="56"/>
      <c r="NA15" s="56"/>
      <c r="NB15" s="56"/>
      <c r="NC15" s="56"/>
      <c r="ND15" s="56"/>
      <c r="NE15" s="56"/>
      <c r="NF15" s="56"/>
      <c r="NG15" s="56"/>
      <c r="NH15" s="56"/>
      <c r="NI15" s="56"/>
      <c r="NJ15" s="56"/>
      <c r="NK15" s="56"/>
      <c r="NL15" s="56"/>
      <c r="NM15" s="56"/>
      <c r="NN15" s="56"/>
      <c r="NO15" s="56"/>
      <c r="NP15" s="56"/>
      <c r="NQ15" s="56"/>
      <c r="NR15" s="56"/>
      <c r="NS15" s="56"/>
      <c r="NT15" s="56"/>
      <c r="NU15" s="56"/>
      <c r="NV15" s="56"/>
      <c r="NW15" s="56"/>
      <c r="NX15" s="56"/>
      <c r="NY15" s="56"/>
      <c r="NZ15" s="56"/>
      <c r="OA15" s="56"/>
      <c r="OB15" s="56"/>
      <c r="OC15" s="56"/>
      <c r="OD15" s="56"/>
      <c r="OE15" s="56"/>
      <c r="OF15" s="56"/>
      <c r="OG15" s="56"/>
      <c r="OH15" s="56"/>
      <c r="OI15" s="56"/>
      <c r="OJ15" s="56"/>
      <c r="OK15" s="56"/>
      <c r="OL15" s="56"/>
      <c r="OM15" s="56"/>
      <c r="ON15" s="56"/>
      <c r="OO15" s="56"/>
      <c r="OP15" s="56"/>
      <c r="OQ15" s="56"/>
      <c r="OR15" s="56"/>
      <c r="OS15" s="56"/>
      <c r="OT15" s="56"/>
      <c r="OU15" s="56"/>
      <c r="OV15" s="56"/>
      <c r="OW15" s="56"/>
      <c r="OX15" s="56"/>
      <c r="OY15" s="56"/>
      <c r="OZ15" s="56"/>
      <c r="PA15" s="56"/>
      <c r="PB15" s="64"/>
    </row>
    <row r="16" spans="1:418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spans="1:20" hidden="1" x14ac:dyDescent="0.25"/>
    <row r="50" spans="1:20" hidden="1" x14ac:dyDescent="0.25"/>
    <row r="51" spans="1:20" hidden="1" x14ac:dyDescent="0.25"/>
    <row r="52" spans="1:20" hidden="1" x14ac:dyDescent="0.25"/>
    <row r="53" spans="1:20" hidden="1" x14ac:dyDescent="0.25"/>
    <row r="54" spans="1:20" hidden="1" x14ac:dyDescent="0.25"/>
    <row r="55" spans="1:20" hidden="1" x14ac:dyDescent="0.25"/>
    <row r="56" spans="1:20" hidden="1" x14ac:dyDescent="0.25"/>
    <row r="57" spans="1:20" hidden="1" x14ac:dyDescent="0.25"/>
    <row r="58" spans="1:20" hidden="1" x14ac:dyDescent="0.25"/>
    <row r="59" spans="1:20" hidden="1" x14ac:dyDescent="0.25"/>
    <row r="60" spans="1:20" hidden="1" x14ac:dyDescent="0.25"/>
    <row r="61" spans="1:20" hidden="1" x14ac:dyDescent="0.25"/>
    <row r="64" spans="1:20" x14ac:dyDescent="0.25">
      <c r="A64" s="40" t="s">
        <v>74</v>
      </c>
      <c r="B64" s="66" t="s">
        <v>51</v>
      </c>
      <c r="C64" s="67" t="s">
        <v>53</v>
      </c>
      <c r="D64" s="22" t="s">
        <v>563</v>
      </c>
      <c r="E64" s="22" t="s">
        <v>564</v>
      </c>
      <c r="F64" s="22" t="s">
        <v>7</v>
      </c>
      <c r="I64" s="93" t="s">
        <v>74</v>
      </c>
      <c r="J64" s="94" t="s">
        <v>51</v>
      </c>
      <c r="K64" s="95" t="s">
        <v>53</v>
      </c>
      <c r="L64" s="96" t="s">
        <v>590</v>
      </c>
      <c r="M64" t="s">
        <v>583</v>
      </c>
      <c r="N64" t="s">
        <v>1</v>
      </c>
      <c r="O64" t="s">
        <v>584</v>
      </c>
      <c r="P64" t="s">
        <v>585</v>
      </c>
      <c r="Q64" t="s">
        <v>586</v>
      </c>
      <c r="R64" t="s">
        <v>587</v>
      </c>
      <c r="S64" t="s">
        <v>588</v>
      </c>
      <c r="T64" t="s">
        <v>589</v>
      </c>
    </row>
    <row r="65" spans="1:20" x14ac:dyDescent="0.25">
      <c r="A65" s="33" t="s">
        <v>81</v>
      </c>
      <c r="B65">
        <v>1</v>
      </c>
      <c r="D65" t="str" cm="1">
        <f t="array" ref="D65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65">
        <f>MIN(40,tblHoursLedger[[#This Row],[Total Hours Worked]])</f>
        <v>40</v>
      </c>
      <c r="F65" t="e">
        <f>tblHoursLedger[[#This Row],[Total Hours Worked]]-tblHoursLedger[[#This Row],[Basic Hours]]</f>
        <v>#VALUE!</v>
      </c>
      <c r="K65" t="str">
        <f>IF(tblMonthlyPaid[[#This Row],[Employee ID]]="","",
   _xlfn.XLOOKUP(tblMonthlyPaid[[#This Row],[Employee ID]], tblEmployee[Employee ID], tblEmployee[Pay Frequency], "")
)</f>
        <v/>
      </c>
      <c r="L65" t="str">
        <f>IF(_xlfn.XLOOKUP(tblMonthlyPaid[[#This Row],[Employee ID]],tblEmployee[Employee ID],tblEmployee[Pay Frequency],"")="Monthly", _xlfn.XLOOKUP(tblMonthlyPaid[[#This Row],[Employee ID]],tblEmployee[Employee ID],tblEmployee[Employee Position],""),"")</f>
        <v/>
      </c>
      <c r="M65" s="3">
        <f>_xlfn.XLOOKUP(tblMonthlyPaid[[#This Row],[Position]],tblPositionandPayRate[Employee Position],tblPositionandPayRate[Basic Rate of Pay],0)</f>
        <v>0</v>
      </c>
      <c r="N65" s="3">
        <f>_xlfn.XLOOKUP(tblMonthlyPaid[[#This Row],[Position]], tblPositionandPayRate[Employee Position], tblPositionandPayRate[Overtime], 0)</f>
        <v>0</v>
      </c>
      <c r="O65" s="3">
        <f>_xlfn.XLOOKUP(tblMonthlyPaid[[#This Row],[Position]], tblPositionandPayRate[Employee Position], tblPositionandPayRate[Allowance 1], 0)</f>
        <v>0</v>
      </c>
      <c r="P65" s="3">
        <f>_xlfn.XLOOKUP(tblMonthlyPaid[[#This Row],[Position]], tblPositionandPayRate[Employee Position], tblPositionandPayRate[Allowance 2], 0)</f>
        <v>0</v>
      </c>
      <c r="Q65" s="3">
        <f>_xlfn.XLOOKUP(tblMonthlyPaid[[#This Row],[Position]], tblPositionandPayRate[Employee Position], tblPositionandPayRate[Allowance 3], 0)</f>
        <v>0</v>
      </c>
      <c r="R65" s="3">
        <f>_xlfn.XLOOKUP(tblMonthlyPaid[[#This Row],[Position]], tblPositionandPayRate[Employee Position], tblPositionandPayRate[Allowance 4], 0)</f>
        <v>0</v>
      </c>
      <c r="S65" s="3"/>
      <c r="T65" s="3">
        <f>SUM(tblMonthlyPaid[[#This Row],[Monthly Salary]:[Allowances 5]])</f>
        <v>0</v>
      </c>
    </row>
    <row r="66" spans="1:20" x14ac:dyDescent="0.25">
      <c r="A66" s="33"/>
      <c r="D66" t="str" cm="1">
        <f t="array" ref="D66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66">
        <f>MIN(40,tblHoursLedger[[#This Row],[Total Hours Worked]])</f>
        <v>40</v>
      </c>
      <c r="F66" t="e">
        <f>tblHoursLedger[[#This Row],[Total Hours Worked]]-tblHoursLedger[[#This Row],[Basic Hours]]</f>
        <v>#VALUE!</v>
      </c>
      <c r="K66" t="str">
        <f>IF(tblMonthlyPaid[[#This Row],[Employee ID]]="","",
   _xlfn.XLOOKUP(tblMonthlyPaid[[#This Row],[Employee ID]], tblEmployee[Employee ID], tblEmployee[Pay Frequency], "")
)</f>
        <v/>
      </c>
      <c r="L66" t="str">
        <f>IF(_xlfn.XLOOKUP(tblMonthlyPaid[[#This Row],[Employee ID]],tblEmployee[Employee ID],tblEmployee[Pay Frequency],"")="Monthly", _xlfn.XLOOKUP(tblMonthlyPaid[[#This Row],[Employee ID]],tblEmployee[Employee ID],tblEmployee[Employee Position],""),"")</f>
        <v/>
      </c>
      <c r="M66" s="3">
        <f>_xlfn.XLOOKUP(tblMonthlyPaid[[#This Row],[Position]],tblPositionandPayRate[Employee Position],tblPositionandPayRate[Basic Rate of Pay],0)</f>
        <v>0</v>
      </c>
      <c r="N66" s="3">
        <f>_xlfn.XLOOKUP(tblMonthlyPaid[[#This Row],[Position]], tblPositionandPayRate[Employee Position], tblPositionandPayRate[Overtime], 0)</f>
        <v>0</v>
      </c>
      <c r="O66" s="3">
        <f>_xlfn.XLOOKUP(tblMonthlyPaid[[#This Row],[Position]], tblPositionandPayRate[Employee Position], tblPositionandPayRate[Allowance 1], 0)</f>
        <v>0</v>
      </c>
      <c r="P66" s="3">
        <f>_xlfn.XLOOKUP(tblMonthlyPaid[[#This Row],[Position]], tblPositionandPayRate[Employee Position], tblPositionandPayRate[Allowance 2], 0)</f>
        <v>0</v>
      </c>
      <c r="Q66" s="3">
        <f>_xlfn.XLOOKUP(tblMonthlyPaid[[#This Row],[Position]], tblPositionandPayRate[Employee Position], tblPositionandPayRate[Allowance 3], 0)</f>
        <v>0</v>
      </c>
      <c r="R66" s="3">
        <f>_xlfn.XLOOKUP(tblMonthlyPaid[[#This Row],[Position]], tblPositionandPayRate[Employee Position], tblPositionandPayRate[Allowance 4], 0)</f>
        <v>0</v>
      </c>
      <c r="S66" s="3"/>
      <c r="T66" s="3">
        <f>SUM(tblMonthlyPaid[[#This Row],[Monthly Salary]:[Allowances 5]])</f>
        <v>0</v>
      </c>
    </row>
    <row r="67" spans="1:20" x14ac:dyDescent="0.25">
      <c r="A67" s="33"/>
      <c r="D67" t="str" cm="1">
        <f t="array" ref="D67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67">
        <f>MIN(40,tblHoursLedger[[#This Row],[Total Hours Worked]])</f>
        <v>40</v>
      </c>
      <c r="F67" t="e">
        <f>tblHoursLedger[[#This Row],[Total Hours Worked]]-tblHoursLedger[[#This Row],[Basic Hours]]</f>
        <v>#VALUE!</v>
      </c>
      <c r="K67" t="str">
        <f>IF(tblMonthlyPaid[[#This Row],[Employee ID]]="","",
   _xlfn.XLOOKUP(tblMonthlyPaid[[#This Row],[Employee ID]], tblEmployee[Employee ID], tblEmployee[Pay Frequency], "")
)</f>
        <v/>
      </c>
      <c r="L67" t="str">
        <f>IF(_xlfn.XLOOKUP(tblMonthlyPaid[[#This Row],[Employee ID]],tblEmployee[Employee ID],tblEmployee[Pay Frequency],"")="Monthly", _xlfn.XLOOKUP(tblMonthlyPaid[[#This Row],[Employee ID]],tblEmployee[Employee ID],tblEmployee[Employee Position],""),"")</f>
        <v/>
      </c>
      <c r="M67" s="3">
        <f>_xlfn.XLOOKUP(tblMonthlyPaid[[#This Row],[Position]],tblPositionandPayRate[Employee Position],tblPositionandPayRate[Basic Rate of Pay],0)</f>
        <v>0</v>
      </c>
      <c r="N67" s="3">
        <f>_xlfn.XLOOKUP(tblMonthlyPaid[[#This Row],[Position]], tblPositionandPayRate[Employee Position], tblPositionandPayRate[Overtime], 0)</f>
        <v>0</v>
      </c>
      <c r="O67" s="3">
        <f>_xlfn.XLOOKUP(tblMonthlyPaid[[#This Row],[Position]], tblPositionandPayRate[Employee Position], tblPositionandPayRate[Allowance 1], 0)</f>
        <v>0</v>
      </c>
      <c r="P67" s="3">
        <f>_xlfn.XLOOKUP(tblMonthlyPaid[[#This Row],[Position]], tblPositionandPayRate[Employee Position], tblPositionandPayRate[Allowance 2], 0)</f>
        <v>0</v>
      </c>
      <c r="Q67" s="3">
        <f>_xlfn.XLOOKUP(tblMonthlyPaid[[#This Row],[Position]], tblPositionandPayRate[Employee Position], tblPositionandPayRate[Allowance 3], 0)</f>
        <v>0</v>
      </c>
      <c r="R67" s="3">
        <f>_xlfn.XLOOKUP(tblMonthlyPaid[[#This Row],[Position]], tblPositionandPayRate[Employee Position], tblPositionandPayRate[Allowance 4], 0)</f>
        <v>0</v>
      </c>
      <c r="S67" s="3"/>
      <c r="T67" s="3">
        <f>SUM(tblMonthlyPaid[[#This Row],[Monthly Salary]:[Allowances 5]])</f>
        <v>0</v>
      </c>
    </row>
    <row r="68" spans="1:20" x14ac:dyDescent="0.25">
      <c r="A68" s="33"/>
      <c r="D68" t="str" cm="1">
        <f t="array" ref="D68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68">
        <f>MIN(40,tblHoursLedger[[#This Row],[Total Hours Worked]])</f>
        <v>40</v>
      </c>
      <c r="F68" t="e">
        <f>tblHoursLedger[[#This Row],[Total Hours Worked]]-tblHoursLedger[[#This Row],[Basic Hours]]</f>
        <v>#VALUE!</v>
      </c>
    </row>
    <row r="69" spans="1:20" x14ac:dyDescent="0.25">
      <c r="A69" s="33"/>
      <c r="D69" t="str" cm="1">
        <f t="array" ref="D69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69">
        <f>MIN(40,tblHoursLedger[[#This Row],[Total Hours Worked]])</f>
        <v>40</v>
      </c>
      <c r="F69" t="e">
        <f>tblHoursLedger[[#This Row],[Total Hours Worked]]-tblHoursLedger[[#This Row],[Basic Hours]]</f>
        <v>#VALUE!</v>
      </c>
    </row>
    <row r="70" spans="1:20" x14ac:dyDescent="0.25">
      <c r="A70" s="33"/>
      <c r="D70" t="str" cm="1">
        <f t="array" ref="D70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70">
        <f>MIN(40,tblHoursLedger[[#This Row],[Total Hours Worked]])</f>
        <v>40</v>
      </c>
      <c r="F70" t="e">
        <f>tblHoursLedger[[#This Row],[Total Hours Worked]]-tblHoursLedger[[#This Row],[Basic Hours]]</f>
        <v>#VALUE!</v>
      </c>
    </row>
    <row r="71" spans="1:20" x14ac:dyDescent="0.25">
      <c r="A71" s="33"/>
      <c r="D71" t="str" cm="1">
        <f t="array" ref="D71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71">
        <f>MIN(40,tblHoursLedger[[#This Row],[Total Hours Worked]])</f>
        <v>40</v>
      </c>
      <c r="F71" t="e">
        <f>tblHoursLedger[[#This Row],[Total Hours Worked]]-tblHoursLedger[[#This Row],[Basic Hours]]</f>
        <v>#VALUE!</v>
      </c>
    </row>
    <row r="72" spans="1:20" x14ac:dyDescent="0.25">
      <c r="A72" s="33"/>
      <c r="D72" t="str" cm="1">
        <f t="array" ref="D72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72">
        <f>MIN(40,tblHoursLedger[[#This Row],[Total Hours Worked]])</f>
        <v>40</v>
      </c>
      <c r="F72" t="e">
        <f>tblHoursLedger[[#This Row],[Total Hours Worked]]-tblHoursLedger[[#This Row],[Basic Hours]]</f>
        <v>#VALUE!</v>
      </c>
    </row>
    <row r="73" spans="1:20" x14ac:dyDescent="0.25">
      <c r="A73" s="33"/>
      <c r="D73" t="str" cm="1">
        <f t="array" ref="D73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73">
        <f>MIN(40,tblHoursLedger[[#This Row],[Total Hours Worked]])</f>
        <v>40</v>
      </c>
      <c r="F73" t="e">
        <f>tblHoursLedger[[#This Row],[Total Hours Worked]]-tblHoursLedger[[#This Row],[Basic Hours]]</f>
        <v>#VALUE!</v>
      </c>
    </row>
    <row r="74" spans="1:20" x14ac:dyDescent="0.25">
      <c r="A74" s="33"/>
      <c r="D74" t="str" cm="1">
        <f t="array" ref="D74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74">
        <f>MIN(40,tblHoursLedger[[#This Row],[Total Hours Worked]])</f>
        <v>40</v>
      </c>
      <c r="F74" t="e">
        <f>tblHoursLedger[[#This Row],[Total Hours Worked]]-tblHoursLedger[[#This Row],[Basic Hours]]</f>
        <v>#VALUE!</v>
      </c>
    </row>
    <row r="75" spans="1:20" x14ac:dyDescent="0.25">
      <c r="A75" s="33"/>
      <c r="D75" t="str" cm="1">
        <f t="array" ref="D75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75">
        <f>MIN(40,tblHoursLedger[[#This Row],[Total Hours Worked]])</f>
        <v>40</v>
      </c>
      <c r="F75" t="e">
        <f>tblHoursLedger[[#This Row],[Total Hours Worked]]-tblHoursLedger[[#This Row],[Basic Hours]]</f>
        <v>#VALUE!</v>
      </c>
    </row>
    <row r="76" spans="1:20" x14ac:dyDescent="0.25">
      <c r="A76" s="33"/>
      <c r="D76" t="str" cm="1">
        <f t="array" ref="D76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76">
        <f>MIN(40,tblHoursLedger[[#This Row],[Total Hours Worked]])</f>
        <v>40</v>
      </c>
      <c r="F76" t="e">
        <f>tblHoursLedger[[#This Row],[Total Hours Worked]]-tblHoursLedger[[#This Row],[Basic Hours]]</f>
        <v>#VALUE!</v>
      </c>
    </row>
    <row r="77" spans="1:20" x14ac:dyDescent="0.25">
      <c r="A77" s="33"/>
      <c r="D77" t="str" cm="1">
        <f t="array" ref="D77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77">
        <f>MIN(40,tblHoursLedger[[#This Row],[Total Hours Worked]])</f>
        <v>40</v>
      </c>
      <c r="F77" t="e">
        <f>tblHoursLedger[[#This Row],[Total Hours Worked]]-tblHoursLedger[[#This Row],[Basic Hours]]</f>
        <v>#VALUE!</v>
      </c>
    </row>
    <row r="78" spans="1:20" x14ac:dyDescent="0.25">
      <c r="A78" s="33"/>
      <c r="D78" t="str" cm="1">
        <f t="array" ref="D78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78">
        <f>MIN(40,tblHoursLedger[[#This Row],[Total Hours Worked]])</f>
        <v>40</v>
      </c>
      <c r="F78" t="e">
        <f>tblHoursLedger[[#This Row],[Total Hours Worked]]-tblHoursLedger[[#This Row],[Basic Hours]]</f>
        <v>#VALUE!</v>
      </c>
    </row>
    <row r="79" spans="1:20" x14ac:dyDescent="0.25">
      <c r="A79" s="33"/>
      <c r="D79" t="str" cm="1">
        <f t="array" ref="D79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79">
        <f>MIN(40,tblHoursLedger[[#This Row],[Total Hours Worked]])</f>
        <v>40</v>
      </c>
      <c r="F79" t="e">
        <f>tblHoursLedger[[#This Row],[Total Hours Worked]]-tblHoursLedger[[#This Row],[Basic Hours]]</f>
        <v>#VALUE!</v>
      </c>
    </row>
    <row r="80" spans="1:20" x14ac:dyDescent="0.25">
      <c r="A80" s="33"/>
      <c r="D80" t="str" cm="1">
        <f t="array" ref="D80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80">
        <f>MIN(40,tblHoursLedger[[#This Row],[Total Hours Worked]])</f>
        <v>40</v>
      </c>
      <c r="F80" t="e">
        <f>tblHoursLedger[[#This Row],[Total Hours Worked]]-tblHoursLedger[[#This Row],[Basic Hours]]</f>
        <v>#VALUE!</v>
      </c>
    </row>
    <row r="81" spans="1:6" x14ac:dyDescent="0.25">
      <c r="A81" s="33"/>
      <c r="D81" t="str" cm="1">
        <f t="array" ref="D81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81">
        <f>MIN(40,tblHoursLedger[[#This Row],[Total Hours Worked]])</f>
        <v>40</v>
      </c>
      <c r="F81" t="e">
        <f>tblHoursLedger[[#This Row],[Total Hours Worked]]-tblHoursLedger[[#This Row],[Basic Hours]]</f>
        <v>#VALUE!</v>
      </c>
    </row>
    <row r="82" spans="1:6" x14ac:dyDescent="0.25">
      <c r="A82" s="33"/>
      <c r="D82" t="str" cm="1">
        <f t="array" ref="D82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82">
        <f>MIN(40,tblHoursLedger[[#This Row],[Total Hours Worked]])</f>
        <v>40</v>
      </c>
      <c r="F82" t="e">
        <f>tblHoursLedger[[#This Row],[Total Hours Worked]]-tblHoursLedger[[#This Row],[Basic Hours]]</f>
        <v>#VALUE!</v>
      </c>
    </row>
    <row r="83" spans="1:6" x14ac:dyDescent="0.25">
      <c r="A83" s="33"/>
      <c r="D83" t="str" cm="1">
        <f t="array" ref="D83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83">
        <f>MIN(40,tblHoursLedger[[#This Row],[Total Hours Worked]])</f>
        <v>40</v>
      </c>
      <c r="F83" t="e">
        <f>tblHoursLedger[[#This Row],[Total Hours Worked]]-tblHoursLedger[[#This Row],[Basic Hours]]</f>
        <v>#VALUE!</v>
      </c>
    </row>
    <row r="84" spans="1:6" x14ac:dyDescent="0.25">
      <c r="A84" s="33"/>
      <c r="D84" t="str" cm="1">
        <f t="array" ref="D84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84">
        <f>MIN(40,tblHoursLedger[[#This Row],[Total Hours Worked]])</f>
        <v>40</v>
      </c>
      <c r="F84" t="e">
        <f>tblHoursLedger[[#This Row],[Total Hours Worked]]-tblHoursLedger[[#This Row],[Basic Hours]]</f>
        <v>#VALUE!</v>
      </c>
    </row>
    <row r="85" spans="1:6" x14ac:dyDescent="0.25">
      <c r="A85" s="33"/>
      <c r="D85" t="str" cm="1">
        <f t="array" ref="D85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85">
        <f>MIN(40,tblHoursLedger[[#This Row],[Total Hours Worked]])</f>
        <v>40</v>
      </c>
      <c r="F85" t="e">
        <f>tblHoursLedger[[#This Row],[Total Hours Worked]]-tblHoursLedger[[#This Row],[Basic Hours]]</f>
        <v>#VALUE!</v>
      </c>
    </row>
    <row r="86" spans="1:6" x14ac:dyDescent="0.25">
      <c r="A86" s="33"/>
      <c r="D86" t="str" cm="1">
        <f t="array" ref="D86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86">
        <f>MIN(40,tblHoursLedger[[#This Row],[Total Hours Worked]])</f>
        <v>40</v>
      </c>
      <c r="F86" t="e">
        <f>tblHoursLedger[[#This Row],[Total Hours Worked]]-tblHoursLedger[[#This Row],[Basic Hours]]</f>
        <v>#VALUE!</v>
      </c>
    </row>
    <row r="87" spans="1:6" x14ac:dyDescent="0.25">
      <c r="A87" s="33"/>
      <c r="D87" t="str" cm="1">
        <f t="array" ref="D87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87">
        <f>MIN(40,tblHoursLedger[[#This Row],[Total Hours Worked]])</f>
        <v>40</v>
      </c>
      <c r="F87" t="e">
        <f>tblHoursLedger[[#This Row],[Total Hours Worked]]-tblHoursLedger[[#This Row],[Basic Hours]]</f>
        <v>#VALUE!</v>
      </c>
    </row>
    <row r="88" spans="1:6" x14ac:dyDescent="0.25">
      <c r="A88" s="33"/>
      <c r="D88" t="str" cm="1">
        <f t="array" ref="D88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88">
        <f>MIN(40,tblHoursLedger[[#This Row],[Total Hours Worked]])</f>
        <v>40</v>
      </c>
      <c r="F88" t="e">
        <f>tblHoursLedger[[#This Row],[Total Hours Worked]]-tblHoursLedger[[#This Row],[Basic Hours]]</f>
        <v>#VALUE!</v>
      </c>
    </row>
    <row r="89" spans="1:6" x14ac:dyDescent="0.25">
      <c r="A89" s="33"/>
      <c r="D89" t="str" cm="1">
        <f t="array" ref="D89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89">
        <f>MIN(40,tblHoursLedger[[#This Row],[Total Hours Worked]])</f>
        <v>40</v>
      </c>
      <c r="F89" t="e">
        <f>tblHoursLedger[[#This Row],[Total Hours Worked]]-tblHoursLedger[[#This Row],[Basic Hours]]</f>
        <v>#VALUE!</v>
      </c>
    </row>
    <row r="90" spans="1:6" x14ac:dyDescent="0.25">
      <c r="A90" s="33"/>
      <c r="D90" t="str" cm="1">
        <f t="array" ref="D90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90">
        <f>MIN(40,tblHoursLedger[[#This Row],[Total Hours Worked]])</f>
        <v>40</v>
      </c>
      <c r="F90" t="e">
        <f>tblHoursLedger[[#This Row],[Total Hours Worked]]-tblHoursLedger[[#This Row],[Basic Hours]]</f>
        <v>#VALUE!</v>
      </c>
    </row>
    <row r="91" spans="1:6" x14ac:dyDescent="0.25">
      <c r="A91" s="33"/>
      <c r="D91" t="str" cm="1">
        <f t="array" ref="D91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91">
        <f>MIN(40,tblHoursLedger[[#This Row],[Total Hours Worked]])</f>
        <v>40</v>
      </c>
      <c r="F91" t="e">
        <f>tblHoursLedger[[#This Row],[Total Hours Worked]]-tblHoursLedger[[#This Row],[Basic Hours]]</f>
        <v>#VALUE!</v>
      </c>
    </row>
    <row r="92" spans="1:6" x14ac:dyDescent="0.25">
      <c r="A92" s="33"/>
      <c r="D92" t="str" cm="1">
        <f t="array" ref="D92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92">
        <f>MIN(40,tblHoursLedger[[#This Row],[Total Hours Worked]])</f>
        <v>40</v>
      </c>
      <c r="F92" t="e">
        <f>tblHoursLedger[[#This Row],[Total Hours Worked]]-tblHoursLedger[[#This Row],[Basic Hours]]</f>
        <v>#VALUE!</v>
      </c>
    </row>
    <row r="93" spans="1:6" x14ac:dyDescent="0.25">
      <c r="A93" s="33"/>
      <c r="D93" t="str" cm="1">
        <f t="array" ref="D93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93">
        <f>MIN(40,tblHoursLedger[[#This Row],[Total Hours Worked]])</f>
        <v>40</v>
      </c>
      <c r="F93" t="e">
        <f>tblHoursLedger[[#This Row],[Total Hours Worked]]-tblHoursLedger[[#This Row],[Basic Hours]]</f>
        <v>#VALUE!</v>
      </c>
    </row>
    <row r="94" spans="1:6" x14ac:dyDescent="0.25">
      <c r="A94" s="33"/>
      <c r="D94" t="str" cm="1">
        <f t="array" ref="D94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94">
        <f>MIN(40,tblHoursLedger[[#This Row],[Total Hours Worked]])</f>
        <v>40</v>
      </c>
      <c r="F94" t="e">
        <f>tblHoursLedger[[#This Row],[Total Hours Worked]]-tblHoursLedger[[#This Row],[Basic Hours]]</f>
        <v>#VALUE!</v>
      </c>
    </row>
    <row r="95" spans="1:6" x14ac:dyDescent="0.25">
      <c r="A95" s="33"/>
      <c r="D95" t="str" cm="1">
        <f t="array" ref="D95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95">
        <f>MIN(40,tblHoursLedger[[#This Row],[Total Hours Worked]])</f>
        <v>40</v>
      </c>
      <c r="F95" t="e">
        <f>tblHoursLedger[[#This Row],[Total Hours Worked]]-tblHoursLedger[[#This Row],[Basic Hours]]</f>
        <v>#VALUE!</v>
      </c>
    </row>
    <row r="96" spans="1:6" x14ac:dyDescent="0.25">
      <c r="A96" s="33"/>
      <c r="D96" t="str" cm="1">
        <f t="array" ref="D96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96">
        <f>MIN(40,tblHoursLedger[[#This Row],[Total Hours Worked]])</f>
        <v>40</v>
      </c>
      <c r="F96" t="e">
        <f>tblHoursLedger[[#This Row],[Total Hours Worked]]-tblHoursLedger[[#This Row],[Basic Hours]]</f>
        <v>#VALUE!</v>
      </c>
    </row>
    <row r="97" spans="1:6" x14ac:dyDescent="0.25">
      <c r="A97" s="33"/>
      <c r="D97" t="str" cm="1">
        <f t="array" ref="D97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97">
        <f>MIN(40,tblHoursLedger[[#This Row],[Total Hours Worked]])</f>
        <v>40</v>
      </c>
      <c r="F97" t="e">
        <f>tblHoursLedger[[#This Row],[Total Hours Worked]]-tblHoursLedger[[#This Row],[Basic Hours]]</f>
        <v>#VALUE!</v>
      </c>
    </row>
    <row r="98" spans="1:6" x14ac:dyDescent="0.25">
      <c r="A98" s="33"/>
      <c r="D98" t="str" cm="1">
        <f t="array" ref="D98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98">
        <f>MIN(40,tblHoursLedger[[#This Row],[Total Hours Worked]])</f>
        <v>40</v>
      </c>
      <c r="F98" t="e">
        <f>tblHoursLedger[[#This Row],[Total Hours Worked]]-tblHoursLedger[[#This Row],[Basic Hours]]</f>
        <v>#VALUE!</v>
      </c>
    </row>
    <row r="99" spans="1:6" x14ac:dyDescent="0.25">
      <c r="A99" s="33"/>
      <c r="D99" t="str" cm="1">
        <f t="array" ref="D99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99">
        <f>MIN(40,tblHoursLedger[[#This Row],[Total Hours Worked]])</f>
        <v>40</v>
      </c>
      <c r="F99" t="e">
        <f>tblHoursLedger[[#This Row],[Total Hours Worked]]-tblHoursLedger[[#This Row],[Basic Hours]]</f>
        <v>#VALUE!</v>
      </c>
    </row>
    <row r="100" spans="1:6" x14ac:dyDescent="0.25">
      <c r="A100" s="33"/>
      <c r="D100" t="str" cm="1">
        <f t="array" ref="D100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100">
        <f>MIN(40,tblHoursLedger[[#This Row],[Total Hours Worked]])</f>
        <v>40</v>
      </c>
      <c r="F100" t="e">
        <f>tblHoursLedger[[#This Row],[Total Hours Worked]]-tblHoursLedger[[#This Row],[Basic Hours]]</f>
        <v>#VALUE!</v>
      </c>
    </row>
    <row r="101" spans="1:6" x14ac:dyDescent="0.25">
      <c r="A101" s="33"/>
      <c r="D101" t="str" cm="1">
        <f t="array" ref="D101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101">
        <f>MIN(40,tblHoursLedger[[#This Row],[Total Hours Worked]])</f>
        <v>40</v>
      </c>
      <c r="F101" t="e">
        <f>tblHoursLedger[[#This Row],[Total Hours Worked]]-tblHoursLedger[[#This Row],[Basic Hours]]</f>
        <v>#VALUE!</v>
      </c>
    </row>
    <row r="102" spans="1:6" x14ac:dyDescent="0.25">
      <c r="A102" s="33"/>
      <c r="D102" t="str" cm="1">
        <f t="array" ref="D102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102">
        <f>MIN(40,tblHoursLedger[[#This Row],[Total Hours Worked]])</f>
        <v>40</v>
      </c>
      <c r="F102" t="e">
        <f>tblHoursLedger[[#This Row],[Total Hours Worked]]-tblHoursLedger[[#This Row],[Basic Hours]]</f>
        <v>#VALUE!</v>
      </c>
    </row>
    <row r="103" spans="1:6" x14ac:dyDescent="0.25">
      <c r="A103" s="33"/>
      <c r="D103" t="str" cm="1">
        <f t="array" ref="D103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103">
        <f>MIN(40,tblHoursLedger[[#This Row],[Total Hours Worked]])</f>
        <v>40</v>
      </c>
      <c r="F103" t="e">
        <f>tblHoursLedger[[#This Row],[Total Hours Worked]]-tblHoursLedger[[#This Row],[Basic Hours]]</f>
        <v>#VALUE!</v>
      </c>
    </row>
    <row r="104" spans="1:6" x14ac:dyDescent="0.25">
      <c r="A104" s="33"/>
      <c r="D104" t="str" cm="1">
        <f t="array" ref="D104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104">
        <f>MIN(40,tblHoursLedger[[#This Row],[Total Hours Worked]])</f>
        <v>40</v>
      </c>
      <c r="F104" t="e">
        <f>tblHoursLedger[[#This Row],[Total Hours Worked]]-tblHoursLedger[[#This Row],[Basic Hours]]</f>
        <v>#VALUE!</v>
      </c>
    </row>
    <row r="105" spans="1:6" x14ac:dyDescent="0.25">
      <c r="A105" s="33"/>
      <c r="D105" t="str" cm="1">
        <f t="array" ref="D105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105">
        <f>MIN(40,tblHoursLedger[[#This Row],[Total Hours Worked]])</f>
        <v>40</v>
      </c>
      <c r="F105" t="e">
        <f>tblHoursLedger[[#This Row],[Total Hours Worked]]-tblHoursLedger[[#This Row],[Basic Hours]]</f>
        <v>#VALUE!</v>
      </c>
    </row>
    <row r="106" spans="1:6" x14ac:dyDescent="0.25">
      <c r="A106" s="33"/>
      <c r="D106" t="str" cm="1">
        <f t="array" ref="D106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106">
        <f>MIN(40,tblHoursLedger[[#This Row],[Total Hours Worked]])</f>
        <v>40</v>
      </c>
      <c r="F106" t="e">
        <f>tblHoursLedger[[#This Row],[Total Hours Worked]]-tblHoursLedger[[#This Row],[Basic Hours]]</f>
        <v>#VALUE!</v>
      </c>
    </row>
    <row r="107" spans="1:6" x14ac:dyDescent="0.25">
      <c r="A107" s="33"/>
      <c r="D107" t="str" cm="1">
        <f t="array" ref="D107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107">
        <f>MIN(40,tblHoursLedger[[#This Row],[Total Hours Worked]])</f>
        <v>40</v>
      </c>
      <c r="F107" t="e">
        <f>tblHoursLedger[[#This Row],[Total Hours Worked]]-tblHoursLedger[[#This Row],[Basic Hours]]</f>
        <v>#VALUE!</v>
      </c>
    </row>
    <row r="108" spans="1:6" x14ac:dyDescent="0.25">
      <c r="A108" s="33"/>
      <c r="D108" t="str" cm="1">
        <f t="array" ref="D108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108">
        <f>MIN(40,tblHoursLedger[[#This Row],[Total Hours Worked]])</f>
        <v>40</v>
      </c>
      <c r="F108" t="e">
        <f>tblHoursLedger[[#This Row],[Total Hours Worked]]-tblHoursLedger[[#This Row],[Basic Hours]]</f>
        <v>#VALUE!</v>
      </c>
    </row>
    <row r="109" spans="1:6" x14ac:dyDescent="0.25">
      <c r="A109" s="33"/>
      <c r="D109" t="str" cm="1">
        <f t="array" ref="D109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109">
        <f>MIN(40,tblHoursLedger[[#This Row],[Total Hours Worked]])</f>
        <v>40</v>
      </c>
      <c r="F109" t="e">
        <f>tblHoursLedger[[#This Row],[Total Hours Worked]]-tblHoursLedger[[#This Row],[Basic Hours]]</f>
        <v>#VALUE!</v>
      </c>
    </row>
    <row r="110" spans="1:6" x14ac:dyDescent="0.25">
      <c r="A110" s="33"/>
      <c r="D110" t="str" cm="1">
        <f t="array" ref="D110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110">
        <f>MIN(40,tblHoursLedger[[#This Row],[Total Hours Worked]])</f>
        <v>40</v>
      </c>
      <c r="F110" t="e">
        <f>tblHoursLedger[[#This Row],[Total Hours Worked]]-tblHoursLedger[[#This Row],[Basic Hours]]</f>
        <v>#VALUE!</v>
      </c>
    </row>
    <row r="111" spans="1:6" x14ac:dyDescent="0.25">
      <c r="A111" s="33"/>
      <c r="D111" t="str" cm="1">
        <f t="array" ref="D111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111">
        <f>MIN(40,tblHoursLedger[[#This Row],[Total Hours Worked]])</f>
        <v>40</v>
      </c>
      <c r="F111" t="e">
        <f>tblHoursLedger[[#This Row],[Total Hours Worked]]-tblHoursLedger[[#This Row],[Basic Hours]]</f>
        <v>#VALUE!</v>
      </c>
    </row>
    <row r="112" spans="1:6" x14ac:dyDescent="0.25">
      <c r="A112" s="33"/>
      <c r="D112" t="str" cm="1">
        <f t="array" ref="D112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112">
        <f>MIN(40,tblHoursLedger[[#This Row],[Total Hours Worked]])</f>
        <v>40</v>
      </c>
      <c r="F112" t="e">
        <f>tblHoursLedger[[#This Row],[Total Hours Worked]]-tblHoursLedger[[#This Row],[Basic Hours]]</f>
        <v>#VALUE!</v>
      </c>
    </row>
    <row r="113" spans="1:6" x14ac:dyDescent="0.25">
      <c r="A113" s="33"/>
      <c r="D113" t="str" cm="1">
        <f t="array" ref="D113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113">
        <f>MIN(40,tblHoursLedger[[#This Row],[Total Hours Worked]])</f>
        <v>40</v>
      </c>
      <c r="F113" t="e">
        <f>tblHoursLedger[[#This Row],[Total Hours Worked]]-tblHoursLedger[[#This Row],[Basic Hours]]</f>
        <v>#VALUE!</v>
      </c>
    </row>
    <row r="114" spans="1:6" x14ac:dyDescent="0.25">
      <c r="A114" s="33"/>
      <c r="D114" t="str" cm="1">
        <f t="array" ref="D114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114">
        <f>MIN(40,tblHoursLedger[[#This Row],[Total Hours Worked]])</f>
        <v>40</v>
      </c>
      <c r="F114" t="e">
        <f>tblHoursLedger[[#This Row],[Total Hours Worked]]-tblHoursLedger[[#This Row],[Basic Hours]]</f>
        <v>#VALUE!</v>
      </c>
    </row>
    <row r="115" spans="1:6" x14ac:dyDescent="0.25">
      <c r="A115" s="33"/>
      <c r="D115" t="str" cm="1">
        <f t="array" ref="D115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115">
        <f>MIN(40,tblHoursLedger[[#This Row],[Total Hours Worked]])</f>
        <v>40</v>
      </c>
      <c r="F115" t="e">
        <f>tblHoursLedger[[#This Row],[Total Hours Worked]]-tblHoursLedger[[#This Row],[Basic Hours]]</f>
        <v>#VALUE!</v>
      </c>
    </row>
    <row r="116" spans="1:6" x14ac:dyDescent="0.25">
      <c r="A116" s="33"/>
      <c r="D116" t="str" cm="1">
        <f t="array" ref="D116">_xlfn.LET(_xlpm.pp,TRIM(tblHoursLedger[[#This Row],[PayPeriodID]]),_xlpm.id,tblHoursLedger[[#This Row],[Employee ID]]+0,_xlpm.r,_xlfn.XMATCH(_xlpm.id,tblHoursWorked[Employee ID]+0,0),_xlpm.c,_xlfn.XMATCH(_xlpm.pp,TRIM(tblHoursWorked[#Headers]),0),IFERROR(INDEX(tblHoursWorked[#Data],_xlpm.r,_xlpm.c),""))</f>
        <v/>
      </c>
      <c r="E116">
        <f>MIN(40,tblHoursLedger[[#This Row],[Total Hours Worked]])</f>
        <v>40</v>
      </c>
      <c r="F116" t="e">
        <f>tblHoursLedger[[#This Row],[Total Hours Worked]]-tblHoursLedger[[#This Row],[Basic Hours]]</f>
        <v>#VALUE!</v>
      </c>
    </row>
  </sheetData>
  <pageMargins left="0.7" right="0.7" top="0.75" bottom="0.75" header="0.3" footer="0.3"/>
  <tableParts count="3">
    <tablePart r:id="rId1"/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786BA5-49C3-4545-8E6B-3BA5191F8DA0}">
          <x14:formula1>
            <xm:f>Rules!$F$2:$F$5</xm:f>
          </x14:formula1>
          <xm:sqref>C64 K64</xm:sqref>
        </x14:dataValidation>
        <x14:dataValidation type="list" allowBlank="1" showInputMessage="1" showErrorMessage="1" xr:uid="{C207B59D-09B7-47C4-8254-B3C544EE5EFE}">
          <x14:formula1>
            <xm:f>'Pay calendar'!$A$2:$A$53</xm:f>
          </x14:formula1>
          <xm:sqref>A65:A116 I65:I67 H68:H117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419AE-0DBB-48B3-A8AD-1D3F918B80D1}">
  <sheetPr codeName="Sheet10"/>
  <dimension ref="A1:E1"/>
  <sheetViews>
    <sheetView workbookViewId="0">
      <selection activeCell="B5" sqref="B5"/>
    </sheetView>
  </sheetViews>
  <sheetFormatPr defaultRowHeight="15" x14ac:dyDescent="0.25"/>
  <cols>
    <col min="1" max="1" width="16.5703125" bestFit="1" customWidth="1"/>
    <col min="2" max="2" width="17.42578125" bestFit="1" customWidth="1"/>
    <col min="3" max="3" width="17" bestFit="1" customWidth="1"/>
    <col min="4" max="4" width="16.85546875" style="3" bestFit="1" customWidth="1"/>
    <col min="5" max="5" width="20" bestFit="1" customWidth="1"/>
  </cols>
  <sheetData>
    <row r="1" spans="1:5" ht="30" x14ac:dyDescent="0.25">
      <c r="A1" s="30" t="s">
        <v>578</v>
      </c>
      <c r="B1" s="30" t="s">
        <v>579</v>
      </c>
      <c r="C1" s="30" t="s">
        <v>580</v>
      </c>
      <c r="D1" s="30" t="s">
        <v>581</v>
      </c>
      <c r="E1" s="30" t="s">
        <v>582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968D4-518D-4006-A194-0B20AEAD874D}">
  <sheetPr codeName="Sheet1"/>
  <dimension ref="A1:X999"/>
  <sheetViews>
    <sheetView tabSelected="1" workbookViewId="0">
      <pane ySplit="2" topLeftCell="A3" activePane="bottomLeft" state="frozen"/>
      <selection pane="bottomLeft" activeCell="B3" sqref="B3"/>
    </sheetView>
  </sheetViews>
  <sheetFormatPr defaultRowHeight="15" x14ac:dyDescent="0.25"/>
  <cols>
    <col min="1" max="1" width="14.7109375" bestFit="1" customWidth="1"/>
    <col min="2" max="2" width="20.42578125" style="24" customWidth="1"/>
    <col min="3" max="3" width="22.7109375" bestFit="1" customWidth="1"/>
    <col min="4" max="4" width="14.85546875" bestFit="1" customWidth="1"/>
    <col min="5" max="5" width="16.5703125" bestFit="1" customWidth="1"/>
    <col min="6" max="6" width="14.7109375" style="43" bestFit="1" customWidth="1"/>
    <col min="7" max="7" width="24.7109375" style="10" bestFit="1" customWidth="1"/>
    <col min="8" max="8" width="22.28515625" style="10" bestFit="1" customWidth="1"/>
    <col min="9" max="9" width="20" bestFit="1" customWidth="1"/>
    <col min="10" max="10" width="15.28515625" style="3" bestFit="1" customWidth="1"/>
    <col min="11" max="11" width="20.140625" style="3" bestFit="1" customWidth="1"/>
    <col min="12" max="16" width="17.7109375" style="3" bestFit="1" customWidth="1"/>
    <col min="17" max="17" width="20" style="3" bestFit="1" customWidth="1"/>
    <col min="18" max="18" width="10" style="3" bestFit="1" customWidth="1"/>
    <col min="19" max="19" width="20.85546875" style="3" bestFit="1" customWidth="1"/>
    <col min="20" max="20" width="20.42578125" style="3" customWidth="1"/>
    <col min="21" max="21" width="22.7109375" style="3" bestFit="1" customWidth="1"/>
    <col min="22" max="22" width="13.85546875" style="3" bestFit="1" customWidth="1"/>
    <col min="23" max="23" width="19.140625" style="3" bestFit="1" customWidth="1"/>
    <col min="24" max="24" width="31.85546875" style="24" bestFit="1" customWidth="1"/>
  </cols>
  <sheetData>
    <row r="1" spans="1:24" ht="30" customHeight="1" x14ac:dyDescent="0.25">
      <c r="A1" s="111" t="s">
        <v>133</v>
      </c>
      <c r="B1" s="111"/>
      <c r="C1" s="111"/>
      <c r="D1" s="29"/>
      <c r="E1" s="29"/>
      <c r="F1" s="46"/>
      <c r="G1" s="40" t="s">
        <v>74</v>
      </c>
      <c r="H1" s="10" t="s">
        <v>74</v>
      </c>
      <c r="I1" s="1"/>
      <c r="J1" s="2"/>
      <c r="K1" s="2"/>
      <c r="L1" s="2"/>
      <c r="M1" s="2"/>
      <c r="N1" s="2"/>
      <c r="O1" s="2"/>
      <c r="P1" s="2"/>
    </row>
    <row r="2" spans="1:24" s="7" customFormat="1" x14ac:dyDescent="0.25">
      <c r="A2" t="s">
        <v>51</v>
      </c>
      <c r="B2" s="4" t="s">
        <v>2</v>
      </c>
      <c r="C2" s="4" t="s">
        <v>3</v>
      </c>
      <c r="D2" s="4" t="s">
        <v>72</v>
      </c>
      <c r="E2" s="4" t="s">
        <v>73</v>
      </c>
      <c r="F2" s="47" t="s">
        <v>143</v>
      </c>
      <c r="G2" s="5" t="s">
        <v>4</v>
      </c>
      <c r="H2" s="5" t="s">
        <v>5</v>
      </c>
      <c r="I2" s="4" t="s">
        <v>6</v>
      </c>
      <c r="J2" s="6" t="s">
        <v>566</v>
      </c>
      <c r="K2" s="6" t="s">
        <v>567</v>
      </c>
      <c r="L2" s="6" t="s">
        <v>147</v>
      </c>
      <c r="M2" s="6" t="s">
        <v>148</v>
      </c>
      <c r="N2" s="6" t="s">
        <v>149</v>
      </c>
      <c r="O2" s="6" t="s">
        <v>150</v>
      </c>
      <c r="P2" s="6" t="s">
        <v>151</v>
      </c>
      <c r="Q2" s="6" t="s">
        <v>8</v>
      </c>
      <c r="R2" s="6" t="s">
        <v>9</v>
      </c>
      <c r="S2" s="6" t="s">
        <v>10</v>
      </c>
      <c r="T2" s="6" t="s">
        <v>11</v>
      </c>
      <c r="U2" s="6" t="s">
        <v>12</v>
      </c>
      <c r="V2" s="6" t="s">
        <v>13</v>
      </c>
      <c r="W2" s="6" t="s">
        <v>14</v>
      </c>
      <c r="X2" s="23" t="s">
        <v>591</v>
      </c>
    </row>
    <row r="3" spans="1:24" x14ac:dyDescent="0.25">
      <c r="A3" s="44"/>
      <c r="B3" s="24">
        <f>_xlfn.XLOOKUP(tblPayrollMaster[[#This Row],[Employee ID]],tblEmployee[Employee ID],tblEmployee[Employee Name],"")</f>
        <v>0</v>
      </c>
      <c r="C3" s="24">
        <f>_xlfn.XLOOKUP(tblPayrollMaster[[#This Row],[Employee ID]],tblEmployee[Employee ID],tblEmployee[Employee Position],"")</f>
        <v>0</v>
      </c>
      <c r="D3" s="24" t="str">
        <f>_xlfn.XLOOKUP(tblPayrollMaster[[#This Row],[Employee ID]], tblEmployee[Employee ID], tblEmployee[Pay Status], "Pay")</f>
        <v>No Pay</v>
      </c>
      <c r="E3" s="24" t="str">
        <f>_xlfn.XLOOKUP(tblPayrollMaster[[#This Row],[Employee ID]], tblEmployee[Employee ID], tblEmployee[Payable Flag], "Y")</f>
        <v>N</v>
      </c>
      <c r="F3" s="45">
        <f>IF(tblPayrollMaster[[#This Row],[Payable Flag]]="N",0,_xlfn.XLOOKUP(tblPayrollMaster[[#This Row],[Employee ID]],tblEmployee[Employee ID],tblEmployee[Pay Factor],1))</f>
        <v>0</v>
      </c>
      <c r="G3" s="26" t="str">
        <f>IF(tblPayrollMaster[[#This Row],[Employee ID]]="","",_xlfn.XLOOKUP(selPayPeriodID,tblPayCalendar[PayPeriodID],tblPayCalendar[PeriodStart],""))</f>
        <v/>
      </c>
      <c r="H3" s="26" t="str" cm="1">
        <f t="array" ref="H3">IF(tblPayrollMaster[[#This Row],[Employee ID]]="","",_xlfn.XLOOKUP(selPayPeriodID,tblPayCalendar[PayPeriodID],tblPayCalendar[PeriodEnd],""))</f>
        <v/>
      </c>
      <c r="I3" s="24" t="e" cm="1" vm="1">
        <f t="array" aca="1" ref="I3" ca="1">Table18[Employer Name]</f>
        <v>#VALUE!</v>
      </c>
      <c r="J3" s="3" cm="1">
        <f t="array" ref="J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" s="25" cm="1">
        <f t="array" ref="K3">_xlfn.LET(_xlpm.id,tblPayrollMaster[[#This Row],[Employee ID]],_xlpm.pp,$H$1,_xlpm.ot,IFERROR(_xlfn.XLOOKUP(1,(tblHoursLedger[Employee ID]=_xlpm.id)*(tblHoursLedger[PayPeriodID]=_xlpm.pp),tblHoursLedger[Overtime Hours]),0),_xlpm.ot*_xlfn.XLOOKUP(tblPayrollMaster[[#This Row],[Employee Position]],tblPositionandPayRate[Employee Position],tblPositionandPayRate[Overtime],0))</f>
        <v>0</v>
      </c>
      <c r="L3" s="25">
        <f>_xlfn.XLOOKUP(tblPayrollMaster[[#This Row],[Employee Position]],tblPositionandPayRate[Employee Position],tblPositionandPayRate[Allowance 1],0)*tblPayrollMaster[[#This Row],[Pay Factor]]</f>
        <v>0</v>
      </c>
      <c r="M3" s="25">
        <f>_xlfn.XLOOKUP(tblPayrollMaster[[#This Row],[Employee Position]],tblPositionandPayRate[Employee Position],tblPositionandPayRate[Allowance 2],0)*tblPayrollMaster[[#This Row],[Pay Factor]]</f>
        <v>0</v>
      </c>
      <c r="N3" s="25">
        <f>_xlfn.XLOOKUP(tblPayrollMaster[[#This Row],[Employee Position]],tblPositionandPayRate[Employee Position],tblPositionandPayRate[Allowance 3],0)*tblPayrollMaster[[#This Row],[Pay Factor]]</f>
        <v>0</v>
      </c>
      <c r="O3" s="25">
        <f>_xlfn.XLOOKUP(tblPayrollMaster[[#This Row],[Employee Position]],tblPositionandPayRate[Employee Position],tblPositionandPayRate[Allowance 4],0)*tblPayrollMaster[[#This Row],[Pay Factor]]</f>
        <v>0</v>
      </c>
      <c r="P3" s="25">
        <f>_xlfn.XLOOKUP(tblPayrollMaster[[#This Row],[Employee Position]],tblPositionandPayRate[Employee Position],tblPositionandPayRate[Allowance 5],0)*tblPayrollMaster[[#This Row],[Pay Factor]]</f>
        <v>0</v>
      </c>
      <c r="Q3" s="3">
        <f>SUM(tblPayrollMaster[[#This Row],[Basic Pay]:[Allowance 5]])</f>
        <v>0</v>
      </c>
      <c r="R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" s="51" cm="1">
        <f t="array" ref="S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" s="3" cm="1">
        <f t="array" ref="T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" s="25">
        <f>_xlfn.LET(
_xlpm.tos, _xlfn.XLOOKUP(tblPayrollMaster[[#This Row],[Employee ID]], tblEmployee[Employee ID], tblEmployee[Type of Service], ""),
IF(_xlpm.tos="Contract of Service", 8.25, 0)
)</f>
        <v>0</v>
      </c>
      <c r="V3" s="25">
        <f>tblPayrollMaster[[#This Row],[Basic Earnings]]-tblPayrollMaster[[#This Row],[Tax]]-tblPayrollMaster[[#This Row],[NIS - Employee]]-tblPayrollMaster[[#This Row],[Health Surcharge]]</f>
        <v>0</v>
      </c>
      <c r="W3" s="25">
        <f>tblPayrollMaster[[#This Row],[Net Pay]]</f>
        <v>0</v>
      </c>
      <c r="X3" s="25" t="s">
        <v>595</v>
      </c>
    </row>
    <row r="4" spans="1:24" x14ac:dyDescent="0.25">
      <c r="A4" s="44"/>
      <c r="B4" s="24">
        <f>_xlfn.XLOOKUP(tblPayrollMaster[[#This Row],[Employee ID]],tblEmployee[Employee ID],tblEmployee[Employee Name],"")</f>
        <v>0</v>
      </c>
      <c r="C4" s="24">
        <f>_xlfn.XLOOKUP(tblPayrollMaster[[#This Row],[Employee ID]],tblEmployee[Employee ID],tblEmployee[Employee Position],"")</f>
        <v>0</v>
      </c>
      <c r="D4" s="24" t="str">
        <f>_xlfn.XLOOKUP(tblPayrollMaster[[#This Row],[Employee ID]], tblEmployee[Employee ID], tblEmployee[Pay Status], "Pay")</f>
        <v>No Pay</v>
      </c>
      <c r="E4" s="24" t="str">
        <f>_xlfn.XLOOKUP(tblPayrollMaster[[#This Row],[Employee ID]], tblEmployee[Employee ID], tblEmployee[Payable Flag], "Y")</f>
        <v>N</v>
      </c>
      <c r="F4" s="45">
        <f>IF(tblPayrollMaster[[#This Row],[Payable Flag]]="N",0,_xlfn.XLOOKUP(tblPayrollMaster[[#This Row],[Employee ID]],tblEmployee[Employee ID],tblEmployee[Pay Factor],1))</f>
        <v>0</v>
      </c>
      <c r="G4" s="26" t="str" cm="1">
        <f t="array" ref="G4">IF(tblPayrollMaster[[#This Row],[Employee ID]]="","",_xlfn.XLOOKUP(selPayPeriodID,tblPayCalendar[PayPeriodID],tblPayCalendar[PeriodStart],""))</f>
        <v/>
      </c>
      <c r="H4" s="26" t="str" cm="1">
        <f t="array" ref="H4">IF(tblPayrollMaster[[#This Row],[Employee ID]]="","",_xlfn.XLOOKUP(selPayPeriodID,tblPayCalendar[PayPeriodID],tblPayCalendar[PeriodEnd],""))</f>
        <v/>
      </c>
      <c r="I4" s="24" t="e" cm="1" vm="1">
        <f t="array" aca="1" ref="I4" ca="1">Table18[Employer Name]</f>
        <v>#VALUE!</v>
      </c>
      <c r="J4" s="3" cm="1">
        <f t="array" ref="J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" s="25" t="str">
        <f>_xlfn.XLOOKUP(tblPayrollMaster[[#This Row],[Employee Position]],tblPositionandPayRate[Employee Position],tblPositionandPayRate[Overtime], " ")</f>
        <v xml:space="preserve"> </v>
      </c>
      <c r="L4" s="25">
        <f>_xlfn.XLOOKUP(tblPayrollMaster[[#This Row],[Employee Position]],tblPositionandPayRate[Employee Position],tblPositionandPayRate[Allowance 1],0)*tblPayrollMaster[[#This Row],[Pay Factor]]</f>
        <v>0</v>
      </c>
      <c r="M4" s="25">
        <f>_xlfn.XLOOKUP(tblPayrollMaster[[#This Row],[Employee Position]],tblPositionandPayRate[Employee Position],tblPositionandPayRate[Allowance 2],0)*tblPayrollMaster[[#This Row],[Pay Factor]]</f>
        <v>0</v>
      </c>
      <c r="N4" s="25">
        <f>_xlfn.XLOOKUP(tblPayrollMaster[[#This Row],[Employee Position]],tblPositionandPayRate[Employee Position],tblPositionandPayRate[Allowance 3],0)*tblPayrollMaster[[#This Row],[Pay Factor]]</f>
        <v>0</v>
      </c>
      <c r="O4" s="25">
        <f>_xlfn.XLOOKUP(tblPayrollMaster[[#This Row],[Employee Position]],tblPositionandPayRate[Employee Position],tblPositionandPayRate[Allowance 4],0)*tblPayrollMaster[[#This Row],[Pay Factor]]</f>
        <v>0</v>
      </c>
      <c r="P4" s="25">
        <f>_xlfn.XLOOKUP(tblPayrollMaster[[#This Row],[Employee Position]],tblPositionandPayRate[Employee Position],tblPositionandPayRate[Allowance 5],0)*tblPayrollMaster[[#This Row],[Pay Factor]]</f>
        <v>0</v>
      </c>
      <c r="Q4" s="3">
        <f>SUM(tblPayrollMaster[[#This Row],[Basic Pay]:[Allowance 5]])</f>
        <v>0</v>
      </c>
      <c r="R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" s="51" cm="1">
        <f t="array" ref="S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" s="3" cm="1">
        <f t="array" ref="T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" s="25">
        <f>_xlfn.LET(
_xlpm.tos, _xlfn.XLOOKUP(tblPayrollMaster[[#This Row],[Employee ID]], tblEmployee[Employee ID], tblEmployee[Type of Service], ""),
IF(_xlpm.tos="Contract of Service", 8.25, 0)
)</f>
        <v>0</v>
      </c>
      <c r="V4" s="25">
        <f>tblPayrollMaster[[#This Row],[Basic Earnings]]-tblPayrollMaster[[#This Row],[Tax]]-tblPayrollMaster[[#This Row],[NIS - Employee]]-tblPayrollMaster[[#This Row],[Health Surcharge]]</f>
        <v>0</v>
      </c>
      <c r="W4" s="25">
        <f>tblPayrollMaster[[#This Row],[Net Pay]]</f>
        <v>0</v>
      </c>
      <c r="X4" s="25"/>
    </row>
    <row r="5" spans="1:24" x14ac:dyDescent="0.25">
      <c r="A5" s="45"/>
      <c r="B5" s="24">
        <f>_xlfn.XLOOKUP(tblPayrollMaster[[#This Row],[Employee ID]],tblEmployee[Employee ID],tblEmployee[Employee Name],"")</f>
        <v>0</v>
      </c>
      <c r="C5" s="24">
        <f>_xlfn.XLOOKUP(tblPayrollMaster[[#This Row],[Employee ID]],tblEmployee[Employee ID],tblEmployee[Employee Position],"")</f>
        <v>0</v>
      </c>
      <c r="D5" s="24" t="str">
        <f>_xlfn.XLOOKUP(tblPayrollMaster[[#This Row],[Employee ID]], tblEmployee[Employee ID], tblEmployee[Pay Status], "Pay")</f>
        <v>No Pay</v>
      </c>
      <c r="E5" s="24" t="str">
        <f>_xlfn.XLOOKUP(tblPayrollMaster[[#This Row],[Employee ID]], tblEmployee[Employee ID], tblEmployee[Payable Flag], "Y")</f>
        <v>N</v>
      </c>
      <c r="F5" s="45">
        <f>IF(tblPayrollMaster[[#This Row],[Payable Flag]]="N",0,_xlfn.XLOOKUP(tblPayrollMaster[[#This Row],[Employee ID]],tblEmployee[Employee ID],tblEmployee[Pay Factor],1))</f>
        <v>0</v>
      </c>
      <c r="G5" s="26" t="str" cm="1">
        <f t="array" ref="G5">IF(tblPayrollMaster[[#This Row],[Employee ID]]="","",_xlfn.XLOOKUP(selPayPeriodID,tblPayCalendar[PayPeriodID],tblPayCalendar[PeriodStart],""))</f>
        <v/>
      </c>
      <c r="H5" s="26" t="str" cm="1">
        <f t="array" ref="H5">IF(tblPayrollMaster[[#This Row],[Employee ID]]="","",_xlfn.XLOOKUP(selPayPeriodID,tblPayCalendar[PayPeriodID],tblPayCalendar[PeriodEnd],""))</f>
        <v/>
      </c>
      <c r="I5" s="24" t="e" cm="1" vm="1">
        <f t="array" aca="1" ref="I5" ca="1">Table18[Employer Name]</f>
        <v>#VALUE!</v>
      </c>
      <c r="J5" s="3" cm="1">
        <f t="array" ref="J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" s="25" t="str">
        <f>_xlfn.XLOOKUP(tblPayrollMaster[[#This Row],[Employee Position]],tblPositionandPayRate[Employee Position],tblPositionandPayRate[Overtime], " ")</f>
        <v xml:space="preserve"> </v>
      </c>
      <c r="L5" s="25">
        <f>_xlfn.XLOOKUP(tblPayrollMaster[[#This Row],[Employee Position]],tblPositionandPayRate[Employee Position],tblPositionandPayRate[Allowance 1],0)*tblPayrollMaster[[#This Row],[Pay Factor]]</f>
        <v>0</v>
      </c>
      <c r="M5" s="25">
        <f>_xlfn.XLOOKUP(tblPayrollMaster[[#This Row],[Employee Position]],tblPositionandPayRate[Employee Position],tblPositionandPayRate[Allowance 2],0)*tblPayrollMaster[[#This Row],[Pay Factor]]</f>
        <v>0</v>
      </c>
      <c r="N5" s="25">
        <f>_xlfn.XLOOKUP(tblPayrollMaster[[#This Row],[Employee Position]],tblPositionandPayRate[Employee Position],tblPositionandPayRate[Allowance 3],0)*tblPayrollMaster[[#This Row],[Pay Factor]]</f>
        <v>0</v>
      </c>
      <c r="O5" s="25">
        <f>_xlfn.XLOOKUP(tblPayrollMaster[[#This Row],[Employee Position]],tblPositionandPayRate[Employee Position],tblPositionandPayRate[Allowance 4],0)*tblPayrollMaster[[#This Row],[Pay Factor]]</f>
        <v>0</v>
      </c>
      <c r="P5" s="25">
        <f>_xlfn.XLOOKUP(tblPayrollMaster[[#This Row],[Employee Position]],tblPositionandPayRate[Employee Position],tblPositionandPayRate[Allowance 5],0)*tblPayrollMaster[[#This Row],[Pay Factor]]</f>
        <v>0</v>
      </c>
      <c r="Q5" s="3">
        <f>SUM(tblPayrollMaster[[#This Row],[Basic Pay]:[Allowance 5]])</f>
        <v>0</v>
      </c>
      <c r="R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" s="51" cm="1">
        <f t="array" ref="S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" s="3" cm="1">
        <f t="array" ref="T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" s="25">
        <f>_xlfn.LET(
_xlpm.tos, _xlfn.XLOOKUP(tblPayrollMaster[[#This Row],[Employee ID]], tblEmployee[Employee ID], tblEmployee[Type of Service], ""),
IF(_xlpm.tos="Contract of Service", 8.25, 0)
)</f>
        <v>0</v>
      </c>
      <c r="V5" s="25">
        <f>tblPayrollMaster[[#This Row],[Basic Earnings]]-tblPayrollMaster[[#This Row],[Tax]]-tblPayrollMaster[[#This Row],[NIS - Employee]]-tblPayrollMaster[[#This Row],[Health Surcharge]]</f>
        <v>0</v>
      </c>
      <c r="W5" s="25">
        <f>tblPayrollMaster[[#This Row],[Net Pay]]</f>
        <v>0</v>
      </c>
      <c r="X5" s="25"/>
    </row>
    <row r="6" spans="1:24" x14ac:dyDescent="0.25">
      <c r="A6" s="45"/>
      <c r="B6" s="24">
        <f>_xlfn.XLOOKUP(tblPayrollMaster[[#This Row],[Employee ID]],tblEmployee[Employee ID],tblEmployee[Employee Name],"")</f>
        <v>0</v>
      </c>
      <c r="C6" s="24">
        <f>_xlfn.XLOOKUP(tblPayrollMaster[[#This Row],[Employee ID]],tblEmployee[Employee ID],tblEmployee[Employee Position],"")</f>
        <v>0</v>
      </c>
      <c r="D6" s="24" t="str">
        <f>_xlfn.XLOOKUP(tblPayrollMaster[[#This Row],[Employee ID]], tblEmployee[Employee ID], tblEmployee[Pay Status], "Pay")</f>
        <v>No Pay</v>
      </c>
      <c r="E6" s="24" t="str">
        <f>_xlfn.XLOOKUP(tblPayrollMaster[[#This Row],[Employee ID]], tblEmployee[Employee ID], tblEmployee[Payable Flag], "Y")</f>
        <v>N</v>
      </c>
      <c r="F6" s="45">
        <f>IF(tblPayrollMaster[[#This Row],[Payable Flag]]="N",0,_xlfn.XLOOKUP(tblPayrollMaster[[#This Row],[Employee ID]],tblEmployee[Employee ID],tblEmployee[Pay Factor],1))</f>
        <v>0</v>
      </c>
      <c r="G6" s="26" t="str" cm="1">
        <f t="array" ref="G6">IF(tblPayrollMaster[[#This Row],[Employee ID]]="","",_xlfn.XLOOKUP(selPayPeriodID,tblPayCalendar[PayPeriodID],tblPayCalendar[PeriodStart],""))</f>
        <v/>
      </c>
      <c r="H6" s="26" t="str" cm="1">
        <f t="array" ref="H6">IF(tblPayrollMaster[[#This Row],[Employee ID]]="","",_xlfn.XLOOKUP(selPayPeriodID,tblPayCalendar[PayPeriodID],tblPayCalendar[PeriodEnd],""))</f>
        <v/>
      </c>
      <c r="I6" s="24" t="e" cm="1" vm="1">
        <f t="array" aca="1" ref="I6" ca="1">Table18[Employer Name]</f>
        <v>#VALUE!</v>
      </c>
      <c r="J6" s="3" cm="1">
        <f t="array" ref="J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" s="25" t="str">
        <f>_xlfn.XLOOKUP(tblPayrollMaster[[#This Row],[Employee Position]],tblPositionandPayRate[Employee Position],tblPositionandPayRate[Overtime], " ")</f>
        <v xml:space="preserve"> </v>
      </c>
      <c r="L6" s="25">
        <f>_xlfn.XLOOKUP(tblPayrollMaster[[#This Row],[Employee Position]],tblPositionandPayRate[Employee Position],tblPositionandPayRate[Allowance 1],0)*tblPayrollMaster[[#This Row],[Pay Factor]]</f>
        <v>0</v>
      </c>
      <c r="M6" s="25">
        <f>_xlfn.XLOOKUP(tblPayrollMaster[[#This Row],[Employee Position]],tblPositionandPayRate[Employee Position],tblPositionandPayRate[Allowance 2],0)*tblPayrollMaster[[#This Row],[Pay Factor]]</f>
        <v>0</v>
      </c>
      <c r="N6" s="25">
        <f>_xlfn.XLOOKUP(tblPayrollMaster[[#This Row],[Employee Position]],tblPositionandPayRate[Employee Position],tblPositionandPayRate[Allowance 3],0)*tblPayrollMaster[[#This Row],[Pay Factor]]</f>
        <v>0</v>
      </c>
      <c r="O6" s="25">
        <f>_xlfn.XLOOKUP(tblPayrollMaster[[#This Row],[Employee Position]],tblPositionandPayRate[Employee Position],tblPositionandPayRate[Allowance 4],0)*tblPayrollMaster[[#This Row],[Pay Factor]]</f>
        <v>0</v>
      </c>
      <c r="P6" s="25">
        <f>_xlfn.XLOOKUP(tblPayrollMaster[[#This Row],[Employee Position]],tblPositionandPayRate[Employee Position],tblPositionandPayRate[Allowance 5],0)*tblPayrollMaster[[#This Row],[Pay Factor]]</f>
        <v>0</v>
      </c>
      <c r="Q6" s="3">
        <f>SUM(tblPayrollMaster[[#This Row],[Basic Pay]:[Allowance 5]])</f>
        <v>0</v>
      </c>
      <c r="R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" s="51" cm="1">
        <f t="array" ref="S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" s="3" cm="1">
        <f t="array" ref="T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" s="25">
        <f>_xlfn.LET(
_xlpm.tos, _xlfn.XLOOKUP(tblPayrollMaster[[#This Row],[Employee ID]], tblEmployee[Employee ID], tblEmployee[Type of Service], ""),
IF(_xlpm.tos="Contract of Service", 8.25, 0)
)</f>
        <v>0</v>
      </c>
      <c r="V6" s="25">
        <f>tblPayrollMaster[[#This Row],[Basic Earnings]]-tblPayrollMaster[[#This Row],[Tax]]-tblPayrollMaster[[#This Row],[NIS - Employee]]-tblPayrollMaster[[#This Row],[Health Surcharge]]</f>
        <v>0</v>
      </c>
      <c r="W6" s="25">
        <f>tblPayrollMaster[[#This Row],[Net Pay]]</f>
        <v>0</v>
      </c>
      <c r="X6" s="25"/>
    </row>
    <row r="7" spans="1:24" x14ac:dyDescent="0.25">
      <c r="A7" s="45"/>
      <c r="B7" s="24">
        <f>_xlfn.XLOOKUP(tblPayrollMaster[[#This Row],[Employee ID]],tblEmployee[Employee ID],tblEmployee[Employee Name],"")</f>
        <v>0</v>
      </c>
      <c r="C7" s="24">
        <f>_xlfn.XLOOKUP(tblPayrollMaster[[#This Row],[Employee ID]],tblEmployee[Employee ID],tblEmployee[Employee Position],"")</f>
        <v>0</v>
      </c>
      <c r="D7" s="24" t="str">
        <f>_xlfn.XLOOKUP(tblPayrollMaster[[#This Row],[Employee ID]], tblEmployee[Employee ID], tblEmployee[Pay Status], "Pay")</f>
        <v>No Pay</v>
      </c>
      <c r="E7" s="24" t="str">
        <f>_xlfn.XLOOKUP(tblPayrollMaster[[#This Row],[Employee ID]], tblEmployee[Employee ID], tblEmployee[Payable Flag], "Y")</f>
        <v>N</v>
      </c>
      <c r="F7" s="45">
        <f>IF(tblPayrollMaster[[#This Row],[Payable Flag]]="N",0,_xlfn.XLOOKUP(tblPayrollMaster[[#This Row],[Employee ID]],tblEmployee[Employee ID],tblEmployee[Pay Factor],1))</f>
        <v>0</v>
      </c>
      <c r="G7" s="26" t="str" cm="1">
        <f t="array" ref="G7">IF(tblPayrollMaster[[#This Row],[Employee ID]]="","",_xlfn.XLOOKUP(selPayPeriodID,tblPayCalendar[PayPeriodID],tblPayCalendar[PeriodStart],""))</f>
        <v/>
      </c>
      <c r="H7" s="26" t="str" cm="1">
        <f t="array" ref="H7">IF(tblPayrollMaster[[#This Row],[Employee ID]]="","",_xlfn.XLOOKUP(selPayPeriodID,tblPayCalendar[PayPeriodID],tblPayCalendar[PeriodEnd],""))</f>
        <v/>
      </c>
      <c r="I7" s="24" t="e" cm="1" vm="1">
        <f t="array" aca="1" ref="I7" ca="1">Table18[Employer Name]</f>
        <v>#VALUE!</v>
      </c>
      <c r="J7" s="3" cm="1">
        <f t="array" ref="J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" s="25" t="str">
        <f>_xlfn.XLOOKUP(tblPayrollMaster[[#This Row],[Employee Position]],tblPositionandPayRate[Employee Position],tblPositionandPayRate[Overtime], " ")</f>
        <v xml:space="preserve"> </v>
      </c>
      <c r="L7" s="25">
        <f>_xlfn.XLOOKUP(tblPayrollMaster[[#This Row],[Employee Position]],tblPositionandPayRate[Employee Position],tblPositionandPayRate[Allowance 1],0)*tblPayrollMaster[[#This Row],[Pay Factor]]</f>
        <v>0</v>
      </c>
      <c r="M7" s="25">
        <f>_xlfn.XLOOKUP(tblPayrollMaster[[#This Row],[Employee Position]],tblPositionandPayRate[Employee Position],tblPositionandPayRate[Allowance 2],0)*tblPayrollMaster[[#This Row],[Pay Factor]]</f>
        <v>0</v>
      </c>
      <c r="N7" s="25">
        <f>_xlfn.XLOOKUP(tblPayrollMaster[[#This Row],[Employee Position]],tblPositionandPayRate[Employee Position],tblPositionandPayRate[Allowance 3],0)*tblPayrollMaster[[#This Row],[Pay Factor]]</f>
        <v>0</v>
      </c>
      <c r="O7" s="25">
        <f>_xlfn.XLOOKUP(tblPayrollMaster[[#This Row],[Employee Position]],tblPositionandPayRate[Employee Position],tblPositionandPayRate[Allowance 4],0)*tblPayrollMaster[[#This Row],[Pay Factor]]</f>
        <v>0</v>
      </c>
      <c r="P7" s="25">
        <f>_xlfn.XLOOKUP(tblPayrollMaster[[#This Row],[Employee Position]],tblPositionandPayRate[Employee Position],tblPositionandPayRate[Allowance 5],0)*tblPayrollMaster[[#This Row],[Pay Factor]]</f>
        <v>0</v>
      </c>
      <c r="Q7" s="3">
        <f>SUM(tblPayrollMaster[[#This Row],[Basic Pay]:[Allowance 5]])</f>
        <v>0</v>
      </c>
      <c r="R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" s="51" cm="1">
        <f t="array" ref="S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" s="3" cm="1">
        <f t="array" ref="T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" s="25">
        <f>_xlfn.LET(
_xlpm.tos, _xlfn.XLOOKUP(tblPayrollMaster[[#This Row],[Employee ID]], tblEmployee[Employee ID], tblEmployee[Type of Service], ""),
IF(_xlpm.tos="Contract of Service", 8.25, 0)
)</f>
        <v>0</v>
      </c>
      <c r="V7" s="25">
        <f>tblPayrollMaster[[#This Row],[Basic Earnings]]-tblPayrollMaster[[#This Row],[Tax]]-tblPayrollMaster[[#This Row],[NIS - Employee]]-tblPayrollMaster[[#This Row],[Health Surcharge]]</f>
        <v>0</v>
      </c>
      <c r="W7" s="25">
        <f>tblPayrollMaster[[#This Row],[Net Pay]]</f>
        <v>0</v>
      </c>
      <c r="X7" s="25"/>
    </row>
    <row r="8" spans="1:24" x14ac:dyDescent="0.25">
      <c r="A8" s="45"/>
      <c r="B8" s="24">
        <f>_xlfn.XLOOKUP(tblPayrollMaster[[#This Row],[Employee ID]],tblEmployee[Employee ID],tblEmployee[Employee Name],"")</f>
        <v>0</v>
      </c>
      <c r="C8" s="24">
        <f>_xlfn.XLOOKUP(tblPayrollMaster[[#This Row],[Employee ID]],tblEmployee[Employee ID],tblEmployee[Employee Position],"")</f>
        <v>0</v>
      </c>
      <c r="D8" s="24" t="str">
        <f>_xlfn.XLOOKUP(tblPayrollMaster[[#This Row],[Employee ID]], tblEmployee[Employee ID], tblEmployee[Pay Status], "Pay")</f>
        <v>No Pay</v>
      </c>
      <c r="E8" s="24" t="str">
        <f>_xlfn.XLOOKUP(tblPayrollMaster[[#This Row],[Employee ID]], tblEmployee[Employee ID], tblEmployee[Payable Flag], "Y")</f>
        <v>N</v>
      </c>
      <c r="F8" s="45">
        <f>IF(tblPayrollMaster[[#This Row],[Payable Flag]]="N",0,_xlfn.XLOOKUP(tblPayrollMaster[[#This Row],[Employee ID]],tblEmployee[Employee ID],tblEmployee[Pay Factor],1))</f>
        <v>0</v>
      </c>
      <c r="G8" s="26" t="str" cm="1">
        <f t="array" ref="G8">IF(tblPayrollMaster[[#This Row],[Employee ID]]="","",_xlfn.XLOOKUP(selPayPeriodID,tblPayCalendar[PayPeriodID],tblPayCalendar[PeriodStart],""))</f>
        <v/>
      </c>
      <c r="H8" s="26" t="str" cm="1">
        <f t="array" ref="H8">IF(tblPayrollMaster[[#This Row],[Employee ID]]="","",_xlfn.XLOOKUP(selPayPeriodID,tblPayCalendar[PayPeriodID],tblPayCalendar[PeriodEnd],""))</f>
        <v/>
      </c>
      <c r="I8" s="24" t="e" cm="1" vm="1">
        <f t="array" aca="1" ref="I8" ca="1">Table18[Employer Name]</f>
        <v>#VALUE!</v>
      </c>
      <c r="J8" s="3" cm="1">
        <f t="array" ref="J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" s="25" t="str">
        <f>_xlfn.XLOOKUP(tblPayrollMaster[[#This Row],[Employee Position]],tblPositionandPayRate[Employee Position],tblPositionandPayRate[Overtime], " ")</f>
        <v xml:space="preserve"> </v>
      </c>
      <c r="L8" s="25">
        <f>_xlfn.XLOOKUP(tblPayrollMaster[[#This Row],[Employee Position]],tblPositionandPayRate[Employee Position],tblPositionandPayRate[Allowance 1],0)*tblPayrollMaster[[#This Row],[Pay Factor]]</f>
        <v>0</v>
      </c>
      <c r="M8" s="25">
        <f>_xlfn.XLOOKUP(tblPayrollMaster[[#This Row],[Employee Position]],tblPositionandPayRate[Employee Position],tblPositionandPayRate[Allowance 2],0)*tblPayrollMaster[[#This Row],[Pay Factor]]</f>
        <v>0</v>
      </c>
      <c r="N8" s="25">
        <f>_xlfn.XLOOKUP(tblPayrollMaster[[#This Row],[Employee Position]],tblPositionandPayRate[Employee Position],tblPositionandPayRate[Allowance 3],0)*tblPayrollMaster[[#This Row],[Pay Factor]]</f>
        <v>0</v>
      </c>
      <c r="O8" s="25">
        <f>_xlfn.XLOOKUP(tblPayrollMaster[[#This Row],[Employee Position]],tblPositionandPayRate[Employee Position],tblPositionandPayRate[Allowance 4],0)*tblPayrollMaster[[#This Row],[Pay Factor]]</f>
        <v>0</v>
      </c>
      <c r="P8" s="25">
        <f>_xlfn.XLOOKUP(tblPayrollMaster[[#This Row],[Employee Position]],tblPositionandPayRate[Employee Position],tblPositionandPayRate[Allowance 5],0)*tblPayrollMaster[[#This Row],[Pay Factor]]</f>
        <v>0</v>
      </c>
      <c r="Q8" s="3">
        <f>SUM(tblPayrollMaster[[#This Row],[Basic Pay]:[Allowance 5]])</f>
        <v>0</v>
      </c>
      <c r="R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" s="51" cm="1">
        <f t="array" ref="S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" s="3" cm="1">
        <f t="array" ref="T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" s="25">
        <f>_xlfn.LET(
_xlpm.tos, _xlfn.XLOOKUP(tblPayrollMaster[[#This Row],[Employee ID]], tblEmployee[Employee ID], tblEmployee[Type of Service], ""),
IF(_xlpm.tos="Contract of Service", 8.25, 0)
)</f>
        <v>0</v>
      </c>
      <c r="V8" s="25">
        <f>tblPayrollMaster[[#This Row],[Basic Earnings]]-tblPayrollMaster[[#This Row],[Tax]]-tblPayrollMaster[[#This Row],[NIS - Employee]]-tblPayrollMaster[[#This Row],[Health Surcharge]]</f>
        <v>0</v>
      </c>
      <c r="W8" s="25">
        <f>tblPayrollMaster[[#This Row],[Net Pay]]</f>
        <v>0</v>
      </c>
      <c r="X8" s="25"/>
    </row>
    <row r="9" spans="1:24" x14ac:dyDescent="0.25">
      <c r="A9" s="45"/>
      <c r="B9" s="24">
        <f>_xlfn.XLOOKUP(tblPayrollMaster[[#This Row],[Employee ID]],tblEmployee[Employee ID],tblEmployee[Employee Name],"")</f>
        <v>0</v>
      </c>
      <c r="C9" s="24">
        <f>_xlfn.XLOOKUP(tblPayrollMaster[[#This Row],[Employee ID]],tblEmployee[Employee ID],tblEmployee[Employee Position],"")</f>
        <v>0</v>
      </c>
      <c r="D9" s="24" t="str">
        <f>_xlfn.XLOOKUP(tblPayrollMaster[[#This Row],[Employee ID]], tblEmployee[Employee ID], tblEmployee[Pay Status], "Pay")</f>
        <v>No Pay</v>
      </c>
      <c r="E9" s="24" t="str">
        <f>_xlfn.XLOOKUP(tblPayrollMaster[[#This Row],[Employee ID]], tblEmployee[Employee ID], tblEmployee[Payable Flag], "Y")</f>
        <v>N</v>
      </c>
      <c r="F9" s="45">
        <f>IF(tblPayrollMaster[[#This Row],[Payable Flag]]="N",0,_xlfn.XLOOKUP(tblPayrollMaster[[#This Row],[Employee ID]],tblEmployee[Employee ID],tblEmployee[Pay Factor],1))</f>
        <v>0</v>
      </c>
      <c r="G9" s="26" t="str" cm="1">
        <f t="array" ref="G9">IF(tblPayrollMaster[[#This Row],[Employee ID]]="","",_xlfn.XLOOKUP(selPayPeriodID,tblPayCalendar[PayPeriodID],tblPayCalendar[PeriodStart],""))</f>
        <v/>
      </c>
      <c r="H9" s="26" t="str" cm="1">
        <f t="array" ref="H9">IF(tblPayrollMaster[[#This Row],[Employee ID]]="","",_xlfn.XLOOKUP(selPayPeriodID,tblPayCalendar[PayPeriodID],tblPayCalendar[PeriodEnd],""))</f>
        <v/>
      </c>
      <c r="I9" s="24" t="e" cm="1" vm="1">
        <f t="array" aca="1" ref="I9" ca="1">Table18[Employer Name]</f>
        <v>#VALUE!</v>
      </c>
      <c r="J9" s="3" cm="1">
        <f t="array" ref="J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" s="25" t="str">
        <f>_xlfn.XLOOKUP(tblPayrollMaster[[#This Row],[Employee Position]],tblPositionandPayRate[Employee Position],tblPositionandPayRate[Overtime], " ")</f>
        <v xml:space="preserve"> </v>
      </c>
      <c r="L9" s="25">
        <f>_xlfn.XLOOKUP(tblPayrollMaster[[#This Row],[Employee Position]],tblPositionandPayRate[Employee Position],tblPositionandPayRate[Allowance 1],0)*tblPayrollMaster[[#This Row],[Pay Factor]]</f>
        <v>0</v>
      </c>
      <c r="M9" s="25">
        <f>_xlfn.XLOOKUP(tblPayrollMaster[[#This Row],[Employee Position]],tblPositionandPayRate[Employee Position],tblPositionandPayRate[Allowance 2],0)*tblPayrollMaster[[#This Row],[Pay Factor]]</f>
        <v>0</v>
      </c>
      <c r="N9" s="25">
        <f>_xlfn.XLOOKUP(tblPayrollMaster[[#This Row],[Employee Position]],tblPositionandPayRate[Employee Position],tblPositionandPayRate[Allowance 3],0)*tblPayrollMaster[[#This Row],[Pay Factor]]</f>
        <v>0</v>
      </c>
      <c r="O9" s="25">
        <f>_xlfn.XLOOKUP(tblPayrollMaster[[#This Row],[Employee Position]],tblPositionandPayRate[Employee Position],tblPositionandPayRate[Allowance 4],0)*tblPayrollMaster[[#This Row],[Pay Factor]]</f>
        <v>0</v>
      </c>
      <c r="P9" s="25">
        <f>_xlfn.XLOOKUP(tblPayrollMaster[[#This Row],[Employee Position]],tblPositionandPayRate[Employee Position],tblPositionandPayRate[Allowance 5],0)*tblPayrollMaster[[#This Row],[Pay Factor]]</f>
        <v>0</v>
      </c>
      <c r="Q9" s="3">
        <f>SUM(tblPayrollMaster[[#This Row],[Basic Pay]:[Allowance 5]])</f>
        <v>0</v>
      </c>
      <c r="R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" s="51" cm="1">
        <f t="array" ref="S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" s="3" cm="1">
        <f t="array" ref="T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" s="25">
        <f>_xlfn.LET(
_xlpm.tos, _xlfn.XLOOKUP(tblPayrollMaster[[#This Row],[Employee ID]], tblEmployee[Employee ID], tblEmployee[Type of Service], ""),
IF(_xlpm.tos="Contract of Service", 8.25, 0)
)</f>
        <v>0</v>
      </c>
      <c r="V9" s="25">
        <f>tblPayrollMaster[[#This Row],[Basic Earnings]]-tblPayrollMaster[[#This Row],[Tax]]-tblPayrollMaster[[#This Row],[NIS - Employee]]-tblPayrollMaster[[#This Row],[Health Surcharge]]</f>
        <v>0</v>
      </c>
      <c r="W9" s="25">
        <f>tblPayrollMaster[[#This Row],[Net Pay]]</f>
        <v>0</v>
      </c>
      <c r="X9" s="25"/>
    </row>
    <row r="10" spans="1:24" x14ac:dyDescent="0.25">
      <c r="A10" s="24"/>
      <c r="B10" s="24">
        <f>_xlfn.XLOOKUP(tblPayrollMaster[[#This Row],[Employee ID]],tblEmployee[Employee ID],tblEmployee[Employee Name],"")</f>
        <v>0</v>
      </c>
      <c r="C10" s="24">
        <f>_xlfn.XLOOKUP(tblPayrollMaster[[#This Row],[Employee ID]],tblEmployee[Employee ID],tblEmployee[Employee Position],"")</f>
        <v>0</v>
      </c>
      <c r="D10" s="24" t="str">
        <f>_xlfn.XLOOKUP(tblPayrollMaster[[#This Row],[Employee ID]], tblEmployee[Employee ID], tblEmployee[Pay Status], "Pay")</f>
        <v>Pay</v>
      </c>
      <c r="E10" s="24" t="str">
        <f>_xlfn.XLOOKUP(tblPayrollMaster[[#This Row],[Employee ID]], tblEmployee[Employee ID], tblEmployee[Payable Flag], "Y")</f>
        <v>Y</v>
      </c>
      <c r="F10" s="45">
        <f>IF(tblPayrollMaster[[#This Row],[Payable Flag]]="N",0,_xlfn.XLOOKUP(tblPayrollMaster[[#This Row],[Employee ID]],tblEmployee[Employee ID],tblEmployee[Pay Factor],1))</f>
        <v>1</v>
      </c>
      <c r="G10" s="26" t="str" cm="1">
        <f t="array" ref="G10">IF(tblPayrollMaster[[#This Row],[Employee ID]]="","",_xlfn.XLOOKUP(selPayPeriodID,tblPayCalendar[PayPeriodID],tblPayCalendar[PeriodStart],""))</f>
        <v/>
      </c>
      <c r="H10" s="26" t="str" cm="1">
        <f t="array" ref="H10">IF(tblPayrollMaster[[#This Row],[Employee ID]]="","",_xlfn.XLOOKUP(selPayPeriodID,tblPayCalendar[PayPeriodID],tblPayCalendar[PeriodEnd],""))</f>
        <v/>
      </c>
      <c r="I10" s="24" t="e" cm="1" vm="1">
        <f t="array" aca="1" ref="I10" ca="1">Table18[Employer Name]</f>
        <v>#VALUE!</v>
      </c>
      <c r="J10" s="3" cm="1">
        <f t="array" ref="J1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0" s="25" t="str">
        <f>_xlfn.XLOOKUP(tblPayrollMaster[[#This Row],[Employee Position]],tblPositionandPayRate[Employee Position],tblPositionandPayRate[Overtime], " ")</f>
        <v xml:space="preserve"> </v>
      </c>
      <c r="L10" s="25">
        <f>_xlfn.XLOOKUP(tblPayrollMaster[[#This Row],[Employee Position]],tblPositionandPayRate[Employee Position],tblPositionandPayRate[Allowance 1],0)*tblPayrollMaster[[#This Row],[Pay Factor]]</f>
        <v>0</v>
      </c>
      <c r="M10" s="25">
        <f>_xlfn.XLOOKUP(tblPayrollMaster[[#This Row],[Employee Position]],tblPositionandPayRate[Employee Position],tblPositionandPayRate[Allowance 2],0)*tblPayrollMaster[[#This Row],[Pay Factor]]</f>
        <v>0</v>
      </c>
      <c r="N10" s="25">
        <f>_xlfn.XLOOKUP(tblPayrollMaster[[#This Row],[Employee Position]],tblPositionandPayRate[Employee Position],tblPositionandPayRate[Allowance 3],0)*tblPayrollMaster[[#This Row],[Pay Factor]]</f>
        <v>0</v>
      </c>
      <c r="O10" s="25">
        <f>_xlfn.XLOOKUP(tblPayrollMaster[[#This Row],[Employee Position]],tblPositionandPayRate[Employee Position],tblPositionandPayRate[Allowance 4],0)*tblPayrollMaster[[#This Row],[Pay Factor]]</f>
        <v>0</v>
      </c>
      <c r="P10" s="25">
        <f>_xlfn.XLOOKUP(tblPayrollMaster[[#This Row],[Employee Position]],tblPositionandPayRate[Employee Position],tblPositionandPayRate[Allowance 5],0)*tblPayrollMaster[[#This Row],[Pay Factor]]</f>
        <v>0</v>
      </c>
      <c r="Q10" s="3">
        <f>SUM(tblPayrollMaster[[#This Row],[Basic Pay]:[Allowance 5]])</f>
        <v>0</v>
      </c>
      <c r="R1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0" s="51" cm="1">
        <f t="array" ref="S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0" s="3" cm="1">
        <f t="array" ref="T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0" s="25">
        <f>_xlfn.LET(
_xlpm.tos, _xlfn.XLOOKUP(tblPayrollMaster[[#This Row],[Employee ID]], tblEmployee[Employee ID], tblEmployee[Type of Service], ""),
IF(_xlpm.tos="Contract of Service", 8.25, 0)
)</f>
        <v>0</v>
      </c>
      <c r="V10" s="25">
        <f>tblPayrollMaster[[#This Row],[Basic Earnings]]-tblPayrollMaster[[#This Row],[Tax]]-tblPayrollMaster[[#This Row],[NIS - Employee]]-tblPayrollMaster[[#This Row],[Health Surcharge]]</f>
        <v>0</v>
      </c>
      <c r="W10" s="25">
        <f>tblPayrollMaster[[#This Row],[Net Pay]]</f>
        <v>0</v>
      </c>
      <c r="X10" s="25"/>
    </row>
    <row r="11" spans="1:24" x14ac:dyDescent="0.25">
      <c r="A11" s="24"/>
      <c r="B11" s="24">
        <f>_xlfn.XLOOKUP(tblPayrollMaster[[#This Row],[Employee ID]],tblEmployee[Employee ID],tblEmployee[Employee Name],"")</f>
        <v>0</v>
      </c>
      <c r="C11" s="24">
        <f>_xlfn.XLOOKUP(tblPayrollMaster[[#This Row],[Employee ID]],tblEmployee[Employee ID],tblEmployee[Employee Position],"")</f>
        <v>0</v>
      </c>
      <c r="D11" s="24" t="str">
        <f>_xlfn.XLOOKUP(tblPayrollMaster[[#This Row],[Employee ID]], tblEmployee[Employee ID], tblEmployee[Pay Status], "Pay")</f>
        <v>Pay</v>
      </c>
      <c r="E11" s="24" t="str">
        <f>_xlfn.XLOOKUP(tblPayrollMaster[[#This Row],[Employee ID]], tblEmployee[Employee ID], tblEmployee[Payable Flag], "Y")</f>
        <v>Y</v>
      </c>
      <c r="F11" s="45">
        <f>IF(tblPayrollMaster[[#This Row],[Payable Flag]]="N",0,_xlfn.XLOOKUP(tblPayrollMaster[[#This Row],[Employee ID]],tblEmployee[Employee ID],tblEmployee[Pay Factor],1))</f>
        <v>1</v>
      </c>
      <c r="G11" s="26" t="str" cm="1">
        <f t="array" ref="G11">IF(tblPayrollMaster[[#This Row],[Employee ID]]="","",_xlfn.XLOOKUP(selPayPeriodID,tblPayCalendar[PayPeriodID],tblPayCalendar[PeriodStart],""))</f>
        <v/>
      </c>
      <c r="H11" s="26" t="str" cm="1">
        <f t="array" ref="H11">IF(tblPayrollMaster[[#This Row],[Employee ID]]="","",_xlfn.XLOOKUP(selPayPeriodID,tblPayCalendar[PayPeriodID],tblPayCalendar[PeriodEnd],""))</f>
        <v/>
      </c>
      <c r="I11" s="24" t="e" cm="1" vm="1">
        <f t="array" aca="1" ref="I11" ca="1">Table18[Employer Name]</f>
        <v>#VALUE!</v>
      </c>
      <c r="J11" s="3" cm="1">
        <f t="array" ref="J1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1" s="25" t="str">
        <f>_xlfn.XLOOKUP(tblPayrollMaster[[#This Row],[Employee Position]],tblPositionandPayRate[Employee Position],tblPositionandPayRate[Overtime], " ")</f>
        <v xml:space="preserve"> </v>
      </c>
      <c r="L11" s="25">
        <f>_xlfn.XLOOKUP(tblPayrollMaster[[#This Row],[Employee Position]],tblPositionandPayRate[Employee Position],tblPositionandPayRate[Allowance 1],0)*tblPayrollMaster[[#This Row],[Pay Factor]]</f>
        <v>0</v>
      </c>
      <c r="M11" s="25">
        <f>_xlfn.XLOOKUP(tblPayrollMaster[[#This Row],[Employee Position]],tblPositionandPayRate[Employee Position],tblPositionandPayRate[Allowance 2],0)*tblPayrollMaster[[#This Row],[Pay Factor]]</f>
        <v>0</v>
      </c>
      <c r="N11" s="25">
        <f>_xlfn.XLOOKUP(tblPayrollMaster[[#This Row],[Employee Position]],tblPositionandPayRate[Employee Position],tblPositionandPayRate[Allowance 3],0)*tblPayrollMaster[[#This Row],[Pay Factor]]</f>
        <v>0</v>
      </c>
      <c r="O11" s="25">
        <f>_xlfn.XLOOKUP(tblPayrollMaster[[#This Row],[Employee Position]],tblPositionandPayRate[Employee Position],tblPositionandPayRate[Allowance 4],0)*tblPayrollMaster[[#This Row],[Pay Factor]]</f>
        <v>0</v>
      </c>
      <c r="P11" s="25">
        <f>_xlfn.XLOOKUP(tblPayrollMaster[[#This Row],[Employee Position]],tblPositionandPayRate[Employee Position],tblPositionandPayRate[Allowance 5],0)*tblPayrollMaster[[#This Row],[Pay Factor]]</f>
        <v>0</v>
      </c>
      <c r="Q11" s="3">
        <f>SUM(tblPayrollMaster[[#This Row],[Basic Pay]:[Allowance 5]])</f>
        <v>0</v>
      </c>
      <c r="R1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1" s="51" cm="1">
        <f t="array" ref="S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1" s="3" cm="1">
        <f t="array" ref="T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1" s="25">
        <f>_xlfn.LET(
_xlpm.tos, _xlfn.XLOOKUP(tblPayrollMaster[[#This Row],[Employee ID]], tblEmployee[Employee ID], tblEmployee[Type of Service], ""),
IF(_xlpm.tos="Contract of Service", 8.25, 0)
)</f>
        <v>0</v>
      </c>
      <c r="V11" s="25">
        <f>tblPayrollMaster[[#This Row],[Basic Earnings]]-tblPayrollMaster[[#This Row],[Tax]]-tblPayrollMaster[[#This Row],[NIS - Employee]]-tblPayrollMaster[[#This Row],[Health Surcharge]]</f>
        <v>0</v>
      </c>
      <c r="W11" s="25">
        <f>tblPayrollMaster[[#This Row],[Net Pay]]</f>
        <v>0</v>
      </c>
      <c r="X11" s="25"/>
    </row>
    <row r="12" spans="1:24" x14ac:dyDescent="0.25">
      <c r="A12" s="24"/>
      <c r="B12" s="24">
        <f>_xlfn.XLOOKUP(tblPayrollMaster[[#This Row],[Employee ID]],tblEmployee[Employee ID],tblEmployee[Employee Name],"")</f>
        <v>0</v>
      </c>
      <c r="C12" s="24">
        <f>_xlfn.XLOOKUP(tblPayrollMaster[[#This Row],[Employee ID]],tblEmployee[Employee ID],tblEmployee[Employee Position],"")</f>
        <v>0</v>
      </c>
      <c r="D12" s="24" t="str">
        <f>_xlfn.XLOOKUP(tblPayrollMaster[[#This Row],[Employee ID]], tblEmployee[Employee ID], tblEmployee[Pay Status], "Pay")</f>
        <v>Pay</v>
      </c>
      <c r="E12" s="24" t="str">
        <f>_xlfn.XLOOKUP(tblPayrollMaster[[#This Row],[Employee ID]], tblEmployee[Employee ID], tblEmployee[Payable Flag], "Y")</f>
        <v>Y</v>
      </c>
      <c r="F12" s="45">
        <f>IF(tblPayrollMaster[[#This Row],[Payable Flag]]="N",0,_xlfn.XLOOKUP(tblPayrollMaster[[#This Row],[Employee ID]],tblEmployee[Employee ID],tblEmployee[Pay Factor],1))</f>
        <v>1</v>
      </c>
      <c r="G12" s="26" t="str" cm="1">
        <f t="array" ref="G12">IF(tblPayrollMaster[[#This Row],[Employee ID]]="","",_xlfn.XLOOKUP(selPayPeriodID,tblPayCalendar[PayPeriodID],tblPayCalendar[PeriodStart],""))</f>
        <v/>
      </c>
      <c r="H12" s="26" t="str" cm="1">
        <f t="array" ref="H12">IF(tblPayrollMaster[[#This Row],[Employee ID]]="","",_xlfn.XLOOKUP(selPayPeriodID,tblPayCalendar[PayPeriodID],tblPayCalendar[PeriodEnd],""))</f>
        <v/>
      </c>
      <c r="I12" s="24" t="e" cm="1" vm="1">
        <f t="array" aca="1" ref="I12" ca="1">Table18[Employer Name]</f>
        <v>#VALUE!</v>
      </c>
      <c r="J12" s="3" cm="1">
        <f t="array" ref="J1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2" s="25" t="str">
        <f>_xlfn.XLOOKUP(tblPayrollMaster[[#This Row],[Employee Position]],tblPositionandPayRate[Employee Position],tblPositionandPayRate[Overtime], " ")</f>
        <v xml:space="preserve"> </v>
      </c>
      <c r="L12" s="25">
        <f>_xlfn.XLOOKUP(tblPayrollMaster[[#This Row],[Employee Position]],tblPositionandPayRate[Employee Position],tblPositionandPayRate[Allowance 1],0)*tblPayrollMaster[[#This Row],[Pay Factor]]</f>
        <v>0</v>
      </c>
      <c r="M12" s="25">
        <f>_xlfn.XLOOKUP(tblPayrollMaster[[#This Row],[Employee Position]],tblPositionandPayRate[Employee Position],tblPositionandPayRate[Allowance 2],0)*tblPayrollMaster[[#This Row],[Pay Factor]]</f>
        <v>0</v>
      </c>
      <c r="N12" s="25">
        <f>_xlfn.XLOOKUP(tblPayrollMaster[[#This Row],[Employee Position]],tblPositionandPayRate[Employee Position],tblPositionandPayRate[Allowance 3],0)*tblPayrollMaster[[#This Row],[Pay Factor]]</f>
        <v>0</v>
      </c>
      <c r="O12" s="25">
        <f>_xlfn.XLOOKUP(tblPayrollMaster[[#This Row],[Employee Position]],tblPositionandPayRate[Employee Position],tblPositionandPayRate[Allowance 4],0)*tblPayrollMaster[[#This Row],[Pay Factor]]</f>
        <v>0</v>
      </c>
      <c r="P12" s="25">
        <f>_xlfn.XLOOKUP(tblPayrollMaster[[#This Row],[Employee Position]],tblPositionandPayRate[Employee Position],tblPositionandPayRate[Allowance 5],0)*tblPayrollMaster[[#This Row],[Pay Factor]]</f>
        <v>0</v>
      </c>
      <c r="Q12" s="3">
        <f>SUM(tblPayrollMaster[[#This Row],[Basic Pay]:[Allowance 5]])</f>
        <v>0</v>
      </c>
      <c r="R1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2" s="51" cm="1">
        <f t="array" ref="S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2" s="3" cm="1">
        <f t="array" ref="T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2" s="25">
        <f>_xlfn.LET(
_xlpm.tos, _xlfn.XLOOKUP(tblPayrollMaster[[#This Row],[Employee ID]], tblEmployee[Employee ID], tblEmployee[Type of Service], ""),
IF(_xlpm.tos="Contract of Service", 8.25, 0)
)</f>
        <v>0</v>
      </c>
      <c r="V12" s="25">
        <f>tblPayrollMaster[[#This Row],[Basic Earnings]]-tblPayrollMaster[[#This Row],[Tax]]-tblPayrollMaster[[#This Row],[NIS - Employee]]-tblPayrollMaster[[#This Row],[Health Surcharge]]</f>
        <v>0</v>
      </c>
      <c r="W12" s="25">
        <f>tblPayrollMaster[[#This Row],[Net Pay]]</f>
        <v>0</v>
      </c>
      <c r="X12" s="25"/>
    </row>
    <row r="13" spans="1:24" x14ac:dyDescent="0.25">
      <c r="A13" s="24"/>
      <c r="B13" s="24">
        <f>_xlfn.XLOOKUP(tblPayrollMaster[[#This Row],[Employee ID]],tblEmployee[Employee ID],tblEmployee[Employee Name],"")</f>
        <v>0</v>
      </c>
      <c r="C13" s="24">
        <f>_xlfn.XLOOKUP(tblPayrollMaster[[#This Row],[Employee ID]],tblEmployee[Employee ID],tblEmployee[Employee Position],"")</f>
        <v>0</v>
      </c>
      <c r="D13" s="24" t="str">
        <f>_xlfn.XLOOKUP(tblPayrollMaster[[#This Row],[Employee ID]], tblEmployee[Employee ID], tblEmployee[Pay Status], "Pay")</f>
        <v>Pay</v>
      </c>
      <c r="E13" s="24" t="str">
        <f>_xlfn.XLOOKUP(tblPayrollMaster[[#This Row],[Employee ID]], tblEmployee[Employee ID], tblEmployee[Payable Flag], "Y")</f>
        <v>Y</v>
      </c>
      <c r="F13" s="45">
        <f>IF(tblPayrollMaster[[#This Row],[Payable Flag]]="N",0,_xlfn.XLOOKUP(tblPayrollMaster[[#This Row],[Employee ID]],tblEmployee[Employee ID],tblEmployee[Pay Factor],1))</f>
        <v>1</v>
      </c>
      <c r="G13" s="26" t="str" cm="1">
        <f t="array" ref="G13">IF(tblPayrollMaster[[#This Row],[Employee ID]]="","",_xlfn.XLOOKUP(selPayPeriodID,tblPayCalendar[PayPeriodID],tblPayCalendar[PeriodStart],""))</f>
        <v/>
      </c>
      <c r="H13" s="26" t="str" cm="1">
        <f t="array" ref="H13">IF(tblPayrollMaster[[#This Row],[Employee ID]]="","",_xlfn.XLOOKUP(selPayPeriodID,tblPayCalendar[PayPeriodID],tblPayCalendar[PeriodEnd],""))</f>
        <v/>
      </c>
      <c r="I13" s="24" t="e" cm="1" vm="1">
        <f t="array" aca="1" ref="I13" ca="1">Table18[Employer Name]</f>
        <v>#VALUE!</v>
      </c>
      <c r="J13" s="3" cm="1">
        <f t="array" ref="J1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3" s="25" t="str">
        <f>_xlfn.XLOOKUP(tblPayrollMaster[[#This Row],[Employee Position]],tblPositionandPayRate[Employee Position],tblPositionandPayRate[Overtime], " ")</f>
        <v xml:space="preserve"> </v>
      </c>
      <c r="L13" s="25">
        <f>_xlfn.XLOOKUP(tblPayrollMaster[[#This Row],[Employee Position]],tblPositionandPayRate[Employee Position],tblPositionandPayRate[Allowance 1],0)*tblPayrollMaster[[#This Row],[Pay Factor]]</f>
        <v>0</v>
      </c>
      <c r="M13" s="25">
        <f>_xlfn.XLOOKUP(tblPayrollMaster[[#This Row],[Employee Position]],tblPositionandPayRate[Employee Position],tblPositionandPayRate[Allowance 2],0)*tblPayrollMaster[[#This Row],[Pay Factor]]</f>
        <v>0</v>
      </c>
      <c r="N13" s="25">
        <f>_xlfn.XLOOKUP(tblPayrollMaster[[#This Row],[Employee Position]],tblPositionandPayRate[Employee Position],tblPositionandPayRate[Allowance 3],0)*tblPayrollMaster[[#This Row],[Pay Factor]]</f>
        <v>0</v>
      </c>
      <c r="O13" s="25">
        <f>_xlfn.XLOOKUP(tblPayrollMaster[[#This Row],[Employee Position]],tblPositionandPayRate[Employee Position],tblPositionandPayRate[Allowance 4],0)*tblPayrollMaster[[#This Row],[Pay Factor]]</f>
        <v>0</v>
      </c>
      <c r="P13" s="25">
        <f>_xlfn.XLOOKUP(tblPayrollMaster[[#This Row],[Employee Position]],tblPositionandPayRate[Employee Position],tblPositionandPayRate[Allowance 5],0)*tblPayrollMaster[[#This Row],[Pay Factor]]</f>
        <v>0</v>
      </c>
      <c r="Q13" s="3">
        <f>SUM(tblPayrollMaster[[#This Row],[Basic Pay]:[Allowance 5]])</f>
        <v>0</v>
      </c>
      <c r="R1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3" s="51" cm="1">
        <f t="array" ref="S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3" s="3" cm="1">
        <f t="array" ref="T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3" s="25">
        <f>_xlfn.LET(
_xlpm.tos, _xlfn.XLOOKUP(tblPayrollMaster[[#This Row],[Employee ID]], tblEmployee[Employee ID], tblEmployee[Type of Service], ""),
IF(_xlpm.tos="Contract of Service", 8.25, 0)
)</f>
        <v>0</v>
      </c>
      <c r="V13" s="25">
        <f>tblPayrollMaster[[#This Row],[Basic Earnings]]-tblPayrollMaster[[#This Row],[Tax]]-tblPayrollMaster[[#This Row],[NIS - Employee]]-tblPayrollMaster[[#This Row],[Health Surcharge]]</f>
        <v>0</v>
      </c>
      <c r="W13" s="25">
        <f>tblPayrollMaster[[#This Row],[Net Pay]]</f>
        <v>0</v>
      </c>
      <c r="X13" s="25"/>
    </row>
    <row r="14" spans="1:24" x14ac:dyDescent="0.25">
      <c r="A14" s="24"/>
      <c r="B14" s="24">
        <f>_xlfn.XLOOKUP(tblPayrollMaster[[#This Row],[Employee ID]],tblEmployee[Employee ID],tblEmployee[Employee Name],"")</f>
        <v>0</v>
      </c>
      <c r="C14" s="24">
        <f>_xlfn.XLOOKUP(tblPayrollMaster[[#This Row],[Employee ID]],tblEmployee[Employee ID],tblEmployee[Employee Position],"")</f>
        <v>0</v>
      </c>
      <c r="D14" s="24" t="str">
        <f>_xlfn.XLOOKUP(tblPayrollMaster[[#This Row],[Employee ID]], tblEmployee[Employee ID], tblEmployee[Pay Status], "Pay")</f>
        <v>Pay</v>
      </c>
      <c r="E14" s="24" t="str">
        <f>_xlfn.XLOOKUP(tblPayrollMaster[[#This Row],[Employee ID]], tblEmployee[Employee ID], tblEmployee[Payable Flag], "Y")</f>
        <v>Y</v>
      </c>
      <c r="F14" s="45">
        <f>IF(tblPayrollMaster[[#This Row],[Payable Flag]]="N",0,_xlfn.XLOOKUP(tblPayrollMaster[[#This Row],[Employee ID]],tblEmployee[Employee ID],tblEmployee[Pay Factor],1))</f>
        <v>1</v>
      </c>
      <c r="G14" s="26" t="str" cm="1">
        <f t="array" ref="G14">IF(tblPayrollMaster[[#This Row],[Employee ID]]="","",_xlfn.XLOOKUP(selPayPeriodID,tblPayCalendar[PayPeriodID],tblPayCalendar[PeriodStart],""))</f>
        <v/>
      </c>
      <c r="H14" s="26" t="str" cm="1">
        <f t="array" ref="H14">IF(tblPayrollMaster[[#This Row],[Employee ID]]="","",_xlfn.XLOOKUP(selPayPeriodID,tblPayCalendar[PayPeriodID],tblPayCalendar[PeriodEnd],""))</f>
        <v/>
      </c>
      <c r="I14" s="24" t="e" cm="1" vm="1">
        <f t="array" aca="1" ref="I14" ca="1">Table18[Employer Name]</f>
        <v>#VALUE!</v>
      </c>
      <c r="J14" s="3" cm="1">
        <f t="array" ref="J1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4" s="25" t="str">
        <f>_xlfn.XLOOKUP(tblPayrollMaster[[#This Row],[Employee Position]],tblPositionandPayRate[Employee Position],tblPositionandPayRate[Overtime], " ")</f>
        <v xml:space="preserve"> </v>
      </c>
      <c r="L14" s="25">
        <f>_xlfn.XLOOKUP(tblPayrollMaster[[#This Row],[Employee Position]],tblPositionandPayRate[Employee Position],tblPositionandPayRate[Allowance 1],0)*tblPayrollMaster[[#This Row],[Pay Factor]]</f>
        <v>0</v>
      </c>
      <c r="M14" s="25">
        <f>_xlfn.XLOOKUP(tblPayrollMaster[[#This Row],[Employee Position]],tblPositionandPayRate[Employee Position],tblPositionandPayRate[Allowance 2],0)*tblPayrollMaster[[#This Row],[Pay Factor]]</f>
        <v>0</v>
      </c>
      <c r="N14" s="25">
        <f>_xlfn.XLOOKUP(tblPayrollMaster[[#This Row],[Employee Position]],tblPositionandPayRate[Employee Position],tblPositionandPayRate[Allowance 3],0)*tblPayrollMaster[[#This Row],[Pay Factor]]</f>
        <v>0</v>
      </c>
      <c r="O14" s="25">
        <f>_xlfn.XLOOKUP(tblPayrollMaster[[#This Row],[Employee Position]],tblPositionandPayRate[Employee Position],tblPositionandPayRate[Allowance 4],0)*tblPayrollMaster[[#This Row],[Pay Factor]]</f>
        <v>0</v>
      </c>
      <c r="P14" s="25">
        <f>_xlfn.XLOOKUP(tblPayrollMaster[[#This Row],[Employee Position]],tblPositionandPayRate[Employee Position],tblPositionandPayRate[Allowance 5],0)*tblPayrollMaster[[#This Row],[Pay Factor]]</f>
        <v>0</v>
      </c>
      <c r="Q14" s="3">
        <f>SUM(tblPayrollMaster[[#This Row],[Basic Pay]:[Allowance 5]])</f>
        <v>0</v>
      </c>
      <c r="R1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4" s="51" cm="1">
        <f t="array" ref="S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4" s="3" cm="1">
        <f t="array" ref="T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4" s="25">
        <f>_xlfn.LET(
_xlpm.tos, _xlfn.XLOOKUP(tblPayrollMaster[[#This Row],[Employee ID]], tblEmployee[Employee ID], tblEmployee[Type of Service], ""),
IF(_xlpm.tos="Contract of Service", 8.25, 0)
)</f>
        <v>0</v>
      </c>
      <c r="V14" s="25">
        <f>tblPayrollMaster[[#This Row],[Basic Earnings]]-tblPayrollMaster[[#This Row],[Tax]]-tblPayrollMaster[[#This Row],[NIS - Employee]]-tblPayrollMaster[[#This Row],[Health Surcharge]]</f>
        <v>0</v>
      </c>
      <c r="W14" s="25">
        <f>tblPayrollMaster[[#This Row],[Net Pay]]</f>
        <v>0</v>
      </c>
      <c r="X14" s="25"/>
    </row>
    <row r="15" spans="1:24" x14ac:dyDescent="0.25">
      <c r="A15" s="24"/>
      <c r="B15" s="24">
        <f>_xlfn.XLOOKUP(tblPayrollMaster[[#This Row],[Employee ID]],tblEmployee[Employee ID],tblEmployee[Employee Name],"")</f>
        <v>0</v>
      </c>
      <c r="C15" s="24">
        <f>_xlfn.XLOOKUP(tblPayrollMaster[[#This Row],[Employee ID]],tblEmployee[Employee ID],tblEmployee[Employee Position],"")</f>
        <v>0</v>
      </c>
      <c r="D15" s="24" t="str">
        <f>_xlfn.XLOOKUP(tblPayrollMaster[[#This Row],[Employee ID]], tblEmployee[Employee ID], tblEmployee[Pay Status], "Pay")</f>
        <v>Pay</v>
      </c>
      <c r="E15" s="24" t="str">
        <f>_xlfn.XLOOKUP(tblPayrollMaster[[#This Row],[Employee ID]], tblEmployee[Employee ID], tblEmployee[Payable Flag], "Y")</f>
        <v>Y</v>
      </c>
      <c r="F15" s="45">
        <f>IF(tblPayrollMaster[[#This Row],[Payable Flag]]="N",0,_xlfn.XLOOKUP(tblPayrollMaster[[#This Row],[Employee ID]],tblEmployee[Employee ID],tblEmployee[Pay Factor],1))</f>
        <v>1</v>
      </c>
      <c r="G15" s="26" t="str" cm="1">
        <f t="array" ref="G15">IF(tblPayrollMaster[[#This Row],[Employee ID]]="","",_xlfn.XLOOKUP(selPayPeriodID,tblPayCalendar[PayPeriodID],tblPayCalendar[PeriodStart],""))</f>
        <v/>
      </c>
      <c r="H15" s="26" t="str" cm="1">
        <f t="array" ref="H15">IF(tblPayrollMaster[[#This Row],[Employee ID]]="","",_xlfn.XLOOKUP(selPayPeriodID,tblPayCalendar[PayPeriodID],tblPayCalendar[PeriodEnd],""))</f>
        <v/>
      </c>
      <c r="I15" s="24" t="e" cm="1" vm="1">
        <f t="array" aca="1" ref="I15" ca="1">Table18[Employer Name]</f>
        <v>#VALUE!</v>
      </c>
      <c r="J15" s="3" cm="1">
        <f t="array" ref="J1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5" s="25" t="str">
        <f>_xlfn.XLOOKUP(tblPayrollMaster[[#This Row],[Employee Position]],tblPositionandPayRate[Employee Position],tblPositionandPayRate[Overtime], " ")</f>
        <v xml:space="preserve"> </v>
      </c>
      <c r="L15" s="25">
        <f>_xlfn.XLOOKUP(tblPayrollMaster[[#This Row],[Employee Position]],tblPositionandPayRate[Employee Position],tblPositionandPayRate[Allowance 1],0)*tblPayrollMaster[[#This Row],[Pay Factor]]</f>
        <v>0</v>
      </c>
      <c r="M15" s="25">
        <f>_xlfn.XLOOKUP(tblPayrollMaster[[#This Row],[Employee Position]],tblPositionandPayRate[Employee Position],tblPositionandPayRate[Allowance 2],0)*tblPayrollMaster[[#This Row],[Pay Factor]]</f>
        <v>0</v>
      </c>
      <c r="N15" s="25">
        <f>_xlfn.XLOOKUP(tblPayrollMaster[[#This Row],[Employee Position]],tblPositionandPayRate[Employee Position],tblPositionandPayRate[Allowance 3],0)*tblPayrollMaster[[#This Row],[Pay Factor]]</f>
        <v>0</v>
      </c>
      <c r="O15" s="25">
        <f>_xlfn.XLOOKUP(tblPayrollMaster[[#This Row],[Employee Position]],tblPositionandPayRate[Employee Position],tblPositionandPayRate[Allowance 4],0)*tblPayrollMaster[[#This Row],[Pay Factor]]</f>
        <v>0</v>
      </c>
      <c r="P15" s="25">
        <f>_xlfn.XLOOKUP(tblPayrollMaster[[#This Row],[Employee Position]],tblPositionandPayRate[Employee Position],tblPositionandPayRate[Allowance 5],0)*tblPayrollMaster[[#This Row],[Pay Factor]]</f>
        <v>0</v>
      </c>
      <c r="Q15" s="3">
        <f>SUM(tblPayrollMaster[[#This Row],[Basic Pay]:[Allowance 5]])</f>
        <v>0</v>
      </c>
      <c r="R1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5" s="51" cm="1">
        <f t="array" ref="S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5" s="3" cm="1">
        <f t="array" ref="T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5" s="25">
        <f>_xlfn.LET(
_xlpm.tos, _xlfn.XLOOKUP(tblPayrollMaster[[#This Row],[Employee ID]], tblEmployee[Employee ID], tblEmployee[Type of Service], ""),
IF(_xlpm.tos="Contract of Service", 8.25, 0)
)</f>
        <v>0</v>
      </c>
      <c r="V15" s="25">
        <f>tblPayrollMaster[[#This Row],[Basic Earnings]]-tblPayrollMaster[[#This Row],[Tax]]-tblPayrollMaster[[#This Row],[NIS - Employee]]-tblPayrollMaster[[#This Row],[Health Surcharge]]</f>
        <v>0</v>
      </c>
      <c r="W15" s="25">
        <f>tblPayrollMaster[[#This Row],[Net Pay]]</f>
        <v>0</v>
      </c>
      <c r="X15" s="25"/>
    </row>
    <row r="16" spans="1:24" x14ac:dyDescent="0.25">
      <c r="A16" s="24"/>
      <c r="B16" s="24">
        <f>_xlfn.XLOOKUP(tblPayrollMaster[[#This Row],[Employee ID]],tblEmployee[Employee ID],tblEmployee[Employee Name],"")</f>
        <v>0</v>
      </c>
      <c r="C16" s="24" t="str">
        <f>_xlfn.XLOOKUP(tblPayrollMaster[[#This Row],[Employee ID]],tblEmployee[Employee ID],tblEmployee[Employee Position],"")</f>
        <v/>
      </c>
      <c r="D16" s="24" t="str">
        <f>_xlfn.XLOOKUP(tblPayrollMaster[[#This Row],[Employee ID]], tblEmployee[Employee ID], tblEmployee[Pay Status], "Pay")</f>
        <v>Pay</v>
      </c>
      <c r="E16" s="24" t="str">
        <f>_xlfn.XLOOKUP(tblPayrollMaster[[#This Row],[Employee ID]], tblEmployee[Employee ID], tblEmployee[Payable Flag], "Y")</f>
        <v>Y</v>
      </c>
      <c r="F16" s="45">
        <f>IF(tblPayrollMaster[[#This Row],[Payable Flag]]="N",0,_xlfn.XLOOKUP(tblPayrollMaster[[#This Row],[Employee ID]],tblEmployee[Employee ID],tblEmployee[Pay Factor],1))</f>
        <v>1</v>
      </c>
      <c r="G16" s="26" t="str" cm="1">
        <f t="array" ref="G16">IF(tblPayrollMaster[[#This Row],[Employee ID]]="","",_xlfn.XLOOKUP(selPayPeriodID,tblPayCalendar[PayPeriodID],tblPayCalendar[PeriodStart],""))</f>
        <v/>
      </c>
      <c r="H16" s="26" t="str" cm="1">
        <f t="array" ref="H16">IF(tblPayrollMaster[[#This Row],[Employee ID]]="","",_xlfn.XLOOKUP(selPayPeriodID,tblPayCalendar[PayPeriodID],tblPayCalendar[PeriodEnd],""))</f>
        <v/>
      </c>
      <c r="I16" s="24" t="e" cm="1" vm="1">
        <f t="array" aca="1" ref="I16" ca="1">Table18[Employer Name]</f>
        <v>#VALUE!</v>
      </c>
      <c r="J16" s="3" cm="1">
        <f t="array" ref="J1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6" s="25" t="str">
        <f>_xlfn.XLOOKUP(tblPayrollMaster[[#This Row],[Employee Position]],tblPositionandPayRate[Employee Position],tblPositionandPayRate[Overtime], " ")</f>
        <v xml:space="preserve"> </v>
      </c>
      <c r="L16" s="25">
        <f>_xlfn.XLOOKUP(tblPayrollMaster[[#This Row],[Employee Position]],tblPositionandPayRate[Employee Position],tblPositionandPayRate[Allowance 1],0)*tblPayrollMaster[[#This Row],[Pay Factor]]</f>
        <v>0</v>
      </c>
      <c r="M16" s="25">
        <f>_xlfn.XLOOKUP(tblPayrollMaster[[#This Row],[Employee Position]],tblPositionandPayRate[Employee Position],tblPositionandPayRate[Allowance 2],0)*tblPayrollMaster[[#This Row],[Pay Factor]]</f>
        <v>0</v>
      </c>
      <c r="N16" s="25">
        <f>_xlfn.XLOOKUP(tblPayrollMaster[[#This Row],[Employee Position]],tblPositionandPayRate[Employee Position],tblPositionandPayRate[Allowance 3],0)*tblPayrollMaster[[#This Row],[Pay Factor]]</f>
        <v>0</v>
      </c>
      <c r="O16" s="25">
        <f>_xlfn.XLOOKUP(tblPayrollMaster[[#This Row],[Employee Position]],tblPositionandPayRate[Employee Position],tblPositionandPayRate[Allowance 4],0)*tblPayrollMaster[[#This Row],[Pay Factor]]</f>
        <v>0</v>
      </c>
      <c r="P16" s="25">
        <f>_xlfn.XLOOKUP(tblPayrollMaster[[#This Row],[Employee Position]],tblPositionandPayRate[Employee Position],tblPositionandPayRate[Allowance 5],0)*tblPayrollMaster[[#This Row],[Pay Factor]]</f>
        <v>0</v>
      </c>
      <c r="Q16" s="3">
        <f>SUM(tblPayrollMaster[[#This Row],[Basic Pay]:[Allowance 5]])</f>
        <v>0</v>
      </c>
      <c r="R1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6" s="51" cm="1">
        <f t="array" ref="S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6" s="3" cm="1">
        <f t="array" ref="T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6" s="25">
        <f>_xlfn.LET(
_xlpm.tos, _xlfn.XLOOKUP(tblPayrollMaster[[#This Row],[Employee ID]], tblEmployee[Employee ID], tblEmployee[Type of Service], ""),
IF(_xlpm.tos="Contract of Service", 8.25, 0)
)</f>
        <v>0</v>
      </c>
      <c r="V16" s="25">
        <f>tblPayrollMaster[[#This Row],[Basic Earnings]]-tblPayrollMaster[[#This Row],[Tax]]-tblPayrollMaster[[#This Row],[NIS - Employee]]-tblPayrollMaster[[#This Row],[Health Surcharge]]</f>
        <v>0</v>
      </c>
      <c r="W16" s="25">
        <f>tblPayrollMaster[[#This Row],[Net Pay]]</f>
        <v>0</v>
      </c>
      <c r="X16" s="25"/>
    </row>
    <row r="17" spans="1:24" x14ac:dyDescent="0.25">
      <c r="A17" s="24"/>
      <c r="B17" s="24">
        <f>_xlfn.XLOOKUP(tblPayrollMaster[[#This Row],[Employee ID]],tblEmployee[Employee ID],tblEmployee[Employee Name],"")</f>
        <v>0</v>
      </c>
      <c r="C17" s="24">
        <f>_xlfn.XLOOKUP(tblPayrollMaster[[#This Row],[Employee ID]],tblEmployee[Employee ID],tblEmployee[Employee Position],"")</f>
        <v>0</v>
      </c>
      <c r="D17" s="24" t="str">
        <f>_xlfn.XLOOKUP(tblPayrollMaster[[#This Row],[Employee ID]], tblEmployee[Employee ID], tblEmployee[Pay Status], "Pay")</f>
        <v>Pay</v>
      </c>
      <c r="E17" s="24" t="str">
        <f>_xlfn.XLOOKUP(tblPayrollMaster[[#This Row],[Employee ID]], tblEmployee[Employee ID], tblEmployee[Payable Flag], "Y")</f>
        <v>Y</v>
      </c>
      <c r="F17" s="45">
        <f>IF(tblPayrollMaster[[#This Row],[Payable Flag]]="N",0,_xlfn.XLOOKUP(tblPayrollMaster[[#This Row],[Employee ID]],tblEmployee[Employee ID],tblEmployee[Pay Factor],1))</f>
        <v>1</v>
      </c>
      <c r="G17" s="26" t="str" cm="1">
        <f t="array" ref="G17">IF(tblPayrollMaster[[#This Row],[Employee ID]]="","",_xlfn.XLOOKUP(selPayPeriodID,tblPayCalendar[PayPeriodID],tblPayCalendar[PeriodStart],""))</f>
        <v/>
      </c>
      <c r="H17" s="26" t="str" cm="1">
        <f t="array" ref="H17">IF(tblPayrollMaster[[#This Row],[Employee ID]]="","",_xlfn.XLOOKUP(selPayPeriodID,tblPayCalendar[PayPeriodID],tblPayCalendar[PeriodEnd],""))</f>
        <v/>
      </c>
      <c r="I17" s="24" t="e" cm="1" vm="1">
        <f t="array" aca="1" ref="I17" ca="1">Table18[Employer Name]</f>
        <v>#VALUE!</v>
      </c>
      <c r="J17" s="3" cm="1">
        <f t="array" ref="J1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7" s="25" t="str">
        <f>_xlfn.XLOOKUP(tblPayrollMaster[[#This Row],[Employee Position]],tblPositionandPayRate[Employee Position],tblPositionandPayRate[Overtime], " ")</f>
        <v xml:space="preserve"> </v>
      </c>
      <c r="L17" s="25">
        <f>_xlfn.XLOOKUP(tblPayrollMaster[[#This Row],[Employee Position]],tblPositionandPayRate[Employee Position],tblPositionandPayRate[Allowance 1],0)*tblPayrollMaster[[#This Row],[Pay Factor]]</f>
        <v>0</v>
      </c>
      <c r="M17" s="25">
        <f>_xlfn.XLOOKUP(tblPayrollMaster[[#This Row],[Employee Position]],tblPositionandPayRate[Employee Position],tblPositionandPayRate[Allowance 2],0)*tblPayrollMaster[[#This Row],[Pay Factor]]</f>
        <v>0</v>
      </c>
      <c r="N17" s="25">
        <f>_xlfn.XLOOKUP(tblPayrollMaster[[#This Row],[Employee Position]],tblPositionandPayRate[Employee Position],tblPositionandPayRate[Allowance 3],0)*tblPayrollMaster[[#This Row],[Pay Factor]]</f>
        <v>0</v>
      </c>
      <c r="O17" s="25">
        <f>_xlfn.XLOOKUP(tblPayrollMaster[[#This Row],[Employee Position]],tblPositionandPayRate[Employee Position],tblPositionandPayRate[Allowance 4],0)*tblPayrollMaster[[#This Row],[Pay Factor]]</f>
        <v>0</v>
      </c>
      <c r="P17" s="25">
        <f>_xlfn.XLOOKUP(tblPayrollMaster[[#This Row],[Employee Position]],tblPositionandPayRate[Employee Position],tblPositionandPayRate[Allowance 5],0)*tblPayrollMaster[[#This Row],[Pay Factor]]</f>
        <v>0</v>
      </c>
      <c r="Q17" s="3">
        <f>SUM(tblPayrollMaster[[#This Row],[Basic Pay]:[Allowance 5]])</f>
        <v>0</v>
      </c>
      <c r="R1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7" s="51" cm="1">
        <f t="array" ref="S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7" s="3" cm="1">
        <f t="array" ref="T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7" s="25">
        <f>_xlfn.LET(
_xlpm.tos, _xlfn.XLOOKUP(tblPayrollMaster[[#This Row],[Employee ID]], tblEmployee[Employee ID], tblEmployee[Type of Service], ""),
IF(_xlpm.tos="Contract of Service", 8.25, 0)
)</f>
        <v>0</v>
      </c>
      <c r="V17" s="25">
        <f>tblPayrollMaster[[#This Row],[Basic Earnings]]-tblPayrollMaster[[#This Row],[Tax]]-tblPayrollMaster[[#This Row],[NIS - Employee]]-tblPayrollMaster[[#This Row],[Health Surcharge]]</f>
        <v>0</v>
      </c>
      <c r="W17" s="25">
        <f>tblPayrollMaster[[#This Row],[Net Pay]]</f>
        <v>0</v>
      </c>
      <c r="X17" s="25"/>
    </row>
    <row r="18" spans="1:24" x14ac:dyDescent="0.25">
      <c r="A18" s="24"/>
      <c r="B18" s="24">
        <f>_xlfn.XLOOKUP(tblPayrollMaster[[#This Row],[Employee ID]],tblEmployee[Employee ID],tblEmployee[Employee Name],"")</f>
        <v>0</v>
      </c>
      <c r="C18" s="24">
        <f>_xlfn.XLOOKUP(tblPayrollMaster[[#This Row],[Employee ID]],tblEmployee[Employee ID],tblEmployee[Employee Position],"")</f>
        <v>0</v>
      </c>
      <c r="D18" s="24" t="str">
        <f>_xlfn.XLOOKUP(tblPayrollMaster[[#This Row],[Employee ID]], tblEmployee[Employee ID], tblEmployee[Pay Status], "Pay")</f>
        <v>Pay</v>
      </c>
      <c r="E18" s="24" t="str">
        <f>_xlfn.XLOOKUP(tblPayrollMaster[[#This Row],[Employee ID]], tblEmployee[Employee ID], tblEmployee[Payable Flag], "Y")</f>
        <v>Y</v>
      </c>
      <c r="F18" s="45">
        <f>IF(tblPayrollMaster[[#This Row],[Payable Flag]]="N",0,_xlfn.XLOOKUP(tblPayrollMaster[[#This Row],[Employee ID]],tblEmployee[Employee ID],tblEmployee[Pay Factor],1))</f>
        <v>1</v>
      </c>
      <c r="G18" s="26" t="str" cm="1">
        <f t="array" ref="G18">IF(tblPayrollMaster[[#This Row],[Employee ID]]="","",_xlfn.XLOOKUP(selPayPeriodID,tblPayCalendar[PayPeriodID],tblPayCalendar[PeriodStart],""))</f>
        <v/>
      </c>
      <c r="H18" s="26" t="str" cm="1">
        <f t="array" ref="H18">IF(tblPayrollMaster[[#This Row],[Employee ID]]="","",_xlfn.XLOOKUP(selPayPeriodID,tblPayCalendar[PayPeriodID],tblPayCalendar[PeriodEnd],""))</f>
        <v/>
      </c>
      <c r="I18" s="24" t="e" cm="1" vm="1">
        <f t="array" aca="1" ref="I18" ca="1">Table18[Employer Name]</f>
        <v>#VALUE!</v>
      </c>
      <c r="J18" s="3" cm="1">
        <f t="array" ref="J1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8" s="25" t="str">
        <f>_xlfn.XLOOKUP(tblPayrollMaster[[#This Row],[Employee Position]],tblPositionandPayRate[Employee Position],tblPositionandPayRate[Overtime], " ")</f>
        <v xml:space="preserve"> </v>
      </c>
      <c r="L18" s="25">
        <f>_xlfn.XLOOKUP(tblPayrollMaster[[#This Row],[Employee Position]],tblPositionandPayRate[Employee Position],tblPositionandPayRate[Allowance 1],0)*tblPayrollMaster[[#This Row],[Pay Factor]]</f>
        <v>0</v>
      </c>
      <c r="M18" s="25">
        <f>_xlfn.XLOOKUP(tblPayrollMaster[[#This Row],[Employee Position]],tblPositionandPayRate[Employee Position],tblPositionandPayRate[Allowance 2],0)*tblPayrollMaster[[#This Row],[Pay Factor]]</f>
        <v>0</v>
      </c>
      <c r="N18" s="25">
        <f>_xlfn.XLOOKUP(tblPayrollMaster[[#This Row],[Employee Position]],tblPositionandPayRate[Employee Position],tblPositionandPayRate[Allowance 3],0)*tblPayrollMaster[[#This Row],[Pay Factor]]</f>
        <v>0</v>
      </c>
      <c r="O18" s="25">
        <f>_xlfn.XLOOKUP(tblPayrollMaster[[#This Row],[Employee Position]],tblPositionandPayRate[Employee Position],tblPositionandPayRate[Allowance 4],0)*tblPayrollMaster[[#This Row],[Pay Factor]]</f>
        <v>0</v>
      </c>
      <c r="P18" s="25">
        <f>_xlfn.XLOOKUP(tblPayrollMaster[[#This Row],[Employee Position]],tblPositionandPayRate[Employee Position],tblPositionandPayRate[Allowance 5],0)*tblPayrollMaster[[#This Row],[Pay Factor]]</f>
        <v>0</v>
      </c>
      <c r="Q18" s="3">
        <f>SUM(tblPayrollMaster[[#This Row],[Basic Pay]:[Allowance 5]])</f>
        <v>0</v>
      </c>
      <c r="R1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8" s="51" cm="1">
        <f t="array" ref="S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8" s="3" cm="1">
        <f t="array" ref="T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8" s="25">
        <f>_xlfn.LET(
_xlpm.tos, _xlfn.XLOOKUP(tblPayrollMaster[[#This Row],[Employee ID]], tblEmployee[Employee ID], tblEmployee[Type of Service], ""),
IF(_xlpm.tos="Contract of Service", 8.25, 0)
)</f>
        <v>0</v>
      </c>
      <c r="V18" s="25">
        <f>tblPayrollMaster[[#This Row],[Basic Earnings]]-tblPayrollMaster[[#This Row],[Tax]]-tblPayrollMaster[[#This Row],[NIS - Employee]]-tblPayrollMaster[[#This Row],[Health Surcharge]]</f>
        <v>0</v>
      </c>
      <c r="W18" s="25">
        <f>tblPayrollMaster[[#This Row],[Net Pay]]</f>
        <v>0</v>
      </c>
      <c r="X18" s="25"/>
    </row>
    <row r="19" spans="1:24" x14ac:dyDescent="0.25">
      <c r="A19" s="24"/>
      <c r="B19" s="24">
        <f>_xlfn.XLOOKUP(tblPayrollMaster[[#This Row],[Employee ID]],tblEmployee[Employee ID],tblEmployee[Employee Name],"")</f>
        <v>0</v>
      </c>
      <c r="C19" s="24">
        <f>_xlfn.XLOOKUP(tblPayrollMaster[[#This Row],[Employee ID]],tblEmployee[Employee ID],tblEmployee[Employee Position],"")</f>
        <v>0</v>
      </c>
      <c r="D19" s="24" t="str">
        <f>_xlfn.XLOOKUP(tblPayrollMaster[[#This Row],[Employee ID]], tblEmployee[Employee ID], tblEmployee[Pay Status], "Pay")</f>
        <v>Pay</v>
      </c>
      <c r="E19" s="24" t="str">
        <f>_xlfn.XLOOKUP(tblPayrollMaster[[#This Row],[Employee ID]], tblEmployee[Employee ID], tblEmployee[Payable Flag], "Y")</f>
        <v>Y</v>
      </c>
      <c r="F19" s="45">
        <f>IF(tblPayrollMaster[[#This Row],[Payable Flag]]="N",0,_xlfn.XLOOKUP(tblPayrollMaster[[#This Row],[Employee ID]],tblEmployee[Employee ID],tblEmployee[Pay Factor],1))</f>
        <v>1</v>
      </c>
      <c r="G19" s="26" t="str" cm="1">
        <f t="array" ref="G19">IF(tblPayrollMaster[[#This Row],[Employee ID]]="","",_xlfn.XLOOKUP(selPayPeriodID,tblPayCalendar[PayPeriodID],tblPayCalendar[PeriodStart],""))</f>
        <v/>
      </c>
      <c r="H19" s="26" t="str" cm="1">
        <f t="array" ref="H19">IF(tblPayrollMaster[[#This Row],[Employee ID]]="","",_xlfn.XLOOKUP(selPayPeriodID,tblPayCalendar[PayPeriodID],tblPayCalendar[PeriodEnd],""))</f>
        <v/>
      </c>
      <c r="I19" s="24" t="e" cm="1" vm="1">
        <f t="array" aca="1" ref="I19" ca="1">Table18[Employer Name]</f>
        <v>#VALUE!</v>
      </c>
      <c r="J19" s="3" cm="1">
        <f t="array" ref="J1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9" s="25" t="str">
        <f>_xlfn.XLOOKUP(tblPayrollMaster[[#This Row],[Employee Position]],tblPositionandPayRate[Employee Position],tblPositionandPayRate[Overtime], " ")</f>
        <v xml:space="preserve"> </v>
      </c>
      <c r="L19" s="25">
        <f>_xlfn.XLOOKUP(tblPayrollMaster[[#This Row],[Employee Position]],tblPositionandPayRate[Employee Position],tblPositionandPayRate[Allowance 1],0)*tblPayrollMaster[[#This Row],[Pay Factor]]</f>
        <v>0</v>
      </c>
      <c r="M19" s="25">
        <f>_xlfn.XLOOKUP(tblPayrollMaster[[#This Row],[Employee Position]],tblPositionandPayRate[Employee Position],tblPositionandPayRate[Allowance 2],0)*tblPayrollMaster[[#This Row],[Pay Factor]]</f>
        <v>0</v>
      </c>
      <c r="N19" s="25">
        <f>_xlfn.XLOOKUP(tblPayrollMaster[[#This Row],[Employee Position]],tblPositionandPayRate[Employee Position],tblPositionandPayRate[Allowance 3],0)*tblPayrollMaster[[#This Row],[Pay Factor]]</f>
        <v>0</v>
      </c>
      <c r="O19" s="25">
        <f>_xlfn.XLOOKUP(tblPayrollMaster[[#This Row],[Employee Position]],tblPositionandPayRate[Employee Position],tblPositionandPayRate[Allowance 4],0)*tblPayrollMaster[[#This Row],[Pay Factor]]</f>
        <v>0</v>
      </c>
      <c r="P19" s="25">
        <f>_xlfn.XLOOKUP(tblPayrollMaster[[#This Row],[Employee Position]],tblPositionandPayRate[Employee Position],tblPositionandPayRate[Allowance 5],0)*tblPayrollMaster[[#This Row],[Pay Factor]]</f>
        <v>0</v>
      </c>
      <c r="Q19" s="3">
        <f>SUM(tblPayrollMaster[[#This Row],[Basic Pay]:[Allowance 5]])</f>
        <v>0</v>
      </c>
      <c r="R1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9" s="51" cm="1">
        <f t="array" ref="S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9" s="3" cm="1">
        <f t="array" ref="T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9" s="25">
        <f>_xlfn.LET(
_xlpm.tos, _xlfn.XLOOKUP(tblPayrollMaster[[#This Row],[Employee ID]], tblEmployee[Employee ID], tblEmployee[Type of Service], ""),
IF(_xlpm.tos="Contract of Service", 8.25, 0)
)</f>
        <v>0</v>
      </c>
      <c r="V19" s="25">
        <f>tblPayrollMaster[[#This Row],[Basic Earnings]]-tblPayrollMaster[[#This Row],[Tax]]-tblPayrollMaster[[#This Row],[NIS - Employee]]-tblPayrollMaster[[#This Row],[Health Surcharge]]</f>
        <v>0</v>
      </c>
      <c r="W19" s="25">
        <f>tblPayrollMaster[[#This Row],[Net Pay]]</f>
        <v>0</v>
      </c>
      <c r="X19" s="25"/>
    </row>
    <row r="20" spans="1:24" x14ac:dyDescent="0.25">
      <c r="A20" s="24"/>
      <c r="B20" s="24">
        <f>_xlfn.XLOOKUP(tblPayrollMaster[[#This Row],[Employee ID]],tblEmployee[Employee ID],tblEmployee[Employee Name],"")</f>
        <v>0</v>
      </c>
      <c r="C20" s="24">
        <f>_xlfn.XLOOKUP(tblPayrollMaster[[#This Row],[Employee ID]],tblEmployee[Employee ID],tblEmployee[Employee Position],"")</f>
        <v>0</v>
      </c>
      <c r="D20" s="24" t="str">
        <f>_xlfn.XLOOKUP(tblPayrollMaster[[#This Row],[Employee ID]], tblEmployee[Employee ID], tblEmployee[Pay Status], "Pay")</f>
        <v>Pay</v>
      </c>
      <c r="E20" s="24" t="str">
        <f>_xlfn.XLOOKUP(tblPayrollMaster[[#This Row],[Employee ID]], tblEmployee[Employee ID], tblEmployee[Payable Flag], "Y")</f>
        <v>Y</v>
      </c>
      <c r="F20" s="45">
        <f>IF(tblPayrollMaster[[#This Row],[Payable Flag]]="N",0,_xlfn.XLOOKUP(tblPayrollMaster[[#This Row],[Employee ID]],tblEmployee[Employee ID],tblEmployee[Pay Factor],1))</f>
        <v>1</v>
      </c>
      <c r="G20" s="26" t="str" cm="1">
        <f t="array" ref="G20">IF(tblPayrollMaster[[#This Row],[Employee ID]]="","",_xlfn.XLOOKUP(selPayPeriodID,tblPayCalendar[PayPeriodID],tblPayCalendar[PeriodStart],""))</f>
        <v/>
      </c>
      <c r="H20" s="26" t="str" cm="1">
        <f t="array" ref="H20">IF(tblPayrollMaster[[#This Row],[Employee ID]]="","",_xlfn.XLOOKUP(selPayPeriodID,tblPayCalendar[PayPeriodID],tblPayCalendar[PeriodEnd],""))</f>
        <v/>
      </c>
      <c r="I20" s="24" t="e" cm="1" vm="1">
        <f t="array" aca="1" ref="I20" ca="1">Table18[Employer Name]</f>
        <v>#VALUE!</v>
      </c>
      <c r="J20" s="3" cm="1">
        <f t="array" ref="J2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0" s="25" t="str">
        <f>_xlfn.XLOOKUP(tblPayrollMaster[[#This Row],[Employee Position]],tblPositionandPayRate[Employee Position],tblPositionandPayRate[Overtime], " ")</f>
        <v xml:space="preserve"> </v>
      </c>
      <c r="L20" s="25">
        <f>_xlfn.XLOOKUP(tblPayrollMaster[[#This Row],[Employee Position]],tblPositionandPayRate[Employee Position],tblPositionandPayRate[Allowance 1],0)*tblPayrollMaster[[#This Row],[Pay Factor]]</f>
        <v>0</v>
      </c>
      <c r="M20" s="25">
        <f>_xlfn.XLOOKUP(tblPayrollMaster[[#This Row],[Employee Position]],tblPositionandPayRate[Employee Position],tblPositionandPayRate[Allowance 2],0)*tblPayrollMaster[[#This Row],[Pay Factor]]</f>
        <v>0</v>
      </c>
      <c r="N20" s="25">
        <f>_xlfn.XLOOKUP(tblPayrollMaster[[#This Row],[Employee Position]],tblPositionandPayRate[Employee Position],tblPositionandPayRate[Allowance 3],0)*tblPayrollMaster[[#This Row],[Pay Factor]]</f>
        <v>0</v>
      </c>
      <c r="O20" s="25">
        <f>_xlfn.XLOOKUP(tblPayrollMaster[[#This Row],[Employee Position]],tblPositionandPayRate[Employee Position],tblPositionandPayRate[Allowance 4],0)*tblPayrollMaster[[#This Row],[Pay Factor]]</f>
        <v>0</v>
      </c>
      <c r="P20" s="25">
        <f>_xlfn.XLOOKUP(tblPayrollMaster[[#This Row],[Employee Position]],tblPositionandPayRate[Employee Position],tblPositionandPayRate[Allowance 5],0)*tblPayrollMaster[[#This Row],[Pay Factor]]</f>
        <v>0</v>
      </c>
      <c r="Q20" s="3">
        <f>SUM(tblPayrollMaster[[#This Row],[Basic Pay]:[Allowance 5]])</f>
        <v>0</v>
      </c>
      <c r="R2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0" s="51" cm="1">
        <f t="array" ref="S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0" s="3" cm="1">
        <f t="array" ref="T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0" s="25">
        <f>_xlfn.LET(
_xlpm.tos, _xlfn.XLOOKUP(tblPayrollMaster[[#This Row],[Employee ID]], tblEmployee[Employee ID], tblEmployee[Type of Service], ""),
IF(_xlpm.tos="Contract of Service", 8.25, 0)
)</f>
        <v>0</v>
      </c>
      <c r="V20" s="25">
        <f>tblPayrollMaster[[#This Row],[Basic Earnings]]-tblPayrollMaster[[#This Row],[Tax]]-tblPayrollMaster[[#This Row],[NIS - Employee]]-tblPayrollMaster[[#This Row],[Health Surcharge]]</f>
        <v>0</v>
      </c>
      <c r="W20" s="25">
        <f>tblPayrollMaster[[#This Row],[Net Pay]]</f>
        <v>0</v>
      </c>
      <c r="X20" s="25"/>
    </row>
    <row r="21" spans="1:24" x14ac:dyDescent="0.25">
      <c r="A21" s="24"/>
      <c r="B21" s="24">
        <f>_xlfn.XLOOKUP(tblPayrollMaster[[#This Row],[Employee ID]],tblEmployee[Employee ID],tblEmployee[Employee Name],"")</f>
        <v>0</v>
      </c>
      <c r="C21" s="24">
        <f>_xlfn.XLOOKUP(tblPayrollMaster[[#This Row],[Employee ID]],tblEmployee[Employee ID],tblEmployee[Employee Position],"")</f>
        <v>0</v>
      </c>
      <c r="D21" s="24" t="str">
        <f>_xlfn.XLOOKUP(tblPayrollMaster[[#This Row],[Employee ID]], tblEmployee[Employee ID], tblEmployee[Pay Status], "Pay")</f>
        <v>Pay</v>
      </c>
      <c r="E21" s="24" t="str">
        <f>_xlfn.XLOOKUP(tblPayrollMaster[[#This Row],[Employee ID]], tblEmployee[Employee ID], tblEmployee[Payable Flag], "Y")</f>
        <v>Y</v>
      </c>
      <c r="F21" s="45">
        <f>IF(tblPayrollMaster[[#This Row],[Payable Flag]]="N",0,_xlfn.XLOOKUP(tblPayrollMaster[[#This Row],[Employee ID]],tblEmployee[Employee ID],tblEmployee[Pay Factor],1))</f>
        <v>1</v>
      </c>
      <c r="G21" s="26" t="str" cm="1">
        <f t="array" ref="G21">IF(tblPayrollMaster[[#This Row],[Employee ID]]="","",_xlfn.XLOOKUP(selPayPeriodID,tblPayCalendar[PayPeriodID],tblPayCalendar[PeriodStart],""))</f>
        <v/>
      </c>
      <c r="H21" s="26" t="str" cm="1">
        <f t="array" ref="H21">IF(tblPayrollMaster[[#This Row],[Employee ID]]="","",_xlfn.XLOOKUP(selPayPeriodID,tblPayCalendar[PayPeriodID],tblPayCalendar[PeriodEnd],""))</f>
        <v/>
      </c>
      <c r="I21" s="24" t="e" cm="1" vm="1">
        <f t="array" aca="1" ref="I21" ca="1">Table18[Employer Name]</f>
        <v>#VALUE!</v>
      </c>
      <c r="J21" s="3" cm="1">
        <f t="array" ref="J2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1" s="25" t="str">
        <f>_xlfn.XLOOKUP(tblPayrollMaster[[#This Row],[Employee Position]],tblPositionandPayRate[Employee Position],tblPositionandPayRate[Overtime], " ")</f>
        <v xml:space="preserve"> </v>
      </c>
      <c r="L21" s="25">
        <f>_xlfn.XLOOKUP(tblPayrollMaster[[#This Row],[Employee Position]],tblPositionandPayRate[Employee Position],tblPositionandPayRate[Allowance 1],0)*tblPayrollMaster[[#This Row],[Pay Factor]]</f>
        <v>0</v>
      </c>
      <c r="M21" s="25">
        <f>_xlfn.XLOOKUP(tblPayrollMaster[[#This Row],[Employee Position]],tblPositionandPayRate[Employee Position],tblPositionandPayRate[Allowance 2],0)*tblPayrollMaster[[#This Row],[Pay Factor]]</f>
        <v>0</v>
      </c>
      <c r="N21" s="25">
        <f>_xlfn.XLOOKUP(tblPayrollMaster[[#This Row],[Employee Position]],tblPositionandPayRate[Employee Position],tblPositionandPayRate[Allowance 3],0)*tblPayrollMaster[[#This Row],[Pay Factor]]</f>
        <v>0</v>
      </c>
      <c r="O21" s="25">
        <f>_xlfn.XLOOKUP(tblPayrollMaster[[#This Row],[Employee Position]],tblPositionandPayRate[Employee Position],tblPositionandPayRate[Allowance 4],0)*tblPayrollMaster[[#This Row],[Pay Factor]]</f>
        <v>0</v>
      </c>
      <c r="P21" s="25">
        <f>_xlfn.XLOOKUP(tblPayrollMaster[[#This Row],[Employee Position]],tblPositionandPayRate[Employee Position],tblPositionandPayRate[Allowance 5],0)*tblPayrollMaster[[#This Row],[Pay Factor]]</f>
        <v>0</v>
      </c>
      <c r="Q21" s="3">
        <f>SUM(tblPayrollMaster[[#This Row],[Basic Pay]:[Allowance 5]])</f>
        <v>0</v>
      </c>
      <c r="R2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1" s="51" cm="1">
        <f t="array" ref="S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1" s="3" cm="1">
        <f t="array" ref="T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1" s="25">
        <f>_xlfn.LET(
_xlpm.tos, _xlfn.XLOOKUP(tblPayrollMaster[[#This Row],[Employee ID]], tblEmployee[Employee ID], tblEmployee[Type of Service], ""),
IF(_xlpm.tos="Contract of Service", 8.25, 0)
)</f>
        <v>0</v>
      </c>
      <c r="V21" s="25">
        <f>tblPayrollMaster[[#This Row],[Basic Earnings]]-tblPayrollMaster[[#This Row],[Tax]]-tblPayrollMaster[[#This Row],[NIS - Employee]]-tblPayrollMaster[[#This Row],[Health Surcharge]]</f>
        <v>0</v>
      </c>
      <c r="W21" s="25">
        <f>tblPayrollMaster[[#This Row],[Net Pay]]</f>
        <v>0</v>
      </c>
      <c r="X21" s="25"/>
    </row>
    <row r="22" spans="1:24" x14ac:dyDescent="0.25">
      <c r="A22" s="24"/>
      <c r="B22" s="24">
        <f>_xlfn.XLOOKUP(tblPayrollMaster[[#This Row],[Employee ID]],tblEmployee[Employee ID],tblEmployee[Employee Name],"")</f>
        <v>0</v>
      </c>
      <c r="C22" s="24">
        <f>_xlfn.XLOOKUP(tblPayrollMaster[[#This Row],[Employee ID]],tblEmployee[Employee ID],tblEmployee[Employee Position],"")</f>
        <v>0</v>
      </c>
      <c r="D22" s="24" t="str">
        <f>_xlfn.XLOOKUP(tblPayrollMaster[[#This Row],[Employee ID]], tblEmployee[Employee ID], tblEmployee[Pay Status], "Pay")</f>
        <v>Pay</v>
      </c>
      <c r="E22" s="24" t="str">
        <f>_xlfn.XLOOKUP(tblPayrollMaster[[#This Row],[Employee ID]], tblEmployee[Employee ID], tblEmployee[Payable Flag], "Y")</f>
        <v>Y</v>
      </c>
      <c r="F22" s="45">
        <f>IF(tblPayrollMaster[[#This Row],[Payable Flag]]="N",0,_xlfn.XLOOKUP(tblPayrollMaster[[#This Row],[Employee ID]],tblEmployee[Employee ID],tblEmployee[Pay Factor],1))</f>
        <v>1</v>
      </c>
      <c r="G22" s="26" t="str" cm="1">
        <f t="array" ref="G22">IF(tblPayrollMaster[[#This Row],[Employee ID]]="","",_xlfn.XLOOKUP(selPayPeriodID,tblPayCalendar[PayPeriodID],tblPayCalendar[PeriodStart],""))</f>
        <v/>
      </c>
      <c r="H22" s="26" t="str" cm="1">
        <f t="array" ref="H22">IF(tblPayrollMaster[[#This Row],[Employee ID]]="","",_xlfn.XLOOKUP(selPayPeriodID,tblPayCalendar[PayPeriodID],tblPayCalendar[PeriodEnd],""))</f>
        <v/>
      </c>
      <c r="I22" s="24" t="e" cm="1" vm="1">
        <f t="array" aca="1" ref="I22" ca="1">Table18[Employer Name]</f>
        <v>#VALUE!</v>
      </c>
      <c r="J22" s="3" cm="1">
        <f t="array" ref="J2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2" s="25" t="str">
        <f>_xlfn.XLOOKUP(tblPayrollMaster[[#This Row],[Employee Position]],tblPositionandPayRate[Employee Position],tblPositionandPayRate[Overtime], " ")</f>
        <v xml:space="preserve"> </v>
      </c>
      <c r="L22" s="25">
        <f>_xlfn.XLOOKUP(tblPayrollMaster[[#This Row],[Employee Position]],tblPositionandPayRate[Employee Position],tblPositionandPayRate[Allowance 1],0)*tblPayrollMaster[[#This Row],[Pay Factor]]</f>
        <v>0</v>
      </c>
      <c r="M22" s="25">
        <f>_xlfn.XLOOKUP(tblPayrollMaster[[#This Row],[Employee Position]],tblPositionandPayRate[Employee Position],tblPositionandPayRate[Allowance 2],0)*tblPayrollMaster[[#This Row],[Pay Factor]]</f>
        <v>0</v>
      </c>
      <c r="N22" s="25">
        <f>_xlfn.XLOOKUP(tblPayrollMaster[[#This Row],[Employee Position]],tblPositionandPayRate[Employee Position],tblPositionandPayRate[Allowance 3],0)*tblPayrollMaster[[#This Row],[Pay Factor]]</f>
        <v>0</v>
      </c>
      <c r="O22" s="25">
        <f>_xlfn.XLOOKUP(tblPayrollMaster[[#This Row],[Employee Position]],tblPositionandPayRate[Employee Position],tblPositionandPayRate[Allowance 4],0)*tblPayrollMaster[[#This Row],[Pay Factor]]</f>
        <v>0</v>
      </c>
      <c r="P22" s="25">
        <f>_xlfn.XLOOKUP(tblPayrollMaster[[#This Row],[Employee Position]],tblPositionandPayRate[Employee Position],tblPositionandPayRate[Allowance 5],0)*tblPayrollMaster[[#This Row],[Pay Factor]]</f>
        <v>0</v>
      </c>
      <c r="Q22" s="3">
        <f>SUM(tblPayrollMaster[[#This Row],[Basic Pay]:[Allowance 5]])</f>
        <v>0</v>
      </c>
      <c r="R2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2" s="51" cm="1">
        <f t="array" ref="S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2" s="3" cm="1">
        <f t="array" ref="T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2" s="25">
        <f>_xlfn.LET(
_xlpm.tos, _xlfn.XLOOKUP(tblPayrollMaster[[#This Row],[Employee ID]], tblEmployee[Employee ID], tblEmployee[Type of Service], ""),
IF(_xlpm.tos="Contract of Service", 8.25, 0)
)</f>
        <v>0</v>
      </c>
      <c r="V22" s="25">
        <f>tblPayrollMaster[[#This Row],[Basic Earnings]]-tblPayrollMaster[[#This Row],[Tax]]-tblPayrollMaster[[#This Row],[NIS - Employee]]-tblPayrollMaster[[#This Row],[Health Surcharge]]</f>
        <v>0</v>
      </c>
      <c r="W22" s="25">
        <f>tblPayrollMaster[[#This Row],[Net Pay]]</f>
        <v>0</v>
      </c>
      <c r="X22" s="25"/>
    </row>
    <row r="23" spans="1:24" x14ac:dyDescent="0.25">
      <c r="A23" s="24"/>
      <c r="B23" s="24">
        <f>_xlfn.XLOOKUP(tblPayrollMaster[[#This Row],[Employee ID]],tblEmployee[Employee ID],tblEmployee[Employee Name],"")</f>
        <v>0</v>
      </c>
      <c r="C23" s="24">
        <f>_xlfn.XLOOKUP(tblPayrollMaster[[#This Row],[Employee ID]],tblEmployee[Employee ID],tblEmployee[Employee Position],"")</f>
        <v>0</v>
      </c>
      <c r="D23" s="24" t="str">
        <f>_xlfn.XLOOKUP(tblPayrollMaster[[#This Row],[Employee ID]], tblEmployee[Employee ID], tblEmployee[Pay Status], "Pay")</f>
        <v>Pay</v>
      </c>
      <c r="E23" s="24" t="str">
        <f>_xlfn.XLOOKUP(tblPayrollMaster[[#This Row],[Employee ID]], tblEmployee[Employee ID], tblEmployee[Payable Flag], "Y")</f>
        <v>Y</v>
      </c>
      <c r="F23" s="45">
        <f>IF(tblPayrollMaster[[#This Row],[Payable Flag]]="N",0,_xlfn.XLOOKUP(tblPayrollMaster[[#This Row],[Employee ID]],tblEmployee[Employee ID],tblEmployee[Pay Factor],1))</f>
        <v>1</v>
      </c>
      <c r="G23" s="26" t="str" cm="1">
        <f t="array" ref="G23">IF(tblPayrollMaster[[#This Row],[Employee ID]]="","",_xlfn.XLOOKUP(selPayPeriodID,tblPayCalendar[PayPeriodID],tblPayCalendar[PeriodStart],""))</f>
        <v/>
      </c>
      <c r="H23" s="26" t="str" cm="1">
        <f t="array" ref="H23">IF(tblPayrollMaster[[#This Row],[Employee ID]]="","",_xlfn.XLOOKUP(selPayPeriodID,tblPayCalendar[PayPeriodID],tblPayCalendar[PeriodEnd],""))</f>
        <v/>
      </c>
      <c r="I23" s="24" t="e" cm="1" vm="1">
        <f t="array" aca="1" ref="I23" ca="1">Table18[Employer Name]</f>
        <v>#VALUE!</v>
      </c>
      <c r="J23" s="3" cm="1">
        <f t="array" ref="J2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3" s="25" t="str">
        <f>_xlfn.XLOOKUP(tblPayrollMaster[[#This Row],[Employee Position]],tblPositionandPayRate[Employee Position],tblPositionandPayRate[Overtime], " ")</f>
        <v xml:space="preserve"> </v>
      </c>
      <c r="L23" s="25">
        <f>_xlfn.XLOOKUP(tblPayrollMaster[[#This Row],[Employee Position]],tblPositionandPayRate[Employee Position],tblPositionandPayRate[Allowance 1],0)*tblPayrollMaster[[#This Row],[Pay Factor]]</f>
        <v>0</v>
      </c>
      <c r="M23" s="25">
        <f>_xlfn.XLOOKUP(tblPayrollMaster[[#This Row],[Employee Position]],tblPositionandPayRate[Employee Position],tblPositionandPayRate[Allowance 2],0)*tblPayrollMaster[[#This Row],[Pay Factor]]</f>
        <v>0</v>
      </c>
      <c r="N23" s="25">
        <f>_xlfn.XLOOKUP(tblPayrollMaster[[#This Row],[Employee Position]],tblPositionandPayRate[Employee Position],tblPositionandPayRate[Allowance 3],0)*tblPayrollMaster[[#This Row],[Pay Factor]]</f>
        <v>0</v>
      </c>
      <c r="O23" s="25">
        <f>_xlfn.XLOOKUP(tblPayrollMaster[[#This Row],[Employee Position]],tblPositionandPayRate[Employee Position],tblPositionandPayRate[Allowance 4],0)*tblPayrollMaster[[#This Row],[Pay Factor]]</f>
        <v>0</v>
      </c>
      <c r="P23" s="25">
        <f>_xlfn.XLOOKUP(tblPayrollMaster[[#This Row],[Employee Position]],tblPositionandPayRate[Employee Position],tblPositionandPayRate[Allowance 5],0)*tblPayrollMaster[[#This Row],[Pay Factor]]</f>
        <v>0</v>
      </c>
      <c r="Q23" s="3">
        <f>SUM(tblPayrollMaster[[#This Row],[Basic Pay]:[Allowance 5]])</f>
        <v>0</v>
      </c>
      <c r="R2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3" s="51" cm="1">
        <f t="array" ref="S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3" s="3" cm="1">
        <f t="array" ref="T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3" s="25">
        <f>_xlfn.LET(
_xlpm.tos, _xlfn.XLOOKUP(tblPayrollMaster[[#This Row],[Employee ID]], tblEmployee[Employee ID], tblEmployee[Type of Service], ""),
IF(_xlpm.tos="Contract of Service", 8.25, 0)
)</f>
        <v>0</v>
      </c>
      <c r="V23" s="25">
        <f>tblPayrollMaster[[#This Row],[Basic Earnings]]-tblPayrollMaster[[#This Row],[Tax]]-tblPayrollMaster[[#This Row],[NIS - Employee]]-tblPayrollMaster[[#This Row],[Health Surcharge]]</f>
        <v>0</v>
      </c>
      <c r="W23" s="25">
        <f>tblPayrollMaster[[#This Row],[Net Pay]]</f>
        <v>0</v>
      </c>
      <c r="X23" s="25"/>
    </row>
    <row r="24" spans="1:24" x14ac:dyDescent="0.25">
      <c r="A24" s="24"/>
      <c r="B24" s="24">
        <f>_xlfn.XLOOKUP(tblPayrollMaster[[#This Row],[Employee ID]],tblEmployee[Employee ID],tblEmployee[Employee Name],"")</f>
        <v>0</v>
      </c>
      <c r="C24" s="24">
        <f>_xlfn.XLOOKUP(tblPayrollMaster[[#This Row],[Employee ID]],tblEmployee[Employee ID],tblEmployee[Employee Position],"")</f>
        <v>0</v>
      </c>
      <c r="D24" s="24" t="str">
        <f>_xlfn.XLOOKUP(tblPayrollMaster[[#This Row],[Employee ID]], tblEmployee[Employee ID], tblEmployee[Pay Status], "Pay")</f>
        <v>Pay</v>
      </c>
      <c r="E24" s="24" t="str">
        <f>_xlfn.XLOOKUP(tblPayrollMaster[[#This Row],[Employee ID]], tblEmployee[Employee ID], tblEmployee[Payable Flag], "Y")</f>
        <v>Y</v>
      </c>
      <c r="F24" s="45">
        <f>IF(tblPayrollMaster[[#This Row],[Payable Flag]]="N",0,_xlfn.XLOOKUP(tblPayrollMaster[[#This Row],[Employee ID]],tblEmployee[Employee ID],tblEmployee[Pay Factor],1))</f>
        <v>1</v>
      </c>
      <c r="G24" s="26" t="str" cm="1">
        <f t="array" ref="G24">IF(tblPayrollMaster[[#This Row],[Employee ID]]="","",_xlfn.XLOOKUP(selPayPeriodID,tblPayCalendar[PayPeriodID],tblPayCalendar[PeriodStart],""))</f>
        <v/>
      </c>
      <c r="H24" s="26" t="str" cm="1">
        <f t="array" ref="H24">IF(tblPayrollMaster[[#This Row],[Employee ID]]="","",_xlfn.XLOOKUP(selPayPeriodID,tblPayCalendar[PayPeriodID],tblPayCalendar[PeriodEnd],""))</f>
        <v/>
      </c>
      <c r="I24" s="24" t="e" cm="1" vm="1">
        <f t="array" aca="1" ref="I24" ca="1">Table18[Employer Name]</f>
        <v>#VALUE!</v>
      </c>
      <c r="J24" s="3" cm="1">
        <f t="array" ref="J2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4" s="25" t="str">
        <f>_xlfn.XLOOKUP(tblPayrollMaster[[#This Row],[Employee Position]],tblPositionandPayRate[Employee Position],tblPositionandPayRate[Overtime], " ")</f>
        <v xml:space="preserve"> </v>
      </c>
      <c r="L24" s="25">
        <f>_xlfn.XLOOKUP(tblPayrollMaster[[#This Row],[Employee Position]],tblPositionandPayRate[Employee Position],tblPositionandPayRate[Allowance 1],0)*tblPayrollMaster[[#This Row],[Pay Factor]]</f>
        <v>0</v>
      </c>
      <c r="M24" s="25">
        <f>_xlfn.XLOOKUP(tblPayrollMaster[[#This Row],[Employee Position]],tblPositionandPayRate[Employee Position],tblPositionandPayRate[Allowance 2],0)*tblPayrollMaster[[#This Row],[Pay Factor]]</f>
        <v>0</v>
      </c>
      <c r="N24" s="25">
        <f>_xlfn.XLOOKUP(tblPayrollMaster[[#This Row],[Employee Position]],tblPositionandPayRate[Employee Position],tblPositionandPayRate[Allowance 3],0)*tblPayrollMaster[[#This Row],[Pay Factor]]</f>
        <v>0</v>
      </c>
      <c r="O24" s="25">
        <f>_xlfn.XLOOKUP(tblPayrollMaster[[#This Row],[Employee Position]],tblPositionandPayRate[Employee Position],tblPositionandPayRate[Allowance 4],0)*tblPayrollMaster[[#This Row],[Pay Factor]]</f>
        <v>0</v>
      </c>
      <c r="P24" s="25">
        <f>_xlfn.XLOOKUP(tblPayrollMaster[[#This Row],[Employee Position]],tblPositionandPayRate[Employee Position],tblPositionandPayRate[Allowance 5],0)*tblPayrollMaster[[#This Row],[Pay Factor]]</f>
        <v>0</v>
      </c>
      <c r="Q24" s="3">
        <f>SUM(tblPayrollMaster[[#This Row],[Basic Pay]:[Allowance 5]])</f>
        <v>0</v>
      </c>
      <c r="R2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4" s="51" cm="1">
        <f t="array" ref="S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4" s="3" cm="1">
        <f t="array" ref="T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4" s="25">
        <f>_xlfn.LET(
_xlpm.tos, _xlfn.XLOOKUP(tblPayrollMaster[[#This Row],[Employee ID]], tblEmployee[Employee ID], tblEmployee[Type of Service], ""),
IF(_xlpm.tos="Contract of Service", 8.25, 0)
)</f>
        <v>0</v>
      </c>
      <c r="V24" s="25">
        <f>tblPayrollMaster[[#This Row],[Basic Earnings]]-tblPayrollMaster[[#This Row],[Tax]]-tblPayrollMaster[[#This Row],[NIS - Employee]]-tblPayrollMaster[[#This Row],[Health Surcharge]]</f>
        <v>0</v>
      </c>
      <c r="W24" s="25">
        <f>tblPayrollMaster[[#This Row],[Net Pay]]</f>
        <v>0</v>
      </c>
      <c r="X24" s="25"/>
    </row>
    <row r="25" spans="1:24" x14ac:dyDescent="0.25">
      <c r="A25" s="24"/>
      <c r="B25" s="24">
        <f>_xlfn.XLOOKUP(tblPayrollMaster[[#This Row],[Employee ID]],tblEmployee[Employee ID],tblEmployee[Employee Name],"")</f>
        <v>0</v>
      </c>
      <c r="C25" s="24">
        <f>_xlfn.XLOOKUP(tblPayrollMaster[[#This Row],[Employee ID]],tblEmployee[Employee ID],tblEmployee[Employee Position],"")</f>
        <v>0</v>
      </c>
      <c r="D25" s="24" t="str">
        <f>_xlfn.XLOOKUP(tblPayrollMaster[[#This Row],[Employee ID]], tblEmployee[Employee ID], tblEmployee[Pay Status], "Pay")</f>
        <v>Pay</v>
      </c>
      <c r="E25" s="24" t="str">
        <f>_xlfn.XLOOKUP(tblPayrollMaster[[#This Row],[Employee ID]], tblEmployee[Employee ID], tblEmployee[Payable Flag], "Y")</f>
        <v>Y</v>
      </c>
      <c r="F25" s="45">
        <f>IF(tblPayrollMaster[[#This Row],[Payable Flag]]="N",0,_xlfn.XLOOKUP(tblPayrollMaster[[#This Row],[Employee ID]],tblEmployee[Employee ID],tblEmployee[Pay Factor],1))</f>
        <v>1</v>
      </c>
      <c r="G25" s="26" t="str" cm="1">
        <f t="array" ref="G25">IF(tblPayrollMaster[[#This Row],[Employee ID]]="","",_xlfn.XLOOKUP(selPayPeriodID,tblPayCalendar[PayPeriodID],tblPayCalendar[PeriodStart],""))</f>
        <v/>
      </c>
      <c r="H25" s="26" t="str" cm="1">
        <f t="array" ref="H25">IF(tblPayrollMaster[[#This Row],[Employee ID]]="","",_xlfn.XLOOKUP(selPayPeriodID,tblPayCalendar[PayPeriodID],tblPayCalendar[PeriodEnd],""))</f>
        <v/>
      </c>
      <c r="I25" s="24" t="e" cm="1" vm="1">
        <f t="array" aca="1" ref="I25" ca="1">Table18[Employer Name]</f>
        <v>#VALUE!</v>
      </c>
      <c r="J25" s="3" cm="1">
        <f t="array" ref="J2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5" s="25" t="str">
        <f>_xlfn.XLOOKUP(tblPayrollMaster[[#This Row],[Employee Position]],tblPositionandPayRate[Employee Position],tblPositionandPayRate[Overtime], " ")</f>
        <v xml:space="preserve"> </v>
      </c>
      <c r="L25" s="25">
        <f>_xlfn.XLOOKUP(tblPayrollMaster[[#This Row],[Employee Position]],tblPositionandPayRate[Employee Position],tblPositionandPayRate[Allowance 1],0)*tblPayrollMaster[[#This Row],[Pay Factor]]</f>
        <v>0</v>
      </c>
      <c r="M25" s="25">
        <f>_xlfn.XLOOKUP(tblPayrollMaster[[#This Row],[Employee Position]],tblPositionandPayRate[Employee Position],tblPositionandPayRate[Allowance 2],0)*tblPayrollMaster[[#This Row],[Pay Factor]]</f>
        <v>0</v>
      </c>
      <c r="N25" s="25">
        <f>_xlfn.XLOOKUP(tblPayrollMaster[[#This Row],[Employee Position]],tblPositionandPayRate[Employee Position],tblPositionandPayRate[Allowance 3],0)*tblPayrollMaster[[#This Row],[Pay Factor]]</f>
        <v>0</v>
      </c>
      <c r="O25" s="25">
        <f>_xlfn.XLOOKUP(tblPayrollMaster[[#This Row],[Employee Position]],tblPositionandPayRate[Employee Position],tblPositionandPayRate[Allowance 4],0)*tblPayrollMaster[[#This Row],[Pay Factor]]</f>
        <v>0</v>
      </c>
      <c r="P25" s="25">
        <f>_xlfn.XLOOKUP(tblPayrollMaster[[#This Row],[Employee Position]],tblPositionandPayRate[Employee Position],tblPositionandPayRate[Allowance 5],0)*tblPayrollMaster[[#This Row],[Pay Factor]]</f>
        <v>0</v>
      </c>
      <c r="Q25" s="3">
        <f>SUM(tblPayrollMaster[[#This Row],[Basic Pay]:[Allowance 5]])</f>
        <v>0</v>
      </c>
      <c r="R2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5" s="51" cm="1">
        <f t="array" ref="S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5" s="3" cm="1">
        <f t="array" ref="T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5" s="25">
        <f>_xlfn.LET(
_xlpm.tos, _xlfn.XLOOKUP(tblPayrollMaster[[#This Row],[Employee ID]], tblEmployee[Employee ID], tblEmployee[Type of Service], ""),
IF(_xlpm.tos="Contract of Service", 8.25, 0)
)</f>
        <v>0</v>
      </c>
      <c r="V25" s="25">
        <f>tblPayrollMaster[[#This Row],[Basic Earnings]]-tblPayrollMaster[[#This Row],[Tax]]-tblPayrollMaster[[#This Row],[NIS - Employee]]-tblPayrollMaster[[#This Row],[Health Surcharge]]</f>
        <v>0</v>
      </c>
      <c r="W25" s="25">
        <f>tblPayrollMaster[[#This Row],[Net Pay]]</f>
        <v>0</v>
      </c>
      <c r="X25" s="25"/>
    </row>
    <row r="26" spans="1:24" x14ac:dyDescent="0.25">
      <c r="A26" s="24"/>
      <c r="B26" s="24">
        <f>_xlfn.XLOOKUP(tblPayrollMaster[[#This Row],[Employee ID]],tblEmployee[Employee ID],tblEmployee[Employee Name],"")</f>
        <v>0</v>
      </c>
      <c r="C26" s="24">
        <f>_xlfn.XLOOKUP(tblPayrollMaster[[#This Row],[Employee ID]],tblEmployee[Employee ID],tblEmployee[Employee Position],"")</f>
        <v>0</v>
      </c>
      <c r="D26" s="24" t="str">
        <f>_xlfn.XLOOKUP(tblPayrollMaster[[#This Row],[Employee ID]], tblEmployee[Employee ID], tblEmployee[Pay Status], "Pay")</f>
        <v>Pay</v>
      </c>
      <c r="E26" s="24" t="str">
        <f>_xlfn.XLOOKUP(tblPayrollMaster[[#This Row],[Employee ID]], tblEmployee[Employee ID], tblEmployee[Payable Flag], "Y")</f>
        <v>Y</v>
      </c>
      <c r="F26" s="45">
        <f>IF(tblPayrollMaster[[#This Row],[Payable Flag]]="N",0,_xlfn.XLOOKUP(tblPayrollMaster[[#This Row],[Employee ID]],tblEmployee[Employee ID],tblEmployee[Pay Factor],1))</f>
        <v>1</v>
      </c>
      <c r="G26" s="26" t="str" cm="1">
        <f t="array" ref="G26">IF(tblPayrollMaster[[#This Row],[Employee ID]]="","",_xlfn.XLOOKUP(selPayPeriodID,tblPayCalendar[PayPeriodID],tblPayCalendar[PeriodStart],""))</f>
        <v/>
      </c>
      <c r="H26" s="26" t="str" cm="1">
        <f t="array" ref="H26">IF(tblPayrollMaster[[#This Row],[Employee ID]]="","",_xlfn.XLOOKUP(selPayPeriodID,tblPayCalendar[PayPeriodID],tblPayCalendar[PeriodEnd],""))</f>
        <v/>
      </c>
      <c r="I26" s="24" t="e" cm="1" vm="1">
        <f t="array" aca="1" ref="I26" ca="1">Table18[Employer Name]</f>
        <v>#VALUE!</v>
      </c>
      <c r="J26" s="3" cm="1">
        <f t="array" ref="J2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6" s="25" t="str">
        <f>_xlfn.XLOOKUP(tblPayrollMaster[[#This Row],[Employee Position]],tblPositionandPayRate[Employee Position],tblPositionandPayRate[Overtime], " ")</f>
        <v xml:space="preserve"> </v>
      </c>
      <c r="L26" s="25">
        <f>_xlfn.XLOOKUP(tblPayrollMaster[[#This Row],[Employee Position]],tblPositionandPayRate[Employee Position],tblPositionandPayRate[Allowance 1],0)*tblPayrollMaster[[#This Row],[Pay Factor]]</f>
        <v>0</v>
      </c>
      <c r="M26" s="25">
        <f>_xlfn.XLOOKUP(tblPayrollMaster[[#This Row],[Employee Position]],tblPositionandPayRate[Employee Position],tblPositionandPayRate[Allowance 2],0)*tblPayrollMaster[[#This Row],[Pay Factor]]</f>
        <v>0</v>
      </c>
      <c r="N26" s="25">
        <f>_xlfn.XLOOKUP(tblPayrollMaster[[#This Row],[Employee Position]],tblPositionandPayRate[Employee Position],tblPositionandPayRate[Allowance 3],0)*tblPayrollMaster[[#This Row],[Pay Factor]]</f>
        <v>0</v>
      </c>
      <c r="O26" s="25">
        <f>_xlfn.XLOOKUP(tblPayrollMaster[[#This Row],[Employee Position]],tblPositionandPayRate[Employee Position],tblPositionandPayRate[Allowance 4],0)*tblPayrollMaster[[#This Row],[Pay Factor]]</f>
        <v>0</v>
      </c>
      <c r="P26" s="25">
        <f>_xlfn.XLOOKUP(tblPayrollMaster[[#This Row],[Employee Position]],tblPositionandPayRate[Employee Position],tblPositionandPayRate[Allowance 5],0)*tblPayrollMaster[[#This Row],[Pay Factor]]</f>
        <v>0</v>
      </c>
      <c r="Q26" s="3">
        <f>SUM(tblPayrollMaster[[#This Row],[Basic Pay]:[Allowance 5]])</f>
        <v>0</v>
      </c>
      <c r="R2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6" s="51" cm="1">
        <f t="array" ref="S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6" s="3" cm="1">
        <f t="array" ref="T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6" s="25">
        <f>_xlfn.LET(
_xlpm.tos, _xlfn.XLOOKUP(tblPayrollMaster[[#This Row],[Employee ID]], tblEmployee[Employee ID], tblEmployee[Type of Service], ""),
IF(_xlpm.tos="Contract of Service", 8.25, 0)
)</f>
        <v>0</v>
      </c>
      <c r="V26" s="25">
        <f>tblPayrollMaster[[#This Row],[Basic Earnings]]-tblPayrollMaster[[#This Row],[Tax]]-tblPayrollMaster[[#This Row],[NIS - Employee]]-tblPayrollMaster[[#This Row],[Health Surcharge]]</f>
        <v>0</v>
      </c>
      <c r="W26" s="25">
        <f>tblPayrollMaster[[#This Row],[Net Pay]]</f>
        <v>0</v>
      </c>
      <c r="X26" s="25"/>
    </row>
    <row r="27" spans="1:24" x14ac:dyDescent="0.25">
      <c r="A27" s="24"/>
      <c r="B27" s="24">
        <f>_xlfn.XLOOKUP(tblPayrollMaster[[#This Row],[Employee ID]],tblEmployee[Employee ID],tblEmployee[Employee Name],"")</f>
        <v>0</v>
      </c>
      <c r="C27" s="24">
        <f>_xlfn.XLOOKUP(tblPayrollMaster[[#This Row],[Employee ID]],tblEmployee[Employee ID],tblEmployee[Employee Position],"")</f>
        <v>0</v>
      </c>
      <c r="D27" s="24" t="str">
        <f>_xlfn.XLOOKUP(tblPayrollMaster[[#This Row],[Employee ID]], tblEmployee[Employee ID], tblEmployee[Pay Status], "Pay")</f>
        <v>Pay</v>
      </c>
      <c r="E27" s="24" t="str">
        <f>_xlfn.XLOOKUP(tblPayrollMaster[[#This Row],[Employee ID]], tblEmployee[Employee ID], tblEmployee[Payable Flag], "Y")</f>
        <v>Y</v>
      </c>
      <c r="F27" s="45">
        <f>IF(tblPayrollMaster[[#This Row],[Payable Flag]]="N",0,_xlfn.XLOOKUP(tblPayrollMaster[[#This Row],[Employee ID]],tblEmployee[Employee ID],tblEmployee[Pay Factor],1))</f>
        <v>1</v>
      </c>
      <c r="G27" s="26" t="str" cm="1">
        <f t="array" ref="G27">IF(tblPayrollMaster[[#This Row],[Employee ID]]="","",_xlfn.XLOOKUP(selPayPeriodID,tblPayCalendar[PayPeriodID],tblPayCalendar[PeriodStart],""))</f>
        <v/>
      </c>
      <c r="H27" s="26" t="str" cm="1">
        <f t="array" ref="H27">IF(tblPayrollMaster[[#This Row],[Employee ID]]="","",_xlfn.XLOOKUP(selPayPeriodID,tblPayCalendar[PayPeriodID],tblPayCalendar[PeriodEnd],""))</f>
        <v/>
      </c>
      <c r="I27" s="24" t="e" cm="1" vm="1">
        <f t="array" aca="1" ref="I27" ca="1">Table18[Employer Name]</f>
        <v>#VALUE!</v>
      </c>
      <c r="J27" s="3" cm="1">
        <f t="array" ref="J2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7" s="25" t="str">
        <f>_xlfn.XLOOKUP(tblPayrollMaster[[#This Row],[Employee Position]],tblPositionandPayRate[Employee Position],tblPositionandPayRate[Overtime], " ")</f>
        <v xml:space="preserve"> </v>
      </c>
      <c r="L27" s="25">
        <f>_xlfn.XLOOKUP(tblPayrollMaster[[#This Row],[Employee Position]],tblPositionandPayRate[Employee Position],tblPositionandPayRate[Allowance 1],0)*tblPayrollMaster[[#This Row],[Pay Factor]]</f>
        <v>0</v>
      </c>
      <c r="M27" s="25">
        <f>_xlfn.XLOOKUP(tblPayrollMaster[[#This Row],[Employee Position]],tblPositionandPayRate[Employee Position],tblPositionandPayRate[Allowance 2],0)*tblPayrollMaster[[#This Row],[Pay Factor]]</f>
        <v>0</v>
      </c>
      <c r="N27" s="25">
        <f>_xlfn.XLOOKUP(tblPayrollMaster[[#This Row],[Employee Position]],tblPositionandPayRate[Employee Position],tblPositionandPayRate[Allowance 3],0)*tblPayrollMaster[[#This Row],[Pay Factor]]</f>
        <v>0</v>
      </c>
      <c r="O27" s="25">
        <f>_xlfn.XLOOKUP(tblPayrollMaster[[#This Row],[Employee Position]],tblPositionandPayRate[Employee Position],tblPositionandPayRate[Allowance 4],0)*tblPayrollMaster[[#This Row],[Pay Factor]]</f>
        <v>0</v>
      </c>
      <c r="P27" s="25">
        <f>_xlfn.XLOOKUP(tblPayrollMaster[[#This Row],[Employee Position]],tblPositionandPayRate[Employee Position],tblPositionandPayRate[Allowance 5],0)*tblPayrollMaster[[#This Row],[Pay Factor]]</f>
        <v>0</v>
      </c>
      <c r="Q27" s="3">
        <f>SUM(tblPayrollMaster[[#This Row],[Basic Pay]:[Allowance 5]])</f>
        <v>0</v>
      </c>
      <c r="R2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7" s="51" cm="1">
        <f t="array" ref="S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7" s="3" cm="1">
        <f t="array" ref="T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7" s="25">
        <f>_xlfn.LET(
_xlpm.tos, _xlfn.XLOOKUP(tblPayrollMaster[[#This Row],[Employee ID]], tblEmployee[Employee ID], tblEmployee[Type of Service], ""),
IF(_xlpm.tos="Contract of Service", 8.25, 0)
)</f>
        <v>0</v>
      </c>
      <c r="V27" s="25">
        <f>tblPayrollMaster[[#This Row],[Basic Earnings]]-tblPayrollMaster[[#This Row],[Tax]]-tblPayrollMaster[[#This Row],[NIS - Employee]]-tblPayrollMaster[[#This Row],[Health Surcharge]]</f>
        <v>0</v>
      </c>
      <c r="W27" s="25">
        <f>tblPayrollMaster[[#This Row],[Net Pay]]</f>
        <v>0</v>
      </c>
      <c r="X27" s="25"/>
    </row>
    <row r="28" spans="1:24" x14ac:dyDescent="0.25">
      <c r="A28" s="24"/>
      <c r="B28" s="24">
        <f>_xlfn.XLOOKUP(tblPayrollMaster[[#This Row],[Employee ID]],tblEmployee[Employee ID],tblEmployee[Employee Name],"")</f>
        <v>0</v>
      </c>
      <c r="C28" s="24">
        <f>_xlfn.XLOOKUP(tblPayrollMaster[[#This Row],[Employee ID]],tblEmployee[Employee ID],tblEmployee[Employee Position],"")</f>
        <v>0</v>
      </c>
      <c r="D28" s="24" t="str">
        <f>_xlfn.XLOOKUP(tblPayrollMaster[[#This Row],[Employee ID]], tblEmployee[Employee ID], tblEmployee[Pay Status], "Pay")</f>
        <v>Pay</v>
      </c>
      <c r="E28" s="24" t="str">
        <f>_xlfn.XLOOKUP(tblPayrollMaster[[#This Row],[Employee ID]], tblEmployee[Employee ID], tblEmployee[Payable Flag], "Y")</f>
        <v>Y</v>
      </c>
      <c r="F28" s="45">
        <f>IF(tblPayrollMaster[[#This Row],[Payable Flag]]="N",0,_xlfn.XLOOKUP(tblPayrollMaster[[#This Row],[Employee ID]],tblEmployee[Employee ID],tblEmployee[Pay Factor],1))</f>
        <v>1</v>
      </c>
      <c r="G28" s="26" t="str" cm="1">
        <f t="array" ref="G28">IF(tblPayrollMaster[[#This Row],[Employee ID]]="","",_xlfn.XLOOKUP(selPayPeriodID,tblPayCalendar[PayPeriodID],tblPayCalendar[PeriodStart],""))</f>
        <v/>
      </c>
      <c r="H28" s="26" t="str" cm="1">
        <f t="array" ref="H28">IF(tblPayrollMaster[[#This Row],[Employee ID]]="","",_xlfn.XLOOKUP(selPayPeriodID,tblPayCalendar[PayPeriodID],tblPayCalendar[PeriodEnd],""))</f>
        <v/>
      </c>
      <c r="I28" s="24" t="e" cm="1" vm="1">
        <f t="array" aca="1" ref="I28" ca="1">Table18[Employer Name]</f>
        <v>#VALUE!</v>
      </c>
      <c r="J28" s="3" cm="1">
        <f t="array" ref="J2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8" s="25" t="str">
        <f>_xlfn.XLOOKUP(tblPayrollMaster[[#This Row],[Employee Position]],tblPositionandPayRate[Employee Position],tblPositionandPayRate[Overtime], " ")</f>
        <v xml:space="preserve"> </v>
      </c>
      <c r="L28" s="25">
        <f>_xlfn.XLOOKUP(tblPayrollMaster[[#This Row],[Employee Position]],tblPositionandPayRate[Employee Position],tblPositionandPayRate[Allowance 1],0)*tblPayrollMaster[[#This Row],[Pay Factor]]</f>
        <v>0</v>
      </c>
      <c r="M28" s="25">
        <f>_xlfn.XLOOKUP(tblPayrollMaster[[#This Row],[Employee Position]],tblPositionandPayRate[Employee Position],tblPositionandPayRate[Allowance 2],0)*tblPayrollMaster[[#This Row],[Pay Factor]]</f>
        <v>0</v>
      </c>
      <c r="N28" s="25">
        <f>_xlfn.XLOOKUP(tblPayrollMaster[[#This Row],[Employee Position]],tblPositionandPayRate[Employee Position],tblPositionandPayRate[Allowance 3],0)*tblPayrollMaster[[#This Row],[Pay Factor]]</f>
        <v>0</v>
      </c>
      <c r="O28" s="25">
        <f>_xlfn.XLOOKUP(tblPayrollMaster[[#This Row],[Employee Position]],tblPositionandPayRate[Employee Position],tblPositionandPayRate[Allowance 4],0)*tblPayrollMaster[[#This Row],[Pay Factor]]</f>
        <v>0</v>
      </c>
      <c r="P28" s="25">
        <f>_xlfn.XLOOKUP(tblPayrollMaster[[#This Row],[Employee Position]],tblPositionandPayRate[Employee Position],tblPositionandPayRate[Allowance 5],0)*tblPayrollMaster[[#This Row],[Pay Factor]]</f>
        <v>0</v>
      </c>
      <c r="Q28" s="3">
        <f>SUM(tblPayrollMaster[[#This Row],[Basic Pay]:[Allowance 5]])</f>
        <v>0</v>
      </c>
      <c r="R2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8" s="51" cm="1">
        <f t="array" ref="S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8" s="3" cm="1">
        <f t="array" ref="T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8" s="25">
        <f>_xlfn.LET(
_xlpm.tos, _xlfn.XLOOKUP(tblPayrollMaster[[#This Row],[Employee ID]], tblEmployee[Employee ID], tblEmployee[Type of Service], ""),
IF(_xlpm.tos="Contract of Service", 8.25, 0)
)</f>
        <v>0</v>
      </c>
      <c r="V28" s="25">
        <f>tblPayrollMaster[[#This Row],[Basic Earnings]]-tblPayrollMaster[[#This Row],[Tax]]-tblPayrollMaster[[#This Row],[NIS - Employee]]-tblPayrollMaster[[#This Row],[Health Surcharge]]</f>
        <v>0</v>
      </c>
      <c r="W28" s="25">
        <f>tblPayrollMaster[[#This Row],[Net Pay]]</f>
        <v>0</v>
      </c>
      <c r="X28" s="25"/>
    </row>
    <row r="29" spans="1:24" x14ac:dyDescent="0.25">
      <c r="A29" s="24"/>
      <c r="B29" s="24">
        <f>_xlfn.XLOOKUP(tblPayrollMaster[[#This Row],[Employee ID]],tblEmployee[Employee ID],tblEmployee[Employee Name],"")</f>
        <v>0</v>
      </c>
      <c r="C29" s="24">
        <f>_xlfn.XLOOKUP(tblPayrollMaster[[#This Row],[Employee ID]],tblEmployee[Employee ID],tblEmployee[Employee Position],"")</f>
        <v>0</v>
      </c>
      <c r="D29" s="24" t="str">
        <f>_xlfn.XLOOKUP(tblPayrollMaster[[#This Row],[Employee ID]], tblEmployee[Employee ID], tblEmployee[Pay Status], "Pay")</f>
        <v>Pay</v>
      </c>
      <c r="E29" s="24" t="str">
        <f>_xlfn.XLOOKUP(tblPayrollMaster[[#This Row],[Employee ID]], tblEmployee[Employee ID], tblEmployee[Payable Flag], "Y")</f>
        <v>Y</v>
      </c>
      <c r="F29" s="45">
        <f>IF(tblPayrollMaster[[#This Row],[Payable Flag]]="N",0,_xlfn.XLOOKUP(tblPayrollMaster[[#This Row],[Employee ID]],tblEmployee[Employee ID],tblEmployee[Pay Factor],1))</f>
        <v>1</v>
      </c>
      <c r="G29" s="26" t="str" cm="1">
        <f t="array" ref="G29">IF(tblPayrollMaster[[#This Row],[Employee ID]]="","",_xlfn.XLOOKUP(selPayPeriodID,tblPayCalendar[PayPeriodID],tblPayCalendar[PeriodStart],""))</f>
        <v/>
      </c>
      <c r="H29" s="26" t="str" cm="1">
        <f t="array" ref="H29">IF(tblPayrollMaster[[#This Row],[Employee ID]]="","",_xlfn.XLOOKUP(selPayPeriodID,tblPayCalendar[PayPeriodID],tblPayCalendar[PeriodEnd],""))</f>
        <v/>
      </c>
      <c r="I29" s="24" t="e" cm="1" vm="1">
        <f t="array" aca="1" ref="I29" ca="1">Table18[Employer Name]</f>
        <v>#VALUE!</v>
      </c>
      <c r="J29" s="3" cm="1">
        <f t="array" ref="J2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9" s="25" t="str">
        <f>_xlfn.XLOOKUP(tblPayrollMaster[[#This Row],[Employee Position]],tblPositionandPayRate[Employee Position],tblPositionandPayRate[Overtime], " ")</f>
        <v xml:space="preserve"> </v>
      </c>
      <c r="L29" s="25">
        <f>_xlfn.XLOOKUP(tblPayrollMaster[[#This Row],[Employee Position]],tblPositionandPayRate[Employee Position],tblPositionandPayRate[Allowance 1],0)*tblPayrollMaster[[#This Row],[Pay Factor]]</f>
        <v>0</v>
      </c>
      <c r="M29" s="25">
        <f>_xlfn.XLOOKUP(tblPayrollMaster[[#This Row],[Employee Position]],tblPositionandPayRate[Employee Position],tblPositionandPayRate[Allowance 2],0)*tblPayrollMaster[[#This Row],[Pay Factor]]</f>
        <v>0</v>
      </c>
      <c r="N29" s="25">
        <f>_xlfn.XLOOKUP(tblPayrollMaster[[#This Row],[Employee Position]],tblPositionandPayRate[Employee Position],tblPositionandPayRate[Allowance 3],0)*tblPayrollMaster[[#This Row],[Pay Factor]]</f>
        <v>0</v>
      </c>
      <c r="O29" s="25">
        <f>_xlfn.XLOOKUP(tblPayrollMaster[[#This Row],[Employee Position]],tblPositionandPayRate[Employee Position],tblPositionandPayRate[Allowance 4],0)*tblPayrollMaster[[#This Row],[Pay Factor]]</f>
        <v>0</v>
      </c>
      <c r="P29" s="25">
        <f>_xlfn.XLOOKUP(tblPayrollMaster[[#This Row],[Employee Position]],tblPositionandPayRate[Employee Position],tblPositionandPayRate[Allowance 5],0)*tblPayrollMaster[[#This Row],[Pay Factor]]</f>
        <v>0</v>
      </c>
      <c r="Q29" s="3">
        <f>SUM(tblPayrollMaster[[#This Row],[Basic Pay]:[Allowance 5]])</f>
        <v>0</v>
      </c>
      <c r="R2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9" s="51" cm="1">
        <f t="array" ref="S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9" s="3" cm="1">
        <f t="array" ref="T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9" s="25">
        <f>_xlfn.LET(
_xlpm.tos, _xlfn.XLOOKUP(tblPayrollMaster[[#This Row],[Employee ID]], tblEmployee[Employee ID], tblEmployee[Type of Service], ""),
IF(_xlpm.tos="Contract of Service", 8.25, 0)
)</f>
        <v>0</v>
      </c>
      <c r="V29" s="25">
        <f>tblPayrollMaster[[#This Row],[Basic Earnings]]-tblPayrollMaster[[#This Row],[Tax]]-tblPayrollMaster[[#This Row],[NIS - Employee]]-tblPayrollMaster[[#This Row],[Health Surcharge]]</f>
        <v>0</v>
      </c>
      <c r="W29" s="25">
        <f>tblPayrollMaster[[#This Row],[Net Pay]]</f>
        <v>0</v>
      </c>
      <c r="X29" s="25"/>
    </row>
    <row r="30" spans="1:24" x14ac:dyDescent="0.25">
      <c r="A30" s="24"/>
      <c r="B30" s="24">
        <f>_xlfn.XLOOKUP(tblPayrollMaster[[#This Row],[Employee ID]],tblEmployee[Employee ID],tblEmployee[Employee Name],"")</f>
        <v>0</v>
      </c>
      <c r="C30" s="24">
        <f>_xlfn.XLOOKUP(tblPayrollMaster[[#This Row],[Employee ID]],tblEmployee[Employee ID],tblEmployee[Employee Position],"")</f>
        <v>0</v>
      </c>
      <c r="D30" s="24" t="str">
        <f>_xlfn.XLOOKUP(tblPayrollMaster[[#This Row],[Employee ID]], tblEmployee[Employee ID], tblEmployee[Pay Status], "Pay")</f>
        <v>Pay</v>
      </c>
      <c r="E30" s="24" t="str">
        <f>_xlfn.XLOOKUP(tblPayrollMaster[[#This Row],[Employee ID]], tblEmployee[Employee ID], tblEmployee[Payable Flag], "Y")</f>
        <v>Y</v>
      </c>
      <c r="F30" s="45">
        <f>IF(tblPayrollMaster[[#This Row],[Payable Flag]]="N",0,_xlfn.XLOOKUP(tblPayrollMaster[[#This Row],[Employee ID]],tblEmployee[Employee ID],tblEmployee[Pay Factor],1))</f>
        <v>1</v>
      </c>
      <c r="G30" s="26" t="str" cm="1">
        <f t="array" ref="G30">IF(tblPayrollMaster[[#This Row],[Employee ID]]="","",_xlfn.XLOOKUP(selPayPeriodID,tblPayCalendar[PayPeriodID],tblPayCalendar[PeriodStart],""))</f>
        <v/>
      </c>
      <c r="H30" s="26" t="str" cm="1">
        <f t="array" ref="H30">IF(tblPayrollMaster[[#This Row],[Employee ID]]="","",_xlfn.XLOOKUP(selPayPeriodID,tblPayCalendar[PayPeriodID],tblPayCalendar[PeriodEnd],""))</f>
        <v/>
      </c>
      <c r="I30" s="24" t="e" cm="1" vm="1">
        <f t="array" aca="1" ref="I30" ca="1">Table18[Employer Name]</f>
        <v>#VALUE!</v>
      </c>
      <c r="J30" s="3" cm="1">
        <f t="array" ref="J3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0" s="25" t="str">
        <f>_xlfn.XLOOKUP(tblPayrollMaster[[#This Row],[Employee Position]],tblPositionandPayRate[Employee Position],tblPositionandPayRate[Overtime], " ")</f>
        <v xml:space="preserve"> </v>
      </c>
      <c r="L30" s="25">
        <f>_xlfn.XLOOKUP(tblPayrollMaster[[#This Row],[Employee Position]],tblPositionandPayRate[Employee Position],tblPositionandPayRate[Allowance 1],0)*tblPayrollMaster[[#This Row],[Pay Factor]]</f>
        <v>0</v>
      </c>
      <c r="M30" s="25">
        <f>_xlfn.XLOOKUP(tblPayrollMaster[[#This Row],[Employee Position]],tblPositionandPayRate[Employee Position],tblPositionandPayRate[Allowance 2],0)*tblPayrollMaster[[#This Row],[Pay Factor]]</f>
        <v>0</v>
      </c>
      <c r="N30" s="25">
        <f>_xlfn.XLOOKUP(tblPayrollMaster[[#This Row],[Employee Position]],tblPositionandPayRate[Employee Position],tblPositionandPayRate[Allowance 3],0)*tblPayrollMaster[[#This Row],[Pay Factor]]</f>
        <v>0</v>
      </c>
      <c r="O30" s="25">
        <f>_xlfn.XLOOKUP(tblPayrollMaster[[#This Row],[Employee Position]],tblPositionandPayRate[Employee Position],tblPositionandPayRate[Allowance 4],0)*tblPayrollMaster[[#This Row],[Pay Factor]]</f>
        <v>0</v>
      </c>
      <c r="P30" s="25">
        <f>_xlfn.XLOOKUP(tblPayrollMaster[[#This Row],[Employee Position]],tblPositionandPayRate[Employee Position],tblPositionandPayRate[Allowance 5],0)*tblPayrollMaster[[#This Row],[Pay Factor]]</f>
        <v>0</v>
      </c>
      <c r="Q30" s="3">
        <f>SUM(tblPayrollMaster[[#This Row],[Basic Pay]:[Allowance 5]])</f>
        <v>0</v>
      </c>
      <c r="R3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0" s="51" cm="1">
        <f t="array" ref="S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0" s="3" cm="1">
        <f t="array" ref="T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0" s="25">
        <f>_xlfn.LET(
_xlpm.tos, _xlfn.XLOOKUP(tblPayrollMaster[[#This Row],[Employee ID]], tblEmployee[Employee ID], tblEmployee[Type of Service], ""),
IF(_xlpm.tos="Contract of Service", 8.25, 0)
)</f>
        <v>0</v>
      </c>
      <c r="V30" s="25">
        <f>tblPayrollMaster[[#This Row],[Basic Earnings]]-tblPayrollMaster[[#This Row],[Tax]]-tblPayrollMaster[[#This Row],[NIS - Employee]]-tblPayrollMaster[[#This Row],[Health Surcharge]]</f>
        <v>0</v>
      </c>
      <c r="W30" s="25">
        <f>tblPayrollMaster[[#This Row],[Net Pay]]</f>
        <v>0</v>
      </c>
      <c r="X30" s="25"/>
    </row>
    <row r="31" spans="1:24" x14ac:dyDescent="0.25">
      <c r="A31" s="24"/>
      <c r="B31" s="24">
        <f>_xlfn.XLOOKUP(tblPayrollMaster[[#This Row],[Employee ID]],tblEmployee[Employee ID],tblEmployee[Employee Name],"")</f>
        <v>0</v>
      </c>
      <c r="C31" s="24">
        <f>_xlfn.XLOOKUP(tblPayrollMaster[[#This Row],[Employee ID]],tblEmployee[Employee ID],tblEmployee[Employee Position],"")</f>
        <v>0</v>
      </c>
      <c r="D31" s="24" t="str">
        <f>_xlfn.XLOOKUP(tblPayrollMaster[[#This Row],[Employee ID]], tblEmployee[Employee ID], tblEmployee[Pay Status], "Pay")</f>
        <v>Pay</v>
      </c>
      <c r="E31" s="24" t="str">
        <f>_xlfn.XLOOKUP(tblPayrollMaster[[#This Row],[Employee ID]], tblEmployee[Employee ID], tblEmployee[Payable Flag], "Y")</f>
        <v>Y</v>
      </c>
      <c r="F31" s="45">
        <f>IF(tblPayrollMaster[[#This Row],[Payable Flag]]="N",0,_xlfn.XLOOKUP(tblPayrollMaster[[#This Row],[Employee ID]],tblEmployee[Employee ID],tblEmployee[Pay Factor],1))</f>
        <v>1</v>
      </c>
      <c r="G31" s="26" t="str" cm="1">
        <f t="array" ref="G31">IF(tblPayrollMaster[[#This Row],[Employee ID]]="","",_xlfn.XLOOKUP(selPayPeriodID,tblPayCalendar[PayPeriodID],tblPayCalendar[PeriodStart],""))</f>
        <v/>
      </c>
      <c r="H31" s="26" t="str" cm="1">
        <f t="array" ref="H31">IF(tblPayrollMaster[[#This Row],[Employee ID]]="","",_xlfn.XLOOKUP(selPayPeriodID,tblPayCalendar[PayPeriodID],tblPayCalendar[PeriodEnd],""))</f>
        <v/>
      </c>
      <c r="I31" s="24" t="e" cm="1" vm="1">
        <f t="array" aca="1" ref="I31" ca="1">Table18[Employer Name]</f>
        <v>#VALUE!</v>
      </c>
      <c r="J31" s="3" cm="1">
        <f t="array" ref="J3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1" s="25" t="str">
        <f>_xlfn.XLOOKUP(tblPayrollMaster[[#This Row],[Employee Position]],tblPositionandPayRate[Employee Position],tblPositionandPayRate[Overtime], " ")</f>
        <v xml:space="preserve"> </v>
      </c>
      <c r="L31" s="25">
        <f>_xlfn.XLOOKUP(tblPayrollMaster[[#This Row],[Employee Position]],tblPositionandPayRate[Employee Position],tblPositionandPayRate[Allowance 1],0)*tblPayrollMaster[[#This Row],[Pay Factor]]</f>
        <v>0</v>
      </c>
      <c r="M31" s="25">
        <f>_xlfn.XLOOKUP(tblPayrollMaster[[#This Row],[Employee Position]],tblPositionandPayRate[Employee Position],tblPositionandPayRate[Allowance 2],0)*tblPayrollMaster[[#This Row],[Pay Factor]]</f>
        <v>0</v>
      </c>
      <c r="N31" s="25">
        <f>_xlfn.XLOOKUP(tblPayrollMaster[[#This Row],[Employee Position]],tblPositionandPayRate[Employee Position],tblPositionandPayRate[Allowance 3],0)*tblPayrollMaster[[#This Row],[Pay Factor]]</f>
        <v>0</v>
      </c>
      <c r="O31" s="25">
        <f>_xlfn.XLOOKUP(tblPayrollMaster[[#This Row],[Employee Position]],tblPositionandPayRate[Employee Position],tblPositionandPayRate[Allowance 4],0)*tblPayrollMaster[[#This Row],[Pay Factor]]</f>
        <v>0</v>
      </c>
      <c r="P31" s="25">
        <f>_xlfn.XLOOKUP(tblPayrollMaster[[#This Row],[Employee Position]],tblPositionandPayRate[Employee Position],tblPositionandPayRate[Allowance 5],0)*tblPayrollMaster[[#This Row],[Pay Factor]]</f>
        <v>0</v>
      </c>
      <c r="Q31" s="3">
        <f>SUM(tblPayrollMaster[[#This Row],[Basic Pay]:[Allowance 5]])</f>
        <v>0</v>
      </c>
      <c r="R3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1" s="51" cm="1">
        <f t="array" ref="S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1" s="3" cm="1">
        <f t="array" ref="T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1" s="25">
        <f>_xlfn.LET(
_xlpm.tos, _xlfn.XLOOKUP(tblPayrollMaster[[#This Row],[Employee ID]], tblEmployee[Employee ID], tblEmployee[Type of Service], ""),
IF(_xlpm.tos="Contract of Service", 8.25, 0)
)</f>
        <v>0</v>
      </c>
      <c r="V31" s="25">
        <f>tblPayrollMaster[[#This Row],[Basic Earnings]]-tblPayrollMaster[[#This Row],[Tax]]-tblPayrollMaster[[#This Row],[NIS - Employee]]-tblPayrollMaster[[#This Row],[Health Surcharge]]</f>
        <v>0</v>
      </c>
      <c r="W31" s="25">
        <f>tblPayrollMaster[[#This Row],[Net Pay]]</f>
        <v>0</v>
      </c>
      <c r="X31" s="25"/>
    </row>
    <row r="32" spans="1:24" x14ac:dyDescent="0.25">
      <c r="A32" s="24"/>
      <c r="B32" s="24">
        <f>_xlfn.XLOOKUP(tblPayrollMaster[[#This Row],[Employee ID]],tblEmployee[Employee ID],tblEmployee[Employee Name],"")</f>
        <v>0</v>
      </c>
      <c r="C32" s="24">
        <f>_xlfn.XLOOKUP(tblPayrollMaster[[#This Row],[Employee ID]],tblEmployee[Employee ID],tblEmployee[Employee Position],"")</f>
        <v>0</v>
      </c>
      <c r="D32" s="24" t="str">
        <f>_xlfn.XLOOKUP(tblPayrollMaster[[#This Row],[Employee ID]], tblEmployee[Employee ID], tblEmployee[Pay Status], "Pay")</f>
        <v>Pay</v>
      </c>
      <c r="E32" s="24" t="str">
        <f>_xlfn.XLOOKUP(tblPayrollMaster[[#This Row],[Employee ID]], tblEmployee[Employee ID], tblEmployee[Payable Flag], "Y")</f>
        <v>Y</v>
      </c>
      <c r="F32" s="45">
        <f>IF(tblPayrollMaster[[#This Row],[Payable Flag]]="N",0,_xlfn.XLOOKUP(tblPayrollMaster[[#This Row],[Employee ID]],tblEmployee[Employee ID],tblEmployee[Pay Factor],1))</f>
        <v>1</v>
      </c>
      <c r="G32" s="26" t="str" cm="1">
        <f t="array" ref="G32">IF(tblPayrollMaster[[#This Row],[Employee ID]]="","",_xlfn.XLOOKUP(selPayPeriodID,tblPayCalendar[PayPeriodID],tblPayCalendar[PeriodStart],""))</f>
        <v/>
      </c>
      <c r="H32" s="26" t="str" cm="1">
        <f t="array" ref="H32">IF(tblPayrollMaster[[#This Row],[Employee ID]]="","",_xlfn.XLOOKUP(selPayPeriodID,tblPayCalendar[PayPeriodID],tblPayCalendar[PeriodEnd],""))</f>
        <v/>
      </c>
      <c r="I32" s="24" t="e" cm="1" vm="1">
        <f t="array" aca="1" ref="I32" ca="1">Table18[Employer Name]</f>
        <v>#VALUE!</v>
      </c>
      <c r="J32" s="3" cm="1">
        <f t="array" ref="J3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2" s="25" t="str">
        <f>_xlfn.XLOOKUP(tblPayrollMaster[[#This Row],[Employee Position]],tblPositionandPayRate[Employee Position],tblPositionandPayRate[Overtime], " ")</f>
        <v xml:space="preserve"> </v>
      </c>
      <c r="L32" s="25">
        <f>_xlfn.XLOOKUP(tblPayrollMaster[[#This Row],[Employee Position]],tblPositionandPayRate[Employee Position],tblPositionandPayRate[Allowance 1],0)*tblPayrollMaster[[#This Row],[Pay Factor]]</f>
        <v>0</v>
      </c>
      <c r="M32" s="25">
        <f>_xlfn.XLOOKUP(tblPayrollMaster[[#This Row],[Employee Position]],tblPositionandPayRate[Employee Position],tblPositionandPayRate[Allowance 2],0)*tblPayrollMaster[[#This Row],[Pay Factor]]</f>
        <v>0</v>
      </c>
      <c r="N32" s="25">
        <f>_xlfn.XLOOKUP(tblPayrollMaster[[#This Row],[Employee Position]],tblPositionandPayRate[Employee Position],tblPositionandPayRate[Allowance 3],0)*tblPayrollMaster[[#This Row],[Pay Factor]]</f>
        <v>0</v>
      </c>
      <c r="O32" s="25">
        <f>_xlfn.XLOOKUP(tblPayrollMaster[[#This Row],[Employee Position]],tblPositionandPayRate[Employee Position],tblPositionandPayRate[Allowance 4],0)*tblPayrollMaster[[#This Row],[Pay Factor]]</f>
        <v>0</v>
      </c>
      <c r="P32" s="25">
        <f>_xlfn.XLOOKUP(tblPayrollMaster[[#This Row],[Employee Position]],tblPositionandPayRate[Employee Position],tblPositionandPayRate[Allowance 5],0)*tblPayrollMaster[[#This Row],[Pay Factor]]</f>
        <v>0</v>
      </c>
      <c r="Q32" s="3">
        <f>SUM(tblPayrollMaster[[#This Row],[Basic Pay]:[Allowance 5]])</f>
        <v>0</v>
      </c>
      <c r="R3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2" s="51" cm="1">
        <f t="array" ref="S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2" s="3" cm="1">
        <f t="array" ref="T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2" s="25">
        <f>_xlfn.LET(
_xlpm.tos, _xlfn.XLOOKUP(tblPayrollMaster[[#This Row],[Employee ID]], tblEmployee[Employee ID], tblEmployee[Type of Service], ""),
IF(_xlpm.tos="Contract of Service", 8.25, 0)
)</f>
        <v>0</v>
      </c>
      <c r="V32" s="25">
        <f>tblPayrollMaster[[#This Row],[Basic Earnings]]-tblPayrollMaster[[#This Row],[Tax]]-tblPayrollMaster[[#This Row],[NIS - Employee]]-tblPayrollMaster[[#This Row],[Health Surcharge]]</f>
        <v>0</v>
      </c>
      <c r="W32" s="25">
        <f>tblPayrollMaster[[#This Row],[Net Pay]]</f>
        <v>0</v>
      </c>
      <c r="X32" s="25"/>
    </row>
    <row r="33" spans="1:24" x14ac:dyDescent="0.25">
      <c r="A33" s="24"/>
      <c r="B33" s="24">
        <f>_xlfn.XLOOKUP(tblPayrollMaster[[#This Row],[Employee ID]],tblEmployee[Employee ID],tblEmployee[Employee Name],"")</f>
        <v>0</v>
      </c>
      <c r="C33" s="24" t="str">
        <f>_xlfn.XLOOKUP(tblPayrollMaster[[#This Row],[Employee ID]],tblEmployee[Employee ID],tblEmployee[Employee Position],"")</f>
        <v/>
      </c>
      <c r="D33" s="24" t="str">
        <f>_xlfn.XLOOKUP(tblPayrollMaster[[#This Row],[Employee ID]], tblEmployee[Employee ID], tblEmployee[Pay Status], "Pay")</f>
        <v>Pay</v>
      </c>
      <c r="E33" s="24" t="str">
        <f>_xlfn.XLOOKUP(tblPayrollMaster[[#This Row],[Employee ID]], tblEmployee[Employee ID], tblEmployee[Payable Flag], "Y")</f>
        <v>Y</v>
      </c>
      <c r="F33" s="45">
        <f>IF(tblPayrollMaster[[#This Row],[Payable Flag]]="N",0,_xlfn.XLOOKUP(tblPayrollMaster[[#This Row],[Employee ID]],tblEmployee[Employee ID],tblEmployee[Pay Factor],1))</f>
        <v>1</v>
      </c>
      <c r="G33" s="26" t="str" cm="1">
        <f t="array" ref="G33">IF(tblPayrollMaster[[#This Row],[Employee ID]]="","",_xlfn.XLOOKUP(selPayPeriodID,tblPayCalendar[PayPeriodID],tblPayCalendar[PeriodStart],""))</f>
        <v/>
      </c>
      <c r="H33" s="26" t="str" cm="1">
        <f t="array" ref="H33">IF(tblPayrollMaster[[#This Row],[Employee ID]]="","",_xlfn.XLOOKUP(selPayPeriodID,tblPayCalendar[PayPeriodID],tblPayCalendar[PeriodEnd],""))</f>
        <v/>
      </c>
      <c r="I33" s="24" t="e" cm="1" vm="1">
        <f t="array" aca="1" ref="I33" ca="1">Table18[Employer Name]</f>
        <v>#VALUE!</v>
      </c>
      <c r="J33" s="3" cm="1">
        <f t="array" ref="J3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3" s="25" t="str">
        <f>_xlfn.XLOOKUP(tblPayrollMaster[[#This Row],[Employee Position]],tblPositionandPayRate[Employee Position],tblPositionandPayRate[Overtime], " ")</f>
        <v xml:space="preserve"> </v>
      </c>
      <c r="L33" s="25">
        <f>_xlfn.XLOOKUP(tblPayrollMaster[[#This Row],[Employee Position]],tblPositionandPayRate[Employee Position],tblPositionandPayRate[Allowance 1],0)*tblPayrollMaster[[#This Row],[Pay Factor]]</f>
        <v>0</v>
      </c>
      <c r="M33" s="25">
        <f>_xlfn.XLOOKUP(tblPayrollMaster[[#This Row],[Employee Position]],tblPositionandPayRate[Employee Position],tblPositionandPayRate[Allowance 2],0)*tblPayrollMaster[[#This Row],[Pay Factor]]</f>
        <v>0</v>
      </c>
      <c r="N33" s="25">
        <f>_xlfn.XLOOKUP(tblPayrollMaster[[#This Row],[Employee Position]],tblPositionandPayRate[Employee Position],tblPositionandPayRate[Allowance 3],0)*tblPayrollMaster[[#This Row],[Pay Factor]]</f>
        <v>0</v>
      </c>
      <c r="O33" s="25">
        <f>_xlfn.XLOOKUP(tblPayrollMaster[[#This Row],[Employee Position]],tblPositionandPayRate[Employee Position],tblPositionandPayRate[Allowance 4],0)*tblPayrollMaster[[#This Row],[Pay Factor]]</f>
        <v>0</v>
      </c>
      <c r="P33" s="25">
        <f>_xlfn.XLOOKUP(tblPayrollMaster[[#This Row],[Employee Position]],tblPositionandPayRate[Employee Position],tblPositionandPayRate[Allowance 5],0)*tblPayrollMaster[[#This Row],[Pay Factor]]</f>
        <v>0</v>
      </c>
      <c r="Q33" s="3">
        <f>SUM(tblPayrollMaster[[#This Row],[Basic Pay]:[Allowance 5]])</f>
        <v>0</v>
      </c>
      <c r="R3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3" s="51" cm="1">
        <f t="array" ref="S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3" s="3" cm="1">
        <f t="array" ref="T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3" s="25">
        <f>_xlfn.LET(
_xlpm.tos, _xlfn.XLOOKUP(tblPayrollMaster[[#This Row],[Employee ID]], tblEmployee[Employee ID], tblEmployee[Type of Service], ""),
IF(_xlpm.tos="Contract of Service", 8.25, 0)
)</f>
        <v>0</v>
      </c>
      <c r="V33" s="25">
        <f>tblPayrollMaster[[#This Row],[Basic Earnings]]-tblPayrollMaster[[#This Row],[Tax]]-tblPayrollMaster[[#This Row],[NIS - Employee]]-tblPayrollMaster[[#This Row],[Health Surcharge]]</f>
        <v>0</v>
      </c>
      <c r="W33" s="25">
        <f>tblPayrollMaster[[#This Row],[Net Pay]]</f>
        <v>0</v>
      </c>
      <c r="X33" s="25"/>
    </row>
    <row r="34" spans="1:24" x14ac:dyDescent="0.25">
      <c r="A34" s="24"/>
      <c r="B34" s="24">
        <f>_xlfn.XLOOKUP(tblPayrollMaster[[#This Row],[Employee ID]],tblEmployee[Employee ID],tblEmployee[Employee Name],"")</f>
        <v>0</v>
      </c>
      <c r="C34" s="24">
        <f>_xlfn.XLOOKUP(tblPayrollMaster[[#This Row],[Employee ID]],tblEmployee[Employee ID],tblEmployee[Employee Position],"")</f>
        <v>0</v>
      </c>
      <c r="D34" s="24" t="str">
        <f>_xlfn.XLOOKUP(tblPayrollMaster[[#This Row],[Employee ID]], tblEmployee[Employee ID], tblEmployee[Pay Status], "Pay")</f>
        <v>Pay</v>
      </c>
      <c r="E34" s="24" t="str">
        <f>_xlfn.XLOOKUP(tblPayrollMaster[[#This Row],[Employee ID]], tblEmployee[Employee ID], tblEmployee[Payable Flag], "Y")</f>
        <v>Y</v>
      </c>
      <c r="F34" s="45">
        <f>IF(tblPayrollMaster[[#This Row],[Payable Flag]]="N",0,_xlfn.XLOOKUP(tblPayrollMaster[[#This Row],[Employee ID]],tblEmployee[Employee ID],tblEmployee[Pay Factor],1))</f>
        <v>1</v>
      </c>
      <c r="G34" s="26" t="str" cm="1">
        <f t="array" ref="G34">IF(tblPayrollMaster[[#This Row],[Employee ID]]="","",_xlfn.XLOOKUP(selPayPeriodID,tblPayCalendar[PayPeriodID],tblPayCalendar[PeriodStart],""))</f>
        <v/>
      </c>
      <c r="H34" s="26" t="str" cm="1">
        <f t="array" ref="H34">IF(tblPayrollMaster[[#This Row],[Employee ID]]="","",_xlfn.XLOOKUP(selPayPeriodID,tblPayCalendar[PayPeriodID],tblPayCalendar[PeriodEnd],""))</f>
        <v/>
      </c>
      <c r="I34" s="24" t="e" cm="1" vm="1">
        <f t="array" aca="1" ref="I34" ca="1">Table18[Employer Name]</f>
        <v>#VALUE!</v>
      </c>
      <c r="J34" s="3" cm="1">
        <f t="array" ref="J3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4" s="25" t="str">
        <f>_xlfn.XLOOKUP(tblPayrollMaster[[#This Row],[Employee Position]],tblPositionandPayRate[Employee Position],tblPositionandPayRate[Overtime], " ")</f>
        <v xml:space="preserve"> </v>
      </c>
      <c r="L34" s="25">
        <f>_xlfn.XLOOKUP(tblPayrollMaster[[#This Row],[Employee Position]],tblPositionandPayRate[Employee Position],tblPositionandPayRate[Allowance 1],0)*tblPayrollMaster[[#This Row],[Pay Factor]]</f>
        <v>0</v>
      </c>
      <c r="M34" s="25">
        <f>_xlfn.XLOOKUP(tblPayrollMaster[[#This Row],[Employee Position]],tblPositionandPayRate[Employee Position],tblPositionandPayRate[Allowance 2],0)*tblPayrollMaster[[#This Row],[Pay Factor]]</f>
        <v>0</v>
      </c>
      <c r="N34" s="25">
        <f>_xlfn.XLOOKUP(tblPayrollMaster[[#This Row],[Employee Position]],tblPositionandPayRate[Employee Position],tblPositionandPayRate[Allowance 3],0)*tblPayrollMaster[[#This Row],[Pay Factor]]</f>
        <v>0</v>
      </c>
      <c r="O34" s="25">
        <f>_xlfn.XLOOKUP(tblPayrollMaster[[#This Row],[Employee Position]],tblPositionandPayRate[Employee Position],tblPositionandPayRate[Allowance 4],0)*tblPayrollMaster[[#This Row],[Pay Factor]]</f>
        <v>0</v>
      </c>
      <c r="P34" s="25">
        <f>_xlfn.XLOOKUP(tblPayrollMaster[[#This Row],[Employee Position]],tblPositionandPayRate[Employee Position],tblPositionandPayRate[Allowance 5],0)*tblPayrollMaster[[#This Row],[Pay Factor]]</f>
        <v>0</v>
      </c>
      <c r="Q34" s="3">
        <f>SUM(tblPayrollMaster[[#This Row],[Basic Pay]:[Allowance 5]])</f>
        <v>0</v>
      </c>
      <c r="R3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4" s="51" cm="1">
        <f t="array" ref="S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4" s="3" cm="1">
        <f t="array" ref="T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4" s="25">
        <f>_xlfn.LET(
_xlpm.tos, _xlfn.XLOOKUP(tblPayrollMaster[[#This Row],[Employee ID]], tblEmployee[Employee ID], tblEmployee[Type of Service], ""),
IF(_xlpm.tos="Contract of Service", 8.25, 0)
)</f>
        <v>0</v>
      </c>
      <c r="V34" s="25">
        <f>tblPayrollMaster[[#This Row],[Basic Earnings]]-tblPayrollMaster[[#This Row],[Tax]]-tblPayrollMaster[[#This Row],[NIS - Employee]]-tblPayrollMaster[[#This Row],[Health Surcharge]]</f>
        <v>0</v>
      </c>
      <c r="W34" s="25">
        <f>tblPayrollMaster[[#This Row],[Net Pay]]</f>
        <v>0</v>
      </c>
      <c r="X34" s="25"/>
    </row>
    <row r="35" spans="1:24" x14ac:dyDescent="0.25">
      <c r="A35" s="24"/>
      <c r="B35" s="24">
        <f>_xlfn.XLOOKUP(tblPayrollMaster[[#This Row],[Employee ID]],tblEmployee[Employee ID],tblEmployee[Employee Name],"")</f>
        <v>0</v>
      </c>
      <c r="C35" s="24" t="str">
        <f>_xlfn.XLOOKUP(tblPayrollMaster[[#This Row],[Employee ID]],tblEmployee[Employee ID],tblEmployee[Employee Position],"")</f>
        <v/>
      </c>
      <c r="D35" s="24" t="str">
        <f>_xlfn.XLOOKUP(tblPayrollMaster[[#This Row],[Employee ID]], tblEmployee[Employee ID], tblEmployee[Pay Status], "Pay")</f>
        <v>Pay</v>
      </c>
      <c r="E35" s="24" t="str">
        <f>_xlfn.XLOOKUP(tblPayrollMaster[[#This Row],[Employee ID]], tblEmployee[Employee ID], tblEmployee[Payable Flag], "Y")</f>
        <v>Y</v>
      </c>
      <c r="F35" s="45">
        <f>IF(tblPayrollMaster[[#This Row],[Payable Flag]]="N",0,_xlfn.XLOOKUP(tblPayrollMaster[[#This Row],[Employee ID]],tblEmployee[Employee ID],tblEmployee[Pay Factor],1))</f>
        <v>1</v>
      </c>
      <c r="G35" s="26" t="str" cm="1">
        <f t="array" ref="G35">IF(tblPayrollMaster[[#This Row],[Employee ID]]="","",_xlfn.XLOOKUP(selPayPeriodID,tblPayCalendar[PayPeriodID],tblPayCalendar[PeriodStart],""))</f>
        <v/>
      </c>
      <c r="H35" s="26" t="str" cm="1">
        <f t="array" ref="H35">IF(tblPayrollMaster[[#This Row],[Employee ID]]="","",_xlfn.XLOOKUP(selPayPeriodID,tblPayCalendar[PayPeriodID],tblPayCalendar[PeriodEnd],""))</f>
        <v/>
      </c>
      <c r="I35" s="24" t="e" cm="1" vm="1">
        <f t="array" aca="1" ref="I35" ca="1">Table18[Employer Name]</f>
        <v>#VALUE!</v>
      </c>
      <c r="J35" s="3" cm="1">
        <f t="array" ref="J3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5" s="25" t="str">
        <f>_xlfn.XLOOKUP(tblPayrollMaster[[#This Row],[Employee Position]],tblPositionandPayRate[Employee Position],tblPositionandPayRate[Overtime], " ")</f>
        <v xml:space="preserve"> </v>
      </c>
      <c r="L35" s="25">
        <f>_xlfn.XLOOKUP(tblPayrollMaster[[#This Row],[Employee Position]],tblPositionandPayRate[Employee Position],tblPositionandPayRate[Allowance 1],0)*tblPayrollMaster[[#This Row],[Pay Factor]]</f>
        <v>0</v>
      </c>
      <c r="M35" s="25">
        <f>_xlfn.XLOOKUP(tblPayrollMaster[[#This Row],[Employee Position]],tblPositionandPayRate[Employee Position],tblPositionandPayRate[Allowance 2],0)*tblPayrollMaster[[#This Row],[Pay Factor]]</f>
        <v>0</v>
      </c>
      <c r="N35" s="25">
        <f>_xlfn.XLOOKUP(tblPayrollMaster[[#This Row],[Employee Position]],tblPositionandPayRate[Employee Position],tblPositionandPayRate[Allowance 3],0)*tblPayrollMaster[[#This Row],[Pay Factor]]</f>
        <v>0</v>
      </c>
      <c r="O35" s="25">
        <f>_xlfn.XLOOKUP(tblPayrollMaster[[#This Row],[Employee Position]],tblPositionandPayRate[Employee Position],tblPositionandPayRate[Allowance 4],0)*tblPayrollMaster[[#This Row],[Pay Factor]]</f>
        <v>0</v>
      </c>
      <c r="P35" s="25">
        <f>_xlfn.XLOOKUP(tblPayrollMaster[[#This Row],[Employee Position]],tblPositionandPayRate[Employee Position],tblPositionandPayRate[Allowance 5],0)*tblPayrollMaster[[#This Row],[Pay Factor]]</f>
        <v>0</v>
      </c>
      <c r="Q35" s="3">
        <f>SUM(tblPayrollMaster[[#This Row],[Basic Pay]:[Allowance 5]])</f>
        <v>0</v>
      </c>
      <c r="R3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5" s="51" cm="1">
        <f t="array" ref="S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5" s="3" cm="1">
        <f t="array" ref="T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5" s="25">
        <f>_xlfn.LET(
_xlpm.tos, _xlfn.XLOOKUP(tblPayrollMaster[[#This Row],[Employee ID]], tblEmployee[Employee ID], tblEmployee[Type of Service], ""),
IF(_xlpm.tos="Contract of Service", 8.25, 0)
)</f>
        <v>0</v>
      </c>
      <c r="V35" s="25">
        <f>tblPayrollMaster[[#This Row],[Basic Earnings]]-tblPayrollMaster[[#This Row],[Tax]]-tblPayrollMaster[[#This Row],[NIS - Employee]]-tblPayrollMaster[[#This Row],[Health Surcharge]]</f>
        <v>0</v>
      </c>
      <c r="W35" s="25">
        <f>tblPayrollMaster[[#This Row],[Net Pay]]</f>
        <v>0</v>
      </c>
      <c r="X35" s="25"/>
    </row>
    <row r="36" spans="1:24" x14ac:dyDescent="0.25">
      <c r="A36" s="24"/>
      <c r="B36" s="24">
        <f>_xlfn.XLOOKUP(tblPayrollMaster[[#This Row],[Employee ID]],tblEmployee[Employee ID],tblEmployee[Employee Name],"")</f>
        <v>0</v>
      </c>
      <c r="C36" s="24" t="str">
        <f>_xlfn.XLOOKUP(tblPayrollMaster[[#This Row],[Employee ID]],tblEmployee[Employee ID],tblEmployee[Employee Position],"")</f>
        <v/>
      </c>
      <c r="D36" s="24" t="str">
        <f>_xlfn.XLOOKUP(tblPayrollMaster[[#This Row],[Employee ID]], tblEmployee[Employee ID], tblEmployee[Pay Status], "Pay")</f>
        <v>Pay</v>
      </c>
      <c r="E36" s="24" t="str">
        <f>_xlfn.XLOOKUP(tblPayrollMaster[[#This Row],[Employee ID]], tblEmployee[Employee ID], tblEmployee[Payable Flag], "Y")</f>
        <v>Y</v>
      </c>
      <c r="F36" s="45">
        <f>IF(tblPayrollMaster[[#This Row],[Payable Flag]]="N",0,_xlfn.XLOOKUP(tblPayrollMaster[[#This Row],[Employee ID]],tblEmployee[Employee ID],tblEmployee[Pay Factor],1))</f>
        <v>1</v>
      </c>
      <c r="G36" s="26" t="str" cm="1">
        <f t="array" ref="G36">IF(tblPayrollMaster[[#This Row],[Employee ID]]="","",_xlfn.XLOOKUP(selPayPeriodID,tblPayCalendar[PayPeriodID],tblPayCalendar[PeriodStart],""))</f>
        <v/>
      </c>
      <c r="H36" s="26" t="str" cm="1">
        <f t="array" ref="H36">IF(tblPayrollMaster[[#This Row],[Employee ID]]="","",_xlfn.XLOOKUP(selPayPeriodID,tblPayCalendar[PayPeriodID],tblPayCalendar[PeriodEnd],""))</f>
        <v/>
      </c>
      <c r="I36" s="24" t="e" cm="1" vm="1">
        <f t="array" aca="1" ref="I36" ca="1">Table18[Employer Name]</f>
        <v>#VALUE!</v>
      </c>
      <c r="J36" s="3" cm="1">
        <f t="array" ref="J3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6" s="25" t="str">
        <f>_xlfn.XLOOKUP(tblPayrollMaster[[#This Row],[Employee Position]],tblPositionandPayRate[Employee Position],tblPositionandPayRate[Overtime], " ")</f>
        <v xml:space="preserve"> </v>
      </c>
      <c r="L36" s="25">
        <f>_xlfn.XLOOKUP(tblPayrollMaster[[#This Row],[Employee Position]],tblPositionandPayRate[Employee Position],tblPositionandPayRate[Allowance 1],0)*tblPayrollMaster[[#This Row],[Pay Factor]]</f>
        <v>0</v>
      </c>
      <c r="M36" s="25">
        <f>_xlfn.XLOOKUP(tblPayrollMaster[[#This Row],[Employee Position]],tblPositionandPayRate[Employee Position],tblPositionandPayRate[Allowance 2],0)*tblPayrollMaster[[#This Row],[Pay Factor]]</f>
        <v>0</v>
      </c>
      <c r="N36" s="25">
        <f>_xlfn.XLOOKUP(tblPayrollMaster[[#This Row],[Employee Position]],tblPositionandPayRate[Employee Position],tblPositionandPayRate[Allowance 3],0)*tblPayrollMaster[[#This Row],[Pay Factor]]</f>
        <v>0</v>
      </c>
      <c r="O36" s="25">
        <f>_xlfn.XLOOKUP(tblPayrollMaster[[#This Row],[Employee Position]],tblPositionandPayRate[Employee Position],tblPositionandPayRate[Allowance 4],0)*tblPayrollMaster[[#This Row],[Pay Factor]]</f>
        <v>0</v>
      </c>
      <c r="P36" s="25">
        <f>_xlfn.XLOOKUP(tblPayrollMaster[[#This Row],[Employee Position]],tblPositionandPayRate[Employee Position],tblPositionandPayRate[Allowance 5],0)*tblPayrollMaster[[#This Row],[Pay Factor]]</f>
        <v>0</v>
      </c>
      <c r="Q36" s="3">
        <f>SUM(tblPayrollMaster[[#This Row],[Basic Pay]:[Allowance 5]])</f>
        <v>0</v>
      </c>
      <c r="R3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6" s="51" cm="1">
        <f t="array" ref="S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6" s="3" cm="1">
        <f t="array" ref="T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6" s="25">
        <f>_xlfn.LET(
_xlpm.tos, _xlfn.XLOOKUP(tblPayrollMaster[[#This Row],[Employee ID]], tblEmployee[Employee ID], tblEmployee[Type of Service], ""),
IF(_xlpm.tos="Contract of Service", 8.25, 0)
)</f>
        <v>0</v>
      </c>
      <c r="V36" s="25">
        <f>tblPayrollMaster[[#This Row],[Basic Earnings]]-tblPayrollMaster[[#This Row],[Tax]]-tblPayrollMaster[[#This Row],[NIS - Employee]]-tblPayrollMaster[[#This Row],[Health Surcharge]]</f>
        <v>0</v>
      </c>
      <c r="W36" s="25">
        <f>tblPayrollMaster[[#This Row],[Net Pay]]</f>
        <v>0</v>
      </c>
      <c r="X36" s="25"/>
    </row>
    <row r="37" spans="1:24" x14ac:dyDescent="0.25">
      <c r="A37" s="24"/>
      <c r="B37" s="24" t="str">
        <f>_xlfn.XLOOKUP(tblPayrollMaster[[#This Row],[Employee ID]],tblEmployee[Employee ID],tblEmployee[Employee Name],"")</f>
        <v/>
      </c>
      <c r="C37" s="24" t="str">
        <f>_xlfn.XLOOKUP(tblPayrollMaster[[#This Row],[Employee ID]],tblEmployee[Employee ID],tblEmployee[Employee Position],"")</f>
        <v/>
      </c>
      <c r="D37" s="24" t="str">
        <f>_xlfn.XLOOKUP(tblPayrollMaster[[#This Row],[Employee ID]], tblEmployee[Employee ID], tblEmployee[Pay Status], "Pay")</f>
        <v>Pay</v>
      </c>
      <c r="E37" s="24" t="str">
        <f>_xlfn.XLOOKUP(tblPayrollMaster[[#This Row],[Employee ID]], tblEmployee[Employee ID], tblEmployee[Payable Flag], "Y")</f>
        <v>Y</v>
      </c>
      <c r="F37" s="45">
        <f>IF(tblPayrollMaster[[#This Row],[Payable Flag]]="N",0,_xlfn.XLOOKUP(tblPayrollMaster[[#This Row],[Employee ID]],tblEmployee[Employee ID],tblEmployee[Pay Factor],1))</f>
        <v>1</v>
      </c>
      <c r="G37" s="26" t="str" cm="1">
        <f t="array" ref="G37">IF(tblPayrollMaster[[#This Row],[Employee ID]]="","",_xlfn.XLOOKUP(selPayPeriodID,tblPayCalendar[PayPeriodID],tblPayCalendar[PeriodStart],""))</f>
        <v/>
      </c>
      <c r="H37" s="26" t="str" cm="1">
        <f t="array" ref="H37">IF(tblPayrollMaster[[#This Row],[Employee ID]]="","",_xlfn.XLOOKUP(selPayPeriodID,tblPayCalendar[PayPeriodID],tblPayCalendar[PeriodEnd],""))</f>
        <v/>
      </c>
      <c r="I37" s="24" t="e" cm="1" vm="1">
        <f t="array" aca="1" ref="I37" ca="1">Table18[Employer Name]</f>
        <v>#VALUE!</v>
      </c>
      <c r="J37" s="3" cm="1">
        <f t="array" ref="J3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7" s="25" t="str">
        <f>_xlfn.XLOOKUP(tblPayrollMaster[[#This Row],[Employee Position]],tblPositionandPayRate[Employee Position],tblPositionandPayRate[Overtime], " ")</f>
        <v xml:space="preserve"> </v>
      </c>
      <c r="L37" s="25">
        <f>_xlfn.XLOOKUP(tblPayrollMaster[[#This Row],[Employee Position]],tblPositionandPayRate[Employee Position],tblPositionandPayRate[Allowance 1],0)*tblPayrollMaster[[#This Row],[Pay Factor]]</f>
        <v>0</v>
      </c>
      <c r="M37" s="25">
        <f>_xlfn.XLOOKUP(tblPayrollMaster[[#This Row],[Employee Position]],tblPositionandPayRate[Employee Position],tblPositionandPayRate[Allowance 2],0)*tblPayrollMaster[[#This Row],[Pay Factor]]</f>
        <v>0</v>
      </c>
      <c r="N37" s="25">
        <f>_xlfn.XLOOKUP(tblPayrollMaster[[#This Row],[Employee Position]],tblPositionandPayRate[Employee Position],tblPositionandPayRate[Allowance 3],0)*tblPayrollMaster[[#This Row],[Pay Factor]]</f>
        <v>0</v>
      </c>
      <c r="O37" s="25">
        <f>_xlfn.XLOOKUP(tblPayrollMaster[[#This Row],[Employee Position]],tblPositionandPayRate[Employee Position],tblPositionandPayRate[Allowance 4],0)*tblPayrollMaster[[#This Row],[Pay Factor]]</f>
        <v>0</v>
      </c>
      <c r="P37" s="25">
        <f>_xlfn.XLOOKUP(tblPayrollMaster[[#This Row],[Employee Position]],tblPositionandPayRate[Employee Position],tblPositionandPayRate[Allowance 5],0)*tblPayrollMaster[[#This Row],[Pay Factor]]</f>
        <v>0</v>
      </c>
      <c r="Q37" s="3">
        <f>SUM(tblPayrollMaster[[#This Row],[Basic Pay]:[Allowance 5]])</f>
        <v>0</v>
      </c>
      <c r="R3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7" s="51" cm="1">
        <f t="array" ref="S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7" s="3" cm="1">
        <f t="array" ref="T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7" s="25">
        <f>_xlfn.LET(
_xlpm.tos, _xlfn.XLOOKUP(tblPayrollMaster[[#This Row],[Employee ID]], tblEmployee[Employee ID], tblEmployee[Type of Service], ""),
IF(_xlpm.tos="Contract of Service", 8.25, 0)
)</f>
        <v>0</v>
      </c>
      <c r="V37" s="25">
        <f>tblPayrollMaster[[#This Row],[Basic Earnings]]-tblPayrollMaster[[#This Row],[Tax]]-tblPayrollMaster[[#This Row],[NIS - Employee]]-tblPayrollMaster[[#This Row],[Health Surcharge]]</f>
        <v>0</v>
      </c>
      <c r="W37" s="25">
        <f>tblPayrollMaster[[#This Row],[Net Pay]]</f>
        <v>0</v>
      </c>
      <c r="X37" s="25"/>
    </row>
    <row r="38" spans="1:24" x14ac:dyDescent="0.25">
      <c r="A38" s="24"/>
      <c r="B38" s="24" t="str">
        <f>_xlfn.XLOOKUP(tblPayrollMaster[[#This Row],[Employee ID]],tblEmployee[Employee ID],tblEmployee[Employee Name],"")</f>
        <v/>
      </c>
      <c r="C38" s="24" t="str">
        <f>_xlfn.XLOOKUP(tblPayrollMaster[[#This Row],[Employee ID]],tblEmployee[Employee ID],tblEmployee[Employee Position],"")</f>
        <v/>
      </c>
      <c r="D38" s="24" t="str">
        <f>_xlfn.XLOOKUP(tblPayrollMaster[[#This Row],[Employee ID]], tblEmployee[Employee ID], tblEmployee[Pay Status], "Pay")</f>
        <v>Pay</v>
      </c>
      <c r="E38" s="24" t="str">
        <f>_xlfn.XLOOKUP(tblPayrollMaster[[#This Row],[Employee ID]], tblEmployee[Employee ID], tblEmployee[Payable Flag], "Y")</f>
        <v>Y</v>
      </c>
      <c r="F38" s="45">
        <f>IF(tblPayrollMaster[[#This Row],[Payable Flag]]="N",0,_xlfn.XLOOKUP(tblPayrollMaster[[#This Row],[Employee ID]],tblEmployee[Employee ID],tblEmployee[Pay Factor],1))</f>
        <v>1</v>
      </c>
      <c r="G38" s="26" t="str" cm="1">
        <f t="array" ref="G38">IF(tblPayrollMaster[[#This Row],[Employee ID]]="","",_xlfn.XLOOKUP(selPayPeriodID,tblPayCalendar[PayPeriodID],tblPayCalendar[PeriodStart],""))</f>
        <v/>
      </c>
      <c r="H38" s="26" t="str" cm="1">
        <f t="array" ref="H38">IF(tblPayrollMaster[[#This Row],[Employee ID]]="","",_xlfn.XLOOKUP(selPayPeriodID,tblPayCalendar[PayPeriodID],tblPayCalendar[PeriodEnd],""))</f>
        <v/>
      </c>
      <c r="I38" s="24" t="e" cm="1" vm="1">
        <f t="array" aca="1" ref="I38" ca="1">Table18[Employer Name]</f>
        <v>#VALUE!</v>
      </c>
      <c r="J38" s="3" cm="1">
        <f t="array" ref="J3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8" s="25" t="str">
        <f>_xlfn.XLOOKUP(tblPayrollMaster[[#This Row],[Employee Position]],tblPositionandPayRate[Employee Position],tblPositionandPayRate[Overtime], " ")</f>
        <v xml:space="preserve"> </v>
      </c>
      <c r="L38" s="25">
        <f>_xlfn.XLOOKUP(tblPayrollMaster[[#This Row],[Employee Position]],tblPositionandPayRate[Employee Position],tblPositionandPayRate[Allowance 1],0)*tblPayrollMaster[[#This Row],[Pay Factor]]</f>
        <v>0</v>
      </c>
      <c r="M38" s="25">
        <f>_xlfn.XLOOKUP(tblPayrollMaster[[#This Row],[Employee Position]],tblPositionandPayRate[Employee Position],tblPositionandPayRate[Allowance 2],0)*tblPayrollMaster[[#This Row],[Pay Factor]]</f>
        <v>0</v>
      </c>
      <c r="N38" s="25">
        <f>_xlfn.XLOOKUP(tblPayrollMaster[[#This Row],[Employee Position]],tblPositionandPayRate[Employee Position],tblPositionandPayRate[Allowance 3],0)*tblPayrollMaster[[#This Row],[Pay Factor]]</f>
        <v>0</v>
      </c>
      <c r="O38" s="25">
        <f>_xlfn.XLOOKUP(tblPayrollMaster[[#This Row],[Employee Position]],tblPositionandPayRate[Employee Position],tblPositionandPayRate[Allowance 4],0)*tblPayrollMaster[[#This Row],[Pay Factor]]</f>
        <v>0</v>
      </c>
      <c r="P38" s="25">
        <f>_xlfn.XLOOKUP(tblPayrollMaster[[#This Row],[Employee Position]],tblPositionandPayRate[Employee Position],tblPositionandPayRate[Allowance 5],0)*tblPayrollMaster[[#This Row],[Pay Factor]]</f>
        <v>0</v>
      </c>
      <c r="Q38" s="3">
        <f>SUM(tblPayrollMaster[[#This Row],[Basic Pay]:[Allowance 5]])</f>
        <v>0</v>
      </c>
      <c r="R3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8" s="51" cm="1">
        <f t="array" ref="S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8" s="3" cm="1">
        <f t="array" ref="T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8" s="25">
        <f>_xlfn.LET(
_xlpm.tos, _xlfn.XLOOKUP(tblPayrollMaster[[#This Row],[Employee ID]], tblEmployee[Employee ID], tblEmployee[Type of Service], ""),
IF(_xlpm.tos="Contract of Service", 8.25, 0)
)</f>
        <v>0</v>
      </c>
      <c r="V38" s="25">
        <f>tblPayrollMaster[[#This Row],[Basic Earnings]]-tblPayrollMaster[[#This Row],[Tax]]-tblPayrollMaster[[#This Row],[NIS - Employee]]-tblPayrollMaster[[#This Row],[Health Surcharge]]</f>
        <v>0</v>
      </c>
      <c r="W38" s="25">
        <f>tblPayrollMaster[[#This Row],[Net Pay]]</f>
        <v>0</v>
      </c>
      <c r="X38" s="25"/>
    </row>
    <row r="39" spans="1:24" x14ac:dyDescent="0.25">
      <c r="A39" s="24"/>
      <c r="B39" s="24" t="str">
        <f>_xlfn.XLOOKUP(tblPayrollMaster[[#This Row],[Employee ID]],tblEmployee[Employee ID],tblEmployee[Employee Name],"")</f>
        <v/>
      </c>
      <c r="C39" s="24" t="str">
        <f>_xlfn.XLOOKUP(tblPayrollMaster[[#This Row],[Employee ID]],tblEmployee[Employee ID],tblEmployee[Employee Position],"")</f>
        <v/>
      </c>
      <c r="D39" s="24" t="str">
        <f>_xlfn.XLOOKUP(tblPayrollMaster[[#This Row],[Employee ID]], tblEmployee[Employee ID], tblEmployee[Pay Status], "Pay")</f>
        <v>Pay</v>
      </c>
      <c r="E39" s="24" t="str">
        <f>_xlfn.XLOOKUP(tblPayrollMaster[[#This Row],[Employee ID]], tblEmployee[Employee ID], tblEmployee[Payable Flag], "Y")</f>
        <v>Y</v>
      </c>
      <c r="F39" s="45">
        <f>IF(tblPayrollMaster[[#This Row],[Payable Flag]]="N",0,_xlfn.XLOOKUP(tblPayrollMaster[[#This Row],[Employee ID]],tblEmployee[Employee ID],tblEmployee[Pay Factor],1))</f>
        <v>1</v>
      </c>
      <c r="G39" s="26" t="str" cm="1">
        <f t="array" ref="G39">IF(tblPayrollMaster[[#This Row],[Employee ID]]="","",_xlfn.XLOOKUP(selPayPeriodID,tblPayCalendar[PayPeriodID],tblPayCalendar[PeriodStart],""))</f>
        <v/>
      </c>
      <c r="H39" s="26" t="str" cm="1">
        <f t="array" ref="H39">IF(tblPayrollMaster[[#This Row],[Employee ID]]="","",_xlfn.XLOOKUP(selPayPeriodID,tblPayCalendar[PayPeriodID],tblPayCalendar[PeriodEnd],""))</f>
        <v/>
      </c>
      <c r="I39" s="24" t="e" cm="1" vm="1">
        <f t="array" aca="1" ref="I39" ca="1">Table18[Employer Name]</f>
        <v>#VALUE!</v>
      </c>
      <c r="J39" s="3" cm="1">
        <f t="array" ref="J3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9" s="25" t="str">
        <f>_xlfn.XLOOKUP(tblPayrollMaster[[#This Row],[Employee Position]],tblPositionandPayRate[Employee Position],tblPositionandPayRate[Overtime], " ")</f>
        <v xml:space="preserve"> </v>
      </c>
      <c r="L39" s="25">
        <f>_xlfn.XLOOKUP(tblPayrollMaster[[#This Row],[Employee Position]],tblPositionandPayRate[Employee Position],tblPositionandPayRate[Allowance 1],0)*tblPayrollMaster[[#This Row],[Pay Factor]]</f>
        <v>0</v>
      </c>
      <c r="M39" s="25">
        <f>_xlfn.XLOOKUP(tblPayrollMaster[[#This Row],[Employee Position]],tblPositionandPayRate[Employee Position],tblPositionandPayRate[Allowance 2],0)*tblPayrollMaster[[#This Row],[Pay Factor]]</f>
        <v>0</v>
      </c>
      <c r="N39" s="25">
        <f>_xlfn.XLOOKUP(tblPayrollMaster[[#This Row],[Employee Position]],tblPositionandPayRate[Employee Position],tblPositionandPayRate[Allowance 3],0)*tblPayrollMaster[[#This Row],[Pay Factor]]</f>
        <v>0</v>
      </c>
      <c r="O39" s="25">
        <f>_xlfn.XLOOKUP(tblPayrollMaster[[#This Row],[Employee Position]],tblPositionandPayRate[Employee Position],tblPositionandPayRate[Allowance 4],0)*tblPayrollMaster[[#This Row],[Pay Factor]]</f>
        <v>0</v>
      </c>
      <c r="P39" s="25">
        <f>_xlfn.XLOOKUP(tblPayrollMaster[[#This Row],[Employee Position]],tblPositionandPayRate[Employee Position],tblPositionandPayRate[Allowance 5],0)*tblPayrollMaster[[#This Row],[Pay Factor]]</f>
        <v>0</v>
      </c>
      <c r="Q39" s="3">
        <f>SUM(tblPayrollMaster[[#This Row],[Basic Pay]:[Allowance 5]])</f>
        <v>0</v>
      </c>
      <c r="R3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9" s="51" cm="1">
        <f t="array" ref="S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9" s="3" cm="1">
        <f t="array" ref="T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9" s="25">
        <f>_xlfn.LET(
_xlpm.tos, _xlfn.XLOOKUP(tblPayrollMaster[[#This Row],[Employee ID]], tblEmployee[Employee ID], tblEmployee[Type of Service], ""),
IF(_xlpm.tos="Contract of Service", 8.25, 0)
)</f>
        <v>0</v>
      </c>
      <c r="V39" s="25">
        <f>tblPayrollMaster[[#This Row],[Basic Earnings]]-tblPayrollMaster[[#This Row],[Tax]]-tblPayrollMaster[[#This Row],[NIS - Employee]]-tblPayrollMaster[[#This Row],[Health Surcharge]]</f>
        <v>0</v>
      </c>
      <c r="W39" s="25">
        <f>tblPayrollMaster[[#This Row],[Net Pay]]</f>
        <v>0</v>
      </c>
      <c r="X39" s="25"/>
    </row>
    <row r="40" spans="1:24" x14ac:dyDescent="0.25">
      <c r="A40" s="24"/>
      <c r="B40" s="24" t="str">
        <f>_xlfn.XLOOKUP(tblPayrollMaster[[#This Row],[Employee ID]],tblEmployee[Employee ID],tblEmployee[Employee Name],"")</f>
        <v/>
      </c>
      <c r="C40" s="24" t="str">
        <f>_xlfn.XLOOKUP(tblPayrollMaster[[#This Row],[Employee ID]],tblEmployee[Employee ID],tblEmployee[Employee Position],"")</f>
        <v/>
      </c>
      <c r="D40" s="24" t="str">
        <f>_xlfn.XLOOKUP(tblPayrollMaster[[#This Row],[Employee ID]], tblEmployee[Employee ID], tblEmployee[Pay Status], "Pay")</f>
        <v>Pay</v>
      </c>
      <c r="E40" s="24" t="str">
        <f>_xlfn.XLOOKUP(tblPayrollMaster[[#This Row],[Employee ID]], tblEmployee[Employee ID], tblEmployee[Payable Flag], "Y")</f>
        <v>Y</v>
      </c>
      <c r="F40" s="45">
        <f>IF(tblPayrollMaster[[#This Row],[Payable Flag]]="N",0,_xlfn.XLOOKUP(tblPayrollMaster[[#This Row],[Employee ID]],tblEmployee[Employee ID],tblEmployee[Pay Factor],1))</f>
        <v>1</v>
      </c>
      <c r="G40" s="26" t="str" cm="1">
        <f t="array" ref="G40">IF(tblPayrollMaster[[#This Row],[Employee ID]]="","",_xlfn.XLOOKUP(selPayPeriodID,tblPayCalendar[PayPeriodID],tblPayCalendar[PeriodStart],""))</f>
        <v/>
      </c>
      <c r="H40" s="26" t="str" cm="1">
        <f t="array" ref="H40">IF(tblPayrollMaster[[#This Row],[Employee ID]]="","",_xlfn.XLOOKUP(selPayPeriodID,tblPayCalendar[PayPeriodID],tblPayCalendar[PeriodEnd],""))</f>
        <v/>
      </c>
      <c r="I40" s="24" t="e" cm="1" vm="1">
        <f t="array" aca="1" ref="I40" ca="1">Table18[Employer Name]</f>
        <v>#VALUE!</v>
      </c>
      <c r="J40" s="3" cm="1">
        <f t="array" ref="J4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0" s="25" t="str">
        <f>_xlfn.XLOOKUP(tblPayrollMaster[[#This Row],[Employee Position]],tblPositionandPayRate[Employee Position],tblPositionandPayRate[Overtime], " ")</f>
        <v xml:space="preserve"> </v>
      </c>
      <c r="L40" s="25">
        <f>_xlfn.XLOOKUP(tblPayrollMaster[[#This Row],[Employee Position]],tblPositionandPayRate[Employee Position],tblPositionandPayRate[Allowance 1],0)*tblPayrollMaster[[#This Row],[Pay Factor]]</f>
        <v>0</v>
      </c>
      <c r="M40" s="25">
        <f>_xlfn.XLOOKUP(tblPayrollMaster[[#This Row],[Employee Position]],tblPositionandPayRate[Employee Position],tblPositionandPayRate[Allowance 2],0)*tblPayrollMaster[[#This Row],[Pay Factor]]</f>
        <v>0</v>
      </c>
      <c r="N40" s="25">
        <f>_xlfn.XLOOKUP(tblPayrollMaster[[#This Row],[Employee Position]],tblPositionandPayRate[Employee Position],tblPositionandPayRate[Allowance 3],0)*tblPayrollMaster[[#This Row],[Pay Factor]]</f>
        <v>0</v>
      </c>
      <c r="O40" s="25">
        <f>_xlfn.XLOOKUP(tblPayrollMaster[[#This Row],[Employee Position]],tblPositionandPayRate[Employee Position],tblPositionandPayRate[Allowance 4],0)*tblPayrollMaster[[#This Row],[Pay Factor]]</f>
        <v>0</v>
      </c>
      <c r="P40" s="25">
        <f>_xlfn.XLOOKUP(tblPayrollMaster[[#This Row],[Employee Position]],tblPositionandPayRate[Employee Position],tblPositionandPayRate[Allowance 5],0)*tblPayrollMaster[[#This Row],[Pay Factor]]</f>
        <v>0</v>
      </c>
      <c r="Q40" s="3">
        <f>SUM(tblPayrollMaster[[#This Row],[Basic Pay]:[Allowance 5]])</f>
        <v>0</v>
      </c>
      <c r="R4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0" s="51" cm="1">
        <f t="array" ref="S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0" s="3" cm="1">
        <f t="array" ref="T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0" s="25">
        <f>_xlfn.LET(
_xlpm.tos, _xlfn.XLOOKUP(tblPayrollMaster[[#This Row],[Employee ID]], tblEmployee[Employee ID], tblEmployee[Type of Service], ""),
IF(_xlpm.tos="Contract of Service", 8.25, 0)
)</f>
        <v>0</v>
      </c>
      <c r="V40" s="25">
        <f>tblPayrollMaster[[#This Row],[Basic Earnings]]-tblPayrollMaster[[#This Row],[Tax]]-tblPayrollMaster[[#This Row],[NIS - Employee]]-tblPayrollMaster[[#This Row],[Health Surcharge]]</f>
        <v>0</v>
      </c>
      <c r="W40" s="25">
        <f>tblPayrollMaster[[#This Row],[Net Pay]]</f>
        <v>0</v>
      </c>
      <c r="X40" s="25"/>
    </row>
    <row r="41" spans="1:24" x14ac:dyDescent="0.25">
      <c r="A41" s="24"/>
      <c r="B41" s="24" t="str">
        <f>_xlfn.XLOOKUP(tblPayrollMaster[[#This Row],[Employee ID]],tblEmployee[Employee ID],tblEmployee[Employee Name],"")</f>
        <v/>
      </c>
      <c r="C41" s="24" t="str">
        <f>_xlfn.XLOOKUP(tblPayrollMaster[[#This Row],[Employee ID]],tblEmployee[Employee ID],tblEmployee[Employee Position],"")</f>
        <v/>
      </c>
      <c r="D41" s="24" t="str">
        <f>_xlfn.XLOOKUP(tblPayrollMaster[[#This Row],[Employee ID]], tblEmployee[Employee ID], tblEmployee[Pay Status], "Pay")</f>
        <v>Pay</v>
      </c>
      <c r="E41" s="24" t="str">
        <f>_xlfn.XLOOKUP(tblPayrollMaster[[#This Row],[Employee ID]], tblEmployee[Employee ID], tblEmployee[Payable Flag], "Y")</f>
        <v>Y</v>
      </c>
      <c r="F41" s="45">
        <f>IF(tblPayrollMaster[[#This Row],[Payable Flag]]="N",0,_xlfn.XLOOKUP(tblPayrollMaster[[#This Row],[Employee ID]],tblEmployee[Employee ID],tblEmployee[Pay Factor],1))</f>
        <v>1</v>
      </c>
      <c r="G41" s="26" t="str" cm="1">
        <f t="array" ref="G41">IF(tblPayrollMaster[[#This Row],[Employee ID]]="","",_xlfn.XLOOKUP(selPayPeriodID,tblPayCalendar[PayPeriodID],tblPayCalendar[PeriodStart],""))</f>
        <v/>
      </c>
      <c r="H41" s="26" t="str" cm="1">
        <f t="array" ref="H41">IF(tblPayrollMaster[[#This Row],[Employee ID]]="","",_xlfn.XLOOKUP(selPayPeriodID,tblPayCalendar[PayPeriodID],tblPayCalendar[PeriodEnd],""))</f>
        <v/>
      </c>
      <c r="I41" s="24" t="e" cm="1" vm="1">
        <f t="array" aca="1" ref="I41" ca="1">Table18[Employer Name]</f>
        <v>#VALUE!</v>
      </c>
      <c r="J41" s="3" cm="1">
        <f t="array" ref="J4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1" s="25" t="str">
        <f>_xlfn.XLOOKUP(tblPayrollMaster[[#This Row],[Employee Position]],tblPositionandPayRate[Employee Position],tblPositionandPayRate[Overtime], " ")</f>
        <v xml:space="preserve"> </v>
      </c>
      <c r="L41" s="25">
        <f>_xlfn.XLOOKUP(tblPayrollMaster[[#This Row],[Employee Position]],tblPositionandPayRate[Employee Position],tblPositionandPayRate[Allowance 1],0)*tblPayrollMaster[[#This Row],[Pay Factor]]</f>
        <v>0</v>
      </c>
      <c r="M41" s="25">
        <f>_xlfn.XLOOKUP(tblPayrollMaster[[#This Row],[Employee Position]],tblPositionandPayRate[Employee Position],tblPositionandPayRate[Allowance 2],0)*tblPayrollMaster[[#This Row],[Pay Factor]]</f>
        <v>0</v>
      </c>
      <c r="N41" s="25">
        <f>_xlfn.XLOOKUP(tblPayrollMaster[[#This Row],[Employee Position]],tblPositionandPayRate[Employee Position],tblPositionandPayRate[Allowance 3],0)*tblPayrollMaster[[#This Row],[Pay Factor]]</f>
        <v>0</v>
      </c>
      <c r="O41" s="25">
        <f>_xlfn.XLOOKUP(tblPayrollMaster[[#This Row],[Employee Position]],tblPositionandPayRate[Employee Position],tblPositionandPayRate[Allowance 4],0)*tblPayrollMaster[[#This Row],[Pay Factor]]</f>
        <v>0</v>
      </c>
      <c r="P41" s="25">
        <f>_xlfn.XLOOKUP(tblPayrollMaster[[#This Row],[Employee Position]],tblPositionandPayRate[Employee Position],tblPositionandPayRate[Allowance 5],0)*tblPayrollMaster[[#This Row],[Pay Factor]]</f>
        <v>0</v>
      </c>
      <c r="Q41" s="3">
        <f>SUM(tblPayrollMaster[[#This Row],[Basic Pay]:[Allowance 5]])</f>
        <v>0</v>
      </c>
      <c r="R4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1" s="51" cm="1">
        <f t="array" ref="S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1" s="3" cm="1">
        <f t="array" ref="T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1" s="25">
        <f>_xlfn.LET(
_xlpm.tos, _xlfn.XLOOKUP(tblPayrollMaster[[#This Row],[Employee ID]], tblEmployee[Employee ID], tblEmployee[Type of Service], ""),
IF(_xlpm.tos="Contract of Service", 8.25, 0)
)</f>
        <v>0</v>
      </c>
      <c r="V41" s="25">
        <f>tblPayrollMaster[[#This Row],[Basic Earnings]]-tblPayrollMaster[[#This Row],[Tax]]-tblPayrollMaster[[#This Row],[NIS - Employee]]-tblPayrollMaster[[#This Row],[Health Surcharge]]</f>
        <v>0</v>
      </c>
      <c r="W41" s="25">
        <f>tblPayrollMaster[[#This Row],[Net Pay]]</f>
        <v>0</v>
      </c>
      <c r="X41" s="25"/>
    </row>
    <row r="42" spans="1:24" x14ac:dyDescent="0.25">
      <c r="A42" s="24"/>
      <c r="B42" s="24" t="str">
        <f>_xlfn.XLOOKUP(tblPayrollMaster[[#This Row],[Employee ID]],tblEmployee[Employee ID],tblEmployee[Employee Name],"")</f>
        <v/>
      </c>
      <c r="C42" s="24" t="str">
        <f>_xlfn.XLOOKUP(tblPayrollMaster[[#This Row],[Employee ID]],tblEmployee[Employee ID],tblEmployee[Employee Position],"")</f>
        <v/>
      </c>
      <c r="D42" s="24" t="str">
        <f>_xlfn.XLOOKUP(tblPayrollMaster[[#This Row],[Employee ID]], tblEmployee[Employee ID], tblEmployee[Pay Status], "Pay")</f>
        <v>Pay</v>
      </c>
      <c r="E42" s="24" t="str">
        <f>_xlfn.XLOOKUP(tblPayrollMaster[[#This Row],[Employee ID]], tblEmployee[Employee ID], tblEmployee[Payable Flag], "Y")</f>
        <v>Y</v>
      </c>
      <c r="F42" s="45">
        <f>IF(tblPayrollMaster[[#This Row],[Payable Flag]]="N",0,_xlfn.XLOOKUP(tblPayrollMaster[[#This Row],[Employee ID]],tblEmployee[Employee ID],tblEmployee[Pay Factor],1))</f>
        <v>1</v>
      </c>
      <c r="G42" s="26" t="str" cm="1">
        <f t="array" ref="G42">IF(tblPayrollMaster[[#This Row],[Employee ID]]="","",_xlfn.XLOOKUP(selPayPeriodID,tblPayCalendar[PayPeriodID],tblPayCalendar[PeriodStart],""))</f>
        <v/>
      </c>
      <c r="H42" s="26" t="str" cm="1">
        <f t="array" ref="H42">IF(tblPayrollMaster[[#This Row],[Employee ID]]="","",_xlfn.XLOOKUP(selPayPeriodID,tblPayCalendar[PayPeriodID],tblPayCalendar[PeriodEnd],""))</f>
        <v/>
      </c>
      <c r="I42" s="24" t="e" cm="1" vm="1">
        <f t="array" aca="1" ref="I42" ca="1">Table18[Employer Name]</f>
        <v>#VALUE!</v>
      </c>
      <c r="J42" s="3" cm="1">
        <f t="array" ref="J4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2" s="25" t="str">
        <f>_xlfn.XLOOKUP(tblPayrollMaster[[#This Row],[Employee Position]],tblPositionandPayRate[Employee Position],tblPositionandPayRate[Overtime], " ")</f>
        <v xml:space="preserve"> </v>
      </c>
      <c r="L42" s="25">
        <f>_xlfn.XLOOKUP(tblPayrollMaster[[#This Row],[Employee Position]],tblPositionandPayRate[Employee Position],tblPositionandPayRate[Allowance 1],0)*tblPayrollMaster[[#This Row],[Pay Factor]]</f>
        <v>0</v>
      </c>
      <c r="M42" s="25">
        <f>_xlfn.XLOOKUP(tblPayrollMaster[[#This Row],[Employee Position]],tblPositionandPayRate[Employee Position],tblPositionandPayRate[Allowance 2],0)*tblPayrollMaster[[#This Row],[Pay Factor]]</f>
        <v>0</v>
      </c>
      <c r="N42" s="25">
        <f>_xlfn.XLOOKUP(tblPayrollMaster[[#This Row],[Employee Position]],tblPositionandPayRate[Employee Position],tblPositionandPayRate[Allowance 3],0)*tblPayrollMaster[[#This Row],[Pay Factor]]</f>
        <v>0</v>
      </c>
      <c r="O42" s="25">
        <f>_xlfn.XLOOKUP(tblPayrollMaster[[#This Row],[Employee Position]],tblPositionandPayRate[Employee Position],tblPositionandPayRate[Allowance 4],0)*tblPayrollMaster[[#This Row],[Pay Factor]]</f>
        <v>0</v>
      </c>
      <c r="P42" s="25">
        <f>_xlfn.XLOOKUP(tblPayrollMaster[[#This Row],[Employee Position]],tblPositionandPayRate[Employee Position],tblPositionandPayRate[Allowance 5],0)*tblPayrollMaster[[#This Row],[Pay Factor]]</f>
        <v>0</v>
      </c>
      <c r="Q42" s="3">
        <f>SUM(tblPayrollMaster[[#This Row],[Basic Pay]:[Allowance 5]])</f>
        <v>0</v>
      </c>
      <c r="R4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2" s="51" cm="1">
        <f t="array" ref="S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2" s="3" cm="1">
        <f t="array" ref="T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2" s="25">
        <f>_xlfn.LET(
_xlpm.tos, _xlfn.XLOOKUP(tblPayrollMaster[[#This Row],[Employee ID]], tblEmployee[Employee ID], tblEmployee[Type of Service], ""),
IF(_xlpm.tos="Contract of Service", 8.25, 0)
)</f>
        <v>0</v>
      </c>
      <c r="V42" s="25">
        <f>tblPayrollMaster[[#This Row],[Basic Earnings]]-tblPayrollMaster[[#This Row],[Tax]]-tblPayrollMaster[[#This Row],[NIS - Employee]]-tblPayrollMaster[[#This Row],[Health Surcharge]]</f>
        <v>0</v>
      </c>
      <c r="W42" s="25">
        <f>tblPayrollMaster[[#This Row],[Net Pay]]</f>
        <v>0</v>
      </c>
      <c r="X42" s="25"/>
    </row>
    <row r="43" spans="1:24" x14ac:dyDescent="0.25">
      <c r="A43" s="24"/>
      <c r="B43" s="24" t="str">
        <f>_xlfn.XLOOKUP(tblPayrollMaster[[#This Row],[Employee ID]],tblEmployee[Employee ID],tblEmployee[Employee Name],"")</f>
        <v/>
      </c>
      <c r="C43" s="24" t="str">
        <f>_xlfn.XLOOKUP(tblPayrollMaster[[#This Row],[Employee ID]],tblEmployee[Employee ID],tblEmployee[Employee Position],"")</f>
        <v/>
      </c>
      <c r="D43" s="24" t="str">
        <f>_xlfn.XLOOKUP(tblPayrollMaster[[#This Row],[Employee ID]], tblEmployee[Employee ID], tblEmployee[Pay Status], "Pay")</f>
        <v>Pay</v>
      </c>
      <c r="E43" s="24" t="str">
        <f>_xlfn.XLOOKUP(tblPayrollMaster[[#This Row],[Employee ID]], tblEmployee[Employee ID], tblEmployee[Payable Flag], "Y")</f>
        <v>Y</v>
      </c>
      <c r="F43" s="45">
        <f>IF(tblPayrollMaster[[#This Row],[Payable Flag]]="N",0,_xlfn.XLOOKUP(tblPayrollMaster[[#This Row],[Employee ID]],tblEmployee[Employee ID],tblEmployee[Pay Factor],1))</f>
        <v>1</v>
      </c>
      <c r="G43" s="26" t="str" cm="1">
        <f t="array" ref="G43">IF(tblPayrollMaster[[#This Row],[Employee ID]]="","",_xlfn.XLOOKUP(selPayPeriodID,tblPayCalendar[PayPeriodID],tblPayCalendar[PeriodStart],""))</f>
        <v/>
      </c>
      <c r="H43" s="26" t="str" cm="1">
        <f t="array" ref="H43">IF(tblPayrollMaster[[#This Row],[Employee ID]]="","",_xlfn.XLOOKUP(selPayPeriodID,tblPayCalendar[PayPeriodID],tblPayCalendar[PeriodEnd],""))</f>
        <v/>
      </c>
      <c r="I43" s="24" t="e" cm="1" vm="1">
        <f t="array" aca="1" ref="I43" ca="1">Table18[Employer Name]</f>
        <v>#VALUE!</v>
      </c>
      <c r="J43" s="3" cm="1">
        <f t="array" ref="J4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3" s="25" t="str">
        <f>_xlfn.XLOOKUP(tblPayrollMaster[[#This Row],[Employee Position]],tblPositionandPayRate[Employee Position],tblPositionandPayRate[Overtime], " ")</f>
        <v xml:space="preserve"> </v>
      </c>
      <c r="L43" s="25">
        <f>_xlfn.XLOOKUP(tblPayrollMaster[[#This Row],[Employee Position]],tblPositionandPayRate[Employee Position],tblPositionandPayRate[Allowance 1],0)*tblPayrollMaster[[#This Row],[Pay Factor]]</f>
        <v>0</v>
      </c>
      <c r="M43" s="25">
        <f>_xlfn.XLOOKUP(tblPayrollMaster[[#This Row],[Employee Position]],tblPositionandPayRate[Employee Position],tblPositionandPayRate[Allowance 2],0)*tblPayrollMaster[[#This Row],[Pay Factor]]</f>
        <v>0</v>
      </c>
      <c r="N43" s="25">
        <f>_xlfn.XLOOKUP(tblPayrollMaster[[#This Row],[Employee Position]],tblPositionandPayRate[Employee Position],tblPositionandPayRate[Allowance 3],0)*tblPayrollMaster[[#This Row],[Pay Factor]]</f>
        <v>0</v>
      </c>
      <c r="O43" s="25">
        <f>_xlfn.XLOOKUP(tblPayrollMaster[[#This Row],[Employee Position]],tblPositionandPayRate[Employee Position],tblPositionandPayRate[Allowance 4],0)*tblPayrollMaster[[#This Row],[Pay Factor]]</f>
        <v>0</v>
      </c>
      <c r="P43" s="25">
        <f>_xlfn.XLOOKUP(tblPayrollMaster[[#This Row],[Employee Position]],tblPositionandPayRate[Employee Position],tblPositionandPayRate[Allowance 5],0)*tblPayrollMaster[[#This Row],[Pay Factor]]</f>
        <v>0</v>
      </c>
      <c r="Q43" s="3">
        <f>SUM(tblPayrollMaster[[#This Row],[Basic Pay]:[Allowance 5]])</f>
        <v>0</v>
      </c>
      <c r="R4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3" s="51" cm="1">
        <f t="array" ref="S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3" s="3" cm="1">
        <f t="array" ref="T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3" s="25">
        <f>_xlfn.LET(
_xlpm.tos, _xlfn.XLOOKUP(tblPayrollMaster[[#This Row],[Employee ID]], tblEmployee[Employee ID], tblEmployee[Type of Service], ""),
IF(_xlpm.tos="Contract of Service", 8.25, 0)
)</f>
        <v>0</v>
      </c>
      <c r="V43" s="25">
        <f>tblPayrollMaster[[#This Row],[Basic Earnings]]-tblPayrollMaster[[#This Row],[Tax]]-tblPayrollMaster[[#This Row],[NIS - Employee]]-tblPayrollMaster[[#This Row],[Health Surcharge]]</f>
        <v>0</v>
      </c>
      <c r="W43" s="25">
        <f>tblPayrollMaster[[#This Row],[Net Pay]]</f>
        <v>0</v>
      </c>
      <c r="X43" s="25"/>
    </row>
    <row r="44" spans="1:24" x14ac:dyDescent="0.25">
      <c r="A44" s="24"/>
      <c r="B44" s="24" t="str">
        <f>_xlfn.XLOOKUP(tblPayrollMaster[[#This Row],[Employee ID]],tblEmployee[Employee ID],tblEmployee[Employee Name],"")</f>
        <v/>
      </c>
      <c r="C44" s="24" t="str">
        <f>_xlfn.XLOOKUP(tblPayrollMaster[[#This Row],[Employee ID]],tblEmployee[Employee ID],tblEmployee[Employee Position],"")</f>
        <v/>
      </c>
      <c r="D44" s="24" t="str">
        <f>_xlfn.XLOOKUP(tblPayrollMaster[[#This Row],[Employee ID]], tblEmployee[Employee ID], tblEmployee[Pay Status], "Pay")</f>
        <v>Pay</v>
      </c>
      <c r="E44" s="24" t="str">
        <f>_xlfn.XLOOKUP(tblPayrollMaster[[#This Row],[Employee ID]], tblEmployee[Employee ID], tblEmployee[Payable Flag], "Y")</f>
        <v>Y</v>
      </c>
      <c r="F44" s="45">
        <f>IF(tblPayrollMaster[[#This Row],[Payable Flag]]="N",0,_xlfn.XLOOKUP(tblPayrollMaster[[#This Row],[Employee ID]],tblEmployee[Employee ID],tblEmployee[Pay Factor],1))</f>
        <v>1</v>
      </c>
      <c r="G44" s="26" t="str" cm="1">
        <f t="array" ref="G44">IF(tblPayrollMaster[[#This Row],[Employee ID]]="","",_xlfn.XLOOKUP(selPayPeriodID,tblPayCalendar[PayPeriodID],tblPayCalendar[PeriodStart],""))</f>
        <v/>
      </c>
      <c r="H44" s="26" t="str" cm="1">
        <f t="array" ref="H44">IF(tblPayrollMaster[[#This Row],[Employee ID]]="","",_xlfn.XLOOKUP(selPayPeriodID,tblPayCalendar[PayPeriodID],tblPayCalendar[PeriodEnd],""))</f>
        <v/>
      </c>
      <c r="I44" s="24" t="e" cm="1" vm="1">
        <f t="array" aca="1" ref="I44" ca="1">Table18[Employer Name]</f>
        <v>#VALUE!</v>
      </c>
      <c r="J44" s="3" cm="1">
        <f t="array" ref="J4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4" s="25" t="str">
        <f>_xlfn.XLOOKUP(tblPayrollMaster[[#This Row],[Employee Position]],tblPositionandPayRate[Employee Position],tblPositionandPayRate[Overtime], " ")</f>
        <v xml:space="preserve"> </v>
      </c>
      <c r="L44" s="25">
        <f>_xlfn.XLOOKUP(tblPayrollMaster[[#This Row],[Employee Position]],tblPositionandPayRate[Employee Position],tblPositionandPayRate[Allowance 1],0)*tblPayrollMaster[[#This Row],[Pay Factor]]</f>
        <v>0</v>
      </c>
      <c r="M44" s="25">
        <f>_xlfn.XLOOKUP(tblPayrollMaster[[#This Row],[Employee Position]],tblPositionandPayRate[Employee Position],tblPositionandPayRate[Allowance 2],0)*tblPayrollMaster[[#This Row],[Pay Factor]]</f>
        <v>0</v>
      </c>
      <c r="N44" s="25">
        <f>_xlfn.XLOOKUP(tblPayrollMaster[[#This Row],[Employee Position]],tblPositionandPayRate[Employee Position],tblPositionandPayRate[Allowance 3],0)*tblPayrollMaster[[#This Row],[Pay Factor]]</f>
        <v>0</v>
      </c>
      <c r="O44" s="25">
        <f>_xlfn.XLOOKUP(tblPayrollMaster[[#This Row],[Employee Position]],tblPositionandPayRate[Employee Position],tblPositionandPayRate[Allowance 4],0)*tblPayrollMaster[[#This Row],[Pay Factor]]</f>
        <v>0</v>
      </c>
      <c r="P44" s="25">
        <f>_xlfn.XLOOKUP(tblPayrollMaster[[#This Row],[Employee Position]],tblPositionandPayRate[Employee Position],tblPositionandPayRate[Allowance 5],0)*tblPayrollMaster[[#This Row],[Pay Factor]]</f>
        <v>0</v>
      </c>
      <c r="Q44" s="3">
        <f>SUM(tblPayrollMaster[[#This Row],[Basic Pay]:[Allowance 5]])</f>
        <v>0</v>
      </c>
      <c r="R4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4" s="51" cm="1">
        <f t="array" ref="S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4" s="3" cm="1">
        <f t="array" ref="T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4" s="25">
        <f>_xlfn.LET(
_xlpm.tos, _xlfn.XLOOKUP(tblPayrollMaster[[#This Row],[Employee ID]], tblEmployee[Employee ID], tblEmployee[Type of Service], ""),
IF(_xlpm.tos="Contract of Service", 8.25, 0)
)</f>
        <v>0</v>
      </c>
      <c r="V44" s="25">
        <f>tblPayrollMaster[[#This Row],[Basic Earnings]]-tblPayrollMaster[[#This Row],[Tax]]-tblPayrollMaster[[#This Row],[NIS - Employee]]-tblPayrollMaster[[#This Row],[Health Surcharge]]</f>
        <v>0</v>
      </c>
      <c r="W44" s="25">
        <f>tblPayrollMaster[[#This Row],[Net Pay]]</f>
        <v>0</v>
      </c>
      <c r="X44" s="25"/>
    </row>
    <row r="45" spans="1:24" x14ac:dyDescent="0.25">
      <c r="A45" s="24"/>
      <c r="B45" s="24" t="str">
        <f>_xlfn.XLOOKUP(tblPayrollMaster[[#This Row],[Employee ID]],tblEmployee[Employee ID],tblEmployee[Employee Name],"")</f>
        <v/>
      </c>
      <c r="C45" s="24" t="str">
        <f>_xlfn.XLOOKUP(tblPayrollMaster[[#This Row],[Employee ID]],tblEmployee[Employee ID],tblEmployee[Employee Position],"")</f>
        <v/>
      </c>
      <c r="D45" s="24" t="str">
        <f>_xlfn.XLOOKUP(tblPayrollMaster[[#This Row],[Employee ID]], tblEmployee[Employee ID], tblEmployee[Pay Status], "Pay")</f>
        <v>Pay</v>
      </c>
      <c r="E45" s="24" t="str">
        <f>_xlfn.XLOOKUP(tblPayrollMaster[[#This Row],[Employee ID]], tblEmployee[Employee ID], tblEmployee[Payable Flag], "Y")</f>
        <v>Y</v>
      </c>
      <c r="F45" s="45">
        <f>IF(tblPayrollMaster[[#This Row],[Payable Flag]]="N",0,_xlfn.XLOOKUP(tblPayrollMaster[[#This Row],[Employee ID]],tblEmployee[Employee ID],tblEmployee[Pay Factor],1))</f>
        <v>1</v>
      </c>
      <c r="G45" s="26" t="str" cm="1">
        <f t="array" ref="G45">IF(tblPayrollMaster[[#This Row],[Employee ID]]="","",_xlfn.XLOOKUP(selPayPeriodID,tblPayCalendar[PayPeriodID],tblPayCalendar[PeriodStart],""))</f>
        <v/>
      </c>
      <c r="H45" s="26" t="str" cm="1">
        <f t="array" ref="H45">IF(tblPayrollMaster[[#This Row],[Employee ID]]="","",_xlfn.XLOOKUP(selPayPeriodID,tblPayCalendar[PayPeriodID],tblPayCalendar[PeriodEnd],""))</f>
        <v/>
      </c>
      <c r="I45" s="24" t="e" cm="1" vm="1">
        <f t="array" aca="1" ref="I45" ca="1">Table18[Employer Name]</f>
        <v>#VALUE!</v>
      </c>
      <c r="J45" s="3" cm="1">
        <f t="array" ref="J4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5" s="25" t="str">
        <f>_xlfn.XLOOKUP(tblPayrollMaster[[#This Row],[Employee Position]],tblPositionandPayRate[Employee Position],tblPositionandPayRate[Overtime], " ")</f>
        <v xml:space="preserve"> </v>
      </c>
      <c r="L45" s="25">
        <f>_xlfn.XLOOKUP(tblPayrollMaster[[#This Row],[Employee Position]],tblPositionandPayRate[Employee Position],tblPositionandPayRate[Allowance 1],0)*tblPayrollMaster[[#This Row],[Pay Factor]]</f>
        <v>0</v>
      </c>
      <c r="M45" s="25">
        <f>_xlfn.XLOOKUP(tblPayrollMaster[[#This Row],[Employee Position]],tblPositionandPayRate[Employee Position],tblPositionandPayRate[Allowance 2],0)*tblPayrollMaster[[#This Row],[Pay Factor]]</f>
        <v>0</v>
      </c>
      <c r="N45" s="25">
        <f>_xlfn.XLOOKUP(tblPayrollMaster[[#This Row],[Employee Position]],tblPositionandPayRate[Employee Position],tblPositionandPayRate[Allowance 3],0)*tblPayrollMaster[[#This Row],[Pay Factor]]</f>
        <v>0</v>
      </c>
      <c r="O45" s="25">
        <f>_xlfn.XLOOKUP(tblPayrollMaster[[#This Row],[Employee Position]],tblPositionandPayRate[Employee Position],tblPositionandPayRate[Allowance 4],0)*tblPayrollMaster[[#This Row],[Pay Factor]]</f>
        <v>0</v>
      </c>
      <c r="P45" s="25">
        <f>_xlfn.XLOOKUP(tblPayrollMaster[[#This Row],[Employee Position]],tblPositionandPayRate[Employee Position],tblPositionandPayRate[Allowance 5],0)*tblPayrollMaster[[#This Row],[Pay Factor]]</f>
        <v>0</v>
      </c>
      <c r="Q45" s="3">
        <f>SUM(tblPayrollMaster[[#This Row],[Basic Pay]:[Allowance 5]])</f>
        <v>0</v>
      </c>
      <c r="R4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5" s="51" cm="1">
        <f t="array" ref="S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5" s="3" cm="1">
        <f t="array" ref="T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5" s="25">
        <f>_xlfn.LET(
_xlpm.tos, _xlfn.XLOOKUP(tblPayrollMaster[[#This Row],[Employee ID]], tblEmployee[Employee ID], tblEmployee[Type of Service], ""),
IF(_xlpm.tos="Contract of Service", 8.25, 0)
)</f>
        <v>0</v>
      </c>
      <c r="V45" s="25">
        <f>tblPayrollMaster[[#This Row],[Basic Earnings]]-tblPayrollMaster[[#This Row],[Tax]]-tblPayrollMaster[[#This Row],[NIS - Employee]]-tblPayrollMaster[[#This Row],[Health Surcharge]]</f>
        <v>0</v>
      </c>
      <c r="W45" s="25">
        <f>tblPayrollMaster[[#This Row],[Net Pay]]</f>
        <v>0</v>
      </c>
      <c r="X45" s="25"/>
    </row>
    <row r="46" spans="1:24" x14ac:dyDescent="0.25">
      <c r="A46" s="24"/>
      <c r="B46" s="24" t="str">
        <f>_xlfn.XLOOKUP(tblPayrollMaster[[#This Row],[Employee ID]],tblEmployee[Employee ID],tblEmployee[Employee Name],"")</f>
        <v/>
      </c>
      <c r="C46" s="24" t="str">
        <f>_xlfn.XLOOKUP(tblPayrollMaster[[#This Row],[Employee ID]],tblEmployee[Employee ID],tblEmployee[Employee Position],"")</f>
        <v/>
      </c>
      <c r="D46" s="24" t="str">
        <f>_xlfn.XLOOKUP(tblPayrollMaster[[#This Row],[Employee ID]], tblEmployee[Employee ID], tblEmployee[Pay Status], "Pay")</f>
        <v>Pay</v>
      </c>
      <c r="E46" s="24" t="str">
        <f>_xlfn.XLOOKUP(tblPayrollMaster[[#This Row],[Employee ID]], tblEmployee[Employee ID], tblEmployee[Payable Flag], "Y")</f>
        <v>Y</v>
      </c>
      <c r="F46" s="45">
        <f>IF(tblPayrollMaster[[#This Row],[Payable Flag]]="N",0,_xlfn.XLOOKUP(tblPayrollMaster[[#This Row],[Employee ID]],tblEmployee[Employee ID],tblEmployee[Pay Factor],1))</f>
        <v>1</v>
      </c>
      <c r="G46" s="26" t="str" cm="1">
        <f t="array" ref="G46">IF(tblPayrollMaster[[#This Row],[Employee ID]]="","",_xlfn.XLOOKUP(selPayPeriodID,tblPayCalendar[PayPeriodID],tblPayCalendar[PeriodStart],""))</f>
        <v/>
      </c>
      <c r="H46" s="26" t="str" cm="1">
        <f t="array" ref="H46">IF(tblPayrollMaster[[#This Row],[Employee ID]]="","",_xlfn.XLOOKUP(selPayPeriodID,tblPayCalendar[PayPeriodID],tblPayCalendar[PeriodEnd],""))</f>
        <v/>
      </c>
      <c r="I46" s="24" t="e" cm="1" vm="1">
        <f t="array" aca="1" ref="I46" ca="1">Table18[Employer Name]</f>
        <v>#VALUE!</v>
      </c>
      <c r="J46" s="3" cm="1">
        <f t="array" ref="J4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6" s="25" t="str">
        <f>_xlfn.XLOOKUP(tblPayrollMaster[[#This Row],[Employee Position]],tblPositionandPayRate[Employee Position],tblPositionandPayRate[Overtime], " ")</f>
        <v xml:space="preserve"> </v>
      </c>
      <c r="L46" s="25">
        <f>_xlfn.XLOOKUP(tblPayrollMaster[[#This Row],[Employee Position]],tblPositionandPayRate[Employee Position],tblPositionandPayRate[Allowance 1],0)*tblPayrollMaster[[#This Row],[Pay Factor]]</f>
        <v>0</v>
      </c>
      <c r="M46" s="25">
        <f>_xlfn.XLOOKUP(tblPayrollMaster[[#This Row],[Employee Position]],tblPositionandPayRate[Employee Position],tblPositionandPayRate[Allowance 2],0)*tblPayrollMaster[[#This Row],[Pay Factor]]</f>
        <v>0</v>
      </c>
      <c r="N46" s="25">
        <f>_xlfn.XLOOKUP(tblPayrollMaster[[#This Row],[Employee Position]],tblPositionandPayRate[Employee Position],tblPositionandPayRate[Allowance 3],0)*tblPayrollMaster[[#This Row],[Pay Factor]]</f>
        <v>0</v>
      </c>
      <c r="O46" s="25">
        <f>_xlfn.XLOOKUP(tblPayrollMaster[[#This Row],[Employee Position]],tblPositionandPayRate[Employee Position],tblPositionandPayRate[Allowance 4],0)*tblPayrollMaster[[#This Row],[Pay Factor]]</f>
        <v>0</v>
      </c>
      <c r="P46" s="25">
        <f>_xlfn.XLOOKUP(tblPayrollMaster[[#This Row],[Employee Position]],tblPositionandPayRate[Employee Position],tblPositionandPayRate[Allowance 5],0)*tblPayrollMaster[[#This Row],[Pay Factor]]</f>
        <v>0</v>
      </c>
      <c r="Q46" s="3">
        <f>SUM(tblPayrollMaster[[#This Row],[Basic Pay]:[Allowance 5]])</f>
        <v>0</v>
      </c>
      <c r="R4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6" s="51" cm="1">
        <f t="array" ref="S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6" s="3" cm="1">
        <f t="array" ref="T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6" s="25">
        <f>_xlfn.LET(
_xlpm.tos, _xlfn.XLOOKUP(tblPayrollMaster[[#This Row],[Employee ID]], tblEmployee[Employee ID], tblEmployee[Type of Service], ""),
IF(_xlpm.tos="Contract of Service", 8.25, 0)
)</f>
        <v>0</v>
      </c>
      <c r="V46" s="25">
        <f>tblPayrollMaster[[#This Row],[Basic Earnings]]-tblPayrollMaster[[#This Row],[Tax]]-tblPayrollMaster[[#This Row],[NIS - Employee]]-tblPayrollMaster[[#This Row],[Health Surcharge]]</f>
        <v>0</v>
      </c>
      <c r="W46" s="25">
        <f>tblPayrollMaster[[#This Row],[Net Pay]]</f>
        <v>0</v>
      </c>
      <c r="X46" s="25"/>
    </row>
    <row r="47" spans="1:24" x14ac:dyDescent="0.25">
      <c r="A47" s="24"/>
      <c r="B47" s="24" t="str">
        <f>_xlfn.XLOOKUP(tblPayrollMaster[[#This Row],[Employee ID]],tblEmployee[Employee ID],tblEmployee[Employee Name],"")</f>
        <v/>
      </c>
      <c r="C47" s="24" t="str">
        <f>_xlfn.XLOOKUP(tblPayrollMaster[[#This Row],[Employee ID]],tblEmployee[Employee ID],tblEmployee[Employee Position],"")</f>
        <v/>
      </c>
      <c r="D47" s="24" t="str">
        <f>_xlfn.XLOOKUP(tblPayrollMaster[[#This Row],[Employee ID]], tblEmployee[Employee ID], tblEmployee[Pay Status], "Pay")</f>
        <v>Pay</v>
      </c>
      <c r="E47" s="24" t="str">
        <f>_xlfn.XLOOKUP(tblPayrollMaster[[#This Row],[Employee ID]], tblEmployee[Employee ID], tblEmployee[Payable Flag], "Y")</f>
        <v>Y</v>
      </c>
      <c r="F47" s="45">
        <f>IF(tblPayrollMaster[[#This Row],[Payable Flag]]="N",0,_xlfn.XLOOKUP(tblPayrollMaster[[#This Row],[Employee ID]],tblEmployee[Employee ID],tblEmployee[Pay Factor],1))</f>
        <v>1</v>
      </c>
      <c r="G47" s="26" t="str" cm="1">
        <f t="array" ref="G47">IF(tblPayrollMaster[[#This Row],[Employee ID]]="","",_xlfn.XLOOKUP(selPayPeriodID,tblPayCalendar[PayPeriodID],tblPayCalendar[PeriodStart],""))</f>
        <v/>
      </c>
      <c r="H47" s="26" t="str" cm="1">
        <f t="array" ref="H47">IF(tblPayrollMaster[[#This Row],[Employee ID]]="","",_xlfn.XLOOKUP(selPayPeriodID,tblPayCalendar[PayPeriodID],tblPayCalendar[PeriodEnd],""))</f>
        <v/>
      </c>
      <c r="I47" s="24" t="e" cm="1" vm="1">
        <f t="array" aca="1" ref="I47" ca="1">Table18[Employer Name]</f>
        <v>#VALUE!</v>
      </c>
      <c r="J47" s="3" cm="1">
        <f t="array" ref="J4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7" s="25" t="str">
        <f>_xlfn.XLOOKUP(tblPayrollMaster[[#This Row],[Employee Position]],tblPositionandPayRate[Employee Position],tblPositionandPayRate[Overtime], " ")</f>
        <v xml:space="preserve"> </v>
      </c>
      <c r="L47" s="25">
        <f>_xlfn.XLOOKUP(tblPayrollMaster[[#This Row],[Employee Position]],tblPositionandPayRate[Employee Position],tblPositionandPayRate[Allowance 1],0)*tblPayrollMaster[[#This Row],[Pay Factor]]</f>
        <v>0</v>
      </c>
      <c r="M47" s="25">
        <f>_xlfn.XLOOKUP(tblPayrollMaster[[#This Row],[Employee Position]],tblPositionandPayRate[Employee Position],tblPositionandPayRate[Allowance 2],0)*tblPayrollMaster[[#This Row],[Pay Factor]]</f>
        <v>0</v>
      </c>
      <c r="N47" s="25">
        <f>_xlfn.XLOOKUP(tblPayrollMaster[[#This Row],[Employee Position]],tblPositionandPayRate[Employee Position],tblPositionandPayRate[Allowance 3],0)*tblPayrollMaster[[#This Row],[Pay Factor]]</f>
        <v>0</v>
      </c>
      <c r="O47" s="25">
        <f>_xlfn.XLOOKUP(tblPayrollMaster[[#This Row],[Employee Position]],tblPositionandPayRate[Employee Position],tblPositionandPayRate[Allowance 4],0)*tblPayrollMaster[[#This Row],[Pay Factor]]</f>
        <v>0</v>
      </c>
      <c r="P47" s="25">
        <f>_xlfn.XLOOKUP(tblPayrollMaster[[#This Row],[Employee Position]],tblPositionandPayRate[Employee Position],tblPositionandPayRate[Allowance 5],0)*tblPayrollMaster[[#This Row],[Pay Factor]]</f>
        <v>0</v>
      </c>
      <c r="Q47" s="3">
        <f>SUM(tblPayrollMaster[[#This Row],[Basic Pay]:[Allowance 5]])</f>
        <v>0</v>
      </c>
      <c r="R4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7" s="51" cm="1">
        <f t="array" ref="S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7" s="3" cm="1">
        <f t="array" ref="T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7" s="25">
        <f>_xlfn.LET(
_xlpm.tos, _xlfn.XLOOKUP(tblPayrollMaster[[#This Row],[Employee ID]], tblEmployee[Employee ID], tblEmployee[Type of Service], ""),
IF(_xlpm.tos="Contract of Service", 8.25, 0)
)</f>
        <v>0</v>
      </c>
      <c r="V47" s="25">
        <f>tblPayrollMaster[[#This Row],[Basic Earnings]]-tblPayrollMaster[[#This Row],[Tax]]-tblPayrollMaster[[#This Row],[NIS - Employee]]-tblPayrollMaster[[#This Row],[Health Surcharge]]</f>
        <v>0</v>
      </c>
      <c r="W47" s="25">
        <f>tblPayrollMaster[[#This Row],[Net Pay]]</f>
        <v>0</v>
      </c>
      <c r="X47" s="25"/>
    </row>
    <row r="48" spans="1:24" x14ac:dyDescent="0.25">
      <c r="A48" s="24"/>
      <c r="B48" s="24" t="str">
        <f>_xlfn.XLOOKUP(tblPayrollMaster[[#This Row],[Employee ID]],tblEmployee[Employee ID],tblEmployee[Employee Name],"")</f>
        <v/>
      </c>
      <c r="C48" s="24" t="str">
        <f>_xlfn.XLOOKUP(tblPayrollMaster[[#This Row],[Employee ID]],tblEmployee[Employee ID],tblEmployee[Employee Position],"")</f>
        <v/>
      </c>
      <c r="D48" s="24" t="str">
        <f>_xlfn.XLOOKUP(tblPayrollMaster[[#This Row],[Employee ID]], tblEmployee[Employee ID], tblEmployee[Pay Status], "Pay")</f>
        <v>Pay</v>
      </c>
      <c r="E48" s="24" t="str">
        <f>_xlfn.XLOOKUP(tblPayrollMaster[[#This Row],[Employee ID]], tblEmployee[Employee ID], tblEmployee[Payable Flag], "Y")</f>
        <v>Y</v>
      </c>
      <c r="F48" s="45">
        <f>IF(tblPayrollMaster[[#This Row],[Payable Flag]]="N",0,_xlfn.XLOOKUP(tblPayrollMaster[[#This Row],[Employee ID]],tblEmployee[Employee ID],tblEmployee[Pay Factor],1))</f>
        <v>1</v>
      </c>
      <c r="G48" s="26" t="str" cm="1">
        <f t="array" ref="G48">IF(tblPayrollMaster[[#This Row],[Employee ID]]="","",_xlfn.XLOOKUP(selPayPeriodID,tblPayCalendar[PayPeriodID],tblPayCalendar[PeriodStart],""))</f>
        <v/>
      </c>
      <c r="H48" s="26" t="str" cm="1">
        <f t="array" ref="H48">IF(tblPayrollMaster[[#This Row],[Employee ID]]="","",_xlfn.XLOOKUP(selPayPeriodID,tblPayCalendar[PayPeriodID],tblPayCalendar[PeriodEnd],""))</f>
        <v/>
      </c>
      <c r="I48" s="24" t="e" cm="1" vm="1">
        <f t="array" aca="1" ref="I48" ca="1">Table18[Employer Name]</f>
        <v>#VALUE!</v>
      </c>
      <c r="J48" s="3" cm="1">
        <f t="array" ref="J4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8" s="25" t="str">
        <f>_xlfn.XLOOKUP(tblPayrollMaster[[#This Row],[Employee Position]],tblPositionandPayRate[Employee Position],tblPositionandPayRate[Overtime], " ")</f>
        <v xml:space="preserve"> </v>
      </c>
      <c r="L48" s="25">
        <f>_xlfn.XLOOKUP(tblPayrollMaster[[#This Row],[Employee Position]],tblPositionandPayRate[Employee Position],tblPositionandPayRate[Allowance 1],0)*tblPayrollMaster[[#This Row],[Pay Factor]]</f>
        <v>0</v>
      </c>
      <c r="M48" s="25">
        <f>_xlfn.XLOOKUP(tblPayrollMaster[[#This Row],[Employee Position]],tblPositionandPayRate[Employee Position],tblPositionandPayRate[Allowance 2],0)*tblPayrollMaster[[#This Row],[Pay Factor]]</f>
        <v>0</v>
      </c>
      <c r="N48" s="25">
        <f>_xlfn.XLOOKUP(tblPayrollMaster[[#This Row],[Employee Position]],tblPositionandPayRate[Employee Position],tblPositionandPayRate[Allowance 3],0)*tblPayrollMaster[[#This Row],[Pay Factor]]</f>
        <v>0</v>
      </c>
      <c r="O48" s="25">
        <f>_xlfn.XLOOKUP(tblPayrollMaster[[#This Row],[Employee Position]],tblPositionandPayRate[Employee Position],tblPositionandPayRate[Allowance 4],0)*tblPayrollMaster[[#This Row],[Pay Factor]]</f>
        <v>0</v>
      </c>
      <c r="P48" s="25">
        <f>_xlfn.XLOOKUP(tblPayrollMaster[[#This Row],[Employee Position]],tblPositionandPayRate[Employee Position],tblPositionandPayRate[Allowance 5],0)*tblPayrollMaster[[#This Row],[Pay Factor]]</f>
        <v>0</v>
      </c>
      <c r="Q48" s="3">
        <f>SUM(tblPayrollMaster[[#This Row],[Basic Pay]:[Allowance 5]])</f>
        <v>0</v>
      </c>
      <c r="R4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8" s="51" cm="1">
        <f t="array" ref="S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8" s="3" cm="1">
        <f t="array" ref="T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8" s="25">
        <f>_xlfn.LET(
_xlpm.tos, _xlfn.XLOOKUP(tblPayrollMaster[[#This Row],[Employee ID]], tblEmployee[Employee ID], tblEmployee[Type of Service], ""),
IF(_xlpm.tos="Contract of Service", 8.25, 0)
)</f>
        <v>0</v>
      </c>
      <c r="V48" s="25">
        <f>tblPayrollMaster[[#This Row],[Basic Earnings]]-tblPayrollMaster[[#This Row],[Tax]]-tblPayrollMaster[[#This Row],[NIS - Employee]]-tblPayrollMaster[[#This Row],[Health Surcharge]]</f>
        <v>0</v>
      </c>
      <c r="W48" s="25">
        <f>tblPayrollMaster[[#This Row],[Net Pay]]</f>
        <v>0</v>
      </c>
      <c r="X48" s="25"/>
    </row>
    <row r="49" spans="1:24" x14ac:dyDescent="0.25">
      <c r="A49" s="24"/>
      <c r="B49" s="24" t="str">
        <f>_xlfn.XLOOKUP(tblPayrollMaster[[#This Row],[Employee ID]],tblEmployee[Employee ID],tblEmployee[Employee Name],"")</f>
        <v/>
      </c>
      <c r="C49" s="24" t="str">
        <f>_xlfn.XLOOKUP(tblPayrollMaster[[#This Row],[Employee ID]],tblEmployee[Employee ID],tblEmployee[Employee Position],"")</f>
        <v/>
      </c>
      <c r="D49" s="24" t="str">
        <f>_xlfn.XLOOKUP(tblPayrollMaster[[#This Row],[Employee ID]], tblEmployee[Employee ID], tblEmployee[Pay Status], "Pay")</f>
        <v>Pay</v>
      </c>
      <c r="E49" s="24" t="str">
        <f>_xlfn.XLOOKUP(tblPayrollMaster[[#This Row],[Employee ID]], tblEmployee[Employee ID], tblEmployee[Payable Flag], "Y")</f>
        <v>Y</v>
      </c>
      <c r="F49" s="45">
        <f>IF(tblPayrollMaster[[#This Row],[Payable Flag]]="N",0,_xlfn.XLOOKUP(tblPayrollMaster[[#This Row],[Employee ID]],tblEmployee[Employee ID],tblEmployee[Pay Factor],1))</f>
        <v>1</v>
      </c>
      <c r="G49" s="26" t="str" cm="1">
        <f t="array" ref="G49">IF(tblPayrollMaster[[#This Row],[Employee ID]]="","",_xlfn.XLOOKUP(selPayPeriodID,tblPayCalendar[PayPeriodID],tblPayCalendar[PeriodStart],""))</f>
        <v/>
      </c>
      <c r="H49" s="26" t="str" cm="1">
        <f t="array" ref="H49">IF(tblPayrollMaster[[#This Row],[Employee ID]]="","",_xlfn.XLOOKUP(selPayPeriodID,tblPayCalendar[PayPeriodID],tblPayCalendar[PeriodEnd],""))</f>
        <v/>
      </c>
      <c r="I49" s="24" t="e" cm="1" vm="1">
        <f t="array" aca="1" ref="I49" ca="1">Table18[Employer Name]</f>
        <v>#VALUE!</v>
      </c>
      <c r="J49" s="3" cm="1">
        <f t="array" ref="J4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9" s="25" t="str">
        <f>_xlfn.XLOOKUP(tblPayrollMaster[[#This Row],[Employee Position]],tblPositionandPayRate[Employee Position],tblPositionandPayRate[Overtime], " ")</f>
        <v xml:space="preserve"> </v>
      </c>
      <c r="L49" s="25">
        <f>_xlfn.XLOOKUP(tblPayrollMaster[[#This Row],[Employee Position]],tblPositionandPayRate[Employee Position],tblPositionandPayRate[Allowance 1],0)*tblPayrollMaster[[#This Row],[Pay Factor]]</f>
        <v>0</v>
      </c>
      <c r="M49" s="25">
        <f>_xlfn.XLOOKUP(tblPayrollMaster[[#This Row],[Employee Position]],tblPositionandPayRate[Employee Position],tblPositionandPayRate[Allowance 2],0)*tblPayrollMaster[[#This Row],[Pay Factor]]</f>
        <v>0</v>
      </c>
      <c r="N49" s="25">
        <f>_xlfn.XLOOKUP(tblPayrollMaster[[#This Row],[Employee Position]],tblPositionandPayRate[Employee Position],tblPositionandPayRate[Allowance 3],0)*tblPayrollMaster[[#This Row],[Pay Factor]]</f>
        <v>0</v>
      </c>
      <c r="O49" s="25">
        <f>_xlfn.XLOOKUP(tblPayrollMaster[[#This Row],[Employee Position]],tblPositionandPayRate[Employee Position],tblPositionandPayRate[Allowance 4],0)*tblPayrollMaster[[#This Row],[Pay Factor]]</f>
        <v>0</v>
      </c>
      <c r="P49" s="25">
        <f>_xlfn.XLOOKUP(tblPayrollMaster[[#This Row],[Employee Position]],tblPositionandPayRate[Employee Position],tblPositionandPayRate[Allowance 5],0)*tblPayrollMaster[[#This Row],[Pay Factor]]</f>
        <v>0</v>
      </c>
      <c r="Q49" s="3">
        <f>SUM(tblPayrollMaster[[#This Row],[Basic Pay]:[Allowance 5]])</f>
        <v>0</v>
      </c>
      <c r="R4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9" s="51" cm="1">
        <f t="array" ref="S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9" s="3" cm="1">
        <f t="array" ref="T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9" s="25">
        <f>_xlfn.LET(
_xlpm.tos, _xlfn.XLOOKUP(tblPayrollMaster[[#This Row],[Employee ID]], tblEmployee[Employee ID], tblEmployee[Type of Service], ""),
IF(_xlpm.tos="Contract of Service", 8.25, 0)
)</f>
        <v>0</v>
      </c>
      <c r="V49" s="25">
        <f>tblPayrollMaster[[#This Row],[Basic Earnings]]-tblPayrollMaster[[#This Row],[Tax]]-tblPayrollMaster[[#This Row],[NIS - Employee]]-tblPayrollMaster[[#This Row],[Health Surcharge]]</f>
        <v>0</v>
      </c>
      <c r="W49" s="25">
        <f>tblPayrollMaster[[#This Row],[Net Pay]]</f>
        <v>0</v>
      </c>
      <c r="X49" s="25"/>
    </row>
    <row r="50" spans="1:24" x14ac:dyDescent="0.25">
      <c r="A50" s="24"/>
      <c r="B50" s="24" t="str">
        <f>_xlfn.XLOOKUP(tblPayrollMaster[[#This Row],[Employee ID]],tblEmployee[Employee ID],tblEmployee[Employee Name],"")</f>
        <v/>
      </c>
      <c r="C50" s="24" t="str">
        <f>_xlfn.XLOOKUP(tblPayrollMaster[[#This Row],[Employee ID]],tblEmployee[Employee ID],tblEmployee[Employee Position],"")</f>
        <v/>
      </c>
      <c r="D50" s="24" t="str">
        <f>_xlfn.XLOOKUP(tblPayrollMaster[[#This Row],[Employee ID]], tblEmployee[Employee ID], tblEmployee[Pay Status], "Pay")</f>
        <v>Pay</v>
      </c>
      <c r="E50" s="24" t="str">
        <f>_xlfn.XLOOKUP(tblPayrollMaster[[#This Row],[Employee ID]], tblEmployee[Employee ID], tblEmployee[Payable Flag], "Y")</f>
        <v>Y</v>
      </c>
      <c r="F50" s="45">
        <f>IF(tblPayrollMaster[[#This Row],[Payable Flag]]="N",0,_xlfn.XLOOKUP(tblPayrollMaster[[#This Row],[Employee ID]],tblEmployee[Employee ID],tblEmployee[Pay Factor],1))</f>
        <v>1</v>
      </c>
      <c r="G50" s="26" t="str" cm="1">
        <f t="array" ref="G50">IF(tblPayrollMaster[[#This Row],[Employee ID]]="","",_xlfn.XLOOKUP(selPayPeriodID,tblPayCalendar[PayPeriodID],tblPayCalendar[PeriodStart],""))</f>
        <v/>
      </c>
      <c r="H50" s="26" t="str" cm="1">
        <f t="array" ref="H50">IF(tblPayrollMaster[[#This Row],[Employee ID]]="","",_xlfn.XLOOKUP(selPayPeriodID,tblPayCalendar[PayPeriodID],tblPayCalendar[PeriodEnd],""))</f>
        <v/>
      </c>
      <c r="I50" s="24" t="e" cm="1" vm="1">
        <f t="array" aca="1" ref="I50" ca="1">Table18[Employer Name]</f>
        <v>#VALUE!</v>
      </c>
      <c r="J50" s="3" cm="1">
        <f t="array" ref="J5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0" s="25" t="str">
        <f>_xlfn.XLOOKUP(tblPayrollMaster[[#This Row],[Employee Position]],tblPositionandPayRate[Employee Position],tblPositionandPayRate[Overtime], " ")</f>
        <v xml:space="preserve"> </v>
      </c>
      <c r="L50" s="25">
        <f>_xlfn.XLOOKUP(tblPayrollMaster[[#This Row],[Employee Position]],tblPositionandPayRate[Employee Position],tblPositionandPayRate[Allowance 1],0)*tblPayrollMaster[[#This Row],[Pay Factor]]</f>
        <v>0</v>
      </c>
      <c r="M50" s="25">
        <f>_xlfn.XLOOKUP(tblPayrollMaster[[#This Row],[Employee Position]],tblPositionandPayRate[Employee Position],tblPositionandPayRate[Allowance 2],0)*tblPayrollMaster[[#This Row],[Pay Factor]]</f>
        <v>0</v>
      </c>
      <c r="N50" s="25">
        <f>_xlfn.XLOOKUP(tblPayrollMaster[[#This Row],[Employee Position]],tblPositionandPayRate[Employee Position],tblPositionandPayRate[Allowance 3],0)*tblPayrollMaster[[#This Row],[Pay Factor]]</f>
        <v>0</v>
      </c>
      <c r="O50" s="25">
        <f>_xlfn.XLOOKUP(tblPayrollMaster[[#This Row],[Employee Position]],tblPositionandPayRate[Employee Position],tblPositionandPayRate[Allowance 4],0)*tblPayrollMaster[[#This Row],[Pay Factor]]</f>
        <v>0</v>
      </c>
      <c r="P50" s="25">
        <f>_xlfn.XLOOKUP(tblPayrollMaster[[#This Row],[Employee Position]],tblPositionandPayRate[Employee Position],tblPositionandPayRate[Allowance 5],0)*tblPayrollMaster[[#This Row],[Pay Factor]]</f>
        <v>0</v>
      </c>
      <c r="Q50" s="3">
        <f>SUM(tblPayrollMaster[[#This Row],[Basic Pay]:[Allowance 5]])</f>
        <v>0</v>
      </c>
      <c r="R5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0" s="51" cm="1">
        <f t="array" ref="S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0" s="3" cm="1">
        <f t="array" ref="T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0" s="25">
        <f>_xlfn.LET(
_xlpm.tos, _xlfn.XLOOKUP(tblPayrollMaster[[#This Row],[Employee ID]], tblEmployee[Employee ID], tblEmployee[Type of Service], ""),
IF(_xlpm.tos="Contract of Service", 8.25, 0)
)</f>
        <v>0</v>
      </c>
      <c r="V50" s="25">
        <f>tblPayrollMaster[[#This Row],[Basic Earnings]]-tblPayrollMaster[[#This Row],[Tax]]-tblPayrollMaster[[#This Row],[NIS - Employee]]-tblPayrollMaster[[#This Row],[Health Surcharge]]</f>
        <v>0</v>
      </c>
      <c r="W50" s="25">
        <f>tblPayrollMaster[[#This Row],[Net Pay]]</f>
        <v>0</v>
      </c>
      <c r="X50" s="25"/>
    </row>
    <row r="51" spans="1:24" x14ac:dyDescent="0.25">
      <c r="A51" s="24"/>
      <c r="B51" s="24" t="str">
        <f>_xlfn.XLOOKUP(tblPayrollMaster[[#This Row],[Employee ID]],tblEmployee[Employee ID],tblEmployee[Employee Name],"")</f>
        <v/>
      </c>
      <c r="C51" s="24" t="str">
        <f>_xlfn.XLOOKUP(tblPayrollMaster[[#This Row],[Employee ID]],tblEmployee[Employee ID],tblEmployee[Employee Position],"")</f>
        <v/>
      </c>
      <c r="D51" s="24" t="str">
        <f>_xlfn.XLOOKUP(tblPayrollMaster[[#This Row],[Employee ID]], tblEmployee[Employee ID], tblEmployee[Pay Status], "Pay")</f>
        <v>Pay</v>
      </c>
      <c r="E51" s="24" t="str">
        <f>_xlfn.XLOOKUP(tblPayrollMaster[[#This Row],[Employee ID]], tblEmployee[Employee ID], tblEmployee[Payable Flag], "Y")</f>
        <v>Y</v>
      </c>
      <c r="F51" s="45">
        <f>IF(tblPayrollMaster[[#This Row],[Payable Flag]]="N",0,_xlfn.XLOOKUP(tblPayrollMaster[[#This Row],[Employee ID]],tblEmployee[Employee ID],tblEmployee[Pay Factor],1))</f>
        <v>1</v>
      </c>
      <c r="G51" s="26" t="str" cm="1">
        <f t="array" ref="G51">IF(tblPayrollMaster[[#This Row],[Employee ID]]="","",_xlfn.XLOOKUP(selPayPeriodID,tblPayCalendar[PayPeriodID],tblPayCalendar[PeriodStart],""))</f>
        <v/>
      </c>
      <c r="H51" s="26" t="str" cm="1">
        <f t="array" ref="H51">IF(tblPayrollMaster[[#This Row],[Employee ID]]="","",_xlfn.XLOOKUP(selPayPeriodID,tblPayCalendar[PayPeriodID],tblPayCalendar[PeriodEnd],""))</f>
        <v/>
      </c>
      <c r="I51" s="24" t="e" cm="1" vm="1">
        <f t="array" aca="1" ref="I51" ca="1">Table18[Employer Name]</f>
        <v>#VALUE!</v>
      </c>
      <c r="J51" s="3" cm="1">
        <f t="array" ref="J5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1" s="25" t="str">
        <f>_xlfn.XLOOKUP(tblPayrollMaster[[#This Row],[Employee Position]],tblPositionandPayRate[Employee Position],tblPositionandPayRate[Overtime], " ")</f>
        <v xml:space="preserve"> </v>
      </c>
      <c r="L51" s="25">
        <f>_xlfn.XLOOKUP(tblPayrollMaster[[#This Row],[Employee Position]],tblPositionandPayRate[Employee Position],tblPositionandPayRate[Allowance 1],0)*tblPayrollMaster[[#This Row],[Pay Factor]]</f>
        <v>0</v>
      </c>
      <c r="M51" s="25">
        <f>_xlfn.XLOOKUP(tblPayrollMaster[[#This Row],[Employee Position]],tblPositionandPayRate[Employee Position],tblPositionandPayRate[Allowance 2],0)*tblPayrollMaster[[#This Row],[Pay Factor]]</f>
        <v>0</v>
      </c>
      <c r="N51" s="25">
        <f>_xlfn.XLOOKUP(tblPayrollMaster[[#This Row],[Employee Position]],tblPositionandPayRate[Employee Position],tblPositionandPayRate[Allowance 3],0)*tblPayrollMaster[[#This Row],[Pay Factor]]</f>
        <v>0</v>
      </c>
      <c r="O51" s="25">
        <f>_xlfn.XLOOKUP(tblPayrollMaster[[#This Row],[Employee Position]],tblPositionandPayRate[Employee Position],tblPositionandPayRate[Allowance 4],0)*tblPayrollMaster[[#This Row],[Pay Factor]]</f>
        <v>0</v>
      </c>
      <c r="P51" s="25">
        <f>_xlfn.XLOOKUP(tblPayrollMaster[[#This Row],[Employee Position]],tblPositionandPayRate[Employee Position],tblPositionandPayRate[Allowance 5],0)*tblPayrollMaster[[#This Row],[Pay Factor]]</f>
        <v>0</v>
      </c>
      <c r="Q51" s="3">
        <f>SUM(tblPayrollMaster[[#This Row],[Basic Pay]:[Allowance 5]])</f>
        <v>0</v>
      </c>
      <c r="R5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1" s="51" cm="1">
        <f t="array" ref="S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1" s="3" cm="1">
        <f t="array" ref="T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1" s="25">
        <f>_xlfn.LET(
_xlpm.tos, _xlfn.XLOOKUP(tblPayrollMaster[[#This Row],[Employee ID]], tblEmployee[Employee ID], tblEmployee[Type of Service], ""),
IF(_xlpm.tos="Contract of Service", 8.25, 0)
)</f>
        <v>0</v>
      </c>
      <c r="V51" s="25">
        <f>tblPayrollMaster[[#This Row],[Basic Earnings]]-tblPayrollMaster[[#This Row],[Tax]]-tblPayrollMaster[[#This Row],[NIS - Employee]]-tblPayrollMaster[[#This Row],[Health Surcharge]]</f>
        <v>0</v>
      </c>
      <c r="W51" s="25">
        <f>tblPayrollMaster[[#This Row],[Net Pay]]</f>
        <v>0</v>
      </c>
      <c r="X51" s="25"/>
    </row>
    <row r="52" spans="1:24" x14ac:dyDescent="0.25">
      <c r="A52" s="24"/>
      <c r="B52" s="24" t="str">
        <f>_xlfn.XLOOKUP(tblPayrollMaster[[#This Row],[Employee ID]],tblEmployee[Employee ID],tblEmployee[Employee Name],"")</f>
        <v/>
      </c>
      <c r="C52" s="24" t="str">
        <f>_xlfn.XLOOKUP(tblPayrollMaster[[#This Row],[Employee ID]],tblEmployee[Employee ID],tblEmployee[Employee Position],"")</f>
        <v/>
      </c>
      <c r="D52" s="24" t="str">
        <f>_xlfn.XLOOKUP(tblPayrollMaster[[#This Row],[Employee ID]], tblEmployee[Employee ID], tblEmployee[Pay Status], "Pay")</f>
        <v>Pay</v>
      </c>
      <c r="E52" s="24" t="str">
        <f>_xlfn.XLOOKUP(tblPayrollMaster[[#This Row],[Employee ID]], tblEmployee[Employee ID], tblEmployee[Payable Flag], "Y")</f>
        <v>Y</v>
      </c>
      <c r="F52" s="45">
        <f>IF(tblPayrollMaster[[#This Row],[Payable Flag]]="N",0,_xlfn.XLOOKUP(tblPayrollMaster[[#This Row],[Employee ID]],tblEmployee[Employee ID],tblEmployee[Pay Factor],1))</f>
        <v>1</v>
      </c>
      <c r="G52" s="26" t="str" cm="1">
        <f t="array" ref="G52">IF(tblPayrollMaster[[#This Row],[Employee ID]]="","",_xlfn.XLOOKUP(selPayPeriodID,tblPayCalendar[PayPeriodID],tblPayCalendar[PeriodStart],""))</f>
        <v/>
      </c>
      <c r="H52" s="26" t="str" cm="1">
        <f t="array" ref="H52">IF(tblPayrollMaster[[#This Row],[Employee ID]]="","",_xlfn.XLOOKUP(selPayPeriodID,tblPayCalendar[PayPeriodID],tblPayCalendar[PeriodEnd],""))</f>
        <v/>
      </c>
      <c r="I52" s="24" t="e" cm="1" vm="1">
        <f t="array" aca="1" ref="I52" ca="1">Table18[Employer Name]</f>
        <v>#VALUE!</v>
      </c>
      <c r="J52" s="3" cm="1">
        <f t="array" ref="J5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2" s="25" t="str">
        <f>_xlfn.XLOOKUP(tblPayrollMaster[[#This Row],[Employee Position]],tblPositionandPayRate[Employee Position],tblPositionandPayRate[Overtime], " ")</f>
        <v xml:space="preserve"> </v>
      </c>
      <c r="L52" s="25">
        <f>_xlfn.XLOOKUP(tblPayrollMaster[[#This Row],[Employee Position]],tblPositionandPayRate[Employee Position],tblPositionandPayRate[Allowance 1],0)*tblPayrollMaster[[#This Row],[Pay Factor]]</f>
        <v>0</v>
      </c>
      <c r="M52" s="25">
        <f>_xlfn.XLOOKUP(tblPayrollMaster[[#This Row],[Employee Position]],tblPositionandPayRate[Employee Position],tblPositionandPayRate[Allowance 2],0)*tblPayrollMaster[[#This Row],[Pay Factor]]</f>
        <v>0</v>
      </c>
      <c r="N52" s="25">
        <f>_xlfn.XLOOKUP(tblPayrollMaster[[#This Row],[Employee Position]],tblPositionandPayRate[Employee Position],tblPositionandPayRate[Allowance 3],0)*tblPayrollMaster[[#This Row],[Pay Factor]]</f>
        <v>0</v>
      </c>
      <c r="O52" s="25">
        <f>_xlfn.XLOOKUP(tblPayrollMaster[[#This Row],[Employee Position]],tblPositionandPayRate[Employee Position],tblPositionandPayRate[Allowance 4],0)*tblPayrollMaster[[#This Row],[Pay Factor]]</f>
        <v>0</v>
      </c>
      <c r="P52" s="25">
        <f>_xlfn.XLOOKUP(tblPayrollMaster[[#This Row],[Employee Position]],tblPositionandPayRate[Employee Position],tblPositionandPayRate[Allowance 5],0)*tblPayrollMaster[[#This Row],[Pay Factor]]</f>
        <v>0</v>
      </c>
      <c r="Q52" s="3">
        <f>SUM(tblPayrollMaster[[#This Row],[Basic Pay]:[Allowance 5]])</f>
        <v>0</v>
      </c>
      <c r="R5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2" s="51" cm="1">
        <f t="array" ref="S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2" s="3" cm="1">
        <f t="array" ref="T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2" s="25">
        <f>_xlfn.LET(
_xlpm.tos, _xlfn.XLOOKUP(tblPayrollMaster[[#This Row],[Employee ID]], tblEmployee[Employee ID], tblEmployee[Type of Service], ""),
IF(_xlpm.tos="Contract of Service", 8.25, 0)
)</f>
        <v>0</v>
      </c>
      <c r="V52" s="25">
        <f>tblPayrollMaster[[#This Row],[Basic Earnings]]-tblPayrollMaster[[#This Row],[Tax]]-tblPayrollMaster[[#This Row],[NIS - Employee]]-tblPayrollMaster[[#This Row],[Health Surcharge]]</f>
        <v>0</v>
      </c>
      <c r="W52" s="25">
        <f>tblPayrollMaster[[#This Row],[Net Pay]]</f>
        <v>0</v>
      </c>
      <c r="X52" s="25"/>
    </row>
    <row r="53" spans="1:24" x14ac:dyDescent="0.25">
      <c r="A53" s="24"/>
      <c r="B53" s="24" t="str">
        <f>_xlfn.XLOOKUP(tblPayrollMaster[[#This Row],[Employee ID]],tblEmployee[Employee ID],tblEmployee[Employee Name],"")</f>
        <v/>
      </c>
      <c r="C53" s="24" t="str">
        <f>_xlfn.XLOOKUP(tblPayrollMaster[[#This Row],[Employee ID]],tblEmployee[Employee ID],tblEmployee[Employee Position],"")</f>
        <v/>
      </c>
      <c r="D53" s="24" t="str">
        <f>_xlfn.XLOOKUP(tblPayrollMaster[[#This Row],[Employee ID]], tblEmployee[Employee ID], tblEmployee[Pay Status], "Pay")</f>
        <v>Pay</v>
      </c>
      <c r="E53" s="24" t="str">
        <f>_xlfn.XLOOKUP(tblPayrollMaster[[#This Row],[Employee ID]], tblEmployee[Employee ID], tblEmployee[Payable Flag], "Y")</f>
        <v>Y</v>
      </c>
      <c r="F53" s="45">
        <f>IF(tblPayrollMaster[[#This Row],[Payable Flag]]="N",0,_xlfn.XLOOKUP(tblPayrollMaster[[#This Row],[Employee ID]],tblEmployee[Employee ID],tblEmployee[Pay Factor],1))</f>
        <v>1</v>
      </c>
      <c r="G53" s="26" t="str" cm="1">
        <f t="array" ref="G53">IF(tblPayrollMaster[[#This Row],[Employee ID]]="","",_xlfn.XLOOKUP(selPayPeriodID,tblPayCalendar[PayPeriodID],tblPayCalendar[PeriodStart],""))</f>
        <v/>
      </c>
      <c r="H53" s="26" t="str" cm="1">
        <f t="array" ref="H53">IF(tblPayrollMaster[[#This Row],[Employee ID]]="","",_xlfn.XLOOKUP(selPayPeriodID,tblPayCalendar[PayPeriodID],tblPayCalendar[PeriodEnd],""))</f>
        <v/>
      </c>
      <c r="I53" s="24" t="e" cm="1" vm="1">
        <f t="array" aca="1" ref="I53" ca="1">Table18[Employer Name]</f>
        <v>#VALUE!</v>
      </c>
      <c r="J53" s="3" cm="1">
        <f t="array" ref="J5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3" s="25" t="str">
        <f>_xlfn.XLOOKUP(tblPayrollMaster[[#This Row],[Employee Position]],tblPositionandPayRate[Employee Position],tblPositionandPayRate[Overtime], " ")</f>
        <v xml:space="preserve"> </v>
      </c>
      <c r="L53" s="25">
        <f>_xlfn.XLOOKUP(tblPayrollMaster[[#This Row],[Employee Position]],tblPositionandPayRate[Employee Position],tblPositionandPayRate[Allowance 1],0)*tblPayrollMaster[[#This Row],[Pay Factor]]</f>
        <v>0</v>
      </c>
      <c r="M53" s="25">
        <f>_xlfn.XLOOKUP(tblPayrollMaster[[#This Row],[Employee Position]],tblPositionandPayRate[Employee Position],tblPositionandPayRate[Allowance 2],0)*tblPayrollMaster[[#This Row],[Pay Factor]]</f>
        <v>0</v>
      </c>
      <c r="N53" s="25">
        <f>_xlfn.XLOOKUP(tblPayrollMaster[[#This Row],[Employee Position]],tblPositionandPayRate[Employee Position],tblPositionandPayRate[Allowance 3],0)*tblPayrollMaster[[#This Row],[Pay Factor]]</f>
        <v>0</v>
      </c>
      <c r="O53" s="25">
        <f>_xlfn.XLOOKUP(tblPayrollMaster[[#This Row],[Employee Position]],tblPositionandPayRate[Employee Position],tblPositionandPayRate[Allowance 4],0)*tblPayrollMaster[[#This Row],[Pay Factor]]</f>
        <v>0</v>
      </c>
      <c r="P53" s="25">
        <f>_xlfn.XLOOKUP(tblPayrollMaster[[#This Row],[Employee Position]],tblPositionandPayRate[Employee Position],tblPositionandPayRate[Allowance 5],0)*tblPayrollMaster[[#This Row],[Pay Factor]]</f>
        <v>0</v>
      </c>
      <c r="Q53" s="3">
        <f>SUM(tblPayrollMaster[[#This Row],[Basic Pay]:[Allowance 5]])</f>
        <v>0</v>
      </c>
      <c r="R5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3" s="51" cm="1">
        <f t="array" ref="S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3" s="3" cm="1">
        <f t="array" ref="T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3" s="25">
        <f>_xlfn.LET(
_xlpm.tos, _xlfn.XLOOKUP(tblPayrollMaster[[#This Row],[Employee ID]], tblEmployee[Employee ID], tblEmployee[Type of Service], ""),
IF(_xlpm.tos="Contract of Service", 8.25, 0)
)</f>
        <v>0</v>
      </c>
      <c r="V53" s="25">
        <f>tblPayrollMaster[[#This Row],[Basic Earnings]]-tblPayrollMaster[[#This Row],[Tax]]-tblPayrollMaster[[#This Row],[NIS - Employee]]-tblPayrollMaster[[#This Row],[Health Surcharge]]</f>
        <v>0</v>
      </c>
      <c r="W53" s="25">
        <f>tblPayrollMaster[[#This Row],[Net Pay]]</f>
        <v>0</v>
      </c>
      <c r="X53" s="25"/>
    </row>
    <row r="54" spans="1:24" x14ac:dyDescent="0.25">
      <c r="A54" s="24"/>
      <c r="B54" s="24" t="str">
        <f>_xlfn.XLOOKUP(tblPayrollMaster[[#This Row],[Employee ID]],tblEmployee[Employee ID],tblEmployee[Employee Name],"")</f>
        <v/>
      </c>
      <c r="C54" s="24" t="str">
        <f>_xlfn.XLOOKUP(tblPayrollMaster[[#This Row],[Employee ID]],tblEmployee[Employee ID],tblEmployee[Employee Position],"")</f>
        <v/>
      </c>
      <c r="D54" s="24" t="str">
        <f>_xlfn.XLOOKUP(tblPayrollMaster[[#This Row],[Employee ID]], tblEmployee[Employee ID], tblEmployee[Pay Status], "Pay")</f>
        <v>Pay</v>
      </c>
      <c r="E54" s="24" t="str">
        <f>_xlfn.XLOOKUP(tblPayrollMaster[[#This Row],[Employee ID]], tblEmployee[Employee ID], tblEmployee[Payable Flag], "Y")</f>
        <v>Y</v>
      </c>
      <c r="F54" s="45">
        <f>IF(tblPayrollMaster[[#This Row],[Payable Flag]]="N",0,_xlfn.XLOOKUP(tblPayrollMaster[[#This Row],[Employee ID]],tblEmployee[Employee ID],tblEmployee[Pay Factor],1))</f>
        <v>1</v>
      </c>
      <c r="G54" s="26" t="str" cm="1">
        <f t="array" ref="G54">IF(tblPayrollMaster[[#This Row],[Employee ID]]="","",_xlfn.XLOOKUP(selPayPeriodID,tblPayCalendar[PayPeriodID],tblPayCalendar[PeriodStart],""))</f>
        <v/>
      </c>
      <c r="H54" s="26" t="str" cm="1">
        <f t="array" ref="H54">IF(tblPayrollMaster[[#This Row],[Employee ID]]="","",_xlfn.XLOOKUP(selPayPeriodID,tblPayCalendar[PayPeriodID],tblPayCalendar[PeriodEnd],""))</f>
        <v/>
      </c>
      <c r="I54" s="24" t="e" cm="1" vm="1">
        <f t="array" aca="1" ref="I54" ca="1">Table18[Employer Name]</f>
        <v>#VALUE!</v>
      </c>
      <c r="J54" s="3" cm="1">
        <f t="array" ref="J5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4" s="25" t="str">
        <f>_xlfn.XLOOKUP(tblPayrollMaster[[#This Row],[Employee Position]],tblPositionandPayRate[Employee Position],tblPositionandPayRate[Overtime], " ")</f>
        <v xml:space="preserve"> </v>
      </c>
      <c r="L54" s="25">
        <f>_xlfn.XLOOKUP(tblPayrollMaster[[#This Row],[Employee Position]],tblPositionandPayRate[Employee Position],tblPositionandPayRate[Allowance 1],0)*tblPayrollMaster[[#This Row],[Pay Factor]]</f>
        <v>0</v>
      </c>
      <c r="M54" s="25">
        <f>_xlfn.XLOOKUP(tblPayrollMaster[[#This Row],[Employee Position]],tblPositionandPayRate[Employee Position],tblPositionandPayRate[Allowance 2],0)*tblPayrollMaster[[#This Row],[Pay Factor]]</f>
        <v>0</v>
      </c>
      <c r="N54" s="25">
        <f>_xlfn.XLOOKUP(tblPayrollMaster[[#This Row],[Employee Position]],tblPositionandPayRate[Employee Position],tblPositionandPayRate[Allowance 3],0)*tblPayrollMaster[[#This Row],[Pay Factor]]</f>
        <v>0</v>
      </c>
      <c r="O54" s="25">
        <f>_xlfn.XLOOKUP(tblPayrollMaster[[#This Row],[Employee Position]],tblPositionandPayRate[Employee Position],tblPositionandPayRate[Allowance 4],0)*tblPayrollMaster[[#This Row],[Pay Factor]]</f>
        <v>0</v>
      </c>
      <c r="P54" s="25">
        <f>_xlfn.XLOOKUP(tblPayrollMaster[[#This Row],[Employee Position]],tblPositionandPayRate[Employee Position],tblPositionandPayRate[Allowance 5],0)*tblPayrollMaster[[#This Row],[Pay Factor]]</f>
        <v>0</v>
      </c>
      <c r="Q54" s="3">
        <f>SUM(tblPayrollMaster[[#This Row],[Basic Pay]:[Allowance 5]])</f>
        <v>0</v>
      </c>
      <c r="R5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4" s="51" cm="1">
        <f t="array" ref="S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4" s="3" cm="1">
        <f t="array" ref="T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4" s="25">
        <f>_xlfn.LET(
_xlpm.tos, _xlfn.XLOOKUP(tblPayrollMaster[[#This Row],[Employee ID]], tblEmployee[Employee ID], tblEmployee[Type of Service], ""),
IF(_xlpm.tos="Contract of Service", 8.25, 0)
)</f>
        <v>0</v>
      </c>
      <c r="V54" s="25">
        <f>tblPayrollMaster[[#This Row],[Basic Earnings]]-tblPayrollMaster[[#This Row],[Tax]]-tblPayrollMaster[[#This Row],[NIS - Employee]]-tblPayrollMaster[[#This Row],[Health Surcharge]]</f>
        <v>0</v>
      </c>
      <c r="W54" s="25">
        <f>tblPayrollMaster[[#This Row],[Net Pay]]</f>
        <v>0</v>
      </c>
      <c r="X54" s="25"/>
    </row>
    <row r="55" spans="1:24" x14ac:dyDescent="0.25">
      <c r="A55" s="24"/>
      <c r="B55" s="24" t="str">
        <f>_xlfn.XLOOKUP(tblPayrollMaster[[#This Row],[Employee ID]],tblEmployee[Employee ID],tblEmployee[Employee Name],"")</f>
        <v/>
      </c>
      <c r="C55" s="24" t="str">
        <f>_xlfn.XLOOKUP(tblPayrollMaster[[#This Row],[Employee ID]],tblEmployee[Employee ID],tblEmployee[Employee Position],"")</f>
        <v/>
      </c>
      <c r="D55" s="24" t="str">
        <f>_xlfn.XLOOKUP(tblPayrollMaster[[#This Row],[Employee ID]], tblEmployee[Employee ID], tblEmployee[Pay Status], "Pay")</f>
        <v>Pay</v>
      </c>
      <c r="E55" s="24" t="str">
        <f>_xlfn.XLOOKUP(tblPayrollMaster[[#This Row],[Employee ID]], tblEmployee[Employee ID], tblEmployee[Payable Flag], "Y")</f>
        <v>Y</v>
      </c>
      <c r="F55" s="45">
        <f>IF(tblPayrollMaster[[#This Row],[Payable Flag]]="N",0,_xlfn.XLOOKUP(tblPayrollMaster[[#This Row],[Employee ID]],tblEmployee[Employee ID],tblEmployee[Pay Factor],1))</f>
        <v>1</v>
      </c>
      <c r="G55" s="26" t="str" cm="1">
        <f t="array" ref="G55">IF(tblPayrollMaster[[#This Row],[Employee ID]]="","",_xlfn.XLOOKUP(selPayPeriodID,tblPayCalendar[PayPeriodID],tblPayCalendar[PeriodStart],""))</f>
        <v/>
      </c>
      <c r="H55" s="26" t="str" cm="1">
        <f t="array" ref="H55">IF(tblPayrollMaster[[#This Row],[Employee ID]]="","",_xlfn.XLOOKUP(selPayPeriodID,tblPayCalendar[PayPeriodID],tblPayCalendar[PeriodEnd],""))</f>
        <v/>
      </c>
      <c r="I55" s="24" t="e" cm="1" vm="1">
        <f t="array" aca="1" ref="I55" ca="1">Table18[Employer Name]</f>
        <v>#VALUE!</v>
      </c>
      <c r="J55" s="3" cm="1">
        <f t="array" ref="J5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5" s="25" t="str">
        <f>_xlfn.XLOOKUP(tblPayrollMaster[[#This Row],[Employee Position]],tblPositionandPayRate[Employee Position],tblPositionandPayRate[Overtime], " ")</f>
        <v xml:space="preserve"> </v>
      </c>
      <c r="L55" s="25">
        <f>_xlfn.XLOOKUP(tblPayrollMaster[[#This Row],[Employee Position]],tblPositionandPayRate[Employee Position],tblPositionandPayRate[Allowance 1],0)*tblPayrollMaster[[#This Row],[Pay Factor]]</f>
        <v>0</v>
      </c>
      <c r="M55" s="25">
        <f>_xlfn.XLOOKUP(tblPayrollMaster[[#This Row],[Employee Position]],tblPositionandPayRate[Employee Position],tblPositionandPayRate[Allowance 2],0)*tblPayrollMaster[[#This Row],[Pay Factor]]</f>
        <v>0</v>
      </c>
      <c r="N55" s="25">
        <f>_xlfn.XLOOKUP(tblPayrollMaster[[#This Row],[Employee Position]],tblPositionandPayRate[Employee Position],tblPositionandPayRate[Allowance 3],0)*tblPayrollMaster[[#This Row],[Pay Factor]]</f>
        <v>0</v>
      </c>
      <c r="O55" s="25">
        <f>_xlfn.XLOOKUP(tblPayrollMaster[[#This Row],[Employee Position]],tblPositionandPayRate[Employee Position],tblPositionandPayRate[Allowance 4],0)*tblPayrollMaster[[#This Row],[Pay Factor]]</f>
        <v>0</v>
      </c>
      <c r="P55" s="25">
        <f>_xlfn.XLOOKUP(tblPayrollMaster[[#This Row],[Employee Position]],tblPositionandPayRate[Employee Position],tblPositionandPayRate[Allowance 5],0)*tblPayrollMaster[[#This Row],[Pay Factor]]</f>
        <v>0</v>
      </c>
      <c r="Q55" s="3">
        <f>SUM(tblPayrollMaster[[#This Row],[Basic Pay]:[Allowance 5]])</f>
        <v>0</v>
      </c>
      <c r="R5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5" s="51" cm="1">
        <f t="array" ref="S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5" s="3" cm="1">
        <f t="array" ref="T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5" s="25">
        <f>_xlfn.LET(
_xlpm.tos, _xlfn.XLOOKUP(tblPayrollMaster[[#This Row],[Employee ID]], tblEmployee[Employee ID], tblEmployee[Type of Service], ""),
IF(_xlpm.tos="Contract of Service", 8.25, 0)
)</f>
        <v>0</v>
      </c>
      <c r="V55" s="25">
        <f>tblPayrollMaster[[#This Row],[Basic Earnings]]-tblPayrollMaster[[#This Row],[Tax]]-tblPayrollMaster[[#This Row],[NIS - Employee]]-tblPayrollMaster[[#This Row],[Health Surcharge]]</f>
        <v>0</v>
      </c>
      <c r="W55" s="25">
        <f>tblPayrollMaster[[#This Row],[Net Pay]]</f>
        <v>0</v>
      </c>
      <c r="X55" s="25"/>
    </row>
    <row r="56" spans="1:24" x14ac:dyDescent="0.25">
      <c r="A56" s="24"/>
      <c r="B56" s="24" t="str">
        <f>_xlfn.XLOOKUP(tblPayrollMaster[[#This Row],[Employee ID]],tblEmployee[Employee ID],tblEmployee[Employee Name],"")</f>
        <v/>
      </c>
      <c r="C56" s="24" t="str">
        <f>_xlfn.XLOOKUP(tblPayrollMaster[[#This Row],[Employee ID]],tblEmployee[Employee ID],tblEmployee[Employee Position],"")</f>
        <v/>
      </c>
      <c r="D56" s="24" t="str">
        <f>_xlfn.XLOOKUP(tblPayrollMaster[[#This Row],[Employee ID]], tblEmployee[Employee ID], tblEmployee[Pay Status], "Pay")</f>
        <v>Pay</v>
      </c>
      <c r="E56" s="24" t="str">
        <f>_xlfn.XLOOKUP(tblPayrollMaster[[#This Row],[Employee ID]], tblEmployee[Employee ID], tblEmployee[Payable Flag], "Y")</f>
        <v>Y</v>
      </c>
      <c r="F56" s="45">
        <f>IF(tblPayrollMaster[[#This Row],[Payable Flag]]="N",0,_xlfn.XLOOKUP(tblPayrollMaster[[#This Row],[Employee ID]],tblEmployee[Employee ID],tblEmployee[Pay Factor],1))</f>
        <v>1</v>
      </c>
      <c r="G56" s="26" t="str" cm="1">
        <f t="array" ref="G56">IF(tblPayrollMaster[[#This Row],[Employee ID]]="","",_xlfn.XLOOKUP(selPayPeriodID,tblPayCalendar[PayPeriodID],tblPayCalendar[PeriodStart],""))</f>
        <v/>
      </c>
      <c r="H56" s="26" t="str" cm="1">
        <f t="array" ref="H56">IF(tblPayrollMaster[[#This Row],[Employee ID]]="","",_xlfn.XLOOKUP(selPayPeriodID,tblPayCalendar[PayPeriodID],tblPayCalendar[PeriodEnd],""))</f>
        <v/>
      </c>
      <c r="I56" s="24" t="e" cm="1" vm="1">
        <f t="array" aca="1" ref="I56" ca="1">Table18[Employer Name]</f>
        <v>#VALUE!</v>
      </c>
      <c r="J56" s="3" cm="1">
        <f t="array" ref="J5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6" s="25" t="str">
        <f>_xlfn.XLOOKUP(tblPayrollMaster[[#This Row],[Employee Position]],tblPositionandPayRate[Employee Position],tblPositionandPayRate[Overtime], " ")</f>
        <v xml:space="preserve"> </v>
      </c>
      <c r="L56" s="25">
        <f>_xlfn.XLOOKUP(tblPayrollMaster[[#This Row],[Employee Position]],tblPositionandPayRate[Employee Position],tblPositionandPayRate[Allowance 1],0)*tblPayrollMaster[[#This Row],[Pay Factor]]</f>
        <v>0</v>
      </c>
      <c r="M56" s="25">
        <f>_xlfn.XLOOKUP(tblPayrollMaster[[#This Row],[Employee Position]],tblPositionandPayRate[Employee Position],tblPositionandPayRate[Allowance 2],0)*tblPayrollMaster[[#This Row],[Pay Factor]]</f>
        <v>0</v>
      </c>
      <c r="N56" s="25">
        <f>_xlfn.XLOOKUP(tblPayrollMaster[[#This Row],[Employee Position]],tblPositionandPayRate[Employee Position],tblPositionandPayRate[Allowance 3],0)*tblPayrollMaster[[#This Row],[Pay Factor]]</f>
        <v>0</v>
      </c>
      <c r="O56" s="25">
        <f>_xlfn.XLOOKUP(tblPayrollMaster[[#This Row],[Employee Position]],tblPositionandPayRate[Employee Position],tblPositionandPayRate[Allowance 4],0)*tblPayrollMaster[[#This Row],[Pay Factor]]</f>
        <v>0</v>
      </c>
      <c r="P56" s="25">
        <f>_xlfn.XLOOKUP(tblPayrollMaster[[#This Row],[Employee Position]],tblPositionandPayRate[Employee Position],tblPositionandPayRate[Allowance 5],0)*tblPayrollMaster[[#This Row],[Pay Factor]]</f>
        <v>0</v>
      </c>
      <c r="Q56" s="3">
        <f>SUM(tblPayrollMaster[[#This Row],[Basic Pay]:[Allowance 5]])</f>
        <v>0</v>
      </c>
      <c r="R5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6" s="51" cm="1">
        <f t="array" ref="S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6" s="3" cm="1">
        <f t="array" ref="T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6" s="25">
        <f>_xlfn.LET(
_xlpm.tos, _xlfn.XLOOKUP(tblPayrollMaster[[#This Row],[Employee ID]], tblEmployee[Employee ID], tblEmployee[Type of Service], ""),
IF(_xlpm.tos="Contract of Service", 8.25, 0)
)</f>
        <v>0</v>
      </c>
      <c r="V56" s="25">
        <f>tblPayrollMaster[[#This Row],[Basic Earnings]]-tblPayrollMaster[[#This Row],[Tax]]-tblPayrollMaster[[#This Row],[NIS - Employee]]-tblPayrollMaster[[#This Row],[Health Surcharge]]</f>
        <v>0</v>
      </c>
      <c r="W56" s="25">
        <f>tblPayrollMaster[[#This Row],[Net Pay]]</f>
        <v>0</v>
      </c>
      <c r="X56" s="25"/>
    </row>
    <row r="57" spans="1:24" x14ac:dyDescent="0.25">
      <c r="A57" s="24"/>
      <c r="B57" s="24" t="str">
        <f>_xlfn.XLOOKUP(tblPayrollMaster[[#This Row],[Employee ID]],tblEmployee[Employee ID],tblEmployee[Employee Name],"")</f>
        <v/>
      </c>
      <c r="C57" s="24" t="str">
        <f>_xlfn.XLOOKUP(tblPayrollMaster[[#This Row],[Employee ID]],tblEmployee[Employee ID],tblEmployee[Employee Position],"")</f>
        <v/>
      </c>
      <c r="D57" s="24" t="str">
        <f>_xlfn.XLOOKUP(tblPayrollMaster[[#This Row],[Employee ID]], tblEmployee[Employee ID], tblEmployee[Pay Status], "Pay")</f>
        <v>Pay</v>
      </c>
      <c r="E57" s="24" t="str">
        <f>_xlfn.XLOOKUP(tblPayrollMaster[[#This Row],[Employee ID]], tblEmployee[Employee ID], tblEmployee[Payable Flag], "Y")</f>
        <v>Y</v>
      </c>
      <c r="F57" s="45">
        <f>IF(tblPayrollMaster[[#This Row],[Payable Flag]]="N",0,_xlfn.XLOOKUP(tblPayrollMaster[[#This Row],[Employee ID]],tblEmployee[Employee ID],tblEmployee[Pay Factor],1))</f>
        <v>1</v>
      </c>
      <c r="G57" s="26" t="str" cm="1">
        <f t="array" ref="G57">IF(tblPayrollMaster[[#This Row],[Employee ID]]="","",_xlfn.XLOOKUP(selPayPeriodID,tblPayCalendar[PayPeriodID],tblPayCalendar[PeriodStart],""))</f>
        <v/>
      </c>
      <c r="H57" s="26" t="str" cm="1">
        <f t="array" ref="H57">IF(tblPayrollMaster[[#This Row],[Employee ID]]="","",_xlfn.XLOOKUP(selPayPeriodID,tblPayCalendar[PayPeriodID],tblPayCalendar[PeriodEnd],""))</f>
        <v/>
      </c>
      <c r="I57" s="24" t="e" cm="1" vm="1">
        <f t="array" aca="1" ref="I57" ca="1">Table18[Employer Name]</f>
        <v>#VALUE!</v>
      </c>
      <c r="J57" s="3" cm="1">
        <f t="array" ref="J5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7" s="25" t="str">
        <f>_xlfn.XLOOKUP(tblPayrollMaster[[#This Row],[Employee Position]],tblPositionandPayRate[Employee Position],tblPositionandPayRate[Overtime], " ")</f>
        <v xml:space="preserve"> </v>
      </c>
      <c r="L57" s="25">
        <f>_xlfn.XLOOKUP(tblPayrollMaster[[#This Row],[Employee Position]],tblPositionandPayRate[Employee Position],tblPositionandPayRate[Allowance 1],0)*tblPayrollMaster[[#This Row],[Pay Factor]]</f>
        <v>0</v>
      </c>
      <c r="M57" s="25">
        <f>_xlfn.XLOOKUP(tblPayrollMaster[[#This Row],[Employee Position]],tblPositionandPayRate[Employee Position],tblPositionandPayRate[Allowance 2],0)*tblPayrollMaster[[#This Row],[Pay Factor]]</f>
        <v>0</v>
      </c>
      <c r="N57" s="25">
        <f>_xlfn.XLOOKUP(tblPayrollMaster[[#This Row],[Employee Position]],tblPositionandPayRate[Employee Position],tblPositionandPayRate[Allowance 3],0)*tblPayrollMaster[[#This Row],[Pay Factor]]</f>
        <v>0</v>
      </c>
      <c r="O57" s="25">
        <f>_xlfn.XLOOKUP(tblPayrollMaster[[#This Row],[Employee Position]],tblPositionandPayRate[Employee Position],tblPositionandPayRate[Allowance 4],0)*tblPayrollMaster[[#This Row],[Pay Factor]]</f>
        <v>0</v>
      </c>
      <c r="P57" s="25">
        <f>_xlfn.XLOOKUP(tblPayrollMaster[[#This Row],[Employee Position]],tblPositionandPayRate[Employee Position],tblPositionandPayRate[Allowance 5],0)*tblPayrollMaster[[#This Row],[Pay Factor]]</f>
        <v>0</v>
      </c>
      <c r="Q57" s="3">
        <f>SUM(tblPayrollMaster[[#This Row],[Basic Pay]:[Allowance 5]])</f>
        <v>0</v>
      </c>
      <c r="R5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7" s="51" cm="1">
        <f t="array" ref="S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7" s="3" cm="1">
        <f t="array" ref="T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7" s="25">
        <f>_xlfn.LET(
_xlpm.tos, _xlfn.XLOOKUP(tblPayrollMaster[[#This Row],[Employee ID]], tblEmployee[Employee ID], tblEmployee[Type of Service], ""),
IF(_xlpm.tos="Contract of Service", 8.25, 0)
)</f>
        <v>0</v>
      </c>
      <c r="V57" s="25">
        <f>tblPayrollMaster[[#This Row],[Basic Earnings]]-tblPayrollMaster[[#This Row],[Tax]]-tblPayrollMaster[[#This Row],[NIS - Employee]]-tblPayrollMaster[[#This Row],[Health Surcharge]]</f>
        <v>0</v>
      </c>
      <c r="W57" s="25">
        <f>tblPayrollMaster[[#This Row],[Net Pay]]</f>
        <v>0</v>
      </c>
      <c r="X57" s="25"/>
    </row>
    <row r="58" spans="1:24" x14ac:dyDescent="0.25">
      <c r="A58" s="24"/>
      <c r="B58" s="24" t="str">
        <f>_xlfn.XLOOKUP(tblPayrollMaster[[#This Row],[Employee ID]],tblEmployee[Employee ID],tblEmployee[Employee Name],"")</f>
        <v/>
      </c>
      <c r="C58" s="24" t="str">
        <f>_xlfn.XLOOKUP(tblPayrollMaster[[#This Row],[Employee ID]],tblEmployee[Employee ID],tblEmployee[Employee Position],"")</f>
        <v/>
      </c>
      <c r="D58" s="24" t="str">
        <f>_xlfn.XLOOKUP(tblPayrollMaster[[#This Row],[Employee ID]], tblEmployee[Employee ID], tblEmployee[Pay Status], "Pay")</f>
        <v>Pay</v>
      </c>
      <c r="E58" s="24" t="str">
        <f>_xlfn.XLOOKUP(tblPayrollMaster[[#This Row],[Employee ID]], tblEmployee[Employee ID], tblEmployee[Payable Flag], "Y")</f>
        <v>Y</v>
      </c>
      <c r="F58" s="45">
        <f>IF(tblPayrollMaster[[#This Row],[Payable Flag]]="N",0,_xlfn.XLOOKUP(tblPayrollMaster[[#This Row],[Employee ID]],tblEmployee[Employee ID],tblEmployee[Pay Factor],1))</f>
        <v>1</v>
      </c>
      <c r="G58" s="26" t="str" cm="1">
        <f t="array" ref="G58">IF(tblPayrollMaster[[#This Row],[Employee ID]]="","",_xlfn.XLOOKUP(selPayPeriodID,tblPayCalendar[PayPeriodID],tblPayCalendar[PeriodStart],""))</f>
        <v/>
      </c>
      <c r="H58" s="26" t="str" cm="1">
        <f t="array" ref="H58">IF(tblPayrollMaster[[#This Row],[Employee ID]]="","",_xlfn.XLOOKUP(selPayPeriodID,tblPayCalendar[PayPeriodID],tblPayCalendar[PeriodEnd],""))</f>
        <v/>
      </c>
      <c r="I58" s="24" t="e" cm="1" vm="1">
        <f t="array" aca="1" ref="I58" ca="1">Table18[Employer Name]</f>
        <v>#VALUE!</v>
      </c>
      <c r="J58" s="3" cm="1">
        <f t="array" ref="J5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8" s="25" t="str">
        <f>_xlfn.XLOOKUP(tblPayrollMaster[[#This Row],[Employee Position]],tblPositionandPayRate[Employee Position],tblPositionandPayRate[Overtime], " ")</f>
        <v xml:space="preserve"> </v>
      </c>
      <c r="L58" s="25">
        <f>_xlfn.XLOOKUP(tblPayrollMaster[[#This Row],[Employee Position]],tblPositionandPayRate[Employee Position],tblPositionandPayRate[Allowance 1],0)*tblPayrollMaster[[#This Row],[Pay Factor]]</f>
        <v>0</v>
      </c>
      <c r="M58" s="25">
        <f>_xlfn.XLOOKUP(tblPayrollMaster[[#This Row],[Employee Position]],tblPositionandPayRate[Employee Position],tblPositionandPayRate[Allowance 2],0)*tblPayrollMaster[[#This Row],[Pay Factor]]</f>
        <v>0</v>
      </c>
      <c r="N58" s="25">
        <f>_xlfn.XLOOKUP(tblPayrollMaster[[#This Row],[Employee Position]],tblPositionandPayRate[Employee Position],tblPositionandPayRate[Allowance 3],0)*tblPayrollMaster[[#This Row],[Pay Factor]]</f>
        <v>0</v>
      </c>
      <c r="O58" s="25">
        <f>_xlfn.XLOOKUP(tblPayrollMaster[[#This Row],[Employee Position]],tblPositionandPayRate[Employee Position],tblPositionandPayRate[Allowance 4],0)*tblPayrollMaster[[#This Row],[Pay Factor]]</f>
        <v>0</v>
      </c>
      <c r="P58" s="25">
        <f>_xlfn.XLOOKUP(tblPayrollMaster[[#This Row],[Employee Position]],tblPositionandPayRate[Employee Position],tblPositionandPayRate[Allowance 5],0)*tblPayrollMaster[[#This Row],[Pay Factor]]</f>
        <v>0</v>
      </c>
      <c r="Q58" s="3">
        <f>SUM(tblPayrollMaster[[#This Row],[Basic Pay]:[Allowance 5]])</f>
        <v>0</v>
      </c>
      <c r="R5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8" s="51" cm="1">
        <f t="array" ref="S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8" s="3" cm="1">
        <f t="array" ref="T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8" s="25">
        <f>_xlfn.LET(
_xlpm.tos, _xlfn.XLOOKUP(tblPayrollMaster[[#This Row],[Employee ID]], tblEmployee[Employee ID], tblEmployee[Type of Service], ""),
IF(_xlpm.tos="Contract of Service", 8.25, 0)
)</f>
        <v>0</v>
      </c>
      <c r="V58" s="25">
        <f>tblPayrollMaster[[#This Row],[Basic Earnings]]-tblPayrollMaster[[#This Row],[Tax]]-tblPayrollMaster[[#This Row],[NIS - Employee]]-tblPayrollMaster[[#This Row],[Health Surcharge]]</f>
        <v>0</v>
      </c>
      <c r="W58" s="25">
        <f>tblPayrollMaster[[#This Row],[Net Pay]]</f>
        <v>0</v>
      </c>
      <c r="X58" s="25"/>
    </row>
    <row r="59" spans="1:24" x14ac:dyDescent="0.25">
      <c r="A59" s="24"/>
      <c r="B59" s="24" t="str">
        <f>_xlfn.XLOOKUP(tblPayrollMaster[[#This Row],[Employee ID]],tblEmployee[Employee ID],tblEmployee[Employee Name],"")</f>
        <v/>
      </c>
      <c r="C59" s="24" t="str">
        <f>_xlfn.XLOOKUP(tblPayrollMaster[[#This Row],[Employee ID]],tblEmployee[Employee ID],tblEmployee[Employee Position],"")</f>
        <v/>
      </c>
      <c r="D59" s="24" t="str">
        <f>_xlfn.XLOOKUP(tblPayrollMaster[[#This Row],[Employee ID]], tblEmployee[Employee ID], tblEmployee[Pay Status], "Pay")</f>
        <v>Pay</v>
      </c>
      <c r="E59" s="24" t="str">
        <f>_xlfn.XLOOKUP(tblPayrollMaster[[#This Row],[Employee ID]], tblEmployee[Employee ID], tblEmployee[Payable Flag], "Y")</f>
        <v>Y</v>
      </c>
      <c r="F59" s="45">
        <f>IF(tblPayrollMaster[[#This Row],[Payable Flag]]="N",0,_xlfn.XLOOKUP(tblPayrollMaster[[#This Row],[Employee ID]],tblEmployee[Employee ID],tblEmployee[Pay Factor],1))</f>
        <v>1</v>
      </c>
      <c r="G59" s="26" t="str" cm="1">
        <f t="array" ref="G59">IF(tblPayrollMaster[[#This Row],[Employee ID]]="","",_xlfn.XLOOKUP(selPayPeriodID,tblPayCalendar[PayPeriodID],tblPayCalendar[PeriodStart],""))</f>
        <v/>
      </c>
      <c r="H59" s="26" t="str" cm="1">
        <f t="array" ref="H59">IF(tblPayrollMaster[[#This Row],[Employee ID]]="","",_xlfn.XLOOKUP(selPayPeriodID,tblPayCalendar[PayPeriodID],tblPayCalendar[PeriodEnd],""))</f>
        <v/>
      </c>
      <c r="I59" s="24" t="e" cm="1" vm="1">
        <f t="array" aca="1" ref="I59" ca="1">Table18[Employer Name]</f>
        <v>#VALUE!</v>
      </c>
      <c r="J59" s="3" cm="1">
        <f t="array" ref="J5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9" s="25" t="str">
        <f>_xlfn.XLOOKUP(tblPayrollMaster[[#This Row],[Employee Position]],tblPositionandPayRate[Employee Position],tblPositionandPayRate[Overtime], " ")</f>
        <v xml:space="preserve"> </v>
      </c>
      <c r="L59" s="25">
        <f>_xlfn.XLOOKUP(tblPayrollMaster[[#This Row],[Employee Position]],tblPositionandPayRate[Employee Position],tblPositionandPayRate[Allowance 1],0)*tblPayrollMaster[[#This Row],[Pay Factor]]</f>
        <v>0</v>
      </c>
      <c r="M59" s="25">
        <f>_xlfn.XLOOKUP(tblPayrollMaster[[#This Row],[Employee Position]],tblPositionandPayRate[Employee Position],tblPositionandPayRate[Allowance 2],0)*tblPayrollMaster[[#This Row],[Pay Factor]]</f>
        <v>0</v>
      </c>
      <c r="N59" s="25">
        <f>_xlfn.XLOOKUP(tblPayrollMaster[[#This Row],[Employee Position]],tblPositionandPayRate[Employee Position],tblPositionandPayRate[Allowance 3],0)*tblPayrollMaster[[#This Row],[Pay Factor]]</f>
        <v>0</v>
      </c>
      <c r="O59" s="25">
        <f>_xlfn.XLOOKUP(tblPayrollMaster[[#This Row],[Employee Position]],tblPositionandPayRate[Employee Position],tblPositionandPayRate[Allowance 4],0)*tblPayrollMaster[[#This Row],[Pay Factor]]</f>
        <v>0</v>
      </c>
      <c r="P59" s="25">
        <f>_xlfn.XLOOKUP(tblPayrollMaster[[#This Row],[Employee Position]],tblPositionandPayRate[Employee Position],tblPositionandPayRate[Allowance 5],0)*tblPayrollMaster[[#This Row],[Pay Factor]]</f>
        <v>0</v>
      </c>
      <c r="Q59" s="3">
        <f>SUM(tblPayrollMaster[[#This Row],[Basic Pay]:[Allowance 5]])</f>
        <v>0</v>
      </c>
      <c r="R5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9" s="51" cm="1">
        <f t="array" ref="S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9" s="3" cm="1">
        <f t="array" ref="T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9" s="25">
        <f>_xlfn.LET(
_xlpm.tos, _xlfn.XLOOKUP(tblPayrollMaster[[#This Row],[Employee ID]], tblEmployee[Employee ID], tblEmployee[Type of Service], ""),
IF(_xlpm.tos="Contract of Service", 8.25, 0)
)</f>
        <v>0</v>
      </c>
      <c r="V59" s="25">
        <f>tblPayrollMaster[[#This Row],[Basic Earnings]]-tblPayrollMaster[[#This Row],[Tax]]-tblPayrollMaster[[#This Row],[NIS - Employee]]-tblPayrollMaster[[#This Row],[Health Surcharge]]</f>
        <v>0</v>
      </c>
      <c r="W59" s="25">
        <f>tblPayrollMaster[[#This Row],[Net Pay]]</f>
        <v>0</v>
      </c>
      <c r="X59" s="25"/>
    </row>
    <row r="60" spans="1:24" x14ac:dyDescent="0.25">
      <c r="A60" s="24"/>
      <c r="B60" s="24" t="str">
        <f>_xlfn.XLOOKUP(tblPayrollMaster[[#This Row],[Employee ID]],tblEmployee[Employee ID],tblEmployee[Employee Name],"")</f>
        <v/>
      </c>
      <c r="C60" s="24" t="str">
        <f>_xlfn.XLOOKUP(tblPayrollMaster[[#This Row],[Employee ID]],tblEmployee[Employee ID],tblEmployee[Employee Position],"")</f>
        <v/>
      </c>
      <c r="D60" s="24" t="str">
        <f>_xlfn.XLOOKUP(tblPayrollMaster[[#This Row],[Employee ID]], tblEmployee[Employee ID], tblEmployee[Pay Status], "Pay")</f>
        <v>Pay</v>
      </c>
      <c r="E60" s="24" t="str">
        <f>_xlfn.XLOOKUP(tblPayrollMaster[[#This Row],[Employee ID]], tblEmployee[Employee ID], tblEmployee[Payable Flag], "Y")</f>
        <v>Y</v>
      </c>
      <c r="F60" s="45">
        <f>IF(tblPayrollMaster[[#This Row],[Payable Flag]]="N",0,_xlfn.XLOOKUP(tblPayrollMaster[[#This Row],[Employee ID]],tblEmployee[Employee ID],tblEmployee[Pay Factor],1))</f>
        <v>1</v>
      </c>
      <c r="G60" s="26" t="str" cm="1">
        <f t="array" ref="G60">IF(tblPayrollMaster[[#This Row],[Employee ID]]="","",_xlfn.XLOOKUP(selPayPeriodID,tblPayCalendar[PayPeriodID],tblPayCalendar[PeriodStart],""))</f>
        <v/>
      </c>
      <c r="H60" s="26" t="str" cm="1">
        <f t="array" ref="H60">IF(tblPayrollMaster[[#This Row],[Employee ID]]="","",_xlfn.XLOOKUP(selPayPeriodID,tblPayCalendar[PayPeriodID],tblPayCalendar[PeriodEnd],""))</f>
        <v/>
      </c>
      <c r="I60" s="24" t="e" cm="1" vm="1">
        <f t="array" aca="1" ref="I60" ca="1">Table18[Employer Name]</f>
        <v>#VALUE!</v>
      </c>
      <c r="J60" s="3" cm="1">
        <f t="array" ref="J6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0" s="25" t="str">
        <f>_xlfn.XLOOKUP(tblPayrollMaster[[#This Row],[Employee Position]],tblPositionandPayRate[Employee Position],tblPositionandPayRate[Overtime], " ")</f>
        <v xml:space="preserve"> </v>
      </c>
      <c r="L60" s="25">
        <f>_xlfn.XLOOKUP(tblPayrollMaster[[#This Row],[Employee Position]],tblPositionandPayRate[Employee Position],tblPositionandPayRate[Allowance 1],0)*tblPayrollMaster[[#This Row],[Pay Factor]]</f>
        <v>0</v>
      </c>
      <c r="M60" s="25">
        <f>_xlfn.XLOOKUP(tblPayrollMaster[[#This Row],[Employee Position]],tblPositionandPayRate[Employee Position],tblPositionandPayRate[Allowance 2],0)*tblPayrollMaster[[#This Row],[Pay Factor]]</f>
        <v>0</v>
      </c>
      <c r="N60" s="25">
        <f>_xlfn.XLOOKUP(tblPayrollMaster[[#This Row],[Employee Position]],tblPositionandPayRate[Employee Position],tblPositionandPayRate[Allowance 3],0)*tblPayrollMaster[[#This Row],[Pay Factor]]</f>
        <v>0</v>
      </c>
      <c r="O60" s="25">
        <f>_xlfn.XLOOKUP(tblPayrollMaster[[#This Row],[Employee Position]],tblPositionandPayRate[Employee Position],tblPositionandPayRate[Allowance 4],0)*tblPayrollMaster[[#This Row],[Pay Factor]]</f>
        <v>0</v>
      </c>
      <c r="P60" s="25">
        <f>_xlfn.XLOOKUP(tblPayrollMaster[[#This Row],[Employee Position]],tblPositionandPayRate[Employee Position],tblPositionandPayRate[Allowance 5],0)*tblPayrollMaster[[#This Row],[Pay Factor]]</f>
        <v>0</v>
      </c>
      <c r="Q60" s="3">
        <f>SUM(tblPayrollMaster[[#This Row],[Basic Pay]:[Allowance 5]])</f>
        <v>0</v>
      </c>
      <c r="R6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0" s="51" cm="1">
        <f t="array" ref="S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0" s="3" cm="1">
        <f t="array" ref="T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0" s="25">
        <f>_xlfn.LET(
_xlpm.tos, _xlfn.XLOOKUP(tblPayrollMaster[[#This Row],[Employee ID]], tblEmployee[Employee ID], tblEmployee[Type of Service], ""),
IF(_xlpm.tos="Contract of Service", 8.25, 0)
)</f>
        <v>0</v>
      </c>
      <c r="V60" s="25">
        <f>tblPayrollMaster[[#This Row],[Basic Earnings]]-tblPayrollMaster[[#This Row],[Tax]]-tblPayrollMaster[[#This Row],[NIS - Employee]]-tblPayrollMaster[[#This Row],[Health Surcharge]]</f>
        <v>0</v>
      </c>
      <c r="W60" s="25">
        <f>tblPayrollMaster[[#This Row],[Net Pay]]</f>
        <v>0</v>
      </c>
      <c r="X60" s="25"/>
    </row>
    <row r="61" spans="1:24" x14ac:dyDescent="0.25">
      <c r="A61" s="24"/>
      <c r="B61" s="24" t="str">
        <f>_xlfn.XLOOKUP(tblPayrollMaster[[#This Row],[Employee ID]],tblEmployee[Employee ID],tblEmployee[Employee Name],"")</f>
        <v/>
      </c>
      <c r="C61" s="24" t="str">
        <f>_xlfn.XLOOKUP(tblPayrollMaster[[#This Row],[Employee ID]],tblEmployee[Employee ID],tblEmployee[Employee Position],"")</f>
        <v/>
      </c>
      <c r="D61" s="24" t="str">
        <f>_xlfn.XLOOKUP(tblPayrollMaster[[#This Row],[Employee ID]], tblEmployee[Employee ID], tblEmployee[Pay Status], "Pay")</f>
        <v>Pay</v>
      </c>
      <c r="E61" s="24" t="str">
        <f>_xlfn.XLOOKUP(tblPayrollMaster[[#This Row],[Employee ID]], tblEmployee[Employee ID], tblEmployee[Payable Flag], "Y")</f>
        <v>Y</v>
      </c>
      <c r="F61" s="45">
        <f>IF(tblPayrollMaster[[#This Row],[Payable Flag]]="N",0,_xlfn.XLOOKUP(tblPayrollMaster[[#This Row],[Employee ID]],tblEmployee[Employee ID],tblEmployee[Pay Factor],1))</f>
        <v>1</v>
      </c>
      <c r="G61" s="26" t="str" cm="1">
        <f t="array" ref="G61">IF(tblPayrollMaster[[#This Row],[Employee ID]]="","",_xlfn.XLOOKUP(selPayPeriodID,tblPayCalendar[PayPeriodID],tblPayCalendar[PeriodStart],""))</f>
        <v/>
      </c>
      <c r="H61" s="26" t="str" cm="1">
        <f t="array" ref="H61">IF(tblPayrollMaster[[#This Row],[Employee ID]]="","",_xlfn.XLOOKUP(selPayPeriodID,tblPayCalendar[PayPeriodID],tblPayCalendar[PeriodEnd],""))</f>
        <v/>
      </c>
      <c r="I61" s="24" t="e" cm="1" vm="1">
        <f t="array" aca="1" ref="I61" ca="1">Table18[Employer Name]</f>
        <v>#VALUE!</v>
      </c>
      <c r="J61" s="3" cm="1">
        <f t="array" ref="J6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1" s="25" t="str">
        <f>_xlfn.XLOOKUP(tblPayrollMaster[[#This Row],[Employee Position]],tblPositionandPayRate[Employee Position],tblPositionandPayRate[Overtime], " ")</f>
        <v xml:space="preserve"> </v>
      </c>
      <c r="L61" s="25">
        <f>_xlfn.XLOOKUP(tblPayrollMaster[[#This Row],[Employee Position]],tblPositionandPayRate[Employee Position],tblPositionandPayRate[Allowance 1],0)*tblPayrollMaster[[#This Row],[Pay Factor]]</f>
        <v>0</v>
      </c>
      <c r="M61" s="25">
        <f>_xlfn.XLOOKUP(tblPayrollMaster[[#This Row],[Employee Position]],tblPositionandPayRate[Employee Position],tblPositionandPayRate[Allowance 2],0)*tblPayrollMaster[[#This Row],[Pay Factor]]</f>
        <v>0</v>
      </c>
      <c r="N61" s="25">
        <f>_xlfn.XLOOKUP(tblPayrollMaster[[#This Row],[Employee Position]],tblPositionandPayRate[Employee Position],tblPositionandPayRate[Allowance 3],0)*tblPayrollMaster[[#This Row],[Pay Factor]]</f>
        <v>0</v>
      </c>
      <c r="O61" s="25">
        <f>_xlfn.XLOOKUP(tblPayrollMaster[[#This Row],[Employee Position]],tblPositionandPayRate[Employee Position],tblPositionandPayRate[Allowance 4],0)*tblPayrollMaster[[#This Row],[Pay Factor]]</f>
        <v>0</v>
      </c>
      <c r="P61" s="25">
        <f>_xlfn.XLOOKUP(tblPayrollMaster[[#This Row],[Employee Position]],tblPositionandPayRate[Employee Position],tblPositionandPayRate[Allowance 5],0)*tblPayrollMaster[[#This Row],[Pay Factor]]</f>
        <v>0</v>
      </c>
      <c r="Q61" s="3">
        <f>SUM(tblPayrollMaster[[#This Row],[Basic Pay]:[Allowance 5]])</f>
        <v>0</v>
      </c>
      <c r="R6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1" s="51" cm="1">
        <f t="array" ref="S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1" s="3" cm="1">
        <f t="array" ref="T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1" s="25">
        <f>_xlfn.LET(
_xlpm.tos, _xlfn.XLOOKUP(tblPayrollMaster[[#This Row],[Employee ID]], tblEmployee[Employee ID], tblEmployee[Type of Service], ""),
IF(_xlpm.tos="Contract of Service", 8.25, 0)
)</f>
        <v>0</v>
      </c>
      <c r="V61" s="25">
        <f>tblPayrollMaster[[#This Row],[Basic Earnings]]-tblPayrollMaster[[#This Row],[Tax]]-tblPayrollMaster[[#This Row],[NIS - Employee]]-tblPayrollMaster[[#This Row],[Health Surcharge]]</f>
        <v>0</v>
      </c>
      <c r="W61" s="25">
        <f>tblPayrollMaster[[#This Row],[Net Pay]]</f>
        <v>0</v>
      </c>
      <c r="X61" s="25"/>
    </row>
    <row r="62" spans="1:24" x14ac:dyDescent="0.25">
      <c r="A62" s="24"/>
      <c r="B62" s="24" t="str">
        <f>_xlfn.XLOOKUP(tblPayrollMaster[[#This Row],[Employee ID]],tblEmployee[Employee ID],tblEmployee[Employee Name],"")</f>
        <v/>
      </c>
      <c r="C62" s="24" t="str">
        <f>_xlfn.XLOOKUP(tblPayrollMaster[[#This Row],[Employee ID]],tblEmployee[Employee ID],tblEmployee[Employee Position],"")</f>
        <v/>
      </c>
      <c r="D62" s="24" t="str">
        <f>_xlfn.XLOOKUP(tblPayrollMaster[[#This Row],[Employee ID]], tblEmployee[Employee ID], tblEmployee[Pay Status], "Pay")</f>
        <v>Pay</v>
      </c>
      <c r="E62" s="24" t="str">
        <f>_xlfn.XLOOKUP(tblPayrollMaster[[#This Row],[Employee ID]], tblEmployee[Employee ID], tblEmployee[Payable Flag], "Y")</f>
        <v>Y</v>
      </c>
      <c r="F62" s="45">
        <f>IF(tblPayrollMaster[[#This Row],[Payable Flag]]="N",0,_xlfn.XLOOKUP(tblPayrollMaster[[#This Row],[Employee ID]],tblEmployee[Employee ID],tblEmployee[Pay Factor],1))</f>
        <v>1</v>
      </c>
      <c r="G62" s="26" t="str" cm="1">
        <f t="array" ref="G62">IF(tblPayrollMaster[[#This Row],[Employee ID]]="","",_xlfn.XLOOKUP(selPayPeriodID,tblPayCalendar[PayPeriodID],tblPayCalendar[PeriodStart],""))</f>
        <v/>
      </c>
      <c r="H62" s="26" t="str" cm="1">
        <f t="array" ref="H62">IF(tblPayrollMaster[[#This Row],[Employee ID]]="","",_xlfn.XLOOKUP(selPayPeriodID,tblPayCalendar[PayPeriodID],tblPayCalendar[PeriodEnd],""))</f>
        <v/>
      </c>
      <c r="I62" s="24" t="e" cm="1" vm="1">
        <f t="array" aca="1" ref="I62" ca="1">Table18[Employer Name]</f>
        <v>#VALUE!</v>
      </c>
      <c r="J62" s="3" cm="1">
        <f t="array" ref="J6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2" s="25" t="str">
        <f>_xlfn.XLOOKUP(tblPayrollMaster[[#This Row],[Employee Position]],tblPositionandPayRate[Employee Position],tblPositionandPayRate[Overtime], " ")</f>
        <v xml:space="preserve"> </v>
      </c>
      <c r="L62" s="25">
        <f>_xlfn.XLOOKUP(tblPayrollMaster[[#This Row],[Employee Position]],tblPositionandPayRate[Employee Position],tblPositionandPayRate[Allowance 1],0)*tblPayrollMaster[[#This Row],[Pay Factor]]</f>
        <v>0</v>
      </c>
      <c r="M62" s="25">
        <f>_xlfn.XLOOKUP(tblPayrollMaster[[#This Row],[Employee Position]],tblPositionandPayRate[Employee Position],tblPositionandPayRate[Allowance 2],0)*tblPayrollMaster[[#This Row],[Pay Factor]]</f>
        <v>0</v>
      </c>
      <c r="N62" s="25">
        <f>_xlfn.XLOOKUP(tblPayrollMaster[[#This Row],[Employee Position]],tblPositionandPayRate[Employee Position],tblPositionandPayRate[Allowance 3],0)*tblPayrollMaster[[#This Row],[Pay Factor]]</f>
        <v>0</v>
      </c>
      <c r="O62" s="25">
        <f>_xlfn.XLOOKUP(tblPayrollMaster[[#This Row],[Employee Position]],tblPositionandPayRate[Employee Position],tblPositionandPayRate[Allowance 4],0)*tblPayrollMaster[[#This Row],[Pay Factor]]</f>
        <v>0</v>
      </c>
      <c r="P62" s="25">
        <f>_xlfn.XLOOKUP(tblPayrollMaster[[#This Row],[Employee Position]],tblPositionandPayRate[Employee Position],tblPositionandPayRate[Allowance 5],0)*tblPayrollMaster[[#This Row],[Pay Factor]]</f>
        <v>0</v>
      </c>
      <c r="Q62" s="3">
        <f>SUM(tblPayrollMaster[[#This Row],[Basic Pay]:[Allowance 5]])</f>
        <v>0</v>
      </c>
      <c r="R6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2" s="51" cm="1">
        <f t="array" ref="S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2" s="3" cm="1">
        <f t="array" ref="T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2" s="25">
        <f>_xlfn.LET(
_xlpm.tos, _xlfn.XLOOKUP(tblPayrollMaster[[#This Row],[Employee ID]], tblEmployee[Employee ID], tblEmployee[Type of Service], ""),
IF(_xlpm.tos="Contract of Service", 8.25, 0)
)</f>
        <v>0</v>
      </c>
      <c r="V62" s="25">
        <f>tblPayrollMaster[[#This Row],[Basic Earnings]]-tblPayrollMaster[[#This Row],[Tax]]-tblPayrollMaster[[#This Row],[NIS - Employee]]-tblPayrollMaster[[#This Row],[Health Surcharge]]</f>
        <v>0</v>
      </c>
      <c r="W62" s="25">
        <f>tblPayrollMaster[[#This Row],[Net Pay]]</f>
        <v>0</v>
      </c>
      <c r="X62" s="25"/>
    </row>
    <row r="63" spans="1:24" x14ac:dyDescent="0.25">
      <c r="A63" s="24"/>
      <c r="B63" s="24" t="str">
        <f>_xlfn.XLOOKUP(tblPayrollMaster[[#This Row],[Employee ID]],tblEmployee[Employee ID],tblEmployee[Employee Name],"")</f>
        <v/>
      </c>
      <c r="C63" s="24" t="str">
        <f>_xlfn.XLOOKUP(tblPayrollMaster[[#This Row],[Employee ID]],tblEmployee[Employee ID],tblEmployee[Employee Position],"")</f>
        <v/>
      </c>
      <c r="D63" s="24" t="str">
        <f>_xlfn.XLOOKUP(tblPayrollMaster[[#This Row],[Employee ID]], tblEmployee[Employee ID], tblEmployee[Pay Status], "Pay")</f>
        <v>Pay</v>
      </c>
      <c r="E63" s="24" t="str">
        <f>_xlfn.XLOOKUP(tblPayrollMaster[[#This Row],[Employee ID]], tblEmployee[Employee ID], tblEmployee[Payable Flag], "Y")</f>
        <v>Y</v>
      </c>
      <c r="F63" s="45">
        <f>IF(tblPayrollMaster[[#This Row],[Payable Flag]]="N",0,_xlfn.XLOOKUP(tblPayrollMaster[[#This Row],[Employee ID]],tblEmployee[Employee ID],tblEmployee[Pay Factor],1))</f>
        <v>1</v>
      </c>
      <c r="G63" s="26" t="str" cm="1">
        <f t="array" ref="G63">IF(tblPayrollMaster[[#This Row],[Employee ID]]="","",_xlfn.XLOOKUP(selPayPeriodID,tblPayCalendar[PayPeriodID],tblPayCalendar[PeriodStart],""))</f>
        <v/>
      </c>
      <c r="H63" s="26" t="str" cm="1">
        <f t="array" ref="H63">IF(tblPayrollMaster[[#This Row],[Employee ID]]="","",_xlfn.XLOOKUP(selPayPeriodID,tblPayCalendar[PayPeriodID],tblPayCalendar[PeriodEnd],""))</f>
        <v/>
      </c>
      <c r="I63" s="24" t="e" cm="1" vm="1">
        <f t="array" aca="1" ref="I63" ca="1">Table18[Employer Name]</f>
        <v>#VALUE!</v>
      </c>
      <c r="J63" s="3" cm="1">
        <f t="array" ref="J6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3" s="25" t="str">
        <f>_xlfn.XLOOKUP(tblPayrollMaster[[#This Row],[Employee Position]],tblPositionandPayRate[Employee Position],tblPositionandPayRate[Overtime], " ")</f>
        <v xml:space="preserve"> </v>
      </c>
      <c r="L63" s="25">
        <f>_xlfn.XLOOKUP(tblPayrollMaster[[#This Row],[Employee Position]],tblPositionandPayRate[Employee Position],tblPositionandPayRate[Allowance 1],0)*tblPayrollMaster[[#This Row],[Pay Factor]]</f>
        <v>0</v>
      </c>
      <c r="M63" s="25">
        <f>_xlfn.XLOOKUP(tblPayrollMaster[[#This Row],[Employee Position]],tblPositionandPayRate[Employee Position],tblPositionandPayRate[Allowance 2],0)*tblPayrollMaster[[#This Row],[Pay Factor]]</f>
        <v>0</v>
      </c>
      <c r="N63" s="25">
        <f>_xlfn.XLOOKUP(tblPayrollMaster[[#This Row],[Employee Position]],tblPositionandPayRate[Employee Position],tblPositionandPayRate[Allowance 3],0)*tblPayrollMaster[[#This Row],[Pay Factor]]</f>
        <v>0</v>
      </c>
      <c r="O63" s="25">
        <f>_xlfn.XLOOKUP(tblPayrollMaster[[#This Row],[Employee Position]],tblPositionandPayRate[Employee Position],tblPositionandPayRate[Allowance 4],0)*tblPayrollMaster[[#This Row],[Pay Factor]]</f>
        <v>0</v>
      </c>
      <c r="P63" s="25">
        <f>_xlfn.XLOOKUP(tblPayrollMaster[[#This Row],[Employee Position]],tblPositionandPayRate[Employee Position],tblPositionandPayRate[Allowance 5],0)*tblPayrollMaster[[#This Row],[Pay Factor]]</f>
        <v>0</v>
      </c>
      <c r="Q63" s="3">
        <f>SUM(tblPayrollMaster[[#This Row],[Basic Pay]:[Allowance 5]])</f>
        <v>0</v>
      </c>
      <c r="R6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3" s="51" cm="1">
        <f t="array" ref="S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3" s="3" cm="1">
        <f t="array" ref="T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3" s="25">
        <f>_xlfn.LET(
_xlpm.tos, _xlfn.XLOOKUP(tblPayrollMaster[[#This Row],[Employee ID]], tblEmployee[Employee ID], tblEmployee[Type of Service], ""),
IF(_xlpm.tos="Contract of Service", 8.25, 0)
)</f>
        <v>0</v>
      </c>
      <c r="V63" s="25">
        <f>tblPayrollMaster[[#This Row],[Basic Earnings]]-tblPayrollMaster[[#This Row],[Tax]]-tblPayrollMaster[[#This Row],[NIS - Employee]]-tblPayrollMaster[[#This Row],[Health Surcharge]]</f>
        <v>0</v>
      </c>
      <c r="W63" s="25">
        <f>tblPayrollMaster[[#This Row],[Net Pay]]</f>
        <v>0</v>
      </c>
      <c r="X63" s="25"/>
    </row>
    <row r="64" spans="1:24" x14ac:dyDescent="0.25">
      <c r="A64" s="24"/>
      <c r="B64" s="24" t="str">
        <f>_xlfn.XLOOKUP(tblPayrollMaster[[#This Row],[Employee ID]],tblEmployee[Employee ID],tblEmployee[Employee Name],"")</f>
        <v/>
      </c>
      <c r="C64" s="24" t="str">
        <f>_xlfn.XLOOKUP(tblPayrollMaster[[#This Row],[Employee ID]],tblEmployee[Employee ID],tblEmployee[Employee Position],"")</f>
        <v/>
      </c>
      <c r="D64" s="24" t="str">
        <f>_xlfn.XLOOKUP(tblPayrollMaster[[#This Row],[Employee ID]], tblEmployee[Employee ID], tblEmployee[Pay Status], "Pay")</f>
        <v>Pay</v>
      </c>
      <c r="E64" s="24" t="str">
        <f>_xlfn.XLOOKUP(tblPayrollMaster[[#This Row],[Employee ID]], tblEmployee[Employee ID], tblEmployee[Payable Flag], "Y")</f>
        <v>Y</v>
      </c>
      <c r="F64" s="45">
        <f>IF(tblPayrollMaster[[#This Row],[Payable Flag]]="N",0,_xlfn.XLOOKUP(tblPayrollMaster[[#This Row],[Employee ID]],tblEmployee[Employee ID],tblEmployee[Pay Factor],1))</f>
        <v>1</v>
      </c>
      <c r="G64" s="26" t="str" cm="1">
        <f t="array" ref="G64">IF(tblPayrollMaster[[#This Row],[Employee ID]]="","",_xlfn.XLOOKUP(selPayPeriodID,tblPayCalendar[PayPeriodID],tblPayCalendar[PeriodStart],""))</f>
        <v/>
      </c>
      <c r="H64" s="26" t="str" cm="1">
        <f t="array" ref="H64">IF(tblPayrollMaster[[#This Row],[Employee ID]]="","",_xlfn.XLOOKUP(selPayPeriodID,tblPayCalendar[PayPeriodID],tblPayCalendar[PeriodEnd],""))</f>
        <v/>
      </c>
      <c r="I64" s="24" t="e" cm="1" vm="1">
        <f t="array" aca="1" ref="I64" ca="1">Table18[Employer Name]</f>
        <v>#VALUE!</v>
      </c>
      <c r="J64" s="3" cm="1">
        <f t="array" ref="J6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4" s="25" t="str">
        <f>_xlfn.XLOOKUP(tblPayrollMaster[[#This Row],[Employee Position]],tblPositionandPayRate[Employee Position],tblPositionandPayRate[Overtime], " ")</f>
        <v xml:space="preserve"> </v>
      </c>
      <c r="L64" s="25">
        <f>_xlfn.XLOOKUP(tblPayrollMaster[[#This Row],[Employee Position]],tblPositionandPayRate[Employee Position],tblPositionandPayRate[Allowance 1],0)*tblPayrollMaster[[#This Row],[Pay Factor]]</f>
        <v>0</v>
      </c>
      <c r="M64" s="25">
        <f>_xlfn.XLOOKUP(tblPayrollMaster[[#This Row],[Employee Position]],tblPositionandPayRate[Employee Position],tblPositionandPayRate[Allowance 2],0)*tblPayrollMaster[[#This Row],[Pay Factor]]</f>
        <v>0</v>
      </c>
      <c r="N64" s="25">
        <f>_xlfn.XLOOKUP(tblPayrollMaster[[#This Row],[Employee Position]],tblPositionandPayRate[Employee Position],tblPositionandPayRate[Allowance 3],0)*tblPayrollMaster[[#This Row],[Pay Factor]]</f>
        <v>0</v>
      </c>
      <c r="O64" s="25">
        <f>_xlfn.XLOOKUP(tblPayrollMaster[[#This Row],[Employee Position]],tblPositionandPayRate[Employee Position],tblPositionandPayRate[Allowance 4],0)*tblPayrollMaster[[#This Row],[Pay Factor]]</f>
        <v>0</v>
      </c>
      <c r="P64" s="25">
        <f>_xlfn.XLOOKUP(tblPayrollMaster[[#This Row],[Employee Position]],tblPositionandPayRate[Employee Position],tblPositionandPayRate[Allowance 5],0)*tblPayrollMaster[[#This Row],[Pay Factor]]</f>
        <v>0</v>
      </c>
      <c r="Q64" s="3">
        <f>SUM(tblPayrollMaster[[#This Row],[Basic Pay]:[Allowance 5]])</f>
        <v>0</v>
      </c>
      <c r="R6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4" s="51" cm="1">
        <f t="array" ref="S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4" s="3" cm="1">
        <f t="array" ref="T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4" s="25">
        <f>_xlfn.LET(
_xlpm.tos, _xlfn.XLOOKUP(tblPayrollMaster[[#This Row],[Employee ID]], tblEmployee[Employee ID], tblEmployee[Type of Service], ""),
IF(_xlpm.tos="Contract of Service", 8.25, 0)
)</f>
        <v>0</v>
      </c>
      <c r="V64" s="25">
        <f>tblPayrollMaster[[#This Row],[Basic Earnings]]-tblPayrollMaster[[#This Row],[Tax]]-tblPayrollMaster[[#This Row],[NIS - Employee]]-tblPayrollMaster[[#This Row],[Health Surcharge]]</f>
        <v>0</v>
      </c>
      <c r="W64" s="25">
        <f>tblPayrollMaster[[#This Row],[Net Pay]]</f>
        <v>0</v>
      </c>
      <c r="X64" s="25"/>
    </row>
    <row r="65" spans="1:24" x14ac:dyDescent="0.25">
      <c r="A65" s="24"/>
      <c r="B65" s="24" t="str">
        <f>_xlfn.XLOOKUP(tblPayrollMaster[[#This Row],[Employee ID]],tblEmployee[Employee ID],tblEmployee[Employee Name],"")</f>
        <v/>
      </c>
      <c r="C65" s="24" t="str">
        <f>_xlfn.XLOOKUP(tblPayrollMaster[[#This Row],[Employee ID]],tblEmployee[Employee ID],tblEmployee[Employee Position],"")</f>
        <v/>
      </c>
      <c r="D65" s="24" t="str">
        <f>_xlfn.XLOOKUP(tblPayrollMaster[[#This Row],[Employee ID]], tblEmployee[Employee ID], tblEmployee[Pay Status], "Pay")</f>
        <v>Pay</v>
      </c>
      <c r="E65" s="24" t="str">
        <f>_xlfn.XLOOKUP(tblPayrollMaster[[#This Row],[Employee ID]], tblEmployee[Employee ID], tblEmployee[Payable Flag], "Y")</f>
        <v>Y</v>
      </c>
      <c r="F65" s="45">
        <f>IF(tblPayrollMaster[[#This Row],[Payable Flag]]="N",0,_xlfn.XLOOKUP(tblPayrollMaster[[#This Row],[Employee ID]],tblEmployee[Employee ID],tblEmployee[Pay Factor],1))</f>
        <v>1</v>
      </c>
      <c r="G65" s="26" t="str" cm="1">
        <f t="array" ref="G65">IF(tblPayrollMaster[[#This Row],[Employee ID]]="","",_xlfn.XLOOKUP(selPayPeriodID,tblPayCalendar[PayPeriodID],tblPayCalendar[PeriodStart],""))</f>
        <v/>
      </c>
      <c r="H65" s="26" t="str" cm="1">
        <f t="array" ref="H65">IF(tblPayrollMaster[[#This Row],[Employee ID]]="","",_xlfn.XLOOKUP(selPayPeriodID,tblPayCalendar[PayPeriodID],tblPayCalendar[PeriodEnd],""))</f>
        <v/>
      </c>
      <c r="I65" s="24" t="e" cm="1" vm="1">
        <f t="array" aca="1" ref="I65" ca="1">Table18[Employer Name]</f>
        <v>#VALUE!</v>
      </c>
      <c r="J65" s="3" cm="1">
        <f t="array" ref="J6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5" s="25" t="str">
        <f>_xlfn.XLOOKUP(tblPayrollMaster[[#This Row],[Employee Position]],tblPositionandPayRate[Employee Position],tblPositionandPayRate[Overtime], " ")</f>
        <v xml:space="preserve"> </v>
      </c>
      <c r="L65" s="25">
        <f>_xlfn.XLOOKUP(tblPayrollMaster[[#This Row],[Employee Position]],tblPositionandPayRate[Employee Position],tblPositionandPayRate[Allowance 1],0)*tblPayrollMaster[[#This Row],[Pay Factor]]</f>
        <v>0</v>
      </c>
      <c r="M65" s="25">
        <f>_xlfn.XLOOKUP(tblPayrollMaster[[#This Row],[Employee Position]],tblPositionandPayRate[Employee Position],tblPositionandPayRate[Allowance 2],0)*tblPayrollMaster[[#This Row],[Pay Factor]]</f>
        <v>0</v>
      </c>
      <c r="N65" s="25">
        <f>_xlfn.XLOOKUP(tblPayrollMaster[[#This Row],[Employee Position]],tblPositionandPayRate[Employee Position],tblPositionandPayRate[Allowance 3],0)*tblPayrollMaster[[#This Row],[Pay Factor]]</f>
        <v>0</v>
      </c>
      <c r="O65" s="25">
        <f>_xlfn.XLOOKUP(tblPayrollMaster[[#This Row],[Employee Position]],tblPositionandPayRate[Employee Position],tblPositionandPayRate[Allowance 4],0)*tblPayrollMaster[[#This Row],[Pay Factor]]</f>
        <v>0</v>
      </c>
      <c r="P65" s="25">
        <f>_xlfn.XLOOKUP(tblPayrollMaster[[#This Row],[Employee Position]],tblPositionandPayRate[Employee Position],tblPositionandPayRate[Allowance 5],0)*tblPayrollMaster[[#This Row],[Pay Factor]]</f>
        <v>0</v>
      </c>
      <c r="Q65" s="3">
        <f>SUM(tblPayrollMaster[[#This Row],[Basic Pay]:[Allowance 5]])</f>
        <v>0</v>
      </c>
      <c r="R6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5" s="51" cm="1">
        <f t="array" ref="S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5" s="3" cm="1">
        <f t="array" ref="T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5" s="25">
        <f>_xlfn.LET(
_xlpm.tos, _xlfn.XLOOKUP(tblPayrollMaster[[#This Row],[Employee ID]], tblEmployee[Employee ID], tblEmployee[Type of Service], ""),
IF(_xlpm.tos="Contract of Service", 8.25, 0)
)</f>
        <v>0</v>
      </c>
      <c r="V65" s="25">
        <f>tblPayrollMaster[[#This Row],[Basic Earnings]]-tblPayrollMaster[[#This Row],[Tax]]-tblPayrollMaster[[#This Row],[NIS - Employee]]-tblPayrollMaster[[#This Row],[Health Surcharge]]</f>
        <v>0</v>
      </c>
      <c r="W65" s="25">
        <f>tblPayrollMaster[[#This Row],[Net Pay]]</f>
        <v>0</v>
      </c>
      <c r="X65" s="25"/>
    </row>
    <row r="66" spans="1:24" x14ac:dyDescent="0.25">
      <c r="A66" s="24"/>
      <c r="B66" s="24" t="str">
        <f>_xlfn.XLOOKUP(tblPayrollMaster[[#This Row],[Employee ID]],tblEmployee[Employee ID],tblEmployee[Employee Name],"")</f>
        <v/>
      </c>
      <c r="C66" s="24" t="str">
        <f>_xlfn.XLOOKUP(tblPayrollMaster[[#This Row],[Employee ID]],tblEmployee[Employee ID],tblEmployee[Employee Position],"")</f>
        <v/>
      </c>
      <c r="D66" s="24" t="str">
        <f>_xlfn.XLOOKUP(tblPayrollMaster[[#This Row],[Employee ID]], tblEmployee[Employee ID], tblEmployee[Pay Status], "Pay")</f>
        <v>Pay</v>
      </c>
      <c r="E66" s="24" t="str">
        <f>_xlfn.XLOOKUP(tblPayrollMaster[[#This Row],[Employee ID]], tblEmployee[Employee ID], tblEmployee[Payable Flag], "Y")</f>
        <v>Y</v>
      </c>
      <c r="F66" s="45">
        <f>IF(tblPayrollMaster[[#This Row],[Payable Flag]]="N",0,_xlfn.XLOOKUP(tblPayrollMaster[[#This Row],[Employee ID]],tblEmployee[Employee ID],tblEmployee[Pay Factor],1))</f>
        <v>1</v>
      </c>
      <c r="G66" s="26" t="str" cm="1">
        <f t="array" ref="G66">IF(tblPayrollMaster[[#This Row],[Employee ID]]="","",_xlfn.XLOOKUP(selPayPeriodID,tblPayCalendar[PayPeriodID],tblPayCalendar[PeriodStart],""))</f>
        <v/>
      </c>
      <c r="H66" s="26" t="str" cm="1">
        <f t="array" ref="H66">IF(tblPayrollMaster[[#This Row],[Employee ID]]="","",_xlfn.XLOOKUP(selPayPeriodID,tblPayCalendar[PayPeriodID],tblPayCalendar[PeriodEnd],""))</f>
        <v/>
      </c>
      <c r="I66" s="24" t="e" cm="1" vm="1">
        <f t="array" aca="1" ref="I66" ca="1">Table18[Employer Name]</f>
        <v>#VALUE!</v>
      </c>
      <c r="J66" s="3" cm="1">
        <f t="array" ref="J6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6" s="25" t="str">
        <f>_xlfn.XLOOKUP(tblPayrollMaster[[#This Row],[Employee Position]],tblPositionandPayRate[Employee Position],tblPositionandPayRate[Overtime], " ")</f>
        <v xml:space="preserve"> </v>
      </c>
      <c r="L66" s="25">
        <f>_xlfn.XLOOKUP(tblPayrollMaster[[#This Row],[Employee Position]],tblPositionandPayRate[Employee Position],tblPositionandPayRate[Allowance 1],0)*tblPayrollMaster[[#This Row],[Pay Factor]]</f>
        <v>0</v>
      </c>
      <c r="M66" s="25">
        <f>_xlfn.XLOOKUP(tblPayrollMaster[[#This Row],[Employee Position]],tblPositionandPayRate[Employee Position],tblPositionandPayRate[Allowance 2],0)*tblPayrollMaster[[#This Row],[Pay Factor]]</f>
        <v>0</v>
      </c>
      <c r="N66" s="25">
        <f>_xlfn.XLOOKUP(tblPayrollMaster[[#This Row],[Employee Position]],tblPositionandPayRate[Employee Position],tblPositionandPayRate[Allowance 3],0)*tblPayrollMaster[[#This Row],[Pay Factor]]</f>
        <v>0</v>
      </c>
      <c r="O66" s="25">
        <f>_xlfn.XLOOKUP(tblPayrollMaster[[#This Row],[Employee Position]],tblPositionandPayRate[Employee Position],tblPositionandPayRate[Allowance 4],0)*tblPayrollMaster[[#This Row],[Pay Factor]]</f>
        <v>0</v>
      </c>
      <c r="P66" s="25">
        <f>_xlfn.XLOOKUP(tblPayrollMaster[[#This Row],[Employee Position]],tblPositionandPayRate[Employee Position],tblPositionandPayRate[Allowance 5],0)*tblPayrollMaster[[#This Row],[Pay Factor]]</f>
        <v>0</v>
      </c>
      <c r="Q66" s="3">
        <f>SUM(tblPayrollMaster[[#This Row],[Basic Pay]:[Allowance 5]])</f>
        <v>0</v>
      </c>
      <c r="R6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6" s="51" cm="1">
        <f t="array" ref="S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6" s="3" cm="1">
        <f t="array" ref="T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6" s="25">
        <f>_xlfn.LET(
_xlpm.tos, _xlfn.XLOOKUP(tblPayrollMaster[[#This Row],[Employee ID]], tblEmployee[Employee ID], tblEmployee[Type of Service], ""),
IF(_xlpm.tos="Contract of Service", 8.25, 0)
)</f>
        <v>0</v>
      </c>
      <c r="V66" s="25">
        <f>tblPayrollMaster[[#This Row],[Basic Earnings]]-tblPayrollMaster[[#This Row],[Tax]]-tblPayrollMaster[[#This Row],[NIS - Employee]]-tblPayrollMaster[[#This Row],[Health Surcharge]]</f>
        <v>0</v>
      </c>
      <c r="W66" s="25">
        <f>tblPayrollMaster[[#This Row],[Net Pay]]</f>
        <v>0</v>
      </c>
      <c r="X66" s="25"/>
    </row>
    <row r="67" spans="1:24" x14ac:dyDescent="0.25">
      <c r="A67" s="24"/>
      <c r="B67" s="24" t="str">
        <f>_xlfn.XLOOKUP(tblPayrollMaster[[#This Row],[Employee ID]],tblEmployee[Employee ID],tblEmployee[Employee Name],"")</f>
        <v/>
      </c>
      <c r="C67" s="24" t="str">
        <f>_xlfn.XLOOKUP(tblPayrollMaster[[#This Row],[Employee ID]],tblEmployee[Employee ID],tblEmployee[Employee Position],"")</f>
        <v/>
      </c>
      <c r="D67" s="24" t="str">
        <f>_xlfn.XLOOKUP(tblPayrollMaster[[#This Row],[Employee ID]], tblEmployee[Employee ID], tblEmployee[Pay Status], "Pay")</f>
        <v>Pay</v>
      </c>
      <c r="E67" s="24" t="str">
        <f>_xlfn.XLOOKUP(tblPayrollMaster[[#This Row],[Employee ID]], tblEmployee[Employee ID], tblEmployee[Payable Flag], "Y")</f>
        <v>Y</v>
      </c>
      <c r="F67" s="45">
        <f>IF(tblPayrollMaster[[#This Row],[Payable Flag]]="N",0,_xlfn.XLOOKUP(tblPayrollMaster[[#This Row],[Employee ID]],tblEmployee[Employee ID],tblEmployee[Pay Factor],1))</f>
        <v>1</v>
      </c>
      <c r="G67" s="26" t="str" cm="1">
        <f t="array" ref="G67">IF(tblPayrollMaster[[#This Row],[Employee ID]]="","",_xlfn.XLOOKUP(selPayPeriodID,tblPayCalendar[PayPeriodID],tblPayCalendar[PeriodStart],""))</f>
        <v/>
      </c>
      <c r="H67" s="26" t="str" cm="1">
        <f t="array" ref="H67">IF(tblPayrollMaster[[#This Row],[Employee ID]]="","",_xlfn.XLOOKUP(selPayPeriodID,tblPayCalendar[PayPeriodID],tblPayCalendar[PeriodEnd],""))</f>
        <v/>
      </c>
      <c r="I67" s="24" t="e" cm="1" vm="1">
        <f t="array" aca="1" ref="I67" ca="1">Table18[Employer Name]</f>
        <v>#VALUE!</v>
      </c>
      <c r="J67" s="3" cm="1">
        <f t="array" ref="J6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7" s="25" t="str">
        <f>_xlfn.XLOOKUP(tblPayrollMaster[[#This Row],[Employee Position]],tblPositionandPayRate[Employee Position],tblPositionandPayRate[Overtime], " ")</f>
        <v xml:space="preserve"> </v>
      </c>
      <c r="L67" s="25">
        <f>_xlfn.XLOOKUP(tblPayrollMaster[[#This Row],[Employee Position]],tblPositionandPayRate[Employee Position],tblPositionandPayRate[Allowance 1],0)*tblPayrollMaster[[#This Row],[Pay Factor]]</f>
        <v>0</v>
      </c>
      <c r="M67" s="25">
        <f>_xlfn.XLOOKUP(tblPayrollMaster[[#This Row],[Employee Position]],tblPositionandPayRate[Employee Position],tblPositionandPayRate[Allowance 2],0)*tblPayrollMaster[[#This Row],[Pay Factor]]</f>
        <v>0</v>
      </c>
      <c r="N67" s="25">
        <f>_xlfn.XLOOKUP(tblPayrollMaster[[#This Row],[Employee Position]],tblPositionandPayRate[Employee Position],tblPositionandPayRate[Allowance 3],0)*tblPayrollMaster[[#This Row],[Pay Factor]]</f>
        <v>0</v>
      </c>
      <c r="O67" s="25">
        <f>_xlfn.XLOOKUP(tblPayrollMaster[[#This Row],[Employee Position]],tblPositionandPayRate[Employee Position],tblPositionandPayRate[Allowance 4],0)*tblPayrollMaster[[#This Row],[Pay Factor]]</f>
        <v>0</v>
      </c>
      <c r="P67" s="25">
        <f>_xlfn.XLOOKUP(tblPayrollMaster[[#This Row],[Employee Position]],tblPositionandPayRate[Employee Position],tblPositionandPayRate[Allowance 5],0)*tblPayrollMaster[[#This Row],[Pay Factor]]</f>
        <v>0</v>
      </c>
      <c r="Q67" s="3">
        <f>SUM(tblPayrollMaster[[#This Row],[Basic Pay]:[Allowance 5]])</f>
        <v>0</v>
      </c>
      <c r="R6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7" s="51" cm="1">
        <f t="array" ref="S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7" s="3" cm="1">
        <f t="array" ref="T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7" s="25">
        <f>_xlfn.LET(
_xlpm.tos, _xlfn.XLOOKUP(tblPayrollMaster[[#This Row],[Employee ID]], tblEmployee[Employee ID], tblEmployee[Type of Service], ""),
IF(_xlpm.tos="Contract of Service", 8.25, 0)
)</f>
        <v>0</v>
      </c>
      <c r="V67" s="25">
        <f>tblPayrollMaster[[#This Row],[Basic Earnings]]-tblPayrollMaster[[#This Row],[Tax]]-tblPayrollMaster[[#This Row],[NIS - Employee]]-tblPayrollMaster[[#This Row],[Health Surcharge]]</f>
        <v>0</v>
      </c>
      <c r="W67" s="25">
        <f>tblPayrollMaster[[#This Row],[Net Pay]]</f>
        <v>0</v>
      </c>
      <c r="X67" s="25"/>
    </row>
    <row r="68" spans="1:24" x14ac:dyDescent="0.25">
      <c r="A68" s="24"/>
      <c r="B68" s="24" t="str">
        <f>_xlfn.XLOOKUP(tblPayrollMaster[[#This Row],[Employee ID]],tblEmployee[Employee ID],tblEmployee[Employee Name],"")</f>
        <v/>
      </c>
      <c r="C68" s="24" t="str">
        <f>_xlfn.XLOOKUP(tblPayrollMaster[[#This Row],[Employee ID]],tblEmployee[Employee ID],tblEmployee[Employee Position],"")</f>
        <v/>
      </c>
      <c r="D68" s="24" t="str">
        <f>_xlfn.XLOOKUP(tblPayrollMaster[[#This Row],[Employee ID]], tblEmployee[Employee ID], tblEmployee[Pay Status], "Pay")</f>
        <v>Pay</v>
      </c>
      <c r="E68" s="24" t="str">
        <f>_xlfn.XLOOKUP(tblPayrollMaster[[#This Row],[Employee ID]], tblEmployee[Employee ID], tblEmployee[Payable Flag], "Y")</f>
        <v>Y</v>
      </c>
      <c r="F68" s="45">
        <f>IF(tblPayrollMaster[[#This Row],[Payable Flag]]="N",0,_xlfn.XLOOKUP(tblPayrollMaster[[#This Row],[Employee ID]],tblEmployee[Employee ID],tblEmployee[Pay Factor],1))</f>
        <v>1</v>
      </c>
      <c r="G68" s="26" t="str" cm="1">
        <f t="array" ref="G68">IF(tblPayrollMaster[[#This Row],[Employee ID]]="","",_xlfn.XLOOKUP(selPayPeriodID,tblPayCalendar[PayPeriodID],tblPayCalendar[PeriodStart],""))</f>
        <v/>
      </c>
      <c r="H68" s="26" t="str" cm="1">
        <f t="array" ref="H68">IF(tblPayrollMaster[[#This Row],[Employee ID]]="","",_xlfn.XLOOKUP(selPayPeriodID,tblPayCalendar[PayPeriodID],tblPayCalendar[PeriodEnd],""))</f>
        <v/>
      </c>
      <c r="I68" s="24" t="e" cm="1" vm="1">
        <f t="array" aca="1" ref="I68" ca="1">Table18[Employer Name]</f>
        <v>#VALUE!</v>
      </c>
      <c r="J68" s="3" cm="1">
        <f t="array" ref="J6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8" s="25" t="str">
        <f>_xlfn.XLOOKUP(tblPayrollMaster[[#This Row],[Employee Position]],tblPositionandPayRate[Employee Position],tblPositionandPayRate[Overtime], " ")</f>
        <v xml:space="preserve"> </v>
      </c>
      <c r="L68" s="25">
        <f>_xlfn.XLOOKUP(tblPayrollMaster[[#This Row],[Employee Position]],tblPositionandPayRate[Employee Position],tblPositionandPayRate[Allowance 1],0)*tblPayrollMaster[[#This Row],[Pay Factor]]</f>
        <v>0</v>
      </c>
      <c r="M68" s="25">
        <f>_xlfn.XLOOKUP(tblPayrollMaster[[#This Row],[Employee Position]],tblPositionandPayRate[Employee Position],tblPositionandPayRate[Allowance 2],0)*tblPayrollMaster[[#This Row],[Pay Factor]]</f>
        <v>0</v>
      </c>
      <c r="N68" s="25">
        <f>_xlfn.XLOOKUP(tblPayrollMaster[[#This Row],[Employee Position]],tblPositionandPayRate[Employee Position],tblPositionandPayRate[Allowance 3],0)*tblPayrollMaster[[#This Row],[Pay Factor]]</f>
        <v>0</v>
      </c>
      <c r="O68" s="25">
        <f>_xlfn.XLOOKUP(tblPayrollMaster[[#This Row],[Employee Position]],tblPositionandPayRate[Employee Position],tblPositionandPayRate[Allowance 4],0)*tblPayrollMaster[[#This Row],[Pay Factor]]</f>
        <v>0</v>
      </c>
      <c r="P68" s="25">
        <f>_xlfn.XLOOKUP(tblPayrollMaster[[#This Row],[Employee Position]],tblPositionandPayRate[Employee Position],tblPositionandPayRate[Allowance 5],0)*tblPayrollMaster[[#This Row],[Pay Factor]]</f>
        <v>0</v>
      </c>
      <c r="Q68" s="3">
        <f>SUM(tblPayrollMaster[[#This Row],[Basic Pay]:[Allowance 5]])</f>
        <v>0</v>
      </c>
      <c r="R6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8" s="51" cm="1">
        <f t="array" ref="S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8" s="3" cm="1">
        <f t="array" ref="T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8" s="25">
        <f>_xlfn.LET(
_xlpm.tos, _xlfn.XLOOKUP(tblPayrollMaster[[#This Row],[Employee ID]], tblEmployee[Employee ID], tblEmployee[Type of Service], ""),
IF(_xlpm.tos="Contract of Service", 8.25, 0)
)</f>
        <v>0</v>
      </c>
      <c r="V68" s="25">
        <f>tblPayrollMaster[[#This Row],[Basic Earnings]]-tblPayrollMaster[[#This Row],[Tax]]-tblPayrollMaster[[#This Row],[NIS - Employee]]-tblPayrollMaster[[#This Row],[Health Surcharge]]</f>
        <v>0</v>
      </c>
      <c r="W68" s="25">
        <f>tblPayrollMaster[[#This Row],[Net Pay]]</f>
        <v>0</v>
      </c>
      <c r="X68" s="25"/>
    </row>
    <row r="69" spans="1:24" x14ac:dyDescent="0.25">
      <c r="A69" s="24"/>
      <c r="B69" s="24" t="str">
        <f>_xlfn.XLOOKUP(tblPayrollMaster[[#This Row],[Employee ID]],tblEmployee[Employee ID],tblEmployee[Employee Name],"")</f>
        <v/>
      </c>
      <c r="C69" s="24" t="str">
        <f>_xlfn.XLOOKUP(tblPayrollMaster[[#This Row],[Employee ID]],tblEmployee[Employee ID],tblEmployee[Employee Position],"")</f>
        <v/>
      </c>
      <c r="D69" s="24" t="str">
        <f>_xlfn.XLOOKUP(tblPayrollMaster[[#This Row],[Employee ID]], tblEmployee[Employee ID], tblEmployee[Pay Status], "Pay")</f>
        <v>Pay</v>
      </c>
      <c r="E69" s="24" t="str">
        <f>_xlfn.XLOOKUP(tblPayrollMaster[[#This Row],[Employee ID]], tblEmployee[Employee ID], tblEmployee[Payable Flag], "Y")</f>
        <v>Y</v>
      </c>
      <c r="F69" s="45">
        <f>IF(tblPayrollMaster[[#This Row],[Payable Flag]]="N",0,_xlfn.XLOOKUP(tblPayrollMaster[[#This Row],[Employee ID]],tblEmployee[Employee ID],tblEmployee[Pay Factor],1))</f>
        <v>1</v>
      </c>
      <c r="G69" s="26" t="str" cm="1">
        <f t="array" ref="G69">IF(tblPayrollMaster[[#This Row],[Employee ID]]="","",_xlfn.XLOOKUP(selPayPeriodID,tblPayCalendar[PayPeriodID],tblPayCalendar[PeriodStart],""))</f>
        <v/>
      </c>
      <c r="H69" s="26" t="str" cm="1">
        <f t="array" ref="H69">IF(tblPayrollMaster[[#This Row],[Employee ID]]="","",_xlfn.XLOOKUP(selPayPeriodID,tblPayCalendar[PayPeriodID],tblPayCalendar[PeriodEnd],""))</f>
        <v/>
      </c>
      <c r="I69" s="24" t="e" cm="1" vm="1">
        <f t="array" aca="1" ref="I69" ca="1">Table18[Employer Name]</f>
        <v>#VALUE!</v>
      </c>
      <c r="J69" s="3" cm="1">
        <f t="array" ref="J6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9" s="25" t="str">
        <f>_xlfn.XLOOKUP(tblPayrollMaster[[#This Row],[Employee Position]],tblPositionandPayRate[Employee Position],tblPositionandPayRate[Overtime], " ")</f>
        <v xml:space="preserve"> </v>
      </c>
      <c r="L69" s="25">
        <f>_xlfn.XLOOKUP(tblPayrollMaster[[#This Row],[Employee Position]],tblPositionandPayRate[Employee Position],tblPositionandPayRate[Allowance 1],0)*tblPayrollMaster[[#This Row],[Pay Factor]]</f>
        <v>0</v>
      </c>
      <c r="M69" s="25">
        <f>_xlfn.XLOOKUP(tblPayrollMaster[[#This Row],[Employee Position]],tblPositionandPayRate[Employee Position],tblPositionandPayRate[Allowance 2],0)*tblPayrollMaster[[#This Row],[Pay Factor]]</f>
        <v>0</v>
      </c>
      <c r="N69" s="25">
        <f>_xlfn.XLOOKUP(tblPayrollMaster[[#This Row],[Employee Position]],tblPositionandPayRate[Employee Position],tblPositionandPayRate[Allowance 3],0)*tblPayrollMaster[[#This Row],[Pay Factor]]</f>
        <v>0</v>
      </c>
      <c r="O69" s="25">
        <f>_xlfn.XLOOKUP(tblPayrollMaster[[#This Row],[Employee Position]],tblPositionandPayRate[Employee Position],tblPositionandPayRate[Allowance 4],0)*tblPayrollMaster[[#This Row],[Pay Factor]]</f>
        <v>0</v>
      </c>
      <c r="P69" s="25">
        <f>_xlfn.XLOOKUP(tblPayrollMaster[[#This Row],[Employee Position]],tblPositionandPayRate[Employee Position],tblPositionandPayRate[Allowance 5],0)*tblPayrollMaster[[#This Row],[Pay Factor]]</f>
        <v>0</v>
      </c>
      <c r="Q69" s="3">
        <f>SUM(tblPayrollMaster[[#This Row],[Basic Pay]:[Allowance 5]])</f>
        <v>0</v>
      </c>
      <c r="R6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9" s="51" cm="1">
        <f t="array" ref="S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9" s="3" cm="1">
        <f t="array" ref="T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9" s="25">
        <f>_xlfn.LET(
_xlpm.tos, _xlfn.XLOOKUP(tblPayrollMaster[[#This Row],[Employee ID]], tblEmployee[Employee ID], tblEmployee[Type of Service], ""),
IF(_xlpm.tos="Contract of Service", 8.25, 0)
)</f>
        <v>0</v>
      </c>
      <c r="V69" s="25">
        <f>tblPayrollMaster[[#This Row],[Basic Earnings]]-tblPayrollMaster[[#This Row],[Tax]]-tblPayrollMaster[[#This Row],[NIS - Employee]]-tblPayrollMaster[[#This Row],[Health Surcharge]]</f>
        <v>0</v>
      </c>
      <c r="W69" s="25">
        <f>tblPayrollMaster[[#This Row],[Net Pay]]</f>
        <v>0</v>
      </c>
      <c r="X69" s="25"/>
    </row>
    <row r="70" spans="1:24" x14ac:dyDescent="0.25">
      <c r="A70" s="24"/>
      <c r="B70" s="24" t="str">
        <f>_xlfn.XLOOKUP(tblPayrollMaster[[#This Row],[Employee ID]],tblEmployee[Employee ID],tblEmployee[Employee Name],"")</f>
        <v/>
      </c>
      <c r="C70" s="24" t="str">
        <f>_xlfn.XLOOKUP(tblPayrollMaster[[#This Row],[Employee ID]],tblEmployee[Employee ID],tblEmployee[Employee Position],"")</f>
        <v/>
      </c>
      <c r="D70" s="24" t="str">
        <f>_xlfn.XLOOKUP(tblPayrollMaster[[#This Row],[Employee ID]], tblEmployee[Employee ID], tblEmployee[Pay Status], "Pay")</f>
        <v>Pay</v>
      </c>
      <c r="E70" s="24" t="str">
        <f>_xlfn.XLOOKUP(tblPayrollMaster[[#This Row],[Employee ID]], tblEmployee[Employee ID], tblEmployee[Payable Flag], "Y")</f>
        <v>Y</v>
      </c>
      <c r="F70" s="45">
        <f>IF(tblPayrollMaster[[#This Row],[Payable Flag]]="N",0,_xlfn.XLOOKUP(tblPayrollMaster[[#This Row],[Employee ID]],tblEmployee[Employee ID],tblEmployee[Pay Factor],1))</f>
        <v>1</v>
      </c>
      <c r="G70" s="26" t="str" cm="1">
        <f t="array" ref="G70">IF(tblPayrollMaster[[#This Row],[Employee ID]]="","",_xlfn.XLOOKUP(selPayPeriodID,tblPayCalendar[PayPeriodID],tblPayCalendar[PeriodStart],""))</f>
        <v/>
      </c>
      <c r="H70" s="26" t="str" cm="1">
        <f t="array" ref="H70">IF(tblPayrollMaster[[#This Row],[Employee ID]]="","",_xlfn.XLOOKUP(selPayPeriodID,tblPayCalendar[PayPeriodID],tblPayCalendar[PeriodEnd],""))</f>
        <v/>
      </c>
      <c r="I70" s="24" t="e" cm="1" vm="1">
        <f t="array" aca="1" ref="I70" ca="1">Table18[Employer Name]</f>
        <v>#VALUE!</v>
      </c>
      <c r="J70" s="3" cm="1">
        <f t="array" ref="J7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0" s="25" t="str">
        <f>_xlfn.XLOOKUP(tblPayrollMaster[[#This Row],[Employee Position]],tblPositionandPayRate[Employee Position],tblPositionandPayRate[Overtime], " ")</f>
        <v xml:space="preserve"> </v>
      </c>
      <c r="L70" s="25">
        <f>_xlfn.XLOOKUP(tblPayrollMaster[[#This Row],[Employee Position]],tblPositionandPayRate[Employee Position],tblPositionandPayRate[Allowance 1],0)*tblPayrollMaster[[#This Row],[Pay Factor]]</f>
        <v>0</v>
      </c>
      <c r="M70" s="25">
        <f>_xlfn.XLOOKUP(tblPayrollMaster[[#This Row],[Employee Position]],tblPositionandPayRate[Employee Position],tblPositionandPayRate[Allowance 2],0)*tblPayrollMaster[[#This Row],[Pay Factor]]</f>
        <v>0</v>
      </c>
      <c r="N70" s="25">
        <f>_xlfn.XLOOKUP(tblPayrollMaster[[#This Row],[Employee Position]],tblPositionandPayRate[Employee Position],tblPositionandPayRate[Allowance 3],0)*tblPayrollMaster[[#This Row],[Pay Factor]]</f>
        <v>0</v>
      </c>
      <c r="O70" s="25">
        <f>_xlfn.XLOOKUP(tblPayrollMaster[[#This Row],[Employee Position]],tblPositionandPayRate[Employee Position],tblPositionandPayRate[Allowance 4],0)*tblPayrollMaster[[#This Row],[Pay Factor]]</f>
        <v>0</v>
      </c>
      <c r="P70" s="25">
        <f>_xlfn.XLOOKUP(tblPayrollMaster[[#This Row],[Employee Position]],tblPositionandPayRate[Employee Position],tblPositionandPayRate[Allowance 5],0)*tblPayrollMaster[[#This Row],[Pay Factor]]</f>
        <v>0</v>
      </c>
      <c r="Q70" s="3">
        <f>SUM(tblPayrollMaster[[#This Row],[Basic Pay]:[Allowance 5]])</f>
        <v>0</v>
      </c>
      <c r="R7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0" s="51" cm="1">
        <f t="array" ref="S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0" s="3" cm="1">
        <f t="array" ref="T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0" s="25">
        <f>_xlfn.LET(
_xlpm.tos, _xlfn.XLOOKUP(tblPayrollMaster[[#This Row],[Employee ID]], tblEmployee[Employee ID], tblEmployee[Type of Service], ""),
IF(_xlpm.tos="Contract of Service", 8.25, 0)
)</f>
        <v>0</v>
      </c>
      <c r="V70" s="25">
        <f>tblPayrollMaster[[#This Row],[Basic Earnings]]-tblPayrollMaster[[#This Row],[Tax]]-tblPayrollMaster[[#This Row],[NIS - Employee]]-tblPayrollMaster[[#This Row],[Health Surcharge]]</f>
        <v>0</v>
      </c>
      <c r="W70" s="25">
        <f>tblPayrollMaster[[#This Row],[Net Pay]]</f>
        <v>0</v>
      </c>
      <c r="X70" s="25"/>
    </row>
    <row r="71" spans="1:24" x14ac:dyDescent="0.25">
      <c r="A71" s="24"/>
      <c r="B71" s="24" t="str">
        <f>_xlfn.XLOOKUP(tblPayrollMaster[[#This Row],[Employee ID]],tblEmployee[Employee ID],tblEmployee[Employee Name],"")</f>
        <v/>
      </c>
      <c r="C71" s="24" t="str">
        <f>_xlfn.XLOOKUP(tblPayrollMaster[[#This Row],[Employee ID]],tblEmployee[Employee ID],tblEmployee[Employee Position],"")</f>
        <v/>
      </c>
      <c r="D71" s="24" t="str">
        <f>_xlfn.XLOOKUP(tblPayrollMaster[[#This Row],[Employee ID]], tblEmployee[Employee ID], tblEmployee[Pay Status], "Pay")</f>
        <v>Pay</v>
      </c>
      <c r="E71" s="24" t="str">
        <f>_xlfn.XLOOKUP(tblPayrollMaster[[#This Row],[Employee ID]], tblEmployee[Employee ID], tblEmployee[Payable Flag], "Y")</f>
        <v>Y</v>
      </c>
      <c r="F71" s="45">
        <f>IF(tblPayrollMaster[[#This Row],[Payable Flag]]="N",0,_xlfn.XLOOKUP(tblPayrollMaster[[#This Row],[Employee ID]],tblEmployee[Employee ID],tblEmployee[Pay Factor],1))</f>
        <v>1</v>
      </c>
      <c r="G71" s="26" t="str" cm="1">
        <f t="array" ref="G71">IF(tblPayrollMaster[[#This Row],[Employee ID]]="","",_xlfn.XLOOKUP(selPayPeriodID,tblPayCalendar[PayPeriodID],tblPayCalendar[PeriodStart],""))</f>
        <v/>
      </c>
      <c r="H71" s="26" t="str" cm="1">
        <f t="array" ref="H71">IF(tblPayrollMaster[[#This Row],[Employee ID]]="","",_xlfn.XLOOKUP(selPayPeriodID,tblPayCalendar[PayPeriodID],tblPayCalendar[PeriodEnd],""))</f>
        <v/>
      </c>
      <c r="I71" s="24" t="e" cm="1" vm="1">
        <f t="array" aca="1" ref="I71" ca="1">Table18[Employer Name]</f>
        <v>#VALUE!</v>
      </c>
      <c r="J71" s="3" cm="1">
        <f t="array" ref="J7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1" s="25" t="str">
        <f>_xlfn.XLOOKUP(tblPayrollMaster[[#This Row],[Employee Position]],tblPositionandPayRate[Employee Position],tblPositionandPayRate[Overtime], " ")</f>
        <v xml:space="preserve"> </v>
      </c>
      <c r="L71" s="25">
        <f>_xlfn.XLOOKUP(tblPayrollMaster[[#This Row],[Employee Position]],tblPositionandPayRate[Employee Position],tblPositionandPayRate[Allowance 1],0)*tblPayrollMaster[[#This Row],[Pay Factor]]</f>
        <v>0</v>
      </c>
      <c r="M71" s="25">
        <f>_xlfn.XLOOKUP(tblPayrollMaster[[#This Row],[Employee Position]],tblPositionandPayRate[Employee Position],tblPositionandPayRate[Allowance 2],0)*tblPayrollMaster[[#This Row],[Pay Factor]]</f>
        <v>0</v>
      </c>
      <c r="N71" s="25">
        <f>_xlfn.XLOOKUP(tblPayrollMaster[[#This Row],[Employee Position]],tblPositionandPayRate[Employee Position],tblPositionandPayRate[Allowance 3],0)*tblPayrollMaster[[#This Row],[Pay Factor]]</f>
        <v>0</v>
      </c>
      <c r="O71" s="25">
        <f>_xlfn.XLOOKUP(tblPayrollMaster[[#This Row],[Employee Position]],tblPositionandPayRate[Employee Position],tblPositionandPayRate[Allowance 4],0)*tblPayrollMaster[[#This Row],[Pay Factor]]</f>
        <v>0</v>
      </c>
      <c r="P71" s="25">
        <f>_xlfn.XLOOKUP(tblPayrollMaster[[#This Row],[Employee Position]],tblPositionandPayRate[Employee Position],tblPositionandPayRate[Allowance 5],0)*tblPayrollMaster[[#This Row],[Pay Factor]]</f>
        <v>0</v>
      </c>
      <c r="Q71" s="3">
        <f>SUM(tblPayrollMaster[[#This Row],[Basic Pay]:[Allowance 5]])</f>
        <v>0</v>
      </c>
      <c r="R7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1" s="51" cm="1">
        <f t="array" ref="S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1" s="3" cm="1">
        <f t="array" ref="T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1" s="25">
        <f>_xlfn.LET(
_xlpm.tos, _xlfn.XLOOKUP(tblPayrollMaster[[#This Row],[Employee ID]], tblEmployee[Employee ID], tblEmployee[Type of Service], ""),
IF(_xlpm.tos="Contract of Service", 8.25, 0)
)</f>
        <v>0</v>
      </c>
      <c r="V71" s="25">
        <f>tblPayrollMaster[[#This Row],[Basic Earnings]]-tblPayrollMaster[[#This Row],[Tax]]-tblPayrollMaster[[#This Row],[NIS - Employee]]-tblPayrollMaster[[#This Row],[Health Surcharge]]</f>
        <v>0</v>
      </c>
      <c r="W71" s="25">
        <f>tblPayrollMaster[[#This Row],[Net Pay]]</f>
        <v>0</v>
      </c>
      <c r="X71" s="25"/>
    </row>
    <row r="72" spans="1:24" x14ac:dyDescent="0.25">
      <c r="A72" s="24"/>
      <c r="B72" s="24" t="str">
        <f>_xlfn.XLOOKUP(tblPayrollMaster[[#This Row],[Employee ID]],tblEmployee[Employee ID],tblEmployee[Employee Name],"")</f>
        <v/>
      </c>
      <c r="C72" s="24" t="str">
        <f>_xlfn.XLOOKUP(tblPayrollMaster[[#This Row],[Employee ID]],tblEmployee[Employee ID],tblEmployee[Employee Position],"")</f>
        <v/>
      </c>
      <c r="D72" s="24" t="str">
        <f>_xlfn.XLOOKUP(tblPayrollMaster[[#This Row],[Employee ID]], tblEmployee[Employee ID], tblEmployee[Pay Status], "Pay")</f>
        <v>Pay</v>
      </c>
      <c r="E72" s="24" t="str">
        <f>_xlfn.XLOOKUP(tblPayrollMaster[[#This Row],[Employee ID]], tblEmployee[Employee ID], tblEmployee[Payable Flag], "Y")</f>
        <v>Y</v>
      </c>
      <c r="F72" s="45">
        <f>IF(tblPayrollMaster[[#This Row],[Payable Flag]]="N",0,_xlfn.XLOOKUP(tblPayrollMaster[[#This Row],[Employee ID]],tblEmployee[Employee ID],tblEmployee[Pay Factor],1))</f>
        <v>1</v>
      </c>
      <c r="G72" s="26" t="str" cm="1">
        <f t="array" ref="G72">IF(tblPayrollMaster[[#This Row],[Employee ID]]="","",_xlfn.XLOOKUP(selPayPeriodID,tblPayCalendar[PayPeriodID],tblPayCalendar[PeriodStart],""))</f>
        <v/>
      </c>
      <c r="H72" s="26" t="str" cm="1">
        <f t="array" ref="H72">IF(tblPayrollMaster[[#This Row],[Employee ID]]="","",_xlfn.XLOOKUP(selPayPeriodID,tblPayCalendar[PayPeriodID],tblPayCalendar[PeriodEnd],""))</f>
        <v/>
      </c>
      <c r="I72" s="24" t="e" cm="1" vm="1">
        <f t="array" aca="1" ref="I72" ca="1">Table18[Employer Name]</f>
        <v>#VALUE!</v>
      </c>
      <c r="J72" s="3" cm="1">
        <f t="array" ref="J7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2" s="25" t="str">
        <f>_xlfn.XLOOKUP(tblPayrollMaster[[#This Row],[Employee Position]],tblPositionandPayRate[Employee Position],tblPositionandPayRate[Overtime], " ")</f>
        <v xml:space="preserve"> </v>
      </c>
      <c r="L72" s="25">
        <f>_xlfn.XLOOKUP(tblPayrollMaster[[#This Row],[Employee Position]],tblPositionandPayRate[Employee Position],tblPositionandPayRate[Allowance 1],0)*tblPayrollMaster[[#This Row],[Pay Factor]]</f>
        <v>0</v>
      </c>
      <c r="M72" s="25">
        <f>_xlfn.XLOOKUP(tblPayrollMaster[[#This Row],[Employee Position]],tblPositionandPayRate[Employee Position],tblPositionandPayRate[Allowance 2],0)*tblPayrollMaster[[#This Row],[Pay Factor]]</f>
        <v>0</v>
      </c>
      <c r="N72" s="25">
        <f>_xlfn.XLOOKUP(tblPayrollMaster[[#This Row],[Employee Position]],tblPositionandPayRate[Employee Position],tblPositionandPayRate[Allowance 3],0)*tblPayrollMaster[[#This Row],[Pay Factor]]</f>
        <v>0</v>
      </c>
      <c r="O72" s="25">
        <f>_xlfn.XLOOKUP(tblPayrollMaster[[#This Row],[Employee Position]],tblPositionandPayRate[Employee Position],tblPositionandPayRate[Allowance 4],0)*tblPayrollMaster[[#This Row],[Pay Factor]]</f>
        <v>0</v>
      </c>
      <c r="P72" s="25">
        <f>_xlfn.XLOOKUP(tblPayrollMaster[[#This Row],[Employee Position]],tblPositionandPayRate[Employee Position],tblPositionandPayRate[Allowance 5],0)*tblPayrollMaster[[#This Row],[Pay Factor]]</f>
        <v>0</v>
      </c>
      <c r="Q72" s="3">
        <f>SUM(tblPayrollMaster[[#This Row],[Basic Pay]:[Allowance 5]])</f>
        <v>0</v>
      </c>
      <c r="R7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2" s="51" cm="1">
        <f t="array" ref="S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2" s="3" cm="1">
        <f t="array" ref="T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2" s="25">
        <f>_xlfn.LET(
_xlpm.tos, _xlfn.XLOOKUP(tblPayrollMaster[[#This Row],[Employee ID]], tblEmployee[Employee ID], tblEmployee[Type of Service], ""),
IF(_xlpm.tos="Contract of Service", 8.25, 0)
)</f>
        <v>0</v>
      </c>
      <c r="V72" s="25">
        <f>tblPayrollMaster[[#This Row],[Basic Earnings]]-tblPayrollMaster[[#This Row],[Tax]]-tblPayrollMaster[[#This Row],[NIS - Employee]]-tblPayrollMaster[[#This Row],[Health Surcharge]]</f>
        <v>0</v>
      </c>
      <c r="W72" s="25">
        <f>tblPayrollMaster[[#This Row],[Net Pay]]</f>
        <v>0</v>
      </c>
      <c r="X72" s="25"/>
    </row>
    <row r="73" spans="1:24" x14ac:dyDescent="0.25">
      <c r="A73" s="24"/>
      <c r="B73" s="24" t="str">
        <f>_xlfn.XLOOKUP(tblPayrollMaster[[#This Row],[Employee ID]],tblEmployee[Employee ID],tblEmployee[Employee Name],"")</f>
        <v/>
      </c>
      <c r="C73" s="24" t="str">
        <f>_xlfn.XLOOKUP(tblPayrollMaster[[#This Row],[Employee ID]],tblEmployee[Employee ID],tblEmployee[Employee Position],"")</f>
        <v/>
      </c>
      <c r="D73" s="24" t="str">
        <f>_xlfn.XLOOKUP(tblPayrollMaster[[#This Row],[Employee ID]], tblEmployee[Employee ID], tblEmployee[Pay Status], "Pay")</f>
        <v>Pay</v>
      </c>
      <c r="E73" s="24" t="str">
        <f>_xlfn.XLOOKUP(tblPayrollMaster[[#This Row],[Employee ID]], tblEmployee[Employee ID], tblEmployee[Payable Flag], "Y")</f>
        <v>Y</v>
      </c>
      <c r="F73" s="45">
        <f>IF(tblPayrollMaster[[#This Row],[Payable Flag]]="N",0,_xlfn.XLOOKUP(tblPayrollMaster[[#This Row],[Employee ID]],tblEmployee[Employee ID],tblEmployee[Pay Factor],1))</f>
        <v>1</v>
      </c>
      <c r="G73" s="26" t="str" cm="1">
        <f t="array" ref="G73">IF(tblPayrollMaster[[#This Row],[Employee ID]]="","",_xlfn.XLOOKUP(selPayPeriodID,tblPayCalendar[PayPeriodID],tblPayCalendar[PeriodStart],""))</f>
        <v/>
      </c>
      <c r="H73" s="26" t="str" cm="1">
        <f t="array" ref="H73">IF(tblPayrollMaster[[#This Row],[Employee ID]]="","",_xlfn.XLOOKUP(selPayPeriodID,tblPayCalendar[PayPeriodID],tblPayCalendar[PeriodEnd],""))</f>
        <v/>
      </c>
      <c r="I73" s="24" t="e" cm="1" vm="1">
        <f t="array" aca="1" ref="I73" ca="1">Table18[Employer Name]</f>
        <v>#VALUE!</v>
      </c>
      <c r="J73" s="3" cm="1">
        <f t="array" ref="J7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3" s="25" t="str">
        <f>_xlfn.XLOOKUP(tblPayrollMaster[[#This Row],[Employee Position]],tblPositionandPayRate[Employee Position],tblPositionandPayRate[Overtime], " ")</f>
        <v xml:space="preserve"> </v>
      </c>
      <c r="L73" s="25">
        <f>_xlfn.XLOOKUP(tblPayrollMaster[[#This Row],[Employee Position]],tblPositionandPayRate[Employee Position],tblPositionandPayRate[Allowance 1],0)*tblPayrollMaster[[#This Row],[Pay Factor]]</f>
        <v>0</v>
      </c>
      <c r="M73" s="25">
        <f>_xlfn.XLOOKUP(tblPayrollMaster[[#This Row],[Employee Position]],tblPositionandPayRate[Employee Position],tblPositionandPayRate[Allowance 2],0)*tblPayrollMaster[[#This Row],[Pay Factor]]</f>
        <v>0</v>
      </c>
      <c r="N73" s="25">
        <f>_xlfn.XLOOKUP(tblPayrollMaster[[#This Row],[Employee Position]],tblPositionandPayRate[Employee Position],tblPositionandPayRate[Allowance 3],0)*tblPayrollMaster[[#This Row],[Pay Factor]]</f>
        <v>0</v>
      </c>
      <c r="O73" s="25">
        <f>_xlfn.XLOOKUP(tblPayrollMaster[[#This Row],[Employee Position]],tblPositionandPayRate[Employee Position],tblPositionandPayRate[Allowance 4],0)*tblPayrollMaster[[#This Row],[Pay Factor]]</f>
        <v>0</v>
      </c>
      <c r="P73" s="25">
        <f>_xlfn.XLOOKUP(tblPayrollMaster[[#This Row],[Employee Position]],tblPositionandPayRate[Employee Position],tblPositionandPayRate[Allowance 5],0)*tblPayrollMaster[[#This Row],[Pay Factor]]</f>
        <v>0</v>
      </c>
      <c r="Q73" s="3">
        <f>SUM(tblPayrollMaster[[#This Row],[Basic Pay]:[Allowance 5]])</f>
        <v>0</v>
      </c>
      <c r="R7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3" s="51" cm="1">
        <f t="array" ref="S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3" s="3" cm="1">
        <f t="array" ref="T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3" s="25">
        <f>_xlfn.LET(
_xlpm.tos, _xlfn.XLOOKUP(tblPayrollMaster[[#This Row],[Employee ID]], tblEmployee[Employee ID], tblEmployee[Type of Service], ""),
IF(_xlpm.tos="Contract of Service", 8.25, 0)
)</f>
        <v>0</v>
      </c>
      <c r="V73" s="25">
        <f>tblPayrollMaster[[#This Row],[Basic Earnings]]-tblPayrollMaster[[#This Row],[Tax]]-tblPayrollMaster[[#This Row],[NIS - Employee]]-tblPayrollMaster[[#This Row],[Health Surcharge]]</f>
        <v>0</v>
      </c>
      <c r="W73" s="25">
        <f>tblPayrollMaster[[#This Row],[Net Pay]]</f>
        <v>0</v>
      </c>
      <c r="X73" s="25"/>
    </row>
    <row r="74" spans="1:24" x14ac:dyDescent="0.25">
      <c r="A74" s="24"/>
      <c r="B74" s="24" t="str">
        <f>_xlfn.XLOOKUP(tblPayrollMaster[[#This Row],[Employee ID]],tblEmployee[Employee ID],tblEmployee[Employee Name],"")</f>
        <v/>
      </c>
      <c r="C74" s="24" t="str">
        <f>_xlfn.XLOOKUP(tblPayrollMaster[[#This Row],[Employee ID]],tblEmployee[Employee ID],tblEmployee[Employee Position],"")</f>
        <v/>
      </c>
      <c r="D74" s="24" t="str">
        <f>_xlfn.XLOOKUP(tblPayrollMaster[[#This Row],[Employee ID]], tblEmployee[Employee ID], tblEmployee[Pay Status], "Pay")</f>
        <v>Pay</v>
      </c>
      <c r="E74" s="24" t="str">
        <f>_xlfn.XLOOKUP(tblPayrollMaster[[#This Row],[Employee ID]], tblEmployee[Employee ID], tblEmployee[Payable Flag], "Y")</f>
        <v>Y</v>
      </c>
      <c r="F74" s="45">
        <f>IF(tblPayrollMaster[[#This Row],[Payable Flag]]="N",0,_xlfn.XLOOKUP(tblPayrollMaster[[#This Row],[Employee ID]],tblEmployee[Employee ID],tblEmployee[Pay Factor],1))</f>
        <v>1</v>
      </c>
      <c r="G74" s="26" t="str" cm="1">
        <f t="array" ref="G74">IF(tblPayrollMaster[[#This Row],[Employee ID]]="","",_xlfn.XLOOKUP(selPayPeriodID,tblPayCalendar[PayPeriodID],tblPayCalendar[PeriodStart],""))</f>
        <v/>
      </c>
      <c r="H74" s="26" t="str" cm="1">
        <f t="array" ref="H74">IF(tblPayrollMaster[[#This Row],[Employee ID]]="","",_xlfn.XLOOKUP(selPayPeriodID,tblPayCalendar[PayPeriodID],tblPayCalendar[PeriodEnd],""))</f>
        <v/>
      </c>
      <c r="I74" s="24" t="e" cm="1" vm="1">
        <f t="array" aca="1" ref="I74" ca="1">Table18[Employer Name]</f>
        <v>#VALUE!</v>
      </c>
      <c r="J74" s="3" cm="1">
        <f t="array" ref="J7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4" s="25" t="str">
        <f>_xlfn.XLOOKUP(tblPayrollMaster[[#This Row],[Employee Position]],tblPositionandPayRate[Employee Position],tblPositionandPayRate[Overtime], " ")</f>
        <v xml:space="preserve"> </v>
      </c>
      <c r="L74" s="25">
        <f>_xlfn.XLOOKUP(tblPayrollMaster[[#This Row],[Employee Position]],tblPositionandPayRate[Employee Position],tblPositionandPayRate[Allowance 1],0)*tblPayrollMaster[[#This Row],[Pay Factor]]</f>
        <v>0</v>
      </c>
      <c r="M74" s="25">
        <f>_xlfn.XLOOKUP(tblPayrollMaster[[#This Row],[Employee Position]],tblPositionandPayRate[Employee Position],tblPositionandPayRate[Allowance 2],0)*tblPayrollMaster[[#This Row],[Pay Factor]]</f>
        <v>0</v>
      </c>
      <c r="N74" s="25">
        <f>_xlfn.XLOOKUP(tblPayrollMaster[[#This Row],[Employee Position]],tblPositionandPayRate[Employee Position],tblPositionandPayRate[Allowance 3],0)*tblPayrollMaster[[#This Row],[Pay Factor]]</f>
        <v>0</v>
      </c>
      <c r="O74" s="25">
        <f>_xlfn.XLOOKUP(tblPayrollMaster[[#This Row],[Employee Position]],tblPositionandPayRate[Employee Position],tblPositionandPayRate[Allowance 4],0)*tblPayrollMaster[[#This Row],[Pay Factor]]</f>
        <v>0</v>
      </c>
      <c r="P74" s="25">
        <f>_xlfn.XLOOKUP(tblPayrollMaster[[#This Row],[Employee Position]],tblPositionandPayRate[Employee Position],tblPositionandPayRate[Allowance 5],0)*tblPayrollMaster[[#This Row],[Pay Factor]]</f>
        <v>0</v>
      </c>
      <c r="Q74" s="3">
        <f>SUM(tblPayrollMaster[[#This Row],[Basic Pay]:[Allowance 5]])</f>
        <v>0</v>
      </c>
      <c r="R7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4" s="51" cm="1">
        <f t="array" ref="S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4" s="3" cm="1">
        <f t="array" ref="T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4" s="25">
        <f>_xlfn.LET(
_xlpm.tos, _xlfn.XLOOKUP(tblPayrollMaster[[#This Row],[Employee ID]], tblEmployee[Employee ID], tblEmployee[Type of Service], ""),
IF(_xlpm.tos="Contract of Service", 8.25, 0)
)</f>
        <v>0</v>
      </c>
      <c r="V74" s="25">
        <f>tblPayrollMaster[[#This Row],[Basic Earnings]]-tblPayrollMaster[[#This Row],[Tax]]-tblPayrollMaster[[#This Row],[NIS - Employee]]-tblPayrollMaster[[#This Row],[Health Surcharge]]</f>
        <v>0</v>
      </c>
      <c r="W74" s="25">
        <f>tblPayrollMaster[[#This Row],[Net Pay]]</f>
        <v>0</v>
      </c>
      <c r="X74" s="25"/>
    </row>
    <row r="75" spans="1:24" x14ac:dyDescent="0.25">
      <c r="A75" s="24"/>
      <c r="B75" s="24" t="str">
        <f>_xlfn.XLOOKUP(tblPayrollMaster[[#This Row],[Employee ID]],tblEmployee[Employee ID],tblEmployee[Employee Name],"")</f>
        <v/>
      </c>
      <c r="C75" s="24" t="str">
        <f>_xlfn.XLOOKUP(tblPayrollMaster[[#This Row],[Employee ID]],tblEmployee[Employee ID],tblEmployee[Employee Position],"")</f>
        <v/>
      </c>
      <c r="D75" s="24" t="str">
        <f>_xlfn.XLOOKUP(tblPayrollMaster[[#This Row],[Employee ID]], tblEmployee[Employee ID], tblEmployee[Pay Status], "Pay")</f>
        <v>Pay</v>
      </c>
      <c r="E75" s="24" t="str">
        <f>_xlfn.XLOOKUP(tblPayrollMaster[[#This Row],[Employee ID]], tblEmployee[Employee ID], tblEmployee[Payable Flag], "Y")</f>
        <v>Y</v>
      </c>
      <c r="F75" s="45">
        <f>IF(tblPayrollMaster[[#This Row],[Payable Flag]]="N",0,_xlfn.XLOOKUP(tblPayrollMaster[[#This Row],[Employee ID]],tblEmployee[Employee ID],tblEmployee[Pay Factor],1))</f>
        <v>1</v>
      </c>
      <c r="G75" s="26" t="str" cm="1">
        <f t="array" ref="G75">IF(tblPayrollMaster[[#This Row],[Employee ID]]="","",_xlfn.XLOOKUP(selPayPeriodID,tblPayCalendar[PayPeriodID],tblPayCalendar[PeriodStart],""))</f>
        <v/>
      </c>
      <c r="H75" s="26" t="str" cm="1">
        <f t="array" ref="H75">IF(tblPayrollMaster[[#This Row],[Employee ID]]="","",_xlfn.XLOOKUP(selPayPeriodID,tblPayCalendar[PayPeriodID],tblPayCalendar[PeriodEnd],""))</f>
        <v/>
      </c>
      <c r="I75" s="24" t="e" cm="1" vm="1">
        <f t="array" aca="1" ref="I75" ca="1">Table18[Employer Name]</f>
        <v>#VALUE!</v>
      </c>
      <c r="J75" s="3" cm="1">
        <f t="array" ref="J7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5" s="25" t="str">
        <f>_xlfn.XLOOKUP(tblPayrollMaster[[#This Row],[Employee Position]],tblPositionandPayRate[Employee Position],tblPositionandPayRate[Overtime], " ")</f>
        <v xml:space="preserve"> </v>
      </c>
      <c r="L75" s="25">
        <f>_xlfn.XLOOKUP(tblPayrollMaster[[#This Row],[Employee Position]],tblPositionandPayRate[Employee Position],tblPositionandPayRate[Allowance 1],0)*tblPayrollMaster[[#This Row],[Pay Factor]]</f>
        <v>0</v>
      </c>
      <c r="M75" s="25">
        <f>_xlfn.XLOOKUP(tblPayrollMaster[[#This Row],[Employee Position]],tblPositionandPayRate[Employee Position],tblPositionandPayRate[Allowance 2],0)*tblPayrollMaster[[#This Row],[Pay Factor]]</f>
        <v>0</v>
      </c>
      <c r="N75" s="25">
        <f>_xlfn.XLOOKUP(tblPayrollMaster[[#This Row],[Employee Position]],tblPositionandPayRate[Employee Position],tblPositionandPayRate[Allowance 3],0)*tblPayrollMaster[[#This Row],[Pay Factor]]</f>
        <v>0</v>
      </c>
      <c r="O75" s="25">
        <f>_xlfn.XLOOKUP(tblPayrollMaster[[#This Row],[Employee Position]],tblPositionandPayRate[Employee Position],tblPositionandPayRate[Allowance 4],0)*tblPayrollMaster[[#This Row],[Pay Factor]]</f>
        <v>0</v>
      </c>
      <c r="P75" s="25">
        <f>_xlfn.XLOOKUP(tblPayrollMaster[[#This Row],[Employee Position]],tblPositionandPayRate[Employee Position],tblPositionandPayRate[Allowance 5],0)*tblPayrollMaster[[#This Row],[Pay Factor]]</f>
        <v>0</v>
      </c>
      <c r="Q75" s="3">
        <f>SUM(tblPayrollMaster[[#This Row],[Basic Pay]:[Allowance 5]])</f>
        <v>0</v>
      </c>
      <c r="R7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5" s="51" cm="1">
        <f t="array" ref="S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5" s="3" cm="1">
        <f t="array" ref="T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5" s="25">
        <f>_xlfn.LET(
_xlpm.tos, _xlfn.XLOOKUP(tblPayrollMaster[[#This Row],[Employee ID]], tblEmployee[Employee ID], tblEmployee[Type of Service], ""),
IF(_xlpm.tos="Contract of Service", 8.25, 0)
)</f>
        <v>0</v>
      </c>
      <c r="V75" s="25">
        <f>tblPayrollMaster[[#This Row],[Basic Earnings]]-tblPayrollMaster[[#This Row],[Tax]]-tblPayrollMaster[[#This Row],[NIS - Employee]]-tblPayrollMaster[[#This Row],[Health Surcharge]]</f>
        <v>0</v>
      </c>
      <c r="W75" s="25">
        <f>tblPayrollMaster[[#This Row],[Net Pay]]</f>
        <v>0</v>
      </c>
      <c r="X75" s="25"/>
    </row>
    <row r="76" spans="1:24" x14ac:dyDescent="0.25">
      <c r="A76" s="24"/>
      <c r="B76" s="24" t="str">
        <f>_xlfn.XLOOKUP(tblPayrollMaster[[#This Row],[Employee ID]],tblEmployee[Employee ID],tblEmployee[Employee Name],"")</f>
        <v/>
      </c>
      <c r="C76" s="24" t="str">
        <f>_xlfn.XLOOKUP(tblPayrollMaster[[#This Row],[Employee ID]],tblEmployee[Employee ID],tblEmployee[Employee Position],"")</f>
        <v/>
      </c>
      <c r="D76" s="24" t="str">
        <f>_xlfn.XLOOKUP(tblPayrollMaster[[#This Row],[Employee ID]], tblEmployee[Employee ID], tblEmployee[Pay Status], "Pay")</f>
        <v>Pay</v>
      </c>
      <c r="E76" s="24" t="str">
        <f>_xlfn.XLOOKUP(tblPayrollMaster[[#This Row],[Employee ID]], tblEmployee[Employee ID], tblEmployee[Payable Flag], "Y")</f>
        <v>Y</v>
      </c>
      <c r="F76" s="45">
        <f>IF(tblPayrollMaster[[#This Row],[Payable Flag]]="N",0,_xlfn.XLOOKUP(tblPayrollMaster[[#This Row],[Employee ID]],tblEmployee[Employee ID],tblEmployee[Pay Factor],1))</f>
        <v>1</v>
      </c>
      <c r="G76" s="26" t="str" cm="1">
        <f t="array" ref="G76">IF(tblPayrollMaster[[#This Row],[Employee ID]]="","",_xlfn.XLOOKUP(selPayPeriodID,tblPayCalendar[PayPeriodID],tblPayCalendar[PeriodStart],""))</f>
        <v/>
      </c>
      <c r="H76" s="26" t="str" cm="1">
        <f t="array" ref="H76">IF(tblPayrollMaster[[#This Row],[Employee ID]]="","",_xlfn.XLOOKUP(selPayPeriodID,tblPayCalendar[PayPeriodID],tblPayCalendar[PeriodEnd],""))</f>
        <v/>
      </c>
      <c r="I76" s="24" t="e" cm="1" vm="1">
        <f t="array" aca="1" ref="I76" ca="1">Table18[Employer Name]</f>
        <v>#VALUE!</v>
      </c>
      <c r="J76" s="3" cm="1">
        <f t="array" ref="J7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6" s="25" t="str">
        <f>_xlfn.XLOOKUP(tblPayrollMaster[[#This Row],[Employee Position]],tblPositionandPayRate[Employee Position],tblPositionandPayRate[Overtime], " ")</f>
        <v xml:space="preserve"> </v>
      </c>
      <c r="L76" s="25">
        <f>_xlfn.XLOOKUP(tblPayrollMaster[[#This Row],[Employee Position]],tblPositionandPayRate[Employee Position],tblPositionandPayRate[Allowance 1],0)*tblPayrollMaster[[#This Row],[Pay Factor]]</f>
        <v>0</v>
      </c>
      <c r="M76" s="25">
        <f>_xlfn.XLOOKUP(tblPayrollMaster[[#This Row],[Employee Position]],tblPositionandPayRate[Employee Position],tblPositionandPayRate[Allowance 2],0)*tblPayrollMaster[[#This Row],[Pay Factor]]</f>
        <v>0</v>
      </c>
      <c r="N76" s="25">
        <f>_xlfn.XLOOKUP(tblPayrollMaster[[#This Row],[Employee Position]],tblPositionandPayRate[Employee Position],tblPositionandPayRate[Allowance 3],0)*tblPayrollMaster[[#This Row],[Pay Factor]]</f>
        <v>0</v>
      </c>
      <c r="O76" s="25">
        <f>_xlfn.XLOOKUP(tblPayrollMaster[[#This Row],[Employee Position]],tblPositionandPayRate[Employee Position],tblPositionandPayRate[Allowance 4],0)*tblPayrollMaster[[#This Row],[Pay Factor]]</f>
        <v>0</v>
      </c>
      <c r="P76" s="25">
        <f>_xlfn.XLOOKUP(tblPayrollMaster[[#This Row],[Employee Position]],tblPositionandPayRate[Employee Position],tblPositionandPayRate[Allowance 5],0)*tblPayrollMaster[[#This Row],[Pay Factor]]</f>
        <v>0</v>
      </c>
      <c r="Q76" s="3">
        <f>SUM(tblPayrollMaster[[#This Row],[Basic Pay]:[Allowance 5]])</f>
        <v>0</v>
      </c>
      <c r="R7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6" s="51" cm="1">
        <f t="array" ref="S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6" s="3" cm="1">
        <f t="array" ref="T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6" s="25">
        <f>_xlfn.LET(
_xlpm.tos, _xlfn.XLOOKUP(tblPayrollMaster[[#This Row],[Employee ID]], tblEmployee[Employee ID], tblEmployee[Type of Service], ""),
IF(_xlpm.tos="Contract of Service", 8.25, 0)
)</f>
        <v>0</v>
      </c>
      <c r="V76" s="25">
        <f>tblPayrollMaster[[#This Row],[Basic Earnings]]-tblPayrollMaster[[#This Row],[Tax]]-tblPayrollMaster[[#This Row],[NIS - Employee]]-tblPayrollMaster[[#This Row],[Health Surcharge]]</f>
        <v>0</v>
      </c>
      <c r="W76" s="25">
        <f>tblPayrollMaster[[#This Row],[Net Pay]]</f>
        <v>0</v>
      </c>
      <c r="X76" s="25"/>
    </row>
    <row r="77" spans="1:24" x14ac:dyDescent="0.25">
      <c r="A77" s="24"/>
      <c r="B77" s="24" t="str">
        <f>_xlfn.XLOOKUP(tblPayrollMaster[[#This Row],[Employee ID]],tblEmployee[Employee ID],tblEmployee[Employee Name],"")</f>
        <v/>
      </c>
      <c r="C77" s="24" t="str">
        <f>_xlfn.XLOOKUP(tblPayrollMaster[[#This Row],[Employee ID]],tblEmployee[Employee ID],tblEmployee[Employee Position],"")</f>
        <v/>
      </c>
      <c r="D77" s="24" t="str">
        <f>_xlfn.XLOOKUP(tblPayrollMaster[[#This Row],[Employee ID]], tblEmployee[Employee ID], tblEmployee[Pay Status], "Pay")</f>
        <v>Pay</v>
      </c>
      <c r="E77" s="24" t="str">
        <f>_xlfn.XLOOKUP(tblPayrollMaster[[#This Row],[Employee ID]], tblEmployee[Employee ID], tblEmployee[Payable Flag], "Y")</f>
        <v>Y</v>
      </c>
      <c r="F77" s="45">
        <f>IF(tblPayrollMaster[[#This Row],[Payable Flag]]="N",0,_xlfn.XLOOKUP(tblPayrollMaster[[#This Row],[Employee ID]],tblEmployee[Employee ID],tblEmployee[Pay Factor],1))</f>
        <v>1</v>
      </c>
      <c r="G77" s="26" t="str" cm="1">
        <f t="array" ref="G77">IF(tblPayrollMaster[[#This Row],[Employee ID]]="","",_xlfn.XLOOKUP(selPayPeriodID,tblPayCalendar[PayPeriodID],tblPayCalendar[PeriodStart],""))</f>
        <v/>
      </c>
      <c r="H77" s="26" t="str" cm="1">
        <f t="array" ref="H77">IF(tblPayrollMaster[[#This Row],[Employee ID]]="","",_xlfn.XLOOKUP(selPayPeriodID,tblPayCalendar[PayPeriodID],tblPayCalendar[PeriodEnd],""))</f>
        <v/>
      </c>
      <c r="I77" s="24" t="e" cm="1" vm="1">
        <f t="array" aca="1" ref="I77" ca="1">Table18[Employer Name]</f>
        <v>#VALUE!</v>
      </c>
      <c r="J77" s="3" cm="1">
        <f t="array" ref="J7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7" s="25" t="str">
        <f>_xlfn.XLOOKUP(tblPayrollMaster[[#This Row],[Employee Position]],tblPositionandPayRate[Employee Position],tblPositionandPayRate[Overtime], " ")</f>
        <v xml:space="preserve"> </v>
      </c>
      <c r="L77" s="25">
        <f>_xlfn.XLOOKUP(tblPayrollMaster[[#This Row],[Employee Position]],tblPositionandPayRate[Employee Position],tblPositionandPayRate[Allowance 1],0)*tblPayrollMaster[[#This Row],[Pay Factor]]</f>
        <v>0</v>
      </c>
      <c r="M77" s="25">
        <f>_xlfn.XLOOKUP(tblPayrollMaster[[#This Row],[Employee Position]],tblPositionandPayRate[Employee Position],tblPositionandPayRate[Allowance 2],0)*tblPayrollMaster[[#This Row],[Pay Factor]]</f>
        <v>0</v>
      </c>
      <c r="N77" s="25">
        <f>_xlfn.XLOOKUP(tblPayrollMaster[[#This Row],[Employee Position]],tblPositionandPayRate[Employee Position],tblPositionandPayRate[Allowance 3],0)*tblPayrollMaster[[#This Row],[Pay Factor]]</f>
        <v>0</v>
      </c>
      <c r="O77" s="25">
        <f>_xlfn.XLOOKUP(tblPayrollMaster[[#This Row],[Employee Position]],tblPositionandPayRate[Employee Position],tblPositionandPayRate[Allowance 4],0)*tblPayrollMaster[[#This Row],[Pay Factor]]</f>
        <v>0</v>
      </c>
      <c r="P77" s="25">
        <f>_xlfn.XLOOKUP(tblPayrollMaster[[#This Row],[Employee Position]],tblPositionandPayRate[Employee Position],tblPositionandPayRate[Allowance 5],0)*tblPayrollMaster[[#This Row],[Pay Factor]]</f>
        <v>0</v>
      </c>
      <c r="Q77" s="3">
        <f>SUM(tblPayrollMaster[[#This Row],[Basic Pay]:[Allowance 5]])</f>
        <v>0</v>
      </c>
      <c r="R7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7" s="51" cm="1">
        <f t="array" ref="S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7" s="3" cm="1">
        <f t="array" ref="T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7" s="25">
        <f>_xlfn.LET(
_xlpm.tos, _xlfn.XLOOKUP(tblPayrollMaster[[#This Row],[Employee ID]], tblEmployee[Employee ID], tblEmployee[Type of Service], ""),
IF(_xlpm.tos="Contract of Service", 8.25, 0)
)</f>
        <v>0</v>
      </c>
      <c r="V77" s="25">
        <f>tblPayrollMaster[[#This Row],[Basic Earnings]]-tblPayrollMaster[[#This Row],[Tax]]-tblPayrollMaster[[#This Row],[NIS - Employee]]-tblPayrollMaster[[#This Row],[Health Surcharge]]</f>
        <v>0</v>
      </c>
      <c r="W77" s="25">
        <f>tblPayrollMaster[[#This Row],[Net Pay]]</f>
        <v>0</v>
      </c>
      <c r="X77" s="25"/>
    </row>
    <row r="78" spans="1:24" x14ac:dyDescent="0.25">
      <c r="A78" s="24"/>
      <c r="B78" s="24" t="str">
        <f>_xlfn.XLOOKUP(tblPayrollMaster[[#This Row],[Employee ID]],tblEmployee[Employee ID],tblEmployee[Employee Name],"")</f>
        <v/>
      </c>
      <c r="C78" s="24" t="str">
        <f>_xlfn.XLOOKUP(tblPayrollMaster[[#This Row],[Employee ID]],tblEmployee[Employee ID],tblEmployee[Employee Position],"")</f>
        <v/>
      </c>
      <c r="D78" s="24" t="str">
        <f>_xlfn.XLOOKUP(tblPayrollMaster[[#This Row],[Employee ID]], tblEmployee[Employee ID], tblEmployee[Pay Status], "Pay")</f>
        <v>Pay</v>
      </c>
      <c r="E78" s="24" t="str">
        <f>_xlfn.XLOOKUP(tblPayrollMaster[[#This Row],[Employee ID]], tblEmployee[Employee ID], tblEmployee[Payable Flag], "Y")</f>
        <v>Y</v>
      </c>
      <c r="F78" s="45">
        <f>IF(tblPayrollMaster[[#This Row],[Payable Flag]]="N",0,_xlfn.XLOOKUP(tblPayrollMaster[[#This Row],[Employee ID]],tblEmployee[Employee ID],tblEmployee[Pay Factor],1))</f>
        <v>1</v>
      </c>
      <c r="G78" s="26" t="str" cm="1">
        <f t="array" ref="G78">IF(tblPayrollMaster[[#This Row],[Employee ID]]="","",_xlfn.XLOOKUP(selPayPeriodID,tblPayCalendar[PayPeriodID],tblPayCalendar[PeriodStart],""))</f>
        <v/>
      </c>
      <c r="H78" s="26" t="str" cm="1">
        <f t="array" ref="H78">IF(tblPayrollMaster[[#This Row],[Employee ID]]="","",_xlfn.XLOOKUP(selPayPeriodID,tblPayCalendar[PayPeriodID],tblPayCalendar[PeriodEnd],""))</f>
        <v/>
      </c>
      <c r="I78" s="24" t="e" cm="1" vm="1">
        <f t="array" aca="1" ref="I78" ca="1">Table18[Employer Name]</f>
        <v>#VALUE!</v>
      </c>
      <c r="J78" s="3" cm="1">
        <f t="array" ref="J7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8" s="25" t="str">
        <f>_xlfn.XLOOKUP(tblPayrollMaster[[#This Row],[Employee Position]],tblPositionandPayRate[Employee Position],tblPositionandPayRate[Overtime], " ")</f>
        <v xml:space="preserve"> </v>
      </c>
      <c r="L78" s="25">
        <f>_xlfn.XLOOKUP(tblPayrollMaster[[#This Row],[Employee Position]],tblPositionandPayRate[Employee Position],tblPositionandPayRate[Allowance 1],0)*tblPayrollMaster[[#This Row],[Pay Factor]]</f>
        <v>0</v>
      </c>
      <c r="M78" s="25">
        <f>_xlfn.XLOOKUP(tblPayrollMaster[[#This Row],[Employee Position]],tblPositionandPayRate[Employee Position],tblPositionandPayRate[Allowance 2],0)*tblPayrollMaster[[#This Row],[Pay Factor]]</f>
        <v>0</v>
      </c>
      <c r="N78" s="25">
        <f>_xlfn.XLOOKUP(tblPayrollMaster[[#This Row],[Employee Position]],tblPositionandPayRate[Employee Position],tblPositionandPayRate[Allowance 3],0)*tblPayrollMaster[[#This Row],[Pay Factor]]</f>
        <v>0</v>
      </c>
      <c r="O78" s="25">
        <f>_xlfn.XLOOKUP(tblPayrollMaster[[#This Row],[Employee Position]],tblPositionandPayRate[Employee Position],tblPositionandPayRate[Allowance 4],0)*tblPayrollMaster[[#This Row],[Pay Factor]]</f>
        <v>0</v>
      </c>
      <c r="P78" s="25">
        <f>_xlfn.XLOOKUP(tblPayrollMaster[[#This Row],[Employee Position]],tblPositionandPayRate[Employee Position],tblPositionandPayRate[Allowance 5],0)*tblPayrollMaster[[#This Row],[Pay Factor]]</f>
        <v>0</v>
      </c>
      <c r="Q78" s="3">
        <f>SUM(tblPayrollMaster[[#This Row],[Basic Pay]:[Allowance 5]])</f>
        <v>0</v>
      </c>
      <c r="R7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8" s="51" cm="1">
        <f t="array" ref="S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8" s="3" cm="1">
        <f t="array" ref="T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8" s="25">
        <f>_xlfn.LET(
_xlpm.tos, _xlfn.XLOOKUP(tblPayrollMaster[[#This Row],[Employee ID]], tblEmployee[Employee ID], tblEmployee[Type of Service], ""),
IF(_xlpm.tos="Contract of Service", 8.25, 0)
)</f>
        <v>0</v>
      </c>
      <c r="V78" s="25">
        <f>tblPayrollMaster[[#This Row],[Basic Earnings]]-tblPayrollMaster[[#This Row],[Tax]]-tblPayrollMaster[[#This Row],[NIS - Employee]]-tblPayrollMaster[[#This Row],[Health Surcharge]]</f>
        <v>0</v>
      </c>
      <c r="W78" s="25">
        <f>tblPayrollMaster[[#This Row],[Net Pay]]</f>
        <v>0</v>
      </c>
      <c r="X78" s="25"/>
    </row>
    <row r="79" spans="1:24" x14ac:dyDescent="0.25">
      <c r="A79" s="24"/>
      <c r="B79" s="24" t="str">
        <f>_xlfn.XLOOKUP(tblPayrollMaster[[#This Row],[Employee ID]],tblEmployee[Employee ID],tblEmployee[Employee Name],"")</f>
        <v/>
      </c>
      <c r="C79" s="24" t="str">
        <f>_xlfn.XLOOKUP(tblPayrollMaster[[#This Row],[Employee ID]],tblEmployee[Employee ID],tblEmployee[Employee Position],"")</f>
        <v/>
      </c>
      <c r="D79" s="24" t="str">
        <f>_xlfn.XLOOKUP(tblPayrollMaster[[#This Row],[Employee ID]], tblEmployee[Employee ID], tblEmployee[Pay Status], "Pay")</f>
        <v>Pay</v>
      </c>
      <c r="E79" s="24" t="str">
        <f>_xlfn.XLOOKUP(tblPayrollMaster[[#This Row],[Employee ID]], tblEmployee[Employee ID], tblEmployee[Payable Flag], "Y")</f>
        <v>Y</v>
      </c>
      <c r="F79" s="45">
        <f>IF(tblPayrollMaster[[#This Row],[Payable Flag]]="N",0,_xlfn.XLOOKUP(tblPayrollMaster[[#This Row],[Employee ID]],tblEmployee[Employee ID],tblEmployee[Pay Factor],1))</f>
        <v>1</v>
      </c>
      <c r="G79" s="26" t="str" cm="1">
        <f t="array" ref="G79">IF(tblPayrollMaster[[#This Row],[Employee ID]]="","",_xlfn.XLOOKUP(selPayPeriodID,tblPayCalendar[PayPeriodID],tblPayCalendar[PeriodStart],""))</f>
        <v/>
      </c>
      <c r="H79" s="26" t="str" cm="1">
        <f t="array" ref="H79">IF(tblPayrollMaster[[#This Row],[Employee ID]]="","",_xlfn.XLOOKUP(selPayPeriodID,tblPayCalendar[PayPeriodID],tblPayCalendar[PeriodEnd],""))</f>
        <v/>
      </c>
      <c r="I79" s="24" t="e" cm="1" vm="1">
        <f t="array" aca="1" ref="I79" ca="1">Table18[Employer Name]</f>
        <v>#VALUE!</v>
      </c>
      <c r="J79" s="3" cm="1">
        <f t="array" ref="J7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9" s="25" t="str">
        <f>_xlfn.XLOOKUP(tblPayrollMaster[[#This Row],[Employee Position]],tblPositionandPayRate[Employee Position],tblPositionandPayRate[Overtime], " ")</f>
        <v xml:space="preserve"> </v>
      </c>
      <c r="L79" s="25">
        <f>_xlfn.XLOOKUP(tblPayrollMaster[[#This Row],[Employee Position]],tblPositionandPayRate[Employee Position],tblPositionandPayRate[Allowance 1],0)*tblPayrollMaster[[#This Row],[Pay Factor]]</f>
        <v>0</v>
      </c>
      <c r="M79" s="25">
        <f>_xlfn.XLOOKUP(tblPayrollMaster[[#This Row],[Employee Position]],tblPositionandPayRate[Employee Position],tblPositionandPayRate[Allowance 2],0)*tblPayrollMaster[[#This Row],[Pay Factor]]</f>
        <v>0</v>
      </c>
      <c r="N79" s="25">
        <f>_xlfn.XLOOKUP(tblPayrollMaster[[#This Row],[Employee Position]],tblPositionandPayRate[Employee Position],tblPositionandPayRate[Allowance 3],0)*tblPayrollMaster[[#This Row],[Pay Factor]]</f>
        <v>0</v>
      </c>
      <c r="O79" s="25">
        <f>_xlfn.XLOOKUP(tblPayrollMaster[[#This Row],[Employee Position]],tblPositionandPayRate[Employee Position],tblPositionandPayRate[Allowance 4],0)*tblPayrollMaster[[#This Row],[Pay Factor]]</f>
        <v>0</v>
      </c>
      <c r="P79" s="25">
        <f>_xlfn.XLOOKUP(tblPayrollMaster[[#This Row],[Employee Position]],tblPositionandPayRate[Employee Position],tblPositionandPayRate[Allowance 5],0)*tblPayrollMaster[[#This Row],[Pay Factor]]</f>
        <v>0</v>
      </c>
      <c r="Q79" s="3">
        <f>SUM(tblPayrollMaster[[#This Row],[Basic Pay]:[Allowance 5]])</f>
        <v>0</v>
      </c>
      <c r="R7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9" s="51" cm="1">
        <f t="array" ref="S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9" s="3" cm="1">
        <f t="array" ref="T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9" s="25">
        <f>_xlfn.LET(
_xlpm.tos, _xlfn.XLOOKUP(tblPayrollMaster[[#This Row],[Employee ID]], tblEmployee[Employee ID], tblEmployee[Type of Service], ""),
IF(_xlpm.tos="Contract of Service", 8.25, 0)
)</f>
        <v>0</v>
      </c>
      <c r="V79" s="25">
        <f>tblPayrollMaster[[#This Row],[Basic Earnings]]-tblPayrollMaster[[#This Row],[Tax]]-tblPayrollMaster[[#This Row],[NIS - Employee]]-tblPayrollMaster[[#This Row],[Health Surcharge]]</f>
        <v>0</v>
      </c>
      <c r="W79" s="25">
        <f>tblPayrollMaster[[#This Row],[Net Pay]]</f>
        <v>0</v>
      </c>
      <c r="X79" s="25"/>
    </row>
    <row r="80" spans="1:24" x14ac:dyDescent="0.25">
      <c r="A80" s="24"/>
      <c r="B80" s="24" t="str">
        <f>_xlfn.XLOOKUP(tblPayrollMaster[[#This Row],[Employee ID]],tblEmployee[Employee ID],tblEmployee[Employee Name],"")</f>
        <v/>
      </c>
      <c r="C80" s="24" t="str">
        <f>_xlfn.XLOOKUP(tblPayrollMaster[[#This Row],[Employee ID]],tblEmployee[Employee ID],tblEmployee[Employee Position],"")</f>
        <v/>
      </c>
      <c r="D80" s="24" t="str">
        <f>_xlfn.XLOOKUP(tblPayrollMaster[[#This Row],[Employee ID]], tblEmployee[Employee ID], tblEmployee[Pay Status], "Pay")</f>
        <v>Pay</v>
      </c>
      <c r="E80" s="24" t="str">
        <f>_xlfn.XLOOKUP(tblPayrollMaster[[#This Row],[Employee ID]], tblEmployee[Employee ID], tblEmployee[Payable Flag], "Y")</f>
        <v>Y</v>
      </c>
      <c r="F80" s="45">
        <f>IF(tblPayrollMaster[[#This Row],[Payable Flag]]="N",0,_xlfn.XLOOKUP(tblPayrollMaster[[#This Row],[Employee ID]],tblEmployee[Employee ID],tblEmployee[Pay Factor],1))</f>
        <v>1</v>
      </c>
      <c r="G80" s="26" t="str" cm="1">
        <f t="array" ref="G80">IF(tblPayrollMaster[[#This Row],[Employee ID]]="","",_xlfn.XLOOKUP(selPayPeriodID,tblPayCalendar[PayPeriodID],tblPayCalendar[PeriodStart],""))</f>
        <v/>
      </c>
      <c r="H80" s="26" t="str" cm="1">
        <f t="array" ref="H80">IF(tblPayrollMaster[[#This Row],[Employee ID]]="","",_xlfn.XLOOKUP(selPayPeriodID,tblPayCalendar[PayPeriodID],tblPayCalendar[PeriodEnd],""))</f>
        <v/>
      </c>
      <c r="I80" s="24" t="e" cm="1" vm="1">
        <f t="array" aca="1" ref="I80" ca="1">Table18[Employer Name]</f>
        <v>#VALUE!</v>
      </c>
      <c r="J80" s="3" cm="1">
        <f t="array" ref="J8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0" s="25" t="str">
        <f>_xlfn.XLOOKUP(tblPayrollMaster[[#This Row],[Employee Position]],tblPositionandPayRate[Employee Position],tblPositionandPayRate[Overtime], " ")</f>
        <v xml:space="preserve"> </v>
      </c>
      <c r="L80" s="25">
        <f>_xlfn.XLOOKUP(tblPayrollMaster[[#This Row],[Employee Position]],tblPositionandPayRate[Employee Position],tblPositionandPayRate[Allowance 1],0)*tblPayrollMaster[[#This Row],[Pay Factor]]</f>
        <v>0</v>
      </c>
      <c r="M80" s="25">
        <f>_xlfn.XLOOKUP(tblPayrollMaster[[#This Row],[Employee Position]],tblPositionandPayRate[Employee Position],tblPositionandPayRate[Allowance 2],0)*tblPayrollMaster[[#This Row],[Pay Factor]]</f>
        <v>0</v>
      </c>
      <c r="N80" s="25">
        <f>_xlfn.XLOOKUP(tblPayrollMaster[[#This Row],[Employee Position]],tblPositionandPayRate[Employee Position],tblPositionandPayRate[Allowance 3],0)*tblPayrollMaster[[#This Row],[Pay Factor]]</f>
        <v>0</v>
      </c>
      <c r="O80" s="25">
        <f>_xlfn.XLOOKUP(tblPayrollMaster[[#This Row],[Employee Position]],tblPositionandPayRate[Employee Position],tblPositionandPayRate[Allowance 4],0)*tblPayrollMaster[[#This Row],[Pay Factor]]</f>
        <v>0</v>
      </c>
      <c r="P80" s="25">
        <f>_xlfn.XLOOKUP(tblPayrollMaster[[#This Row],[Employee Position]],tblPositionandPayRate[Employee Position],tblPositionandPayRate[Allowance 5],0)*tblPayrollMaster[[#This Row],[Pay Factor]]</f>
        <v>0</v>
      </c>
      <c r="Q80" s="3">
        <f>SUM(tblPayrollMaster[[#This Row],[Basic Pay]:[Allowance 5]])</f>
        <v>0</v>
      </c>
      <c r="R8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0" s="51" cm="1">
        <f t="array" ref="S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0" s="3" cm="1">
        <f t="array" ref="T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0" s="25">
        <f>_xlfn.LET(
_xlpm.tos, _xlfn.XLOOKUP(tblPayrollMaster[[#This Row],[Employee ID]], tblEmployee[Employee ID], tblEmployee[Type of Service], ""),
IF(_xlpm.tos="Contract of Service", 8.25, 0)
)</f>
        <v>0</v>
      </c>
      <c r="V80" s="25">
        <f>tblPayrollMaster[[#This Row],[Basic Earnings]]-tblPayrollMaster[[#This Row],[Tax]]-tblPayrollMaster[[#This Row],[NIS - Employee]]-tblPayrollMaster[[#This Row],[Health Surcharge]]</f>
        <v>0</v>
      </c>
      <c r="W80" s="25">
        <f>tblPayrollMaster[[#This Row],[Net Pay]]</f>
        <v>0</v>
      </c>
      <c r="X80" s="25"/>
    </row>
    <row r="81" spans="1:24" x14ac:dyDescent="0.25">
      <c r="A81" s="24"/>
      <c r="B81" s="24" t="str">
        <f>_xlfn.XLOOKUP(tblPayrollMaster[[#This Row],[Employee ID]],tblEmployee[Employee ID],tblEmployee[Employee Name],"")</f>
        <v/>
      </c>
      <c r="C81" s="24" t="str">
        <f>_xlfn.XLOOKUP(tblPayrollMaster[[#This Row],[Employee ID]],tblEmployee[Employee ID],tblEmployee[Employee Position],"")</f>
        <v/>
      </c>
      <c r="D81" s="24" t="str">
        <f>_xlfn.XLOOKUP(tblPayrollMaster[[#This Row],[Employee ID]], tblEmployee[Employee ID], tblEmployee[Pay Status], "Pay")</f>
        <v>Pay</v>
      </c>
      <c r="E81" s="24" t="str">
        <f>_xlfn.XLOOKUP(tblPayrollMaster[[#This Row],[Employee ID]], tblEmployee[Employee ID], tblEmployee[Payable Flag], "Y")</f>
        <v>Y</v>
      </c>
      <c r="F81" s="45">
        <f>IF(tblPayrollMaster[[#This Row],[Payable Flag]]="N",0,_xlfn.XLOOKUP(tblPayrollMaster[[#This Row],[Employee ID]],tblEmployee[Employee ID],tblEmployee[Pay Factor],1))</f>
        <v>1</v>
      </c>
      <c r="G81" s="26" t="str" cm="1">
        <f t="array" ref="G81">IF(tblPayrollMaster[[#This Row],[Employee ID]]="","",_xlfn.XLOOKUP(selPayPeriodID,tblPayCalendar[PayPeriodID],tblPayCalendar[PeriodStart],""))</f>
        <v/>
      </c>
      <c r="H81" s="26" t="str" cm="1">
        <f t="array" ref="H81">IF(tblPayrollMaster[[#This Row],[Employee ID]]="","",_xlfn.XLOOKUP(selPayPeriodID,tblPayCalendar[PayPeriodID],tblPayCalendar[PeriodEnd],""))</f>
        <v/>
      </c>
      <c r="I81" s="24" t="e" cm="1" vm="1">
        <f t="array" aca="1" ref="I81" ca="1">Table18[Employer Name]</f>
        <v>#VALUE!</v>
      </c>
      <c r="J81" s="3" cm="1">
        <f t="array" ref="J8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1" s="25" t="str">
        <f>_xlfn.XLOOKUP(tblPayrollMaster[[#This Row],[Employee Position]],tblPositionandPayRate[Employee Position],tblPositionandPayRate[Overtime], " ")</f>
        <v xml:space="preserve"> </v>
      </c>
      <c r="L81" s="25">
        <f>_xlfn.XLOOKUP(tblPayrollMaster[[#This Row],[Employee Position]],tblPositionandPayRate[Employee Position],tblPositionandPayRate[Allowance 1],0)*tblPayrollMaster[[#This Row],[Pay Factor]]</f>
        <v>0</v>
      </c>
      <c r="M81" s="25">
        <f>_xlfn.XLOOKUP(tblPayrollMaster[[#This Row],[Employee Position]],tblPositionandPayRate[Employee Position],tblPositionandPayRate[Allowance 2],0)*tblPayrollMaster[[#This Row],[Pay Factor]]</f>
        <v>0</v>
      </c>
      <c r="N81" s="25">
        <f>_xlfn.XLOOKUP(tblPayrollMaster[[#This Row],[Employee Position]],tblPositionandPayRate[Employee Position],tblPositionandPayRate[Allowance 3],0)*tblPayrollMaster[[#This Row],[Pay Factor]]</f>
        <v>0</v>
      </c>
      <c r="O81" s="25">
        <f>_xlfn.XLOOKUP(tblPayrollMaster[[#This Row],[Employee Position]],tblPositionandPayRate[Employee Position],tblPositionandPayRate[Allowance 4],0)*tblPayrollMaster[[#This Row],[Pay Factor]]</f>
        <v>0</v>
      </c>
      <c r="P81" s="25">
        <f>_xlfn.XLOOKUP(tblPayrollMaster[[#This Row],[Employee Position]],tblPositionandPayRate[Employee Position],tblPositionandPayRate[Allowance 5],0)*tblPayrollMaster[[#This Row],[Pay Factor]]</f>
        <v>0</v>
      </c>
      <c r="Q81" s="3">
        <f>SUM(tblPayrollMaster[[#This Row],[Basic Pay]:[Allowance 5]])</f>
        <v>0</v>
      </c>
      <c r="R8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1" s="51" cm="1">
        <f t="array" ref="S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1" s="3" cm="1">
        <f t="array" ref="T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1" s="25">
        <f>_xlfn.LET(
_xlpm.tos, _xlfn.XLOOKUP(tblPayrollMaster[[#This Row],[Employee ID]], tblEmployee[Employee ID], tblEmployee[Type of Service], ""),
IF(_xlpm.tos="Contract of Service", 8.25, 0)
)</f>
        <v>0</v>
      </c>
      <c r="V81" s="25">
        <f>tblPayrollMaster[[#This Row],[Basic Earnings]]-tblPayrollMaster[[#This Row],[Tax]]-tblPayrollMaster[[#This Row],[NIS - Employee]]-tblPayrollMaster[[#This Row],[Health Surcharge]]</f>
        <v>0</v>
      </c>
      <c r="W81" s="25">
        <f>tblPayrollMaster[[#This Row],[Net Pay]]</f>
        <v>0</v>
      </c>
      <c r="X81" s="25"/>
    </row>
    <row r="82" spans="1:24" x14ac:dyDescent="0.25">
      <c r="A82" s="24"/>
      <c r="B82" s="24" t="str">
        <f>_xlfn.XLOOKUP(tblPayrollMaster[[#This Row],[Employee ID]],tblEmployee[Employee ID],tblEmployee[Employee Name],"")</f>
        <v/>
      </c>
      <c r="C82" s="24" t="str">
        <f>_xlfn.XLOOKUP(tblPayrollMaster[[#This Row],[Employee ID]],tblEmployee[Employee ID],tblEmployee[Employee Position],"")</f>
        <v/>
      </c>
      <c r="D82" s="24" t="str">
        <f>_xlfn.XLOOKUP(tblPayrollMaster[[#This Row],[Employee ID]], tblEmployee[Employee ID], tblEmployee[Pay Status], "Pay")</f>
        <v>Pay</v>
      </c>
      <c r="E82" s="24" t="str">
        <f>_xlfn.XLOOKUP(tblPayrollMaster[[#This Row],[Employee ID]], tblEmployee[Employee ID], tblEmployee[Payable Flag], "Y")</f>
        <v>Y</v>
      </c>
      <c r="F82" s="45">
        <f>IF(tblPayrollMaster[[#This Row],[Payable Flag]]="N",0,_xlfn.XLOOKUP(tblPayrollMaster[[#This Row],[Employee ID]],tblEmployee[Employee ID],tblEmployee[Pay Factor],1))</f>
        <v>1</v>
      </c>
      <c r="G82" s="26" t="str" cm="1">
        <f t="array" ref="G82">IF(tblPayrollMaster[[#This Row],[Employee ID]]="","",_xlfn.XLOOKUP(selPayPeriodID,tblPayCalendar[PayPeriodID],tblPayCalendar[PeriodStart],""))</f>
        <v/>
      </c>
      <c r="H82" s="26" t="str" cm="1">
        <f t="array" ref="H82">IF(tblPayrollMaster[[#This Row],[Employee ID]]="","",_xlfn.XLOOKUP(selPayPeriodID,tblPayCalendar[PayPeriodID],tblPayCalendar[PeriodEnd],""))</f>
        <v/>
      </c>
      <c r="I82" s="24" t="e" cm="1" vm="1">
        <f t="array" aca="1" ref="I82" ca="1">Table18[Employer Name]</f>
        <v>#VALUE!</v>
      </c>
      <c r="J82" s="3" cm="1">
        <f t="array" ref="J8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2" s="25" t="str">
        <f>_xlfn.XLOOKUP(tblPayrollMaster[[#This Row],[Employee Position]],tblPositionandPayRate[Employee Position],tblPositionandPayRate[Overtime], " ")</f>
        <v xml:space="preserve"> </v>
      </c>
      <c r="L82" s="25">
        <f>_xlfn.XLOOKUP(tblPayrollMaster[[#This Row],[Employee Position]],tblPositionandPayRate[Employee Position],tblPositionandPayRate[Allowance 1],0)*tblPayrollMaster[[#This Row],[Pay Factor]]</f>
        <v>0</v>
      </c>
      <c r="M82" s="25">
        <f>_xlfn.XLOOKUP(tblPayrollMaster[[#This Row],[Employee Position]],tblPositionandPayRate[Employee Position],tblPositionandPayRate[Allowance 2],0)*tblPayrollMaster[[#This Row],[Pay Factor]]</f>
        <v>0</v>
      </c>
      <c r="N82" s="25">
        <f>_xlfn.XLOOKUP(tblPayrollMaster[[#This Row],[Employee Position]],tblPositionandPayRate[Employee Position],tblPositionandPayRate[Allowance 3],0)*tblPayrollMaster[[#This Row],[Pay Factor]]</f>
        <v>0</v>
      </c>
      <c r="O82" s="25">
        <f>_xlfn.XLOOKUP(tblPayrollMaster[[#This Row],[Employee Position]],tblPositionandPayRate[Employee Position],tblPositionandPayRate[Allowance 4],0)*tblPayrollMaster[[#This Row],[Pay Factor]]</f>
        <v>0</v>
      </c>
      <c r="P82" s="25">
        <f>_xlfn.XLOOKUP(tblPayrollMaster[[#This Row],[Employee Position]],tblPositionandPayRate[Employee Position],tblPositionandPayRate[Allowance 5],0)*tblPayrollMaster[[#This Row],[Pay Factor]]</f>
        <v>0</v>
      </c>
      <c r="Q82" s="3">
        <f>SUM(tblPayrollMaster[[#This Row],[Basic Pay]:[Allowance 5]])</f>
        <v>0</v>
      </c>
      <c r="R8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2" s="51" cm="1">
        <f t="array" ref="S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2" s="3" cm="1">
        <f t="array" ref="T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2" s="25">
        <f>_xlfn.LET(
_xlpm.tos, _xlfn.XLOOKUP(tblPayrollMaster[[#This Row],[Employee ID]], tblEmployee[Employee ID], tblEmployee[Type of Service], ""),
IF(_xlpm.tos="Contract of Service", 8.25, 0)
)</f>
        <v>0</v>
      </c>
      <c r="V82" s="25">
        <f>tblPayrollMaster[[#This Row],[Basic Earnings]]-tblPayrollMaster[[#This Row],[Tax]]-tblPayrollMaster[[#This Row],[NIS - Employee]]-tblPayrollMaster[[#This Row],[Health Surcharge]]</f>
        <v>0</v>
      </c>
      <c r="W82" s="25">
        <f>tblPayrollMaster[[#This Row],[Net Pay]]</f>
        <v>0</v>
      </c>
      <c r="X82" s="25"/>
    </row>
    <row r="83" spans="1:24" x14ac:dyDescent="0.25">
      <c r="A83" s="24"/>
      <c r="B83" s="24" t="str">
        <f>_xlfn.XLOOKUP(tblPayrollMaster[[#This Row],[Employee ID]],tblEmployee[Employee ID],tblEmployee[Employee Name],"")</f>
        <v/>
      </c>
      <c r="C83" s="24" t="str">
        <f>_xlfn.XLOOKUP(tblPayrollMaster[[#This Row],[Employee ID]],tblEmployee[Employee ID],tblEmployee[Employee Position],"")</f>
        <v/>
      </c>
      <c r="D83" s="24" t="str">
        <f>_xlfn.XLOOKUP(tblPayrollMaster[[#This Row],[Employee ID]], tblEmployee[Employee ID], tblEmployee[Pay Status], "Pay")</f>
        <v>Pay</v>
      </c>
      <c r="E83" s="24" t="str">
        <f>_xlfn.XLOOKUP(tblPayrollMaster[[#This Row],[Employee ID]], tblEmployee[Employee ID], tblEmployee[Payable Flag], "Y")</f>
        <v>Y</v>
      </c>
      <c r="F83" s="45">
        <f>IF(tblPayrollMaster[[#This Row],[Payable Flag]]="N",0,_xlfn.XLOOKUP(tblPayrollMaster[[#This Row],[Employee ID]],tblEmployee[Employee ID],tblEmployee[Pay Factor],1))</f>
        <v>1</v>
      </c>
      <c r="G83" s="26" t="str" cm="1">
        <f t="array" ref="G83">IF(tblPayrollMaster[[#This Row],[Employee ID]]="","",_xlfn.XLOOKUP(selPayPeriodID,tblPayCalendar[PayPeriodID],tblPayCalendar[PeriodStart],""))</f>
        <v/>
      </c>
      <c r="H83" s="26" t="str" cm="1">
        <f t="array" ref="H83">IF(tblPayrollMaster[[#This Row],[Employee ID]]="","",_xlfn.XLOOKUP(selPayPeriodID,tblPayCalendar[PayPeriodID],tblPayCalendar[PeriodEnd],""))</f>
        <v/>
      </c>
      <c r="I83" s="24" t="e" cm="1" vm="1">
        <f t="array" aca="1" ref="I83" ca="1">Table18[Employer Name]</f>
        <v>#VALUE!</v>
      </c>
      <c r="J83" s="3" cm="1">
        <f t="array" ref="J8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3" s="25" t="str">
        <f>_xlfn.XLOOKUP(tblPayrollMaster[[#This Row],[Employee Position]],tblPositionandPayRate[Employee Position],tblPositionandPayRate[Overtime], " ")</f>
        <v xml:space="preserve"> </v>
      </c>
      <c r="L83" s="25">
        <f>_xlfn.XLOOKUP(tblPayrollMaster[[#This Row],[Employee Position]],tblPositionandPayRate[Employee Position],tblPositionandPayRate[Allowance 1],0)*tblPayrollMaster[[#This Row],[Pay Factor]]</f>
        <v>0</v>
      </c>
      <c r="M83" s="25">
        <f>_xlfn.XLOOKUP(tblPayrollMaster[[#This Row],[Employee Position]],tblPositionandPayRate[Employee Position],tblPositionandPayRate[Allowance 2],0)*tblPayrollMaster[[#This Row],[Pay Factor]]</f>
        <v>0</v>
      </c>
      <c r="N83" s="25">
        <f>_xlfn.XLOOKUP(tblPayrollMaster[[#This Row],[Employee Position]],tblPositionandPayRate[Employee Position],tblPositionandPayRate[Allowance 3],0)*tblPayrollMaster[[#This Row],[Pay Factor]]</f>
        <v>0</v>
      </c>
      <c r="O83" s="25">
        <f>_xlfn.XLOOKUP(tblPayrollMaster[[#This Row],[Employee Position]],tblPositionandPayRate[Employee Position],tblPositionandPayRate[Allowance 4],0)*tblPayrollMaster[[#This Row],[Pay Factor]]</f>
        <v>0</v>
      </c>
      <c r="P83" s="25">
        <f>_xlfn.XLOOKUP(tblPayrollMaster[[#This Row],[Employee Position]],tblPositionandPayRate[Employee Position],tblPositionandPayRate[Allowance 5],0)*tblPayrollMaster[[#This Row],[Pay Factor]]</f>
        <v>0</v>
      </c>
      <c r="Q83" s="3">
        <f>SUM(tblPayrollMaster[[#This Row],[Basic Pay]:[Allowance 5]])</f>
        <v>0</v>
      </c>
      <c r="R8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3" s="51" cm="1">
        <f t="array" ref="S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3" s="3" cm="1">
        <f t="array" ref="T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3" s="25">
        <f>_xlfn.LET(
_xlpm.tos, _xlfn.XLOOKUP(tblPayrollMaster[[#This Row],[Employee ID]], tblEmployee[Employee ID], tblEmployee[Type of Service], ""),
IF(_xlpm.tos="Contract of Service", 8.25, 0)
)</f>
        <v>0</v>
      </c>
      <c r="V83" s="25">
        <f>tblPayrollMaster[[#This Row],[Basic Earnings]]-tblPayrollMaster[[#This Row],[Tax]]-tblPayrollMaster[[#This Row],[NIS - Employee]]-tblPayrollMaster[[#This Row],[Health Surcharge]]</f>
        <v>0</v>
      </c>
      <c r="W83" s="25">
        <f>tblPayrollMaster[[#This Row],[Net Pay]]</f>
        <v>0</v>
      </c>
      <c r="X83" s="25"/>
    </row>
    <row r="84" spans="1:24" x14ac:dyDescent="0.25">
      <c r="A84" s="24"/>
      <c r="B84" s="24" t="str">
        <f>_xlfn.XLOOKUP(tblPayrollMaster[[#This Row],[Employee ID]],tblEmployee[Employee ID],tblEmployee[Employee Name],"")</f>
        <v/>
      </c>
      <c r="C84" s="24" t="str">
        <f>_xlfn.XLOOKUP(tblPayrollMaster[[#This Row],[Employee ID]],tblEmployee[Employee ID],tblEmployee[Employee Position],"")</f>
        <v/>
      </c>
      <c r="D84" s="24" t="str">
        <f>_xlfn.XLOOKUP(tblPayrollMaster[[#This Row],[Employee ID]], tblEmployee[Employee ID], tblEmployee[Pay Status], "Pay")</f>
        <v>Pay</v>
      </c>
      <c r="E84" s="24" t="str">
        <f>_xlfn.XLOOKUP(tblPayrollMaster[[#This Row],[Employee ID]], tblEmployee[Employee ID], tblEmployee[Payable Flag], "Y")</f>
        <v>Y</v>
      </c>
      <c r="F84" s="45">
        <f>IF(tblPayrollMaster[[#This Row],[Payable Flag]]="N",0,_xlfn.XLOOKUP(tblPayrollMaster[[#This Row],[Employee ID]],tblEmployee[Employee ID],tblEmployee[Pay Factor],1))</f>
        <v>1</v>
      </c>
      <c r="G84" s="26" t="str" cm="1">
        <f t="array" ref="G84">IF(tblPayrollMaster[[#This Row],[Employee ID]]="","",_xlfn.XLOOKUP(selPayPeriodID,tblPayCalendar[PayPeriodID],tblPayCalendar[PeriodStart],""))</f>
        <v/>
      </c>
      <c r="H84" s="26" t="str" cm="1">
        <f t="array" ref="H84">IF(tblPayrollMaster[[#This Row],[Employee ID]]="","",_xlfn.XLOOKUP(selPayPeriodID,tblPayCalendar[PayPeriodID],tblPayCalendar[PeriodEnd],""))</f>
        <v/>
      </c>
      <c r="I84" s="24" t="e" cm="1" vm="1">
        <f t="array" aca="1" ref="I84" ca="1">Table18[Employer Name]</f>
        <v>#VALUE!</v>
      </c>
      <c r="J84" s="3" cm="1">
        <f t="array" ref="J8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4" s="25" t="str">
        <f>_xlfn.XLOOKUP(tblPayrollMaster[[#This Row],[Employee Position]],tblPositionandPayRate[Employee Position],tblPositionandPayRate[Overtime], " ")</f>
        <v xml:space="preserve"> </v>
      </c>
      <c r="L84" s="25">
        <f>_xlfn.XLOOKUP(tblPayrollMaster[[#This Row],[Employee Position]],tblPositionandPayRate[Employee Position],tblPositionandPayRate[Allowance 1],0)*tblPayrollMaster[[#This Row],[Pay Factor]]</f>
        <v>0</v>
      </c>
      <c r="M84" s="25">
        <f>_xlfn.XLOOKUP(tblPayrollMaster[[#This Row],[Employee Position]],tblPositionandPayRate[Employee Position],tblPositionandPayRate[Allowance 2],0)*tblPayrollMaster[[#This Row],[Pay Factor]]</f>
        <v>0</v>
      </c>
      <c r="N84" s="25">
        <f>_xlfn.XLOOKUP(tblPayrollMaster[[#This Row],[Employee Position]],tblPositionandPayRate[Employee Position],tblPositionandPayRate[Allowance 3],0)*tblPayrollMaster[[#This Row],[Pay Factor]]</f>
        <v>0</v>
      </c>
      <c r="O84" s="25">
        <f>_xlfn.XLOOKUP(tblPayrollMaster[[#This Row],[Employee Position]],tblPositionandPayRate[Employee Position],tblPositionandPayRate[Allowance 4],0)*tblPayrollMaster[[#This Row],[Pay Factor]]</f>
        <v>0</v>
      </c>
      <c r="P84" s="25">
        <f>_xlfn.XLOOKUP(tblPayrollMaster[[#This Row],[Employee Position]],tblPositionandPayRate[Employee Position],tblPositionandPayRate[Allowance 5],0)*tblPayrollMaster[[#This Row],[Pay Factor]]</f>
        <v>0</v>
      </c>
      <c r="Q84" s="3">
        <f>SUM(tblPayrollMaster[[#This Row],[Basic Pay]:[Allowance 5]])</f>
        <v>0</v>
      </c>
      <c r="R8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4" s="51" cm="1">
        <f t="array" ref="S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4" s="3" cm="1">
        <f t="array" ref="T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4" s="25">
        <f>_xlfn.LET(
_xlpm.tos, _xlfn.XLOOKUP(tblPayrollMaster[[#This Row],[Employee ID]], tblEmployee[Employee ID], tblEmployee[Type of Service], ""),
IF(_xlpm.tos="Contract of Service", 8.25, 0)
)</f>
        <v>0</v>
      </c>
      <c r="V84" s="25">
        <f>tblPayrollMaster[[#This Row],[Basic Earnings]]-tblPayrollMaster[[#This Row],[Tax]]-tblPayrollMaster[[#This Row],[NIS - Employee]]-tblPayrollMaster[[#This Row],[Health Surcharge]]</f>
        <v>0</v>
      </c>
      <c r="W84" s="25">
        <f>tblPayrollMaster[[#This Row],[Net Pay]]</f>
        <v>0</v>
      </c>
      <c r="X84" s="25"/>
    </row>
    <row r="85" spans="1:24" x14ac:dyDescent="0.25">
      <c r="A85" s="24"/>
      <c r="B85" s="24" t="str">
        <f>_xlfn.XLOOKUP(tblPayrollMaster[[#This Row],[Employee ID]],tblEmployee[Employee ID],tblEmployee[Employee Name],"")</f>
        <v/>
      </c>
      <c r="C85" s="24" t="str">
        <f>_xlfn.XLOOKUP(tblPayrollMaster[[#This Row],[Employee ID]],tblEmployee[Employee ID],tblEmployee[Employee Position],"")</f>
        <v/>
      </c>
      <c r="D85" s="24" t="str">
        <f>_xlfn.XLOOKUP(tblPayrollMaster[[#This Row],[Employee ID]], tblEmployee[Employee ID], tblEmployee[Pay Status], "Pay")</f>
        <v>Pay</v>
      </c>
      <c r="E85" s="24" t="str">
        <f>_xlfn.XLOOKUP(tblPayrollMaster[[#This Row],[Employee ID]], tblEmployee[Employee ID], tblEmployee[Payable Flag], "Y")</f>
        <v>Y</v>
      </c>
      <c r="F85" s="45">
        <f>IF(tblPayrollMaster[[#This Row],[Payable Flag]]="N",0,_xlfn.XLOOKUP(tblPayrollMaster[[#This Row],[Employee ID]],tblEmployee[Employee ID],tblEmployee[Pay Factor],1))</f>
        <v>1</v>
      </c>
      <c r="G85" s="26" t="str" cm="1">
        <f t="array" ref="G85">IF(tblPayrollMaster[[#This Row],[Employee ID]]="","",_xlfn.XLOOKUP(selPayPeriodID,tblPayCalendar[PayPeriodID],tblPayCalendar[PeriodStart],""))</f>
        <v/>
      </c>
      <c r="H85" s="26" t="str" cm="1">
        <f t="array" ref="H85">IF(tblPayrollMaster[[#This Row],[Employee ID]]="","",_xlfn.XLOOKUP(selPayPeriodID,tblPayCalendar[PayPeriodID],tblPayCalendar[PeriodEnd],""))</f>
        <v/>
      </c>
      <c r="I85" s="24" t="e" cm="1" vm="1">
        <f t="array" aca="1" ref="I85" ca="1">Table18[Employer Name]</f>
        <v>#VALUE!</v>
      </c>
      <c r="J85" s="3" cm="1">
        <f t="array" ref="J8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5" s="25" t="str">
        <f>_xlfn.XLOOKUP(tblPayrollMaster[[#This Row],[Employee Position]],tblPositionandPayRate[Employee Position],tblPositionandPayRate[Overtime], " ")</f>
        <v xml:space="preserve"> </v>
      </c>
      <c r="L85" s="25">
        <f>_xlfn.XLOOKUP(tblPayrollMaster[[#This Row],[Employee Position]],tblPositionandPayRate[Employee Position],tblPositionandPayRate[Allowance 1],0)*tblPayrollMaster[[#This Row],[Pay Factor]]</f>
        <v>0</v>
      </c>
      <c r="M85" s="25">
        <f>_xlfn.XLOOKUP(tblPayrollMaster[[#This Row],[Employee Position]],tblPositionandPayRate[Employee Position],tblPositionandPayRate[Allowance 2],0)*tblPayrollMaster[[#This Row],[Pay Factor]]</f>
        <v>0</v>
      </c>
      <c r="N85" s="25">
        <f>_xlfn.XLOOKUP(tblPayrollMaster[[#This Row],[Employee Position]],tblPositionandPayRate[Employee Position],tblPositionandPayRate[Allowance 3],0)*tblPayrollMaster[[#This Row],[Pay Factor]]</f>
        <v>0</v>
      </c>
      <c r="O85" s="25">
        <f>_xlfn.XLOOKUP(tblPayrollMaster[[#This Row],[Employee Position]],tblPositionandPayRate[Employee Position],tblPositionandPayRate[Allowance 4],0)*tblPayrollMaster[[#This Row],[Pay Factor]]</f>
        <v>0</v>
      </c>
      <c r="P85" s="25">
        <f>_xlfn.XLOOKUP(tblPayrollMaster[[#This Row],[Employee Position]],tblPositionandPayRate[Employee Position],tblPositionandPayRate[Allowance 5],0)*tblPayrollMaster[[#This Row],[Pay Factor]]</f>
        <v>0</v>
      </c>
      <c r="Q85" s="3">
        <f>SUM(tblPayrollMaster[[#This Row],[Basic Pay]:[Allowance 5]])</f>
        <v>0</v>
      </c>
      <c r="R8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5" s="51" cm="1">
        <f t="array" ref="S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5" s="3" cm="1">
        <f t="array" ref="T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5" s="25">
        <f>_xlfn.LET(
_xlpm.tos, _xlfn.XLOOKUP(tblPayrollMaster[[#This Row],[Employee ID]], tblEmployee[Employee ID], tblEmployee[Type of Service], ""),
IF(_xlpm.tos="Contract of Service", 8.25, 0)
)</f>
        <v>0</v>
      </c>
      <c r="V85" s="25">
        <f>tblPayrollMaster[[#This Row],[Basic Earnings]]-tblPayrollMaster[[#This Row],[Tax]]-tblPayrollMaster[[#This Row],[NIS - Employee]]-tblPayrollMaster[[#This Row],[Health Surcharge]]</f>
        <v>0</v>
      </c>
      <c r="W85" s="25">
        <f>tblPayrollMaster[[#This Row],[Net Pay]]</f>
        <v>0</v>
      </c>
      <c r="X85" s="25"/>
    </row>
    <row r="86" spans="1:24" x14ac:dyDescent="0.25">
      <c r="A86" s="24"/>
      <c r="B86" s="24" t="str">
        <f>_xlfn.XLOOKUP(tblPayrollMaster[[#This Row],[Employee ID]],tblEmployee[Employee ID],tblEmployee[Employee Name],"")</f>
        <v/>
      </c>
      <c r="C86" s="24" t="str">
        <f>_xlfn.XLOOKUP(tblPayrollMaster[[#This Row],[Employee ID]],tblEmployee[Employee ID],tblEmployee[Employee Position],"")</f>
        <v/>
      </c>
      <c r="D86" s="24" t="str">
        <f>_xlfn.XLOOKUP(tblPayrollMaster[[#This Row],[Employee ID]], tblEmployee[Employee ID], tblEmployee[Pay Status], "Pay")</f>
        <v>Pay</v>
      </c>
      <c r="E86" s="24" t="str">
        <f>_xlfn.XLOOKUP(tblPayrollMaster[[#This Row],[Employee ID]], tblEmployee[Employee ID], tblEmployee[Payable Flag], "Y")</f>
        <v>Y</v>
      </c>
      <c r="F86" s="45">
        <f>IF(tblPayrollMaster[[#This Row],[Payable Flag]]="N",0,_xlfn.XLOOKUP(tblPayrollMaster[[#This Row],[Employee ID]],tblEmployee[Employee ID],tblEmployee[Pay Factor],1))</f>
        <v>1</v>
      </c>
      <c r="G86" s="26" t="str" cm="1">
        <f t="array" ref="G86">IF(tblPayrollMaster[[#This Row],[Employee ID]]="","",_xlfn.XLOOKUP(selPayPeriodID,tblPayCalendar[PayPeriodID],tblPayCalendar[PeriodStart],""))</f>
        <v/>
      </c>
      <c r="H86" s="26" t="str" cm="1">
        <f t="array" ref="H86">IF(tblPayrollMaster[[#This Row],[Employee ID]]="","",_xlfn.XLOOKUP(selPayPeriodID,tblPayCalendar[PayPeriodID],tblPayCalendar[PeriodEnd],""))</f>
        <v/>
      </c>
      <c r="I86" s="24" t="e" cm="1" vm="1">
        <f t="array" aca="1" ref="I86" ca="1">Table18[Employer Name]</f>
        <v>#VALUE!</v>
      </c>
      <c r="J86" s="3" cm="1">
        <f t="array" ref="J8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6" s="25" t="str">
        <f>_xlfn.XLOOKUP(tblPayrollMaster[[#This Row],[Employee Position]],tblPositionandPayRate[Employee Position],tblPositionandPayRate[Overtime], " ")</f>
        <v xml:space="preserve"> </v>
      </c>
      <c r="L86" s="25">
        <f>_xlfn.XLOOKUP(tblPayrollMaster[[#This Row],[Employee Position]],tblPositionandPayRate[Employee Position],tblPositionandPayRate[Allowance 1],0)*tblPayrollMaster[[#This Row],[Pay Factor]]</f>
        <v>0</v>
      </c>
      <c r="M86" s="25">
        <f>_xlfn.XLOOKUP(tblPayrollMaster[[#This Row],[Employee Position]],tblPositionandPayRate[Employee Position],tblPositionandPayRate[Allowance 2],0)*tblPayrollMaster[[#This Row],[Pay Factor]]</f>
        <v>0</v>
      </c>
      <c r="N86" s="25">
        <f>_xlfn.XLOOKUP(tblPayrollMaster[[#This Row],[Employee Position]],tblPositionandPayRate[Employee Position],tblPositionandPayRate[Allowance 3],0)*tblPayrollMaster[[#This Row],[Pay Factor]]</f>
        <v>0</v>
      </c>
      <c r="O86" s="25">
        <f>_xlfn.XLOOKUP(tblPayrollMaster[[#This Row],[Employee Position]],tblPositionandPayRate[Employee Position],tblPositionandPayRate[Allowance 4],0)*tblPayrollMaster[[#This Row],[Pay Factor]]</f>
        <v>0</v>
      </c>
      <c r="P86" s="25">
        <f>_xlfn.XLOOKUP(tblPayrollMaster[[#This Row],[Employee Position]],tblPositionandPayRate[Employee Position],tblPositionandPayRate[Allowance 5],0)*tblPayrollMaster[[#This Row],[Pay Factor]]</f>
        <v>0</v>
      </c>
      <c r="Q86" s="3">
        <f>SUM(tblPayrollMaster[[#This Row],[Basic Pay]:[Allowance 5]])</f>
        <v>0</v>
      </c>
      <c r="R8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6" s="51" cm="1">
        <f t="array" ref="S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6" s="3" cm="1">
        <f t="array" ref="T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6" s="25">
        <f>_xlfn.LET(
_xlpm.tos, _xlfn.XLOOKUP(tblPayrollMaster[[#This Row],[Employee ID]], tblEmployee[Employee ID], tblEmployee[Type of Service], ""),
IF(_xlpm.tos="Contract of Service", 8.25, 0)
)</f>
        <v>0</v>
      </c>
      <c r="V86" s="25">
        <f>tblPayrollMaster[[#This Row],[Basic Earnings]]-tblPayrollMaster[[#This Row],[Tax]]-tblPayrollMaster[[#This Row],[NIS - Employee]]-tblPayrollMaster[[#This Row],[Health Surcharge]]</f>
        <v>0</v>
      </c>
      <c r="W86" s="25">
        <f>tblPayrollMaster[[#This Row],[Net Pay]]</f>
        <v>0</v>
      </c>
      <c r="X86" s="25"/>
    </row>
    <row r="87" spans="1:24" x14ac:dyDescent="0.25">
      <c r="A87" s="24"/>
      <c r="B87" s="24" t="str">
        <f>_xlfn.XLOOKUP(tblPayrollMaster[[#This Row],[Employee ID]],tblEmployee[Employee ID],tblEmployee[Employee Name],"")</f>
        <v/>
      </c>
      <c r="C87" s="24" t="str">
        <f>_xlfn.XLOOKUP(tblPayrollMaster[[#This Row],[Employee ID]],tblEmployee[Employee ID],tblEmployee[Employee Position],"")</f>
        <v/>
      </c>
      <c r="D87" s="24" t="str">
        <f>_xlfn.XLOOKUP(tblPayrollMaster[[#This Row],[Employee ID]], tblEmployee[Employee ID], tblEmployee[Pay Status], "Pay")</f>
        <v>Pay</v>
      </c>
      <c r="E87" s="24" t="str">
        <f>_xlfn.XLOOKUP(tblPayrollMaster[[#This Row],[Employee ID]], tblEmployee[Employee ID], tblEmployee[Payable Flag], "Y")</f>
        <v>Y</v>
      </c>
      <c r="F87" s="45">
        <f>IF(tblPayrollMaster[[#This Row],[Payable Flag]]="N",0,_xlfn.XLOOKUP(tblPayrollMaster[[#This Row],[Employee ID]],tblEmployee[Employee ID],tblEmployee[Pay Factor],1))</f>
        <v>1</v>
      </c>
      <c r="G87" s="26" t="str" cm="1">
        <f t="array" ref="G87">IF(tblPayrollMaster[[#This Row],[Employee ID]]="","",_xlfn.XLOOKUP(selPayPeriodID,tblPayCalendar[PayPeriodID],tblPayCalendar[PeriodStart],""))</f>
        <v/>
      </c>
      <c r="H87" s="26" t="str" cm="1">
        <f t="array" ref="H87">IF(tblPayrollMaster[[#This Row],[Employee ID]]="","",_xlfn.XLOOKUP(selPayPeriodID,tblPayCalendar[PayPeriodID],tblPayCalendar[PeriodEnd],""))</f>
        <v/>
      </c>
      <c r="I87" s="24" t="e" cm="1" vm="1">
        <f t="array" aca="1" ref="I87" ca="1">Table18[Employer Name]</f>
        <v>#VALUE!</v>
      </c>
      <c r="J87" s="3" cm="1">
        <f t="array" ref="J8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7" s="25" t="str">
        <f>_xlfn.XLOOKUP(tblPayrollMaster[[#This Row],[Employee Position]],tblPositionandPayRate[Employee Position],tblPositionandPayRate[Overtime], " ")</f>
        <v xml:space="preserve"> </v>
      </c>
      <c r="L87" s="25">
        <f>_xlfn.XLOOKUP(tblPayrollMaster[[#This Row],[Employee Position]],tblPositionandPayRate[Employee Position],tblPositionandPayRate[Allowance 1],0)*tblPayrollMaster[[#This Row],[Pay Factor]]</f>
        <v>0</v>
      </c>
      <c r="M87" s="25">
        <f>_xlfn.XLOOKUP(tblPayrollMaster[[#This Row],[Employee Position]],tblPositionandPayRate[Employee Position],tblPositionandPayRate[Allowance 2],0)*tblPayrollMaster[[#This Row],[Pay Factor]]</f>
        <v>0</v>
      </c>
      <c r="N87" s="25">
        <f>_xlfn.XLOOKUP(tblPayrollMaster[[#This Row],[Employee Position]],tblPositionandPayRate[Employee Position],tblPositionandPayRate[Allowance 3],0)*tblPayrollMaster[[#This Row],[Pay Factor]]</f>
        <v>0</v>
      </c>
      <c r="O87" s="25">
        <f>_xlfn.XLOOKUP(tblPayrollMaster[[#This Row],[Employee Position]],tblPositionandPayRate[Employee Position],tblPositionandPayRate[Allowance 4],0)*tblPayrollMaster[[#This Row],[Pay Factor]]</f>
        <v>0</v>
      </c>
      <c r="P87" s="25">
        <f>_xlfn.XLOOKUP(tblPayrollMaster[[#This Row],[Employee Position]],tblPositionandPayRate[Employee Position],tblPositionandPayRate[Allowance 5],0)*tblPayrollMaster[[#This Row],[Pay Factor]]</f>
        <v>0</v>
      </c>
      <c r="Q87" s="3">
        <f>SUM(tblPayrollMaster[[#This Row],[Basic Pay]:[Allowance 5]])</f>
        <v>0</v>
      </c>
      <c r="R8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7" s="51" cm="1">
        <f t="array" ref="S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7" s="3" cm="1">
        <f t="array" ref="T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7" s="25">
        <f>_xlfn.LET(
_xlpm.tos, _xlfn.XLOOKUP(tblPayrollMaster[[#This Row],[Employee ID]], tblEmployee[Employee ID], tblEmployee[Type of Service], ""),
IF(_xlpm.tos="Contract of Service", 8.25, 0)
)</f>
        <v>0</v>
      </c>
      <c r="V87" s="25">
        <f>tblPayrollMaster[[#This Row],[Basic Earnings]]-tblPayrollMaster[[#This Row],[Tax]]-tblPayrollMaster[[#This Row],[NIS - Employee]]-tblPayrollMaster[[#This Row],[Health Surcharge]]</f>
        <v>0</v>
      </c>
      <c r="W87" s="25">
        <f>tblPayrollMaster[[#This Row],[Net Pay]]</f>
        <v>0</v>
      </c>
      <c r="X87" s="25"/>
    </row>
    <row r="88" spans="1:24" x14ac:dyDescent="0.25">
      <c r="A88" s="24"/>
      <c r="B88" s="24" t="str">
        <f>_xlfn.XLOOKUP(tblPayrollMaster[[#This Row],[Employee ID]],tblEmployee[Employee ID],tblEmployee[Employee Name],"")</f>
        <v/>
      </c>
      <c r="C88" s="24" t="str">
        <f>_xlfn.XLOOKUP(tblPayrollMaster[[#This Row],[Employee ID]],tblEmployee[Employee ID],tblEmployee[Employee Position],"")</f>
        <v/>
      </c>
      <c r="D88" s="24" t="str">
        <f>_xlfn.XLOOKUP(tblPayrollMaster[[#This Row],[Employee ID]], tblEmployee[Employee ID], tblEmployee[Pay Status], "Pay")</f>
        <v>Pay</v>
      </c>
      <c r="E88" s="24" t="str">
        <f>_xlfn.XLOOKUP(tblPayrollMaster[[#This Row],[Employee ID]], tblEmployee[Employee ID], tblEmployee[Payable Flag], "Y")</f>
        <v>Y</v>
      </c>
      <c r="F88" s="45">
        <f>IF(tblPayrollMaster[[#This Row],[Payable Flag]]="N",0,_xlfn.XLOOKUP(tblPayrollMaster[[#This Row],[Employee ID]],tblEmployee[Employee ID],tblEmployee[Pay Factor],1))</f>
        <v>1</v>
      </c>
      <c r="G88" s="26" t="str" cm="1">
        <f t="array" ref="G88">IF(tblPayrollMaster[[#This Row],[Employee ID]]="","",_xlfn.XLOOKUP(selPayPeriodID,tblPayCalendar[PayPeriodID],tblPayCalendar[PeriodStart],""))</f>
        <v/>
      </c>
      <c r="H88" s="26" t="str" cm="1">
        <f t="array" ref="H88">IF(tblPayrollMaster[[#This Row],[Employee ID]]="","",_xlfn.XLOOKUP(selPayPeriodID,tblPayCalendar[PayPeriodID],tblPayCalendar[PeriodEnd],""))</f>
        <v/>
      </c>
      <c r="I88" s="24" t="e" cm="1" vm="1">
        <f t="array" aca="1" ref="I88" ca="1">Table18[Employer Name]</f>
        <v>#VALUE!</v>
      </c>
      <c r="J88" s="3" cm="1">
        <f t="array" ref="J8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8" s="25" t="str">
        <f>_xlfn.XLOOKUP(tblPayrollMaster[[#This Row],[Employee Position]],tblPositionandPayRate[Employee Position],tblPositionandPayRate[Overtime], " ")</f>
        <v xml:space="preserve"> </v>
      </c>
      <c r="L88" s="25">
        <f>_xlfn.XLOOKUP(tblPayrollMaster[[#This Row],[Employee Position]],tblPositionandPayRate[Employee Position],tblPositionandPayRate[Allowance 1],0)*tblPayrollMaster[[#This Row],[Pay Factor]]</f>
        <v>0</v>
      </c>
      <c r="M88" s="25">
        <f>_xlfn.XLOOKUP(tblPayrollMaster[[#This Row],[Employee Position]],tblPositionandPayRate[Employee Position],tblPositionandPayRate[Allowance 2],0)*tblPayrollMaster[[#This Row],[Pay Factor]]</f>
        <v>0</v>
      </c>
      <c r="N88" s="25">
        <f>_xlfn.XLOOKUP(tblPayrollMaster[[#This Row],[Employee Position]],tblPositionandPayRate[Employee Position],tblPositionandPayRate[Allowance 3],0)*tblPayrollMaster[[#This Row],[Pay Factor]]</f>
        <v>0</v>
      </c>
      <c r="O88" s="25">
        <f>_xlfn.XLOOKUP(tblPayrollMaster[[#This Row],[Employee Position]],tblPositionandPayRate[Employee Position],tblPositionandPayRate[Allowance 4],0)*tblPayrollMaster[[#This Row],[Pay Factor]]</f>
        <v>0</v>
      </c>
      <c r="P88" s="25">
        <f>_xlfn.XLOOKUP(tblPayrollMaster[[#This Row],[Employee Position]],tblPositionandPayRate[Employee Position],tblPositionandPayRate[Allowance 5],0)*tblPayrollMaster[[#This Row],[Pay Factor]]</f>
        <v>0</v>
      </c>
      <c r="Q88" s="3">
        <f>SUM(tblPayrollMaster[[#This Row],[Basic Pay]:[Allowance 5]])</f>
        <v>0</v>
      </c>
      <c r="R8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8" s="51" cm="1">
        <f t="array" ref="S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8" s="3" cm="1">
        <f t="array" ref="T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8" s="25">
        <f>_xlfn.LET(
_xlpm.tos, _xlfn.XLOOKUP(tblPayrollMaster[[#This Row],[Employee ID]], tblEmployee[Employee ID], tblEmployee[Type of Service], ""),
IF(_xlpm.tos="Contract of Service", 8.25, 0)
)</f>
        <v>0</v>
      </c>
      <c r="V88" s="25">
        <f>tblPayrollMaster[[#This Row],[Basic Earnings]]-tblPayrollMaster[[#This Row],[Tax]]-tblPayrollMaster[[#This Row],[NIS - Employee]]-tblPayrollMaster[[#This Row],[Health Surcharge]]</f>
        <v>0</v>
      </c>
      <c r="W88" s="25">
        <f>tblPayrollMaster[[#This Row],[Net Pay]]</f>
        <v>0</v>
      </c>
      <c r="X88" s="25"/>
    </row>
    <row r="89" spans="1:24" x14ac:dyDescent="0.25">
      <c r="A89" s="24"/>
      <c r="B89" s="24" t="str">
        <f>_xlfn.XLOOKUP(tblPayrollMaster[[#This Row],[Employee ID]],tblEmployee[Employee ID],tblEmployee[Employee Name],"")</f>
        <v/>
      </c>
      <c r="C89" s="24" t="str">
        <f>_xlfn.XLOOKUP(tblPayrollMaster[[#This Row],[Employee ID]],tblEmployee[Employee ID],tblEmployee[Employee Position],"")</f>
        <v/>
      </c>
      <c r="D89" s="24" t="str">
        <f>_xlfn.XLOOKUP(tblPayrollMaster[[#This Row],[Employee ID]], tblEmployee[Employee ID], tblEmployee[Pay Status], "Pay")</f>
        <v>Pay</v>
      </c>
      <c r="E89" s="24" t="str">
        <f>_xlfn.XLOOKUP(tblPayrollMaster[[#This Row],[Employee ID]], tblEmployee[Employee ID], tblEmployee[Payable Flag], "Y")</f>
        <v>Y</v>
      </c>
      <c r="F89" s="45">
        <f>IF(tblPayrollMaster[[#This Row],[Payable Flag]]="N",0,_xlfn.XLOOKUP(tblPayrollMaster[[#This Row],[Employee ID]],tblEmployee[Employee ID],tblEmployee[Pay Factor],1))</f>
        <v>1</v>
      </c>
      <c r="G89" s="26" t="str" cm="1">
        <f t="array" ref="G89">IF(tblPayrollMaster[[#This Row],[Employee ID]]="","",_xlfn.XLOOKUP(selPayPeriodID,tblPayCalendar[PayPeriodID],tblPayCalendar[PeriodStart],""))</f>
        <v/>
      </c>
      <c r="H89" s="26" t="str" cm="1">
        <f t="array" ref="H89">IF(tblPayrollMaster[[#This Row],[Employee ID]]="","",_xlfn.XLOOKUP(selPayPeriodID,tblPayCalendar[PayPeriodID],tblPayCalendar[PeriodEnd],""))</f>
        <v/>
      </c>
      <c r="I89" s="24" t="e" cm="1" vm="1">
        <f t="array" aca="1" ref="I89" ca="1">Table18[Employer Name]</f>
        <v>#VALUE!</v>
      </c>
      <c r="J89" s="3" cm="1">
        <f t="array" ref="J8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9" s="25" t="str">
        <f>_xlfn.XLOOKUP(tblPayrollMaster[[#This Row],[Employee Position]],tblPositionandPayRate[Employee Position],tblPositionandPayRate[Overtime], " ")</f>
        <v xml:space="preserve"> </v>
      </c>
      <c r="L89" s="25">
        <f>_xlfn.XLOOKUP(tblPayrollMaster[[#This Row],[Employee Position]],tblPositionandPayRate[Employee Position],tblPositionandPayRate[Allowance 1],0)*tblPayrollMaster[[#This Row],[Pay Factor]]</f>
        <v>0</v>
      </c>
      <c r="M89" s="25">
        <f>_xlfn.XLOOKUP(tblPayrollMaster[[#This Row],[Employee Position]],tblPositionandPayRate[Employee Position],tblPositionandPayRate[Allowance 2],0)*tblPayrollMaster[[#This Row],[Pay Factor]]</f>
        <v>0</v>
      </c>
      <c r="N89" s="25">
        <f>_xlfn.XLOOKUP(tblPayrollMaster[[#This Row],[Employee Position]],tblPositionandPayRate[Employee Position],tblPositionandPayRate[Allowance 3],0)*tblPayrollMaster[[#This Row],[Pay Factor]]</f>
        <v>0</v>
      </c>
      <c r="O89" s="25">
        <f>_xlfn.XLOOKUP(tblPayrollMaster[[#This Row],[Employee Position]],tblPositionandPayRate[Employee Position],tblPositionandPayRate[Allowance 4],0)*tblPayrollMaster[[#This Row],[Pay Factor]]</f>
        <v>0</v>
      </c>
      <c r="P89" s="25">
        <f>_xlfn.XLOOKUP(tblPayrollMaster[[#This Row],[Employee Position]],tblPositionandPayRate[Employee Position],tblPositionandPayRate[Allowance 5],0)*tblPayrollMaster[[#This Row],[Pay Factor]]</f>
        <v>0</v>
      </c>
      <c r="Q89" s="3">
        <f>SUM(tblPayrollMaster[[#This Row],[Basic Pay]:[Allowance 5]])</f>
        <v>0</v>
      </c>
      <c r="R8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9" s="51" cm="1">
        <f t="array" ref="S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9" s="3" cm="1">
        <f t="array" ref="T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9" s="25">
        <f>_xlfn.LET(
_xlpm.tos, _xlfn.XLOOKUP(tblPayrollMaster[[#This Row],[Employee ID]], tblEmployee[Employee ID], tblEmployee[Type of Service], ""),
IF(_xlpm.tos="Contract of Service", 8.25, 0)
)</f>
        <v>0</v>
      </c>
      <c r="V89" s="25">
        <f>tblPayrollMaster[[#This Row],[Basic Earnings]]-tblPayrollMaster[[#This Row],[Tax]]-tblPayrollMaster[[#This Row],[NIS - Employee]]-tblPayrollMaster[[#This Row],[Health Surcharge]]</f>
        <v>0</v>
      </c>
      <c r="W89" s="25">
        <f>tblPayrollMaster[[#This Row],[Net Pay]]</f>
        <v>0</v>
      </c>
      <c r="X89" s="25"/>
    </row>
    <row r="90" spans="1:24" x14ac:dyDescent="0.25">
      <c r="A90" s="24"/>
      <c r="B90" s="24" t="str">
        <f>_xlfn.XLOOKUP(tblPayrollMaster[[#This Row],[Employee ID]],tblEmployee[Employee ID],tblEmployee[Employee Name],"")</f>
        <v/>
      </c>
      <c r="C90" s="24" t="str">
        <f>_xlfn.XLOOKUP(tblPayrollMaster[[#This Row],[Employee ID]],tblEmployee[Employee ID],tblEmployee[Employee Position],"")</f>
        <v/>
      </c>
      <c r="D90" s="24" t="str">
        <f>_xlfn.XLOOKUP(tblPayrollMaster[[#This Row],[Employee ID]], tblEmployee[Employee ID], tblEmployee[Pay Status], "Pay")</f>
        <v>Pay</v>
      </c>
      <c r="E90" s="24" t="str">
        <f>_xlfn.XLOOKUP(tblPayrollMaster[[#This Row],[Employee ID]], tblEmployee[Employee ID], tblEmployee[Payable Flag], "Y")</f>
        <v>Y</v>
      </c>
      <c r="F90" s="45">
        <f>IF(tblPayrollMaster[[#This Row],[Payable Flag]]="N",0,_xlfn.XLOOKUP(tblPayrollMaster[[#This Row],[Employee ID]],tblEmployee[Employee ID],tblEmployee[Pay Factor],1))</f>
        <v>1</v>
      </c>
      <c r="G90" s="26" t="str" cm="1">
        <f t="array" ref="G90">IF(tblPayrollMaster[[#This Row],[Employee ID]]="","",_xlfn.XLOOKUP(selPayPeriodID,tblPayCalendar[PayPeriodID],tblPayCalendar[PeriodStart],""))</f>
        <v/>
      </c>
      <c r="H90" s="26" t="str" cm="1">
        <f t="array" ref="H90">IF(tblPayrollMaster[[#This Row],[Employee ID]]="","",_xlfn.XLOOKUP(selPayPeriodID,tblPayCalendar[PayPeriodID],tblPayCalendar[PeriodEnd],""))</f>
        <v/>
      </c>
      <c r="I90" s="24" t="e" cm="1" vm="1">
        <f t="array" aca="1" ref="I90" ca="1">Table18[Employer Name]</f>
        <v>#VALUE!</v>
      </c>
      <c r="J90" s="3" cm="1">
        <f t="array" ref="J9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0" s="25" t="str">
        <f>_xlfn.XLOOKUP(tblPayrollMaster[[#This Row],[Employee Position]],tblPositionandPayRate[Employee Position],tblPositionandPayRate[Overtime], " ")</f>
        <v xml:space="preserve"> </v>
      </c>
      <c r="L90" s="25">
        <f>_xlfn.XLOOKUP(tblPayrollMaster[[#This Row],[Employee Position]],tblPositionandPayRate[Employee Position],tblPositionandPayRate[Allowance 1],0)*tblPayrollMaster[[#This Row],[Pay Factor]]</f>
        <v>0</v>
      </c>
      <c r="M90" s="25">
        <f>_xlfn.XLOOKUP(tblPayrollMaster[[#This Row],[Employee Position]],tblPositionandPayRate[Employee Position],tblPositionandPayRate[Allowance 2],0)*tblPayrollMaster[[#This Row],[Pay Factor]]</f>
        <v>0</v>
      </c>
      <c r="N90" s="25">
        <f>_xlfn.XLOOKUP(tblPayrollMaster[[#This Row],[Employee Position]],tblPositionandPayRate[Employee Position],tblPositionandPayRate[Allowance 3],0)*tblPayrollMaster[[#This Row],[Pay Factor]]</f>
        <v>0</v>
      </c>
      <c r="O90" s="25">
        <f>_xlfn.XLOOKUP(tblPayrollMaster[[#This Row],[Employee Position]],tblPositionandPayRate[Employee Position],tblPositionandPayRate[Allowance 4],0)*tblPayrollMaster[[#This Row],[Pay Factor]]</f>
        <v>0</v>
      </c>
      <c r="P90" s="25">
        <f>_xlfn.XLOOKUP(tblPayrollMaster[[#This Row],[Employee Position]],tblPositionandPayRate[Employee Position],tblPositionandPayRate[Allowance 5],0)*tblPayrollMaster[[#This Row],[Pay Factor]]</f>
        <v>0</v>
      </c>
      <c r="Q90" s="3">
        <f>SUM(tblPayrollMaster[[#This Row],[Basic Pay]:[Allowance 5]])</f>
        <v>0</v>
      </c>
      <c r="R9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0" s="51" cm="1">
        <f t="array" ref="S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0" s="3" cm="1">
        <f t="array" ref="T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0" s="25">
        <f>_xlfn.LET(
_xlpm.tos, _xlfn.XLOOKUP(tblPayrollMaster[[#This Row],[Employee ID]], tblEmployee[Employee ID], tblEmployee[Type of Service], ""),
IF(_xlpm.tos="Contract of Service", 8.25, 0)
)</f>
        <v>0</v>
      </c>
      <c r="V90" s="25">
        <f>tblPayrollMaster[[#This Row],[Basic Earnings]]-tblPayrollMaster[[#This Row],[Tax]]-tblPayrollMaster[[#This Row],[NIS - Employee]]-tblPayrollMaster[[#This Row],[Health Surcharge]]</f>
        <v>0</v>
      </c>
      <c r="W90" s="25">
        <f>tblPayrollMaster[[#This Row],[Net Pay]]</f>
        <v>0</v>
      </c>
      <c r="X90" s="25"/>
    </row>
    <row r="91" spans="1:24" x14ac:dyDescent="0.25">
      <c r="A91" s="24"/>
      <c r="B91" s="24" t="str">
        <f>_xlfn.XLOOKUP(tblPayrollMaster[[#This Row],[Employee ID]],tblEmployee[Employee ID],tblEmployee[Employee Name],"")</f>
        <v/>
      </c>
      <c r="C91" s="24" t="str">
        <f>_xlfn.XLOOKUP(tblPayrollMaster[[#This Row],[Employee ID]],tblEmployee[Employee ID],tblEmployee[Employee Position],"")</f>
        <v/>
      </c>
      <c r="D91" s="24" t="str">
        <f>_xlfn.XLOOKUP(tblPayrollMaster[[#This Row],[Employee ID]], tblEmployee[Employee ID], tblEmployee[Pay Status], "Pay")</f>
        <v>Pay</v>
      </c>
      <c r="E91" s="24" t="str">
        <f>_xlfn.XLOOKUP(tblPayrollMaster[[#This Row],[Employee ID]], tblEmployee[Employee ID], tblEmployee[Payable Flag], "Y")</f>
        <v>Y</v>
      </c>
      <c r="F91" s="45">
        <f>IF(tblPayrollMaster[[#This Row],[Payable Flag]]="N",0,_xlfn.XLOOKUP(tblPayrollMaster[[#This Row],[Employee ID]],tblEmployee[Employee ID],tblEmployee[Pay Factor],1))</f>
        <v>1</v>
      </c>
      <c r="G91" s="26" t="str" cm="1">
        <f t="array" ref="G91">IF(tblPayrollMaster[[#This Row],[Employee ID]]="","",_xlfn.XLOOKUP(selPayPeriodID,tblPayCalendar[PayPeriodID],tblPayCalendar[PeriodStart],""))</f>
        <v/>
      </c>
      <c r="H91" s="26" t="str" cm="1">
        <f t="array" ref="H91">IF(tblPayrollMaster[[#This Row],[Employee ID]]="","",_xlfn.XLOOKUP(selPayPeriodID,tblPayCalendar[PayPeriodID],tblPayCalendar[PeriodEnd],""))</f>
        <v/>
      </c>
      <c r="I91" s="24" t="e" cm="1" vm="1">
        <f t="array" aca="1" ref="I91" ca="1">Table18[Employer Name]</f>
        <v>#VALUE!</v>
      </c>
      <c r="J91" s="3" cm="1">
        <f t="array" ref="J9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1" s="25" t="str">
        <f>_xlfn.XLOOKUP(tblPayrollMaster[[#This Row],[Employee Position]],tblPositionandPayRate[Employee Position],tblPositionandPayRate[Overtime], " ")</f>
        <v xml:space="preserve"> </v>
      </c>
      <c r="L91" s="25">
        <f>_xlfn.XLOOKUP(tblPayrollMaster[[#This Row],[Employee Position]],tblPositionandPayRate[Employee Position],tblPositionandPayRate[Allowance 1],0)*tblPayrollMaster[[#This Row],[Pay Factor]]</f>
        <v>0</v>
      </c>
      <c r="M91" s="25">
        <f>_xlfn.XLOOKUP(tblPayrollMaster[[#This Row],[Employee Position]],tblPositionandPayRate[Employee Position],tblPositionandPayRate[Allowance 2],0)*tblPayrollMaster[[#This Row],[Pay Factor]]</f>
        <v>0</v>
      </c>
      <c r="N91" s="25">
        <f>_xlfn.XLOOKUP(tblPayrollMaster[[#This Row],[Employee Position]],tblPositionandPayRate[Employee Position],tblPositionandPayRate[Allowance 3],0)*tblPayrollMaster[[#This Row],[Pay Factor]]</f>
        <v>0</v>
      </c>
      <c r="O91" s="25">
        <f>_xlfn.XLOOKUP(tblPayrollMaster[[#This Row],[Employee Position]],tblPositionandPayRate[Employee Position],tblPositionandPayRate[Allowance 4],0)*tblPayrollMaster[[#This Row],[Pay Factor]]</f>
        <v>0</v>
      </c>
      <c r="P91" s="25">
        <f>_xlfn.XLOOKUP(tblPayrollMaster[[#This Row],[Employee Position]],tblPositionandPayRate[Employee Position],tblPositionandPayRate[Allowance 5],0)*tblPayrollMaster[[#This Row],[Pay Factor]]</f>
        <v>0</v>
      </c>
      <c r="Q91" s="3">
        <f>SUM(tblPayrollMaster[[#This Row],[Basic Pay]:[Allowance 5]])</f>
        <v>0</v>
      </c>
      <c r="R9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1" s="51" cm="1">
        <f t="array" ref="S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1" s="3" cm="1">
        <f t="array" ref="T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1" s="25">
        <f>_xlfn.LET(
_xlpm.tos, _xlfn.XLOOKUP(tblPayrollMaster[[#This Row],[Employee ID]], tblEmployee[Employee ID], tblEmployee[Type of Service], ""),
IF(_xlpm.tos="Contract of Service", 8.25, 0)
)</f>
        <v>0</v>
      </c>
      <c r="V91" s="25">
        <f>tblPayrollMaster[[#This Row],[Basic Earnings]]-tblPayrollMaster[[#This Row],[Tax]]-tblPayrollMaster[[#This Row],[NIS - Employee]]-tblPayrollMaster[[#This Row],[Health Surcharge]]</f>
        <v>0</v>
      </c>
      <c r="W91" s="25">
        <f>tblPayrollMaster[[#This Row],[Net Pay]]</f>
        <v>0</v>
      </c>
      <c r="X91" s="25"/>
    </row>
    <row r="92" spans="1:24" x14ac:dyDescent="0.25">
      <c r="A92" s="24"/>
      <c r="B92" s="24" t="str">
        <f>_xlfn.XLOOKUP(tblPayrollMaster[[#This Row],[Employee ID]],tblEmployee[Employee ID],tblEmployee[Employee Name],"")</f>
        <v/>
      </c>
      <c r="C92" s="24" t="str">
        <f>_xlfn.XLOOKUP(tblPayrollMaster[[#This Row],[Employee ID]],tblEmployee[Employee ID],tblEmployee[Employee Position],"")</f>
        <v/>
      </c>
      <c r="D92" s="24" t="str">
        <f>_xlfn.XLOOKUP(tblPayrollMaster[[#This Row],[Employee ID]], tblEmployee[Employee ID], tblEmployee[Pay Status], "Pay")</f>
        <v>Pay</v>
      </c>
      <c r="E92" s="24" t="str">
        <f>_xlfn.XLOOKUP(tblPayrollMaster[[#This Row],[Employee ID]], tblEmployee[Employee ID], tblEmployee[Payable Flag], "Y")</f>
        <v>Y</v>
      </c>
      <c r="F92" s="45">
        <f>IF(tblPayrollMaster[[#This Row],[Payable Flag]]="N",0,_xlfn.XLOOKUP(tblPayrollMaster[[#This Row],[Employee ID]],tblEmployee[Employee ID],tblEmployee[Pay Factor],1))</f>
        <v>1</v>
      </c>
      <c r="G92" s="26" t="str" cm="1">
        <f t="array" ref="G92">IF(tblPayrollMaster[[#This Row],[Employee ID]]="","",_xlfn.XLOOKUP(selPayPeriodID,tblPayCalendar[PayPeriodID],tblPayCalendar[PeriodStart],""))</f>
        <v/>
      </c>
      <c r="H92" s="26" t="str" cm="1">
        <f t="array" ref="H92">IF(tblPayrollMaster[[#This Row],[Employee ID]]="","",_xlfn.XLOOKUP(selPayPeriodID,tblPayCalendar[PayPeriodID],tblPayCalendar[PeriodEnd],""))</f>
        <v/>
      </c>
      <c r="I92" s="24" t="e" cm="1" vm="1">
        <f t="array" aca="1" ref="I92" ca="1">Table18[Employer Name]</f>
        <v>#VALUE!</v>
      </c>
      <c r="J92" s="3" cm="1">
        <f t="array" ref="J9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2" s="25" t="str">
        <f>_xlfn.XLOOKUP(tblPayrollMaster[[#This Row],[Employee Position]],tblPositionandPayRate[Employee Position],tblPositionandPayRate[Overtime], " ")</f>
        <v xml:space="preserve"> </v>
      </c>
      <c r="L92" s="25">
        <f>_xlfn.XLOOKUP(tblPayrollMaster[[#This Row],[Employee Position]],tblPositionandPayRate[Employee Position],tblPositionandPayRate[Allowance 1],0)*tblPayrollMaster[[#This Row],[Pay Factor]]</f>
        <v>0</v>
      </c>
      <c r="M92" s="25">
        <f>_xlfn.XLOOKUP(tblPayrollMaster[[#This Row],[Employee Position]],tblPositionandPayRate[Employee Position],tblPositionandPayRate[Allowance 2],0)*tblPayrollMaster[[#This Row],[Pay Factor]]</f>
        <v>0</v>
      </c>
      <c r="N92" s="25">
        <f>_xlfn.XLOOKUP(tblPayrollMaster[[#This Row],[Employee Position]],tblPositionandPayRate[Employee Position],tblPositionandPayRate[Allowance 3],0)*tblPayrollMaster[[#This Row],[Pay Factor]]</f>
        <v>0</v>
      </c>
      <c r="O92" s="25">
        <f>_xlfn.XLOOKUP(tblPayrollMaster[[#This Row],[Employee Position]],tblPositionandPayRate[Employee Position],tblPositionandPayRate[Allowance 4],0)*tblPayrollMaster[[#This Row],[Pay Factor]]</f>
        <v>0</v>
      </c>
      <c r="P92" s="25">
        <f>_xlfn.XLOOKUP(tblPayrollMaster[[#This Row],[Employee Position]],tblPositionandPayRate[Employee Position],tblPositionandPayRate[Allowance 5],0)*tblPayrollMaster[[#This Row],[Pay Factor]]</f>
        <v>0</v>
      </c>
      <c r="Q92" s="3">
        <f>SUM(tblPayrollMaster[[#This Row],[Basic Pay]:[Allowance 5]])</f>
        <v>0</v>
      </c>
      <c r="R9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2" s="51" cm="1">
        <f t="array" ref="S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2" s="3" cm="1">
        <f t="array" ref="T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2" s="25">
        <f>_xlfn.LET(
_xlpm.tos, _xlfn.XLOOKUP(tblPayrollMaster[[#This Row],[Employee ID]], tblEmployee[Employee ID], tblEmployee[Type of Service], ""),
IF(_xlpm.tos="Contract of Service", 8.25, 0)
)</f>
        <v>0</v>
      </c>
      <c r="V92" s="25">
        <f>tblPayrollMaster[[#This Row],[Basic Earnings]]-tblPayrollMaster[[#This Row],[Tax]]-tblPayrollMaster[[#This Row],[NIS - Employee]]-tblPayrollMaster[[#This Row],[Health Surcharge]]</f>
        <v>0</v>
      </c>
      <c r="W92" s="25">
        <f>tblPayrollMaster[[#This Row],[Net Pay]]</f>
        <v>0</v>
      </c>
      <c r="X92" s="25"/>
    </row>
    <row r="93" spans="1:24" x14ac:dyDescent="0.25">
      <c r="A93" s="24"/>
      <c r="B93" s="24" t="str">
        <f>_xlfn.XLOOKUP(tblPayrollMaster[[#This Row],[Employee ID]],tblEmployee[Employee ID],tblEmployee[Employee Name],"")</f>
        <v/>
      </c>
      <c r="C93" s="24" t="str">
        <f>_xlfn.XLOOKUP(tblPayrollMaster[[#This Row],[Employee ID]],tblEmployee[Employee ID],tblEmployee[Employee Position],"")</f>
        <v/>
      </c>
      <c r="D93" s="24" t="str">
        <f>_xlfn.XLOOKUP(tblPayrollMaster[[#This Row],[Employee ID]], tblEmployee[Employee ID], tblEmployee[Pay Status], "Pay")</f>
        <v>Pay</v>
      </c>
      <c r="E93" s="24" t="str">
        <f>_xlfn.XLOOKUP(tblPayrollMaster[[#This Row],[Employee ID]], tblEmployee[Employee ID], tblEmployee[Payable Flag], "Y")</f>
        <v>Y</v>
      </c>
      <c r="F93" s="45">
        <f>IF(tblPayrollMaster[[#This Row],[Payable Flag]]="N",0,_xlfn.XLOOKUP(tblPayrollMaster[[#This Row],[Employee ID]],tblEmployee[Employee ID],tblEmployee[Pay Factor],1))</f>
        <v>1</v>
      </c>
      <c r="G93" s="26" t="str" cm="1">
        <f t="array" ref="G93">IF(tblPayrollMaster[[#This Row],[Employee ID]]="","",_xlfn.XLOOKUP(selPayPeriodID,tblPayCalendar[PayPeriodID],tblPayCalendar[PeriodStart],""))</f>
        <v/>
      </c>
      <c r="H93" s="26" t="str" cm="1">
        <f t="array" ref="H93">IF(tblPayrollMaster[[#This Row],[Employee ID]]="","",_xlfn.XLOOKUP(selPayPeriodID,tblPayCalendar[PayPeriodID],tblPayCalendar[PeriodEnd],""))</f>
        <v/>
      </c>
      <c r="I93" s="24" t="e" cm="1" vm="1">
        <f t="array" aca="1" ref="I93" ca="1">Table18[Employer Name]</f>
        <v>#VALUE!</v>
      </c>
      <c r="J93" s="3" cm="1">
        <f t="array" ref="J9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3" s="25" t="str">
        <f>_xlfn.XLOOKUP(tblPayrollMaster[[#This Row],[Employee Position]],tblPositionandPayRate[Employee Position],tblPositionandPayRate[Overtime], " ")</f>
        <v xml:space="preserve"> </v>
      </c>
      <c r="L93" s="25">
        <f>_xlfn.XLOOKUP(tblPayrollMaster[[#This Row],[Employee Position]],tblPositionandPayRate[Employee Position],tblPositionandPayRate[Allowance 1],0)*tblPayrollMaster[[#This Row],[Pay Factor]]</f>
        <v>0</v>
      </c>
      <c r="M93" s="25">
        <f>_xlfn.XLOOKUP(tblPayrollMaster[[#This Row],[Employee Position]],tblPositionandPayRate[Employee Position],tblPositionandPayRate[Allowance 2],0)*tblPayrollMaster[[#This Row],[Pay Factor]]</f>
        <v>0</v>
      </c>
      <c r="N93" s="25">
        <f>_xlfn.XLOOKUP(tblPayrollMaster[[#This Row],[Employee Position]],tblPositionandPayRate[Employee Position],tblPositionandPayRate[Allowance 3],0)*tblPayrollMaster[[#This Row],[Pay Factor]]</f>
        <v>0</v>
      </c>
      <c r="O93" s="25">
        <f>_xlfn.XLOOKUP(tblPayrollMaster[[#This Row],[Employee Position]],tblPositionandPayRate[Employee Position],tblPositionandPayRate[Allowance 4],0)*tblPayrollMaster[[#This Row],[Pay Factor]]</f>
        <v>0</v>
      </c>
      <c r="P93" s="25">
        <f>_xlfn.XLOOKUP(tblPayrollMaster[[#This Row],[Employee Position]],tblPositionandPayRate[Employee Position],tblPositionandPayRate[Allowance 5],0)*tblPayrollMaster[[#This Row],[Pay Factor]]</f>
        <v>0</v>
      </c>
      <c r="Q93" s="3">
        <f>SUM(tblPayrollMaster[[#This Row],[Basic Pay]:[Allowance 5]])</f>
        <v>0</v>
      </c>
      <c r="R9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3" s="51" cm="1">
        <f t="array" ref="S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3" s="3" cm="1">
        <f t="array" ref="T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3" s="25">
        <f>_xlfn.LET(
_xlpm.tos, _xlfn.XLOOKUP(tblPayrollMaster[[#This Row],[Employee ID]], tblEmployee[Employee ID], tblEmployee[Type of Service], ""),
IF(_xlpm.tos="Contract of Service", 8.25, 0)
)</f>
        <v>0</v>
      </c>
      <c r="V93" s="25">
        <f>tblPayrollMaster[[#This Row],[Basic Earnings]]-tblPayrollMaster[[#This Row],[Tax]]-tblPayrollMaster[[#This Row],[NIS - Employee]]-tblPayrollMaster[[#This Row],[Health Surcharge]]</f>
        <v>0</v>
      </c>
      <c r="W93" s="25">
        <f>tblPayrollMaster[[#This Row],[Net Pay]]</f>
        <v>0</v>
      </c>
      <c r="X93" s="25"/>
    </row>
    <row r="94" spans="1:24" x14ac:dyDescent="0.25">
      <c r="A94" s="24"/>
      <c r="B94" s="24" t="str">
        <f>_xlfn.XLOOKUP(tblPayrollMaster[[#This Row],[Employee ID]],tblEmployee[Employee ID],tblEmployee[Employee Name],"")</f>
        <v/>
      </c>
      <c r="C94" s="24" t="str">
        <f>_xlfn.XLOOKUP(tblPayrollMaster[[#This Row],[Employee ID]],tblEmployee[Employee ID],tblEmployee[Employee Position],"")</f>
        <v/>
      </c>
      <c r="D94" s="24" t="str">
        <f>_xlfn.XLOOKUP(tblPayrollMaster[[#This Row],[Employee ID]], tblEmployee[Employee ID], tblEmployee[Pay Status], "Pay")</f>
        <v>Pay</v>
      </c>
      <c r="E94" s="24" t="str">
        <f>_xlfn.XLOOKUP(tblPayrollMaster[[#This Row],[Employee ID]], tblEmployee[Employee ID], tblEmployee[Payable Flag], "Y")</f>
        <v>Y</v>
      </c>
      <c r="F94" s="45">
        <f>IF(tblPayrollMaster[[#This Row],[Payable Flag]]="N",0,_xlfn.XLOOKUP(tblPayrollMaster[[#This Row],[Employee ID]],tblEmployee[Employee ID],tblEmployee[Pay Factor],1))</f>
        <v>1</v>
      </c>
      <c r="G94" s="26" t="str" cm="1">
        <f t="array" ref="G94">IF(tblPayrollMaster[[#This Row],[Employee ID]]="","",_xlfn.XLOOKUP(selPayPeriodID,tblPayCalendar[PayPeriodID],tblPayCalendar[PeriodStart],""))</f>
        <v/>
      </c>
      <c r="H94" s="26" t="str" cm="1">
        <f t="array" ref="H94">IF(tblPayrollMaster[[#This Row],[Employee ID]]="","",_xlfn.XLOOKUP(selPayPeriodID,tblPayCalendar[PayPeriodID],tblPayCalendar[PeriodEnd],""))</f>
        <v/>
      </c>
      <c r="I94" s="24" t="e" cm="1" vm="1">
        <f t="array" aca="1" ref="I94" ca="1">Table18[Employer Name]</f>
        <v>#VALUE!</v>
      </c>
      <c r="J94" s="3" cm="1">
        <f t="array" ref="J9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4" s="25" t="str">
        <f>_xlfn.XLOOKUP(tblPayrollMaster[[#This Row],[Employee Position]],tblPositionandPayRate[Employee Position],tblPositionandPayRate[Overtime], " ")</f>
        <v xml:space="preserve"> </v>
      </c>
      <c r="L94" s="25">
        <f>_xlfn.XLOOKUP(tblPayrollMaster[[#This Row],[Employee Position]],tblPositionandPayRate[Employee Position],tblPositionandPayRate[Allowance 1],0)*tblPayrollMaster[[#This Row],[Pay Factor]]</f>
        <v>0</v>
      </c>
      <c r="M94" s="25">
        <f>_xlfn.XLOOKUP(tblPayrollMaster[[#This Row],[Employee Position]],tblPositionandPayRate[Employee Position],tblPositionandPayRate[Allowance 2],0)*tblPayrollMaster[[#This Row],[Pay Factor]]</f>
        <v>0</v>
      </c>
      <c r="N94" s="25">
        <f>_xlfn.XLOOKUP(tblPayrollMaster[[#This Row],[Employee Position]],tblPositionandPayRate[Employee Position],tblPositionandPayRate[Allowance 3],0)*tblPayrollMaster[[#This Row],[Pay Factor]]</f>
        <v>0</v>
      </c>
      <c r="O94" s="25">
        <f>_xlfn.XLOOKUP(tblPayrollMaster[[#This Row],[Employee Position]],tblPositionandPayRate[Employee Position],tblPositionandPayRate[Allowance 4],0)*tblPayrollMaster[[#This Row],[Pay Factor]]</f>
        <v>0</v>
      </c>
      <c r="P94" s="25">
        <f>_xlfn.XLOOKUP(tblPayrollMaster[[#This Row],[Employee Position]],tblPositionandPayRate[Employee Position],tblPositionandPayRate[Allowance 5],0)*tblPayrollMaster[[#This Row],[Pay Factor]]</f>
        <v>0</v>
      </c>
      <c r="Q94" s="3">
        <f>SUM(tblPayrollMaster[[#This Row],[Basic Pay]:[Allowance 5]])</f>
        <v>0</v>
      </c>
      <c r="R9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4" s="51" cm="1">
        <f t="array" ref="S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4" s="3" cm="1">
        <f t="array" ref="T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4" s="25">
        <f>_xlfn.LET(
_xlpm.tos, _xlfn.XLOOKUP(tblPayrollMaster[[#This Row],[Employee ID]], tblEmployee[Employee ID], tblEmployee[Type of Service], ""),
IF(_xlpm.tos="Contract of Service", 8.25, 0)
)</f>
        <v>0</v>
      </c>
      <c r="V94" s="25">
        <f>tblPayrollMaster[[#This Row],[Basic Earnings]]-tblPayrollMaster[[#This Row],[Tax]]-tblPayrollMaster[[#This Row],[NIS - Employee]]-tblPayrollMaster[[#This Row],[Health Surcharge]]</f>
        <v>0</v>
      </c>
      <c r="W94" s="25">
        <f>tblPayrollMaster[[#This Row],[Net Pay]]</f>
        <v>0</v>
      </c>
      <c r="X94" s="25"/>
    </row>
    <row r="95" spans="1:24" x14ac:dyDescent="0.25">
      <c r="A95" s="24"/>
      <c r="B95" s="24" t="str">
        <f>_xlfn.XLOOKUP(tblPayrollMaster[[#This Row],[Employee ID]],tblEmployee[Employee ID],tblEmployee[Employee Name],"")</f>
        <v/>
      </c>
      <c r="C95" s="24" t="str">
        <f>_xlfn.XLOOKUP(tblPayrollMaster[[#This Row],[Employee ID]],tblEmployee[Employee ID],tblEmployee[Employee Position],"")</f>
        <v/>
      </c>
      <c r="D95" s="24" t="str">
        <f>_xlfn.XLOOKUP(tblPayrollMaster[[#This Row],[Employee ID]], tblEmployee[Employee ID], tblEmployee[Pay Status], "Pay")</f>
        <v>Pay</v>
      </c>
      <c r="E95" s="24" t="str">
        <f>_xlfn.XLOOKUP(tblPayrollMaster[[#This Row],[Employee ID]], tblEmployee[Employee ID], tblEmployee[Payable Flag], "Y")</f>
        <v>Y</v>
      </c>
      <c r="F95" s="45">
        <f>IF(tblPayrollMaster[[#This Row],[Payable Flag]]="N",0,_xlfn.XLOOKUP(tblPayrollMaster[[#This Row],[Employee ID]],tblEmployee[Employee ID],tblEmployee[Pay Factor],1))</f>
        <v>1</v>
      </c>
      <c r="G95" s="26" t="str" cm="1">
        <f t="array" ref="G95">IF(tblPayrollMaster[[#This Row],[Employee ID]]="","",_xlfn.XLOOKUP(selPayPeriodID,tblPayCalendar[PayPeriodID],tblPayCalendar[PeriodStart],""))</f>
        <v/>
      </c>
      <c r="H95" s="26" t="str" cm="1">
        <f t="array" ref="H95">IF(tblPayrollMaster[[#This Row],[Employee ID]]="","",_xlfn.XLOOKUP(selPayPeriodID,tblPayCalendar[PayPeriodID],tblPayCalendar[PeriodEnd],""))</f>
        <v/>
      </c>
      <c r="I95" s="24" t="e" cm="1" vm="1">
        <f t="array" aca="1" ref="I95" ca="1">Table18[Employer Name]</f>
        <v>#VALUE!</v>
      </c>
      <c r="J95" s="3" cm="1">
        <f t="array" ref="J9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5" s="25" t="str">
        <f>_xlfn.XLOOKUP(tblPayrollMaster[[#This Row],[Employee Position]],tblPositionandPayRate[Employee Position],tblPositionandPayRate[Overtime], " ")</f>
        <v xml:space="preserve"> </v>
      </c>
      <c r="L95" s="25">
        <f>_xlfn.XLOOKUP(tblPayrollMaster[[#This Row],[Employee Position]],tblPositionandPayRate[Employee Position],tblPositionandPayRate[Allowance 1],0)*tblPayrollMaster[[#This Row],[Pay Factor]]</f>
        <v>0</v>
      </c>
      <c r="M95" s="25">
        <f>_xlfn.XLOOKUP(tblPayrollMaster[[#This Row],[Employee Position]],tblPositionandPayRate[Employee Position],tblPositionandPayRate[Allowance 2],0)*tblPayrollMaster[[#This Row],[Pay Factor]]</f>
        <v>0</v>
      </c>
      <c r="N95" s="25">
        <f>_xlfn.XLOOKUP(tblPayrollMaster[[#This Row],[Employee Position]],tblPositionandPayRate[Employee Position],tblPositionandPayRate[Allowance 3],0)*tblPayrollMaster[[#This Row],[Pay Factor]]</f>
        <v>0</v>
      </c>
      <c r="O95" s="25">
        <f>_xlfn.XLOOKUP(tblPayrollMaster[[#This Row],[Employee Position]],tblPositionandPayRate[Employee Position],tblPositionandPayRate[Allowance 4],0)*tblPayrollMaster[[#This Row],[Pay Factor]]</f>
        <v>0</v>
      </c>
      <c r="P95" s="25">
        <f>_xlfn.XLOOKUP(tblPayrollMaster[[#This Row],[Employee Position]],tblPositionandPayRate[Employee Position],tblPositionandPayRate[Allowance 5],0)*tblPayrollMaster[[#This Row],[Pay Factor]]</f>
        <v>0</v>
      </c>
      <c r="Q95" s="3">
        <f>SUM(tblPayrollMaster[[#This Row],[Basic Pay]:[Allowance 5]])</f>
        <v>0</v>
      </c>
      <c r="R9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5" s="51" cm="1">
        <f t="array" ref="S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5" s="3" cm="1">
        <f t="array" ref="T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5" s="25">
        <f>_xlfn.LET(
_xlpm.tos, _xlfn.XLOOKUP(tblPayrollMaster[[#This Row],[Employee ID]], tblEmployee[Employee ID], tblEmployee[Type of Service], ""),
IF(_xlpm.tos="Contract of Service", 8.25, 0)
)</f>
        <v>0</v>
      </c>
      <c r="V95" s="25">
        <f>tblPayrollMaster[[#This Row],[Basic Earnings]]-tblPayrollMaster[[#This Row],[Tax]]-tblPayrollMaster[[#This Row],[NIS - Employee]]-tblPayrollMaster[[#This Row],[Health Surcharge]]</f>
        <v>0</v>
      </c>
      <c r="W95" s="25">
        <f>tblPayrollMaster[[#This Row],[Net Pay]]</f>
        <v>0</v>
      </c>
      <c r="X95" s="25"/>
    </row>
    <row r="96" spans="1:24" x14ac:dyDescent="0.25">
      <c r="A96" s="24"/>
      <c r="B96" s="24" t="str">
        <f>_xlfn.XLOOKUP(tblPayrollMaster[[#This Row],[Employee ID]],tblEmployee[Employee ID],tblEmployee[Employee Name],"")</f>
        <v/>
      </c>
      <c r="C96" s="24" t="str">
        <f>_xlfn.XLOOKUP(tblPayrollMaster[[#This Row],[Employee ID]],tblEmployee[Employee ID],tblEmployee[Employee Position],"")</f>
        <v/>
      </c>
      <c r="D96" s="24" t="str">
        <f>_xlfn.XLOOKUP(tblPayrollMaster[[#This Row],[Employee ID]], tblEmployee[Employee ID], tblEmployee[Pay Status], "Pay")</f>
        <v>Pay</v>
      </c>
      <c r="E96" s="24" t="str">
        <f>_xlfn.XLOOKUP(tblPayrollMaster[[#This Row],[Employee ID]], tblEmployee[Employee ID], tblEmployee[Payable Flag], "Y")</f>
        <v>Y</v>
      </c>
      <c r="F96" s="45">
        <f>IF(tblPayrollMaster[[#This Row],[Payable Flag]]="N",0,_xlfn.XLOOKUP(tblPayrollMaster[[#This Row],[Employee ID]],tblEmployee[Employee ID],tblEmployee[Pay Factor],1))</f>
        <v>1</v>
      </c>
      <c r="G96" s="26" t="str" cm="1">
        <f t="array" ref="G96">IF(tblPayrollMaster[[#This Row],[Employee ID]]="","",_xlfn.XLOOKUP(selPayPeriodID,tblPayCalendar[PayPeriodID],tblPayCalendar[PeriodStart],""))</f>
        <v/>
      </c>
      <c r="H96" s="26" t="str" cm="1">
        <f t="array" ref="H96">IF(tblPayrollMaster[[#This Row],[Employee ID]]="","",_xlfn.XLOOKUP(selPayPeriodID,tblPayCalendar[PayPeriodID],tblPayCalendar[PeriodEnd],""))</f>
        <v/>
      </c>
      <c r="I96" s="24" t="e" cm="1" vm="1">
        <f t="array" aca="1" ref="I96" ca="1">Table18[Employer Name]</f>
        <v>#VALUE!</v>
      </c>
      <c r="J96" s="3" cm="1">
        <f t="array" ref="J9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6" s="25" t="str">
        <f>_xlfn.XLOOKUP(tblPayrollMaster[[#This Row],[Employee Position]],tblPositionandPayRate[Employee Position],tblPositionandPayRate[Overtime], " ")</f>
        <v xml:space="preserve"> </v>
      </c>
      <c r="L96" s="25">
        <f>_xlfn.XLOOKUP(tblPayrollMaster[[#This Row],[Employee Position]],tblPositionandPayRate[Employee Position],tblPositionandPayRate[Allowance 1],0)*tblPayrollMaster[[#This Row],[Pay Factor]]</f>
        <v>0</v>
      </c>
      <c r="M96" s="25">
        <f>_xlfn.XLOOKUP(tblPayrollMaster[[#This Row],[Employee Position]],tblPositionandPayRate[Employee Position],tblPositionandPayRate[Allowance 2],0)*tblPayrollMaster[[#This Row],[Pay Factor]]</f>
        <v>0</v>
      </c>
      <c r="N96" s="25">
        <f>_xlfn.XLOOKUP(tblPayrollMaster[[#This Row],[Employee Position]],tblPositionandPayRate[Employee Position],tblPositionandPayRate[Allowance 3],0)*tblPayrollMaster[[#This Row],[Pay Factor]]</f>
        <v>0</v>
      </c>
      <c r="O96" s="25">
        <f>_xlfn.XLOOKUP(tblPayrollMaster[[#This Row],[Employee Position]],tblPositionandPayRate[Employee Position],tblPositionandPayRate[Allowance 4],0)*tblPayrollMaster[[#This Row],[Pay Factor]]</f>
        <v>0</v>
      </c>
      <c r="P96" s="25">
        <f>_xlfn.XLOOKUP(tblPayrollMaster[[#This Row],[Employee Position]],tblPositionandPayRate[Employee Position],tblPositionandPayRate[Allowance 5],0)*tblPayrollMaster[[#This Row],[Pay Factor]]</f>
        <v>0</v>
      </c>
      <c r="Q96" s="3">
        <f>SUM(tblPayrollMaster[[#This Row],[Basic Pay]:[Allowance 5]])</f>
        <v>0</v>
      </c>
      <c r="R9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6" s="51" cm="1">
        <f t="array" ref="S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6" s="3" cm="1">
        <f t="array" ref="T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6" s="25">
        <f>_xlfn.LET(
_xlpm.tos, _xlfn.XLOOKUP(tblPayrollMaster[[#This Row],[Employee ID]], tblEmployee[Employee ID], tblEmployee[Type of Service], ""),
IF(_xlpm.tos="Contract of Service", 8.25, 0)
)</f>
        <v>0</v>
      </c>
      <c r="V96" s="25">
        <f>tblPayrollMaster[[#This Row],[Basic Earnings]]-tblPayrollMaster[[#This Row],[Tax]]-tblPayrollMaster[[#This Row],[NIS - Employee]]-tblPayrollMaster[[#This Row],[Health Surcharge]]</f>
        <v>0</v>
      </c>
      <c r="W96" s="25">
        <f>tblPayrollMaster[[#This Row],[Net Pay]]</f>
        <v>0</v>
      </c>
      <c r="X96" s="25"/>
    </row>
    <row r="97" spans="1:24" x14ac:dyDescent="0.25">
      <c r="A97" s="24"/>
      <c r="B97" s="24" t="str">
        <f>_xlfn.XLOOKUP(tblPayrollMaster[[#This Row],[Employee ID]],tblEmployee[Employee ID],tblEmployee[Employee Name],"")</f>
        <v/>
      </c>
      <c r="C97" s="24" t="str">
        <f>_xlfn.XLOOKUP(tblPayrollMaster[[#This Row],[Employee ID]],tblEmployee[Employee ID],tblEmployee[Employee Position],"")</f>
        <v/>
      </c>
      <c r="D97" s="24" t="str">
        <f>_xlfn.XLOOKUP(tblPayrollMaster[[#This Row],[Employee ID]], tblEmployee[Employee ID], tblEmployee[Pay Status], "Pay")</f>
        <v>Pay</v>
      </c>
      <c r="E97" s="24" t="str">
        <f>_xlfn.XLOOKUP(tblPayrollMaster[[#This Row],[Employee ID]], tblEmployee[Employee ID], tblEmployee[Payable Flag], "Y")</f>
        <v>Y</v>
      </c>
      <c r="F97" s="45">
        <f>IF(tblPayrollMaster[[#This Row],[Payable Flag]]="N",0,_xlfn.XLOOKUP(tblPayrollMaster[[#This Row],[Employee ID]],tblEmployee[Employee ID],tblEmployee[Pay Factor],1))</f>
        <v>1</v>
      </c>
      <c r="G97" s="26" t="str" cm="1">
        <f t="array" ref="G97">IF(tblPayrollMaster[[#This Row],[Employee ID]]="","",_xlfn.XLOOKUP(selPayPeriodID,tblPayCalendar[PayPeriodID],tblPayCalendar[PeriodStart],""))</f>
        <v/>
      </c>
      <c r="H97" s="26" t="str" cm="1">
        <f t="array" ref="H97">IF(tblPayrollMaster[[#This Row],[Employee ID]]="","",_xlfn.XLOOKUP(selPayPeriodID,tblPayCalendar[PayPeriodID],tblPayCalendar[PeriodEnd],""))</f>
        <v/>
      </c>
      <c r="I97" s="24" t="e" cm="1" vm="1">
        <f t="array" aca="1" ref="I97" ca="1">Table18[Employer Name]</f>
        <v>#VALUE!</v>
      </c>
      <c r="J97" s="3" cm="1">
        <f t="array" ref="J9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7" s="25" t="str">
        <f>_xlfn.XLOOKUP(tblPayrollMaster[[#This Row],[Employee Position]],tblPositionandPayRate[Employee Position],tblPositionandPayRate[Overtime], " ")</f>
        <v xml:space="preserve"> </v>
      </c>
      <c r="L97" s="25">
        <f>_xlfn.XLOOKUP(tblPayrollMaster[[#This Row],[Employee Position]],tblPositionandPayRate[Employee Position],tblPositionandPayRate[Allowance 1],0)*tblPayrollMaster[[#This Row],[Pay Factor]]</f>
        <v>0</v>
      </c>
      <c r="M97" s="25">
        <f>_xlfn.XLOOKUP(tblPayrollMaster[[#This Row],[Employee Position]],tblPositionandPayRate[Employee Position],tblPositionandPayRate[Allowance 2],0)*tblPayrollMaster[[#This Row],[Pay Factor]]</f>
        <v>0</v>
      </c>
      <c r="N97" s="25">
        <f>_xlfn.XLOOKUP(tblPayrollMaster[[#This Row],[Employee Position]],tblPositionandPayRate[Employee Position],tblPositionandPayRate[Allowance 3],0)*tblPayrollMaster[[#This Row],[Pay Factor]]</f>
        <v>0</v>
      </c>
      <c r="O97" s="25">
        <f>_xlfn.XLOOKUP(tblPayrollMaster[[#This Row],[Employee Position]],tblPositionandPayRate[Employee Position],tblPositionandPayRate[Allowance 4],0)*tblPayrollMaster[[#This Row],[Pay Factor]]</f>
        <v>0</v>
      </c>
      <c r="P97" s="25">
        <f>_xlfn.XLOOKUP(tblPayrollMaster[[#This Row],[Employee Position]],tblPositionandPayRate[Employee Position],tblPositionandPayRate[Allowance 5],0)*tblPayrollMaster[[#This Row],[Pay Factor]]</f>
        <v>0</v>
      </c>
      <c r="Q97" s="3">
        <f>SUM(tblPayrollMaster[[#This Row],[Basic Pay]:[Allowance 5]])</f>
        <v>0</v>
      </c>
      <c r="R9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7" s="51" cm="1">
        <f t="array" ref="S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7" s="3" cm="1">
        <f t="array" ref="T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7" s="25">
        <f>_xlfn.LET(
_xlpm.tos, _xlfn.XLOOKUP(tblPayrollMaster[[#This Row],[Employee ID]], tblEmployee[Employee ID], tblEmployee[Type of Service], ""),
IF(_xlpm.tos="Contract of Service", 8.25, 0)
)</f>
        <v>0</v>
      </c>
      <c r="V97" s="25">
        <f>tblPayrollMaster[[#This Row],[Basic Earnings]]-tblPayrollMaster[[#This Row],[Tax]]-tblPayrollMaster[[#This Row],[NIS - Employee]]-tblPayrollMaster[[#This Row],[Health Surcharge]]</f>
        <v>0</v>
      </c>
      <c r="W97" s="25">
        <f>tblPayrollMaster[[#This Row],[Net Pay]]</f>
        <v>0</v>
      </c>
      <c r="X97" s="25"/>
    </row>
    <row r="98" spans="1:24" x14ac:dyDescent="0.25">
      <c r="A98" s="24"/>
      <c r="B98" s="24" t="str">
        <f>_xlfn.XLOOKUP(tblPayrollMaster[[#This Row],[Employee ID]],tblEmployee[Employee ID],tblEmployee[Employee Name],"")</f>
        <v/>
      </c>
      <c r="C98" s="24" t="str">
        <f>_xlfn.XLOOKUP(tblPayrollMaster[[#This Row],[Employee ID]],tblEmployee[Employee ID],tblEmployee[Employee Position],"")</f>
        <v/>
      </c>
      <c r="D98" s="24" t="str">
        <f>_xlfn.XLOOKUP(tblPayrollMaster[[#This Row],[Employee ID]], tblEmployee[Employee ID], tblEmployee[Pay Status], "Pay")</f>
        <v>Pay</v>
      </c>
      <c r="E98" s="24" t="str">
        <f>_xlfn.XLOOKUP(tblPayrollMaster[[#This Row],[Employee ID]], tblEmployee[Employee ID], tblEmployee[Payable Flag], "Y")</f>
        <v>Y</v>
      </c>
      <c r="F98" s="45">
        <f>IF(tblPayrollMaster[[#This Row],[Payable Flag]]="N",0,_xlfn.XLOOKUP(tblPayrollMaster[[#This Row],[Employee ID]],tblEmployee[Employee ID],tblEmployee[Pay Factor],1))</f>
        <v>1</v>
      </c>
      <c r="G98" s="26" t="str" cm="1">
        <f t="array" ref="G98">IF(tblPayrollMaster[[#This Row],[Employee ID]]="","",_xlfn.XLOOKUP(selPayPeriodID,tblPayCalendar[PayPeriodID],tblPayCalendar[PeriodStart],""))</f>
        <v/>
      </c>
      <c r="H98" s="26" t="str" cm="1">
        <f t="array" ref="H98">IF(tblPayrollMaster[[#This Row],[Employee ID]]="","",_xlfn.XLOOKUP(selPayPeriodID,tblPayCalendar[PayPeriodID],tblPayCalendar[PeriodEnd],""))</f>
        <v/>
      </c>
      <c r="I98" s="24" t="e" cm="1" vm="1">
        <f t="array" aca="1" ref="I98" ca="1">Table18[Employer Name]</f>
        <v>#VALUE!</v>
      </c>
      <c r="J98" s="3" cm="1">
        <f t="array" ref="J9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8" s="25" t="str">
        <f>_xlfn.XLOOKUP(tblPayrollMaster[[#This Row],[Employee Position]],tblPositionandPayRate[Employee Position],tblPositionandPayRate[Overtime], " ")</f>
        <v xml:space="preserve"> </v>
      </c>
      <c r="L98" s="25">
        <f>_xlfn.XLOOKUP(tblPayrollMaster[[#This Row],[Employee Position]],tblPositionandPayRate[Employee Position],tblPositionandPayRate[Allowance 1],0)*tblPayrollMaster[[#This Row],[Pay Factor]]</f>
        <v>0</v>
      </c>
      <c r="M98" s="25">
        <f>_xlfn.XLOOKUP(tblPayrollMaster[[#This Row],[Employee Position]],tblPositionandPayRate[Employee Position],tblPositionandPayRate[Allowance 2],0)*tblPayrollMaster[[#This Row],[Pay Factor]]</f>
        <v>0</v>
      </c>
      <c r="N98" s="25">
        <f>_xlfn.XLOOKUP(tblPayrollMaster[[#This Row],[Employee Position]],tblPositionandPayRate[Employee Position],tblPositionandPayRate[Allowance 3],0)*tblPayrollMaster[[#This Row],[Pay Factor]]</f>
        <v>0</v>
      </c>
      <c r="O98" s="25">
        <f>_xlfn.XLOOKUP(tblPayrollMaster[[#This Row],[Employee Position]],tblPositionandPayRate[Employee Position],tblPositionandPayRate[Allowance 4],0)*tblPayrollMaster[[#This Row],[Pay Factor]]</f>
        <v>0</v>
      </c>
      <c r="P98" s="25">
        <f>_xlfn.XLOOKUP(tblPayrollMaster[[#This Row],[Employee Position]],tblPositionandPayRate[Employee Position],tblPositionandPayRate[Allowance 5],0)*tblPayrollMaster[[#This Row],[Pay Factor]]</f>
        <v>0</v>
      </c>
      <c r="Q98" s="3">
        <f>SUM(tblPayrollMaster[[#This Row],[Basic Pay]:[Allowance 5]])</f>
        <v>0</v>
      </c>
      <c r="R9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8" s="51" cm="1">
        <f t="array" ref="S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8" s="3" cm="1">
        <f t="array" ref="T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8" s="25">
        <f>_xlfn.LET(
_xlpm.tos, _xlfn.XLOOKUP(tblPayrollMaster[[#This Row],[Employee ID]], tblEmployee[Employee ID], tblEmployee[Type of Service], ""),
IF(_xlpm.tos="Contract of Service", 8.25, 0)
)</f>
        <v>0</v>
      </c>
      <c r="V98" s="25">
        <f>tblPayrollMaster[[#This Row],[Basic Earnings]]-tblPayrollMaster[[#This Row],[Tax]]-tblPayrollMaster[[#This Row],[NIS - Employee]]-tblPayrollMaster[[#This Row],[Health Surcharge]]</f>
        <v>0</v>
      </c>
      <c r="W98" s="25">
        <f>tblPayrollMaster[[#This Row],[Net Pay]]</f>
        <v>0</v>
      </c>
      <c r="X98" s="25"/>
    </row>
    <row r="99" spans="1:24" x14ac:dyDescent="0.25">
      <c r="A99" s="24"/>
      <c r="B99" s="24" t="str">
        <f>_xlfn.XLOOKUP(tblPayrollMaster[[#This Row],[Employee ID]],tblEmployee[Employee ID],tblEmployee[Employee Name],"")</f>
        <v/>
      </c>
      <c r="C99" s="24" t="str">
        <f>_xlfn.XLOOKUP(tblPayrollMaster[[#This Row],[Employee ID]],tblEmployee[Employee ID],tblEmployee[Employee Position],"")</f>
        <v/>
      </c>
      <c r="D99" s="24" t="str">
        <f>_xlfn.XLOOKUP(tblPayrollMaster[[#This Row],[Employee ID]], tblEmployee[Employee ID], tblEmployee[Pay Status], "Pay")</f>
        <v>Pay</v>
      </c>
      <c r="E99" s="24" t="str">
        <f>_xlfn.XLOOKUP(tblPayrollMaster[[#This Row],[Employee ID]], tblEmployee[Employee ID], tblEmployee[Payable Flag], "Y")</f>
        <v>Y</v>
      </c>
      <c r="F99" s="45">
        <f>IF(tblPayrollMaster[[#This Row],[Payable Flag]]="N",0,_xlfn.XLOOKUP(tblPayrollMaster[[#This Row],[Employee ID]],tblEmployee[Employee ID],tblEmployee[Pay Factor],1))</f>
        <v>1</v>
      </c>
      <c r="G99" s="26" t="str" cm="1">
        <f t="array" ref="G99">IF(tblPayrollMaster[[#This Row],[Employee ID]]="","",_xlfn.XLOOKUP(selPayPeriodID,tblPayCalendar[PayPeriodID],tblPayCalendar[PeriodStart],""))</f>
        <v/>
      </c>
      <c r="H99" s="26" t="str" cm="1">
        <f t="array" ref="H99">IF(tblPayrollMaster[[#This Row],[Employee ID]]="","",_xlfn.XLOOKUP(selPayPeriodID,tblPayCalendar[PayPeriodID],tblPayCalendar[PeriodEnd],""))</f>
        <v/>
      </c>
      <c r="I99" s="24" t="e" cm="1" vm="1">
        <f t="array" aca="1" ref="I99" ca="1">Table18[Employer Name]</f>
        <v>#VALUE!</v>
      </c>
      <c r="J99" s="3" cm="1">
        <f t="array" ref="J9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9" s="25" t="str">
        <f>_xlfn.XLOOKUP(tblPayrollMaster[[#This Row],[Employee Position]],tblPositionandPayRate[Employee Position],tblPositionandPayRate[Overtime], " ")</f>
        <v xml:space="preserve"> </v>
      </c>
      <c r="L99" s="25">
        <f>_xlfn.XLOOKUP(tblPayrollMaster[[#This Row],[Employee Position]],tblPositionandPayRate[Employee Position],tblPositionandPayRate[Allowance 1],0)*tblPayrollMaster[[#This Row],[Pay Factor]]</f>
        <v>0</v>
      </c>
      <c r="M99" s="25">
        <f>_xlfn.XLOOKUP(tblPayrollMaster[[#This Row],[Employee Position]],tblPositionandPayRate[Employee Position],tblPositionandPayRate[Allowance 2],0)*tblPayrollMaster[[#This Row],[Pay Factor]]</f>
        <v>0</v>
      </c>
      <c r="N99" s="25">
        <f>_xlfn.XLOOKUP(tblPayrollMaster[[#This Row],[Employee Position]],tblPositionandPayRate[Employee Position],tblPositionandPayRate[Allowance 3],0)*tblPayrollMaster[[#This Row],[Pay Factor]]</f>
        <v>0</v>
      </c>
      <c r="O99" s="25">
        <f>_xlfn.XLOOKUP(tblPayrollMaster[[#This Row],[Employee Position]],tblPositionandPayRate[Employee Position],tblPositionandPayRate[Allowance 4],0)*tblPayrollMaster[[#This Row],[Pay Factor]]</f>
        <v>0</v>
      </c>
      <c r="P99" s="25">
        <f>_xlfn.XLOOKUP(tblPayrollMaster[[#This Row],[Employee Position]],tblPositionandPayRate[Employee Position],tblPositionandPayRate[Allowance 5],0)*tblPayrollMaster[[#This Row],[Pay Factor]]</f>
        <v>0</v>
      </c>
      <c r="Q99" s="3">
        <f>SUM(tblPayrollMaster[[#This Row],[Basic Pay]:[Allowance 5]])</f>
        <v>0</v>
      </c>
      <c r="R9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9" s="51" cm="1">
        <f t="array" ref="S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9" s="3" cm="1">
        <f t="array" ref="T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9" s="25">
        <f>_xlfn.LET(
_xlpm.tos, _xlfn.XLOOKUP(tblPayrollMaster[[#This Row],[Employee ID]], tblEmployee[Employee ID], tblEmployee[Type of Service], ""),
IF(_xlpm.tos="Contract of Service", 8.25, 0)
)</f>
        <v>0</v>
      </c>
      <c r="V99" s="25">
        <f>tblPayrollMaster[[#This Row],[Basic Earnings]]-tblPayrollMaster[[#This Row],[Tax]]-tblPayrollMaster[[#This Row],[NIS - Employee]]-tblPayrollMaster[[#This Row],[Health Surcharge]]</f>
        <v>0</v>
      </c>
      <c r="W99" s="25">
        <f>tblPayrollMaster[[#This Row],[Net Pay]]</f>
        <v>0</v>
      </c>
      <c r="X99" s="25"/>
    </row>
    <row r="100" spans="1:24" x14ac:dyDescent="0.25">
      <c r="A100" s="24"/>
      <c r="B100" s="24" t="str">
        <f>_xlfn.XLOOKUP(tblPayrollMaster[[#This Row],[Employee ID]],tblEmployee[Employee ID],tblEmployee[Employee Name],"")</f>
        <v/>
      </c>
      <c r="C100" s="24" t="str">
        <f>_xlfn.XLOOKUP(tblPayrollMaster[[#This Row],[Employee ID]],tblEmployee[Employee ID],tblEmployee[Employee Position],"")</f>
        <v/>
      </c>
      <c r="D100" s="24" t="str">
        <f>_xlfn.XLOOKUP(tblPayrollMaster[[#This Row],[Employee ID]], tblEmployee[Employee ID], tblEmployee[Pay Status], "Pay")</f>
        <v>Pay</v>
      </c>
      <c r="E100" s="24" t="str">
        <f>_xlfn.XLOOKUP(tblPayrollMaster[[#This Row],[Employee ID]], tblEmployee[Employee ID], tblEmployee[Payable Flag], "Y")</f>
        <v>Y</v>
      </c>
      <c r="F100" s="45">
        <f>IF(tblPayrollMaster[[#This Row],[Payable Flag]]="N",0,_xlfn.XLOOKUP(tblPayrollMaster[[#This Row],[Employee ID]],tblEmployee[Employee ID],tblEmployee[Pay Factor],1))</f>
        <v>1</v>
      </c>
      <c r="G100" s="26" t="str" cm="1">
        <f t="array" ref="G100">IF(tblPayrollMaster[[#This Row],[Employee ID]]="","",_xlfn.XLOOKUP(selPayPeriodID,tblPayCalendar[PayPeriodID],tblPayCalendar[PeriodStart],""))</f>
        <v/>
      </c>
      <c r="H100" s="26" t="str" cm="1">
        <f t="array" ref="H100">IF(tblPayrollMaster[[#This Row],[Employee ID]]="","",_xlfn.XLOOKUP(selPayPeriodID,tblPayCalendar[PayPeriodID],tblPayCalendar[PeriodEnd],""))</f>
        <v/>
      </c>
      <c r="I100" s="24" t="e" cm="1" vm="1">
        <f t="array" aca="1" ref="I100" ca="1">Table18[Employer Name]</f>
        <v>#VALUE!</v>
      </c>
      <c r="J100" s="3" cm="1">
        <f t="array" ref="J10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00" s="25" t="str">
        <f>_xlfn.XLOOKUP(tblPayrollMaster[[#This Row],[Employee Position]],tblPositionandPayRate[Employee Position],tblPositionandPayRate[Overtime], " ")</f>
        <v xml:space="preserve"> </v>
      </c>
      <c r="L100" s="25">
        <f>_xlfn.XLOOKUP(tblPayrollMaster[[#This Row],[Employee Position]],tblPositionandPayRate[Employee Position],tblPositionandPayRate[Allowance 1],0)*tblPayrollMaster[[#This Row],[Pay Factor]]</f>
        <v>0</v>
      </c>
      <c r="M100" s="25">
        <f>_xlfn.XLOOKUP(tblPayrollMaster[[#This Row],[Employee Position]],tblPositionandPayRate[Employee Position],tblPositionandPayRate[Allowance 2],0)*tblPayrollMaster[[#This Row],[Pay Factor]]</f>
        <v>0</v>
      </c>
      <c r="N100" s="25">
        <f>_xlfn.XLOOKUP(tblPayrollMaster[[#This Row],[Employee Position]],tblPositionandPayRate[Employee Position],tblPositionandPayRate[Allowance 3],0)*tblPayrollMaster[[#This Row],[Pay Factor]]</f>
        <v>0</v>
      </c>
      <c r="O100" s="25">
        <f>_xlfn.XLOOKUP(tblPayrollMaster[[#This Row],[Employee Position]],tblPositionandPayRate[Employee Position],tblPositionandPayRate[Allowance 4],0)*tblPayrollMaster[[#This Row],[Pay Factor]]</f>
        <v>0</v>
      </c>
      <c r="P100" s="25">
        <f>_xlfn.XLOOKUP(tblPayrollMaster[[#This Row],[Employee Position]],tblPositionandPayRate[Employee Position],tblPositionandPayRate[Allowance 5],0)*tblPayrollMaster[[#This Row],[Pay Factor]]</f>
        <v>0</v>
      </c>
      <c r="Q100" s="3">
        <f>SUM(tblPayrollMaster[[#This Row],[Basic Pay]:[Allowance 5]])</f>
        <v>0</v>
      </c>
      <c r="R10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00" s="51" cm="1">
        <f t="array" ref="S1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00" s="3" cm="1">
        <f t="array" ref="T1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00" s="25">
        <f>_xlfn.LET(
_xlpm.tos, _xlfn.XLOOKUP(tblPayrollMaster[[#This Row],[Employee ID]], tblEmployee[Employee ID], tblEmployee[Type of Service], ""),
IF(_xlpm.tos="Contract of Service", 8.25, 0)
)</f>
        <v>0</v>
      </c>
      <c r="V100" s="25">
        <f>tblPayrollMaster[[#This Row],[Basic Earnings]]-tblPayrollMaster[[#This Row],[Tax]]-tblPayrollMaster[[#This Row],[NIS - Employee]]-tblPayrollMaster[[#This Row],[Health Surcharge]]</f>
        <v>0</v>
      </c>
      <c r="W100" s="25">
        <f>tblPayrollMaster[[#This Row],[Net Pay]]</f>
        <v>0</v>
      </c>
      <c r="X100" s="25"/>
    </row>
    <row r="101" spans="1:24" x14ac:dyDescent="0.25">
      <c r="A101" s="24"/>
      <c r="B101" s="24" t="str">
        <f>_xlfn.XLOOKUP(tblPayrollMaster[[#This Row],[Employee ID]],tblEmployee[Employee ID],tblEmployee[Employee Name],"")</f>
        <v/>
      </c>
      <c r="C101" s="24" t="str">
        <f>_xlfn.XLOOKUP(tblPayrollMaster[[#This Row],[Employee ID]],tblEmployee[Employee ID],tblEmployee[Employee Position],"")</f>
        <v/>
      </c>
      <c r="D101" s="24" t="str">
        <f>_xlfn.XLOOKUP(tblPayrollMaster[[#This Row],[Employee ID]], tblEmployee[Employee ID], tblEmployee[Pay Status], "Pay")</f>
        <v>Pay</v>
      </c>
      <c r="E101" s="24" t="str">
        <f>_xlfn.XLOOKUP(tblPayrollMaster[[#This Row],[Employee ID]], tblEmployee[Employee ID], tblEmployee[Payable Flag], "Y")</f>
        <v>Y</v>
      </c>
      <c r="F101" s="45">
        <f>IF(tblPayrollMaster[[#This Row],[Payable Flag]]="N",0,_xlfn.XLOOKUP(tblPayrollMaster[[#This Row],[Employee ID]],tblEmployee[Employee ID],tblEmployee[Pay Factor],1))</f>
        <v>1</v>
      </c>
      <c r="G101" s="26" t="str" cm="1">
        <f t="array" ref="G101">IF(tblPayrollMaster[[#This Row],[Employee ID]]="","",_xlfn.XLOOKUP(selPayPeriodID,tblPayCalendar[PayPeriodID],tblPayCalendar[PeriodStart],""))</f>
        <v/>
      </c>
      <c r="H101" s="26" t="str" cm="1">
        <f t="array" ref="H101">IF(tblPayrollMaster[[#This Row],[Employee ID]]="","",_xlfn.XLOOKUP(selPayPeriodID,tblPayCalendar[PayPeriodID],tblPayCalendar[PeriodEnd],""))</f>
        <v/>
      </c>
      <c r="I101" s="24" t="e" cm="1" vm="1">
        <f t="array" aca="1" ref="I101" ca="1">Table18[Employer Name]</f>
        <v>#VALUE!</v>
      </c>
      <c r="J101" s="3" cm="1">
        <f t="array" ref="J10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01" s="25" t="str">
        <f>_xlfn.XLOOKUP(tblPayrollMaster[[#This Row],[Employee Position]],tblPositionandPayRate[Employee Position],tblPositionandPayRate[Overtime], " ")</f>
        <v xml:space="preserve"> </v>
      </c>
      <c r="L101" s="25">
        <f>_xlfn.XLOOKUP(tblPayrollMaster[[#This Row],[Employee Position]],tblPositionandPayRate[Employee Position],tblPositionandPayRate[Allowance 1],0)*tblPayrollMaster[[#This Row],[Pay Factor]]</f>
        <v>0</v>
      </c>
      <c r="M101" s="25">
        <f>_xlfn.XLOOKUP(tblPayrollMaster[[#This Row],[Employee Position]],tblPositionandPayRate[Employee Position],tblPositionandPayRate[Allowance 2],0)*tblPayrollMaster[[#This Row],[Pay Factor]]</f>
        <v>0</v>
      </c>
      <c r="N101" s="25">
        <f>_xlfn.XLOOKUP(tblPayrollMaster[[#This Row],[Employee Position]],tblPositionandPayRate[Employee Position],tblPositionandPayRate[Allowance 3],0)*tblPayrollMaster[[#This Row],[Pay Factor]]</f>
        <v>0</v>
      </c>
      <c r="O101" s="25">
        <f>_xlfn.XLOOKUP(tblPayrollMaster[[#This Row],[Employee Position]],tblPositionandPayRate[Employee Position],tblPositionandPayRate[Allowance 4],0)*tblPayrollMaster[[#This Row],[Pay Factor]]</f>
        <v>0</v>
      </c>
      <c r="P101" s="25">
        <f>_xlfn.XLOOKUP(tblPayrollMaster[[#This Row],[Employee Position]],tblPositionandPayRate[Employee Position],tblPositionandPayRate[Allowance 5],0)*tblPayrollMaster[[#This Row],[Pay Factor]]</f>
        <v>0</v>
      </c>
      <c r="Q101" s="3">
        <f>SUM(tblPayrollMaster[[#This Row],[Basic Pay]:[Allowance 5]])</f>
        <v>0</v>
      </c>
      <c r="R10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01" s="51" cm="1">
        <f t="array" ref="S1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01" s="3" cm="1">
        <f t="array" ref="T1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01" s="25">
        <f>_xlfn.LET(
_xlpm.tos, _xlfn.XLOOKUP(tblPayrollMaster[[#This Row],[Employee ID]], tblEmployee[Employee ID], tblEmployee[Type of Service], ""),
IF(_xlpm.tos="Contract of Service", 8.25, 0)
)</f>
        <v>0</v>
      </c>
      <c r="V101" s="25">
        <f>tblPayrollMaster[[#This Row],[Basic Earnings]]-tblPayrollMaster[[#This Row],[Tax]]-tblPayrollMaster[[#This Row],[NIS - Employee]]-tblPayrollMaster[[#This Row],[Health Surcharge]]</f>
        <v>0</v>
      </c>
      <c r="W101" s="25">
        <f>tblPayrollMaster[[#This Row],[Net Pay]]</f>
        <v>0</v>
      </c>
      <c r="X101" s="25"/>
    </row>
    <row r="102" spans="1:24" x14ac:dyDescent="0.25">
      <c r="A102" s="24"/>
      <c r="B102" s="24" t="str">
        <f>_xlfn.XLOOKUP(tblPayrollMaster[[#This Row],[Employee ID]],tblEmployee[Employee ID],tblEmployee[Employee Name],"")</f>
        <v/>
      </c>
      <c r="C102" s="24" t="str">
        <f>_xlfn.XLOOKUP(tblPayrollMaster[[#This Row],[Employee ID]],tblEmployee[Employee ID],tblEmployee[Employee Position],"")</f>
        <v/>
      </c>
      <c r="D102" s="24" t="str">
        <f>_xlfn.XLOOKUP(tblPayrollMaster[[#This Row],[Employee ID]], tblEmployee[Employee ID], tblEmployee[Pay Status], "Pay")</f>
        <v>Pay</v>
      </c>
      <c r="E102" s="24" t="str">
        <f>_xlfn.XLOOKUP(tblPayrollMaster[[#This Row],[Employee ID]], tblEmployee[Employee ID], tblEmployee[Payable Flag], "Y")</f>
        <v>Y</v>
      </c>
      <c r="F102" s="45">
        <f>IF(tblPayrollMaster[[#This Row],[Payable Flag]]="N",0,_xlfn.XLOOKUP(tblPayrollMaster[[#This Row],[Employee ID]],tblEmployee[Employee ID],tblEmployee[Pay Factor],1))</f>
        <v>1</v>
      </c>
      <c r="G102" s="26" t="str" cm="1">
        <f t="array" ref="G102">IF(tblPayrollMaster[[#This Row],[Employee ID]]="","",_xlfn.XLOOKUP(selPayPeriodID,tblPayCalendar[PayPeriodID],tblPayCalendar[PeriodStart],""))</f>
        <v/>
      </c>
      <c r="H102" s="26" t="str" cm="1">
        <f t="array" ref="H102">IF(tblPayrollMaster[[#This Row],[Employee ID]]="","",_xlfn.XLOOKUP(selPayPeriodID,tblPayCalendar[PayPeriodID],tblPayCalendar[PeriodEnd],""))</f>
        <v/>
      </c>
      <c r="I102" s="24" t="e" cm="1" vm="1">
        <f t="array" aca="1" ref="I102" ca="1">Table18[Employer Name]</f>
        <v>#VALUE!</v>
      </c>
      <c r="J102" s="3" cm="1">
        <f t="array" ref="J10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02" s="25" t="str">
        <f>_xlfn.XLOOKUP(tblPayrollMaster[[#This Row],[Employee Position]],tblPositionandPayRate[Employee Position],tblPositionandPayRate[Overtime], " ")</f>
        <v xml:space="preserve"> </v>
      </c>
      <c r="L102" s="25">
        <f>_xlfn.XLOOKUP(tblPayrollMaster[[#This Row],[Employee Position]],tblPositionandPayRate[Employee Position],tblPositionandPayRate[Allowance 1],0)*tblPayrollMaster[[#This Row],[Pay Factor]]</f>
        <v>0</v>
      </c>
      <c r="M102" s="25">
        <f>_xlfn.XLOOKUP(tblPayrollMaster[[#This Row],[Employee Position]],tblPositionandPayRate[Employee Position],tblPositionandPayRate[Allowance 2],0)*tblPayrollMaster[[#This Row],[Pay Factor]]</f>
        <v>0</v>
      </c>
      <c r="N102" s="25">
        <f>_xlfn.XLOOKUP(tblPayrollMaster[[#This Row],[Employee Position]],tblPositionandPayRate[Employee Position],tblPositionandPayRate[Allowance 3],0)*tblPayrollMaster[[#This Row],[Pay Factor]]</f>
        <v>0</v>
      </c>
      <c r="O102" s="25">
        <f>_xlfn.XLOOKUP(tblPayrollMaster[[#This Row],[Employee Position]],tblPositionandPayRate[Employee Position],tblPositionandPayRate[Allowance 4],0)*tblPayrollMaster[[#This Row],[Pay Factor]]</f>
        <v>0</v>
      </c>
      <c r="P102" s="25">
        <f>_xlfn.XLOOKUP(tblPayrollMaster[[#This Row],[Employee Position]],tblPositionandPayRate[Employee Position],tblPositionandPayRate[Allowance 5],0)*tblPayrollMaster[[#This Row],[Pay Factor]]</f>
        <v>0</v>
      </c>
      <c r="Q102" s="3">
        <f>SUM(tblPayrollMaster[[#This Row],[Basic Pay]:[Allowance 5]])</f>
        <v>0</v>
      </c>
      <c r="R10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02" s="51" cm="1">
        <f t="array" ref="S1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02" s="3" cm="1">
        <f t="array" ref="T1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02" s="25">
        <f>_xlfn.LET(
_xlpm.tos, _xlfn.XLOOKUP(tblPayrollMaster[[#This Row],[Employee ID]], tblEmployee[Employee ID], tblEmployee[Type of Service], ""),
IF(_xlpm.tos="Contract of Service", 8.25, 0)
)</f>
        <v>0</v>
      </c>
      <c r="V102" s="25">
        <f>tblPayrollMaster[[#This Row],[Basic Earnings]]-tblPayrollMaster[[#This Row],[Tax]]-tblPayrollMaster[[#This Row],[NIS - Employee]]-tblPayrollMaster[[#This Row],[Health Surcharge]]</f>
        <v>0</v>
      </c>
      <c r="W102" s="25">
        <f>tblPayrollMaster[[#This Row],[Net Pay]]</f>
        <v>0</v>
      </c>
      <c r="X102" s="25"/>
    </row>
    <row r="103" spans="1:24" x14ac:dyDescent="0.25">
      <c r="A103" s="24"/>
      <c r="B103" s="24" t="str">
        <f>_xlfn.XLOOKUP(tblPayrollMaster[[#This Row],[Employee ID]],tblEmployee[Employee ID],tblEmployee[Employee Name],"")</f>
        <v/>
      </c>
      <c r="C103" s="24" t="str">
        <f>_xlfn.XLOOKUP(tblPayrollMaster[[#This Row],[Employee ID]],tblEmployee[Employee ID],tblEmployee[Employee Position],"")</f>
        <v/>
      </c>
      <c r="D103" s="24" t="str">
        <f>_xlfn.XLOOKUP(tblPayrollMaster[[#This Row],[Employee ID]], tblEmployee[Employee ID], tblEmployee[Pay Status], "Pay")</f>
        <v>Pay</v>
      </c>
      <c r="E103" s="24" t="str">
        <f>_xlfn.XLOOKUP(tblPayrollMaster[[#This Row],[Employee ID]], tblEmployee[Employee ID], tblEmployee[Payable Flag], "Y")</f>
        <v>Y</v>
      </c>
      <c r="F103" s="45">
        <f>IF(tblPayrollMaster[[#This Row],[Payable Flag]]="N",0,_xlfn.XLOOKUP(tblPayrollMaster[[#This Row],[Employee ID]],tblEmployee[Employee ID],tblEmployee[Pay Factor],1))</f>
        <v>1</v>
      </c>
      <c r="G103" s="26" t="str" cm="1">
        <f t="array" ref="G103">IF(tblPayrollMaster[[#This Row],[Employee ID]]="","",_xlfn.XLOOKUP(selPayPeriodID,tblPayCalendar[PayPeriodID],tblPayCalendar[PeriodStart],""))</f>
        <v/>
      </c>
      <c r="H103" s="26" t="str" cm="1">
        <f t="array" ref="H103">IF(tblPayrollMaster[[#This Row],[Employee ID]]="","",_xlfn.XLOOKUP(selPayPeriodID,tblPayCalendar[PayPeriodID],tblPayCalendar[PeriodEnd],""))</f>
        <v/>
      </c>
      <c r="I103" s="24" t="e" cm="1" vm="1">
        <f t="array" aca="1" ref="I103" ca="1">Table18[Employer Name]</f>
        <v>#VALUE!</v>
      </c>
      <c r="J103" s="3" cm="1">
        <f t="array" ref="J10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03" s="25" t="str">
        <f>_xlfn.XLOOKUP(tblPayrollMaster[[#This Row],[Employee Position]],tblPositionandPayRate[Employee Position],tblPositionandPayRate[Overtime], " ")</f>
        <v xml:space="preserve"> </v>
      </c>
      <c r="L103" s="25">
        <f>_xlfn.XLOOKUP(tblPayrollMaster[[#This Row],[Employee Position]],tblPositionandPayRate[Employee Position],tblPositionandPayRate[Allowance 1],0)*tblPayrollMaster[[#This Row],[Pay Factor]]</f>
        <v>0</v>
      </c>
      <c r="M103" s="25">
        <f>_xlfn.XLOOKUP(tblPayrollMaster[[#This Row],[Employee Position]],tblPositionandPayRate[Employee Position],tblPositionandPayRate[Allowance 2],0)*tblPayrollMaster[[#This Row],[Pay Factor]]</f>
        <v>0</v>
      </c>
      <c r="N103" s="25">
        <f>_xlfn.XLOOKUP(tblPayrollMaster[[#This Row],[Employee Position]],tblPositionandPayRate[Employee Position],tblPositionandPayRate[Allowance 3],0)*tblPayrollMaster[[#This Row],[Pay Factor]]</f>
        <v>0</v>
      </c>
      <c r="O103" s="25">
        <f>_xlfn.XLOOKUP(tblPayrollMaster[[#This Row],[Employee Position]],tblPositionandPayRate[Employee Position],tblPositionandPayRate[Allowance 4],0)*tblPayrollMaster[[#This Row],[Pay Factor]]</f>
        <v>0</v>
      </c>
      <c r="P103" s="25">
        <f>_xlfn.XLOOKUP(tblPayrollMaster[[#This Row],[Employee Position]],tblPositionandPayRate[Employee Position],tblPositionandPayRate[Allowance 5],0)*tblPayrollMaster[[#This Row],[Pay Factor]]</f>
        <v>0</v>
      </c>
      <c r="Q103" s="3">
        <f>SUM(tblPayrollMaster[[#This Row],[Basic Pay]:[Allowance 5]])</f>
        <v>0</v>
      </c>
      <c r="R10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03" s="51" cm="1">
        <f t="array" ref="S1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03" s="3" cm="1">
        <f t="array" ref="T1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03" s="25">
        <f>_xlfn.LET(
_xlpm.tos, _xlfn.XLOOKUP(tblPayrollMaster[[#This Row],[Employee ID]], tblEmployee[Employee ID], tblEmployee[Type of Service], ""),
IF(_xlpm.tos="Contract of Service", 8.25, 0)
)</f>
        <v>0</v>
      </c>
      <c r="V103" s="25">
        <f>tblPayrollMaster[[#This Row],[Basic Earnings]]-tblPayrollMaster[[#This Row],[Tax]]-tblPayrollMaster[[#This Row],[NIS - Employee]]-tblPayrollMaster[[#This Row],[Health Surcharge]]</f>
        <v>0</v>
      </c>
      <c r="W103" s="25">
        <f>tblPayrollMaster[[#This Row],[Net Pay]]</f>
        <v>0</v>
      </c>
      <c r="X103" s="25"/>
    </row>
    <row r="104" spans="1:24" x14ac:dyDescent="0.25">
      <c r="A104" s="24"/>
      <c r="B104" s="24" t="str">
        <f>_xlfn.XLOOKUP(tblPayrollMaster[[#This Row],[Employee ID]],tblEmployee[Employee ID],tblEmployee[Employee Name],"")</f>
        <v/>
      </c>
      <c r="C104" s="24" t="str">
        <f>_xlfn.XLOOKUP(tblPayrollMaster[[#This Row],[Employee ID]],tblEmployee[Employee ID],tblEmployee[Employee Position],"")</f>
        <v/>
      </c>
      <c r="D104" s="24" t="str">
        <f>_xlfn.XLOOKUP(tblPayrollMaster[[#This Row],[Employee ID]], tblEmployee[Employee ID], tblEmployee[Pay Status], "Pay")</f>
        <v>Pay</v>
      </c>
      <c r="E104" s="24" t="str">
        <f>_xlfn.XLOOKUP(tblPayrollMaster[[#This Row],[Employee ID]], tblEmployee[Employee ID], tblEmployee[Payable Flag], "Y")</f>
        <v>Y</v>
      </c>
      <c r="F104" s="45">
        <f>IF(tblPayrollMaster[[#This Row],[Payable Flag]]="N",0,_xlfn.XLOOKUP(tblPayrollMaster[[#This Row],[Employee ID]],tblEmployee[Employee ID],tblEmployee[Pay Factor],1))</f>
        <v>1</v>
      </c>
      <c r="G104" s="26" t="str" cm="1">
        <f t="array" ref="G104">IF(tblPayrollMaster[[#This Row],[Employee ID]]="","",_xlfn.XLOOKUP(selPayPeriodID,tblPayCalendar[PayPeriodID],tblPayCalendar[PeriodStart],""))</f>
        <v/>
      </c>
      <c r="H104" s="26" t="str" cm="1">
        <f t="array" ref="H104">IF(tblPayrollMaster[[#This Row],[Employee ID]]="","",_xlfn.XLOOKUP(selPayPeriodID,tblPayCalendar[PayPeriodID],tblPayCalendar[PeriodEnd],""))</f>
        <v/>
      </c>
      <c r="I104" s="24" t="e" cm="1" vm="1">
        <f t="array" aca="1" ref="I104" ca="1">Table18[Employer Name]</f>
        <v>#VALUE!</v>
      </c>
      <c r="J104" s="3" cm="1">
        <f t="array" ref="J10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04" s="25" t="str">
        <f>_xlfn.XLOOKUP(tblPayrollMaster[[#This Row],[Employee Position]],tblPositionandPayRate[Employee Position],tblPositionandPayRate[Overtime], " ")</f>
        <v xml:space="preserve"> </v>
      </c>
      <c r="L104" s="25">
        <f>_xlfn.XLOOKUP(tblPayrollMaster[[#This Row],[Employee Position]],tblPositionandPayRate[Employee Position],tblPositionandPayRate[Allowance 1],0)*tblPayrollMaster[[#This Row],[Pay Factor]]</f>
        <v>0</v>
      </c>
      <c r="M104" s="25">
        <f>_xlfn.XLOOKUP(tblPayrollMaster[[#This Row],[Employee Position]],tblPositionandPayRate[Employee Position],tblPositionandPayRate[Allowance 2],0)*tblPayrollMaster[[#This Row],[Pay Factor]]</f>
        <v>0</v>
      </c>
      <c r="N104" s="25">
        <f>_xlfn.XLOOKUP(tblPayrollMaster[[#This Row],[Employee Position]],tblPositionandPayRate[Employee Position],tblPositionandPayRate[Allowance 3],0)*tblPayrollMaster[[#This Row],[Pay Factor]]</f>
        <v>0</v>
      </c>
      <c r="O104" s="25">
        <f>_xlfn.XLOOKUP(tblPayrollMaster[[#This Row],[Employee Position]],tblPositionandPayRate[Employee Position],tblPositionandPayRate[Allowance 4],0)*tblPayrollMaster[[#This Row],[Pay Factor]]</f>
        <v>0</v>
      </c>
      <c r="P104" s="25">
        <f>_xlfn.XLOOKUP(tblPayrollMaster[[#This Row],[Employee Position]],tblPositionandPayRate[Employee Position],tblPositionandPayRate[Allowance 5],0)*tblPayrollMaster[[#This Row],[Pay Factor]]</f>
        <v>0</v>
      </c>
      <c r="Q104" s="3">
        <f>SUM(tblPayrollMaster[[#This Row],[Basic Pay]:[Allowance 5]])</f>
        <v>0</v>
      </c>
      <c r="R10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04" s="51" cm="1">
        <f t="array" ref="S1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04" s="3" cm="1">
        <f t="array" ref="T1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04" s="25">
        <f>_xlfn.LET(
_xlpm.tos, _xlfn.XLOOKUP(tblPayrollMaster[[#This Row],[Employee ID]], tblEmployee[Employee ID], tblEmployee[Type of Service], ""),
IF(_xlpm.tos="Contract of Service", 8.25, 0)
)</f>
        <v>0</v>
      </c>
      <c r="V104" s="25">
        <f>tblPayrollMaster[[#This Row],[Basic Earnings]]-tblPayrollMaster[[#This Row],[Tax]]-tblPayrollMaster[[#This Row],[NIS - Employee]]-tblPayrollMaster[[#This Row],[Health Surcharge]]</f>
        <v>0</v>
      </c>
      <c r="W104" s="25">
        <f>tblPayrollMaster[[#This Row],[Net Pay]]</f>
        <v>0</v>
      </c>
      <c r="X104" s="25"/>
    </row>
    <row r="105" spans="1:24" x14ac:dyDescent="0.25">
      <c r="A105" s="24"/>
      <c r="B105" s="24" t="str">
        <f>_xlfn.XLOOKUP(tblPayrollMaster[[#This Row],[Employee ID]],tblEmployee[Employee ID],tblEmployee[Employee Name],"")</f>
        <v/>
      </c>
      <c r="C105" s="24" t="str">
        <f>_xlfn.XLOOKUP(tblPayrollMaster[[#This Row],[Employee ID]],tblEmployee[Employee ID],tblEmployee[Employee Position],"")</f>
        <v/>
      </c>
      <c r="D105" s="24" t="str">
        <f>_xlfn.XLOOKUP(tblPayrollMaster[[#This Row],[Employee ID]], tblEmployee[Employee ID], tblEmployee[Pay Status], "Pay")</f>
        <v>Pay</v>
      </c>
      <c r="E105" s="24" t="str">
        <f>_xlfn.XLOOKUP(tblPayrollMaster[[#This Row],[Employee ID]], tblEmployee[Employee ID], tblEmployee[Payable Flag], "Y")</f>
        <v>Y</v>
      </c>
      <c r="F105" s="45">
        <f>IF(tblPayrollMaster[[#This Row],[Payable Flag]]="N",0,_xlfn.XLOOKUP(tblPayrollMaster[[#This Row],[Employee ID]],tblEmployee[Employee ID],tblEmployee[Pay Factor],1))</f>
        <v>1</v>
      </c>
      <c r="G105" s="26" t="str" cm="1">
        <f t="array" ref="G105">IF(tblPayrollMaster[[#This Row],[Employee ID]]="","",_xlfn.XLOOKUP(selPayPeriodID,tblPayCalendar[PayPeriodID],tblPayCalendar[PeriodStart],""))</f>
        <v/>
      </c>
      <c r="H105" s="26" t="str" cm="1">
        <f t="array" ref="H105">IF(tblPayrollMaster[[#This Row],[Employee ID]]="","",_xlfn.XLOOKUP(selPayPeriodID,tblPayCalendar[PayPeriodID],tblPayCalendar[PeriodEnd],""))</f>
        <v/>
      </c>
      <c r="I105" s="24" t="e" cm="1" vm="1">
        <f t="array" aca="1" ref="I105" ca="1">Table18[Employer Name]</f>
        <v>#VALUE!</v>
      </c>
      <c r="J105" s="3" cm="1">
        <f t="array" ref="J10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05" s="25" t="str">
        <f>_xlfn.XLOOKUP(tblPayrollMaster[[#This Row],[Employee Position]],tblPositionandPayRate[Employee Position],tblPositionandPayRate[Overtime], " ")</f>
        <v xml:space="preserve"> </v>
      </c>
      <c r="L105" s="25">
        <f>_xlfn.XLOOKUP(tblPayrollMaster[[#This Row],[Employee Position]],tblPositionandPayRate[Employee Position],tblPositionandPayRate[Allowance 1],0)*tblPayrollMaster[[#This Row],[Pay Factor]]</f>
        <v>0</v>
      </c>
      <c r="M105" s="25">
        <f>_xlfn.XLOOKUP(tblPayrollMaster[[#This Row],[Employee Position]],tblPositionandPayRate[Employee Position],tblPositionandPayRate[Allowance 2],0)*tblPayrollMaster[[#This Row],[Pay Factor]]</f>
        <v>0</v>
      </c>
      <c r="N105" s="25">
        <f>_xlfn.XLOOKUP(tblPayrollMaster[[#This Row],[Employee Position]],tblPositionandPayRate[Employee Position],tblPositionandPayRate[Allowance 3],0)*tblPayrollMaster[[#This Row],[Pay Factor]]</f>
        <v>0</v>
      </c>
      <c r="O105" s="25">
        <f>_xlfn.XLOOKUP(tblPayrollMaster[[#This Row],[Employee Position]],tblPositionandPayRate[Employee Position],tblPositionandPayRate[Allowance 4],0)*tblPayrollMaster[[#This Row],[Pay Factor]]</f>
        <v>0</v>
      </c>
      <c r="P105" s="25">
        <f>_xlfn.XLOOKUP(tblPayrollMaster[[#This Row],[Employee Position]],tblPositionandPayRate[Employee Position],tblPositionandPayRate[Allowance 5],0)*tblPayrollMaster[[#This Row],[Pay Factor]]</f>
        <v>0</v>
      </c>
      <c r="Q105" s="25">
        <f>SUM(tblPayrollMaster[[#This Row],[Basic Pay]:[Allowance 5]])</f>
        <v>0</v>
      </c>
      <c r="R10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05" s="51" cm="1">
        <f t="array" ref="S1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05" s="3" cm="1">
        <f t="array" ref="T1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05" s="25">
        <f>_xlfn.LET(
_xlpm.tos, _xlfn.XLOOKUP(tblPayrollMaster[[#This Row],[Employee ID]], tblEmployee[Employee ID], tblEmployee[Type of Service], ""),
IF(_xlpm.tos="Contract of Service", 8.25, 0)
)</f>
        <v>0</v>
      </c>
      <c r="V105" s="25">
        <f>tblPayrollMaster[[#This Row],[Basic Earnings]]-tblPayrollMaster[[#This Row],[Tax]]-tblPayrollMaster[[#This Row],[NIS - Employee]]-tblPayrollMaster[[#This Row],[Health Surcharge]]</f>
        <v>0</v>
      </c>
      <c r="W105" s="25">
        <f>tblPayrollMaster[[#This Row],[Net Pay]]</f>
        <v>0</v>
      </c>
      <c r="X105" s="25"/>
    </row>
    <row r="106" spans="1:24" x14ac:dyDescent="0.25">
      <c r="A106" s="24"/>
      <c r="B106" s="24" t="str">
        <f>_xlfn.XLOOKUP(tblPayrollMaster[[#This Row],[Employee ID]],tblEmployee[Employee ID],tblEmployee[Employee Name],"")</f>
        <v/>
      </c>
      <c r="C106" s="24" t="str">
        <f>_xlfn.XLOOKUP(tblPayrollMaster[[#This Row],[Employee ID]],tblEmployee[Employee ID],tblEmployee[Employee Position],"")</f>
        <v/>
      </c>
      <c r="D106" s="24" t="str">
        <f>_xlfn.XLOOKUP(tblPayrollMaster[[#This Row],[Employee ID]], tblEmployee[Employee ID], tblEmployee[Pay Status], "Pay")</f>
        <v>Pay</v>
      </c>
      <c r="E106" s="24" t="str">
        <f>_xlfn.XLOOKUP(tblPayrollMaster[[#This Row],[Employee ID]], tblEmployee[Employee ID], tblEmployee[Payable Flag], "Y")</f>
        <v>Y</v>
      </c>
      <c r="F106" s="45">
        <f>IF(tblPayrollMaster[[#This Row],[Payable Flag]]="N",0,_xlfn.XLOOKUP(tblPayrollMaster[[#This Row],[Employee ID]],tblEmployee[Employee ID],tblEmployee[Pay Factor],1))</f>
        <v>1</v>
      </c>
      <c r="G106" s="26" t="str" cm="1">
        <f t="array" ref="G106">IF(tblPayrollMaster[[#This Row],[Employee ID]]="","",_xlfn.XLOOKUP(selPayPeriodID,tblPayCalendar[PayPeriodID],tblPayCalendar[PeriodStart],""))</f>
        <v/>
      </c>
      <c r="H106" s="26" t="str" cm="1">
        <f t="array" ref="H106">IF(tblPayrollMaster[[#This Row],[Employee ID]]="","",_xlfn.XLOOKUP(selPayPeriodID,tblPayCalendar[PayPeriodID],tblPayCalendar[PeriodEnd],""))</f>
        <v/>
      </c>
      <c r="I106" s="24" t="e" cm="1" vm="1">
        <f t="array" aca="1" ref="I106" ca="1">Table18[Employer Name]</f>
        <v>#VALUE!</v>
      </c>
      <c r="J106" s="3" cm="1">
        <f t="array" ref="J10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06" s="25" t="str">
        <f>_xlfn.XLOOKUP(tblPayrollMaster[[#This Row],[Employee Position]],tblPositionandPayRate[Employee Position],tblPositionandPayRate[Overtime], " ")</f>
        <v xml:space="preserve"> </v>
      </c>
      <c r="L106" s="25">
        <f>_xlfn.XLOOKUP(tblPayrollMaster[[#This Row],[Employee Position]],tblPositionandPayRate[Employee Position],tblPositionandPayRate[Allowance 1],0)*tblPayrollMaster[[#This Row],[Pay Factor]]</f>
        <v>0</v>
      </c>
      <c r="M106" s="25">
        <f>_xlfn.XLOOKUP(tblPayrollMaster[[#This Row],[Employee Position]],tblPositionandPayRate[Employee Position],tblPositionandPayRate[Allowance 2],0)*tblPayrollMaster[[#This Row],[Pay Factor]]</f>
        <v>0</v>
      </c>
      <c r="N106" s="25">
        <f>_xlfn.XLOOKUP(tblPayrollMaster[[#This Row],[Employee Position]],tblPositionandPayRate[Employee Position],tblPositionandPayRate[Allowance 3],0)*tblPayrollMaster[[#This Row],[Pay Factor]]</f>
        <v>0</v>
      </c>
      <c r="O106" s="25">
        <f>_xlfn.XLOOKUP(tblPayrollMaster[[#This Row],[Employee Position]],tblPositionandPayRate[Employee Position],tblPositionandPayRate[Allowance 4],0)*tblPayrollMaster[[#This Row],[Pay Factor]]</f>
        <v>0</v>
      </c>
      <c r="P106" s="25">
        <f>_xlfn.XLOOKUP(tblPayrollMaster[[#This Row],[Employee Position]],tblPositionandPayRate[Employee Position],tblPositionandPayRate[Allowance 5],0)*tblPayrollMaster[[#This Row],[Pay Factor]]</f>
        <v>0</v>
      </c>
      <c r="Q106" s="25">
        <f>SUM(tblPayrollMaster[[#This Row],[Basic Pay]:[Allowance 5]])</f>
        <v>0</v>
      </c>
      <c r="R10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06" s="51" cm="1">
        <f t="array" ref="S1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06" s="3" cm="1">
        <f t="array" ref="T1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06" s="25">
        <f>_xlfn.LET(
_xlpm.tos, _xlfn.XLOOKUP(tblPayrollMaster[[#This Row],[Employee ID]], tblEmployee[Employee ID], tblEmployee[Type of Service], ""),
IF(_xlpm.tos="Contract of Service", 8.25, 0)
)</f>
        <v>0</v>
      </c>
      <c r="V106" s="25">
        <f>tblPayrollMaster[[#This Row],[Basic Earnings]]-tblPayrollMaster[[#This Row],[Tax]]-tblPayrollMaster[[#This Row],[NIS - Employee]]-tblPayrollMaster[[#This Row],[Health Surcharge]]</f>
        <v>0</v>
      </c>
      <c r="W106" s="25">
        <f>tblPayrollMaster[[#This Row],[Net Pay]]</f>
        <v>0</v>
      </c>
      <c r="X106" s="25"/>
    </row>
    <row r="107" spans="1:24" x14ac:dyDescent="0.25">
      <c r="A107" s="24"/>
      <c r="B107" s="24" t="str">
        <f>_xlfn.XLOOKUP(tblPayrollMaster[[#This Row],[Employee ID]],tblEmployee[Employee ID],tblEmployee[Employee Name],"")</f>
        <v/>
      </c>
      <c r="C107" s="24" t="str">
        <f>_xlfn.XLOOKUP(tblPayrollMaster[[#This Row],[Employee ID]],tblEmployee[Employee ID],tblEmployee[Employee Position],"")</f>
        <v/>
      </c>
      <c r="D107" s="24" t="str">
        <f>_xlfn.XLOOKUP(tblPayrollMaster[[#This Row],[Employee ID]], tblEmployee[Employee ID], tblEmployee[Pay Status], "Pay")</f>
        <v>Pay</v>
      </c>
      <c r="E107" s="24" t="str">
        <f>_xlfn.XLOOKUP(tblPayrollMaster[[#This Row],[Employee ID]], tblEmployee[Employee ID], tblEmployee[Payable Flag], "Y")</f>
        <v>Y</v>
      </c>
      <c r="F107" s="45">
        <f>IF(tblPayrollMaster[[#This Row],[Payable Flag]]="N",0,_xlfn.XLOOKUP(tblPayrollMaster[[#This Row],[Employee ID]],tblEmployee[Employee ID],tblEmployee[Pay Factor],1))</f>
        <v>1</v>
      </c>
      <c r="G107" s="26" t="str" cm="1">
        <f t="array" ref="G107">IF(tblPayrollMaster[[#This Row],[Employee ID]]="","",_xlfn.XLOOKUP(selPayPeriodID,tblPayCalendar[PayPeriodID],tblPayCalendar[PeriodStart],""))</f>
        <v/>
      </c>
      <c r="H107" s="26" t="str" cm="1">
        <f t="array" ref="H107">IF(tblPayrollMaster[[#This Row],[Employee ID]]="","",_xlfn.XLOOKUP(selPayPeriodID,tblPayCalendar[PayPeriodID],tblPayCalendar[PeriodEnd],""))</f>
        <v/>
      </c>
      <c r="I107" s="24" t="e" cm="1" vm="1">
        <f t="array" aca="1" ref="I107" ca="1">Table18[Employer Name]</f>
        <v>#VALUE!</v>
      </c>
      <c r="J107" s="3" cm="1">
        <f t="array" ref="J10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07" s="25" t="str">
        <f>_xlfn.XLOOKUP(tblPayrollMaster[[#This Row],[Employee Position]],tblPositionandPayRate[Employee Position],tblPositionandPayRate[Overtime], " ")</f>
        <v xml:space="preserve"> </v>
      </c>
      <c r="L107" s="25">
        <f>_xlfn.XLOOKUP(tblPayrollMaster[[#This Row],[Employee Position]],tblPositionandPayRate[Employee Position],tblPositionandPayRate[Allowance 1],0)*tblPayrollMaster[[#This Row],[Pay Factor]]</f>
        <v>0</v>
      </c>
      <c r="M107" s="25">
        <f>_xlfn.XLOOKUP(tblPayrollMaster[[#This Row],[Employee Position]],tblPositionandPayRate[Employee Position],tblPositionandPayRate[Allowance 2],0)*tblPayrollMaster[[#This Row],[Pay Factor]]</f>
        <v>0</v>
      </c>
      <c r="N107" s="25">
        <f>_xlfn.XLOOKUP(tblPayrollMaster[[#This Row],[Employee Position]],tblPositionandPayRate[Employee Position],tblPositionandPayRate[Allowance 3],0)*tblPayrollMaster[[#This Row],[Pay Factor]]</f>
        <v>0</v>
      </c>
      <c r="O107" s="25">
        <f>_xlfn.XLOOKUP(tblPayrollMaster[[#This Row],[Employee Position]],tblPositionandPayRate[Employee Position],tblPositionandPayRate[Allowance 4],0)*tblPayrollMaster[[#This Row],[Pay Factor]]</f>
        <v>0</v>
      </c>
      <c r="P107" s="25">
        <f>_xlfn.XLOOKUP(tblPayrollMaster[[#This Row],[Employee Position]],tblPositionandPayRate[Employee Position],tblPositionandPayRate[Allowance 5],0)*tblPayrollMaster[[#This Row],[Pay Factor]]</f>
        <v>0</v>
      </c>
      <c r="Q107" s="25">
        <f>SUM(tblPayrollMaster[[#This Row],[Basic Pay]:[Allowance 5]])</f>
        <v>0</v>
      </c>
      <c r="R10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07" s="51" cm="1">
        <f t="array" ref="S1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07" s="3" cm="1">
        <f t="array" ref="T1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07" s="25">
        <f>_xlfn.LET(
_xlpm.tos, _xlfn.XLOOKUP(tblPayrollMaster[[#This Row],[Employee ID]], tblEmployee[Employee ID], tblEmployee[Type of Service], ""),
IF(_xlpm.tos="Contract of Service", 8.25, 0)
)</f>
        <v>0</v>
      </c>
      <c r="V107" s="25">
        <f>tblPayrollMaster[[#This Row],[Basic Earnings]]-tblPayrollMaster[[#This Row],[Tax]]-tblPayrollMaster[[#This Row],[NIS - Employee]]-tblPayrollMaster[[#This Row],[Health Surcharge]]</f>
        <v>0</v>
      </c>
      <c r="W107" s="25">
        <f>tblPayrollMaster[[#This Row],[Net Pay]]</f>
        <v>0</v>
      </c>
      <c r="X107" s="25"/>
    </row>
    <row r="108" spans="1:24" x14ac:dyDescent="0.25">
      <c r="A108" s="24"/>
      <c r="B108" s="24" t="str">
        <f>_xlfn.XLOOKUP(tblPayrollMaster[[#This Row],[Employee ID]],tblEmployee[Employee ID],tblEmployee[Employee Name],"")</f>
        <v/>
      </c>
      <c r="C108" s="24" t="str">
        <f>_xlfn.XLOOKUP(tblPayrollMaster[[#This Row],[Employee ID]],tblEmployee[Employee ID],tblEmployee[Employee Position],"")</f>
        <v/>
      </c>
      <c r="D108" s="24" t="str">
        <f>_xlfn.XLOOKUP(tblPayrollMaster[[#This Row],[Employee ID]], tblEmployee[Employee ID], tblEmployee[Pay Status], "Pay")</f>
        <v>Pay</v>
      </c>
      <c r="E108" s="24" t="str">
        <f>_xlfn.XLOOKUP(tblPayrollMaster[[#This Row],[Employee ID]], tblEmployee[Employee ID], tblEmployee[Payable Flag], "Y")</f>
        <v>Y</v>
      </c>
      <c r="F108" s="45">
        <f>IF(tblPayrollMaster[[#This Row],[Payable Flag]]="N",0,_xlfn.XLOOKUP(tblPayrollMaster[[#This Row],[Employee ID]],tblEmployee[Employee ID],tblEmployee[Pay Factor],1))</f>
        <v>1</v>
      </c>
      <c r="G108" s="26" t="str" cm="1">
        <f t="array" ref="G108">IF(tblPayrollMaster[[#This Row],[Employee ID]]="","",_xlfn.XLOOKUP(selPayPeriodID,tblPayCalendar[PayPeriodID],tblPayCalendar[PeriodStart],""))</f>
        <v/>
      </c>
      <c r="H108" s="26" t="str" cm="1">
        <f t="array" ref="H108">IF(tblPayrollMaster[[#This Row],[Employee ID]]="","",_xlfn.XLOOKUP(selPayPeriodID,tblPayCalendar[PayPeriodID],tblPayCalendar[PeriodEnd],""))</f>
        <v/>
      </c>
      <c r="I108" s="24" t="e" cm="1" vm="1">
        <f t="array" aca="1" ref="I108" ca="1">Table18[Employer Name]</f>
        <v>#VALUE!</v>
      </c>
      <c r="J108" s="3" cm="1">
        <f t="array" ref="J10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08" s="25" t="str">
        <f>_xlfn.XLOOKUP(tblPayrollMaster[[#This Row],[Employee Position]],tblPositionandPayRate[Employee Position],tblPositionandPayRate[Overtime], " ")</f>
        <v xml:space="preserve"> </v>
      </c>
      <c r="L108" s="25">
        <f>_xlfn.XLOOKUP(tblPayrollMaster[[#This Row],[Employee Position]],tblPositionandPayRate[Employee Position],tblPositionandPayRate[Allowance 1],0)*tblPayrollMaster[[#This Row],[Pay Factor]]</f>
        <v>0</v>
      </c>
      <c r="M108" s="25">
        <f>_xlfn.XLOOKUP(tblPayrollMaster[[#This Row],[Employee Position]],tblPositionandPayRate[Employee Position],tblPositionandPayRate[Allowance 2],0)*tblPayrollMaster[[#This Row],[Pay Factor]]</f>
        <v>0</v>
      </c>
      <c r="N108" s="25">
        <f>_xlfn.XLOOKUP(tblPayrollMaster[[#This Row],[Employee Position]],tblPositionandPayRate[Employee Position],tblPositionandPayRate[Allowance 3],0)*tblPayrollMaster[[#This Row],[Pay Factor]]</f>
        <v>0</v>
      </c>
      <c r="O108" s="25">
        <f>_xlfn.XLOOKUP(tblPayrollMaster[[#This Row],[Employee Position]],tblPositionandPayRate[Employee Position],tblPositionandPayRate[Allowance 4],0)*tblPayrollMaster[[#This Row],[Pay Factor]]</f>
        <v>0</v>
      </c>
      <c r="P108" s="25">
        <f>_xlfn.XLOOKUP(tblPayrollMaster[[#This Row],[Employee Position]],tblPositionandPayRate[Employee Position],tblPositionandPayRate[Allowance 5],0)*tblPayrollMaster[[#This Row],[Pay Factor]]</f>
        <v>0</v>
      </c>
      <c r="Q108" s="25">
        <f>SUM(tblPayrollMaster[[#This Row],[Basic Pay]:[Allowance 5]])</f>
        <v>0</v>
      </c>
      <c r="R10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08" s="51" cm="1">
        <f t="array" ref="S1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08" s="3" cm="1">
        <f t="array" ref="T1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08" s="25">
        <f>_xlfn.LET(
_xlpm.tos, _xlfn.XLOOKUP(tblPayrollMaster[[#This Row],[Employee ID]], tblEmployee[Employee ID], tblEmployee[Type of Service], ""),
IF(_xlpm.tos="Contract of Service", 8.25, 0)
)</f>
        <v>0</v>
      </c>
      <c r="V108" s="25">
        <f>tblPayrollMaster[[#This Row],[Basic Earnings]]-tblPayrollMaster[[#This Row],[Tax]]-tblPayrollMaster[[#This Row],[NIS - Employee]]-tblPayrollMaster[[#This Row],[Health Surcharge]]</f>
        <v>0</v>
      </c>
      <c r="W108" s="25">
        <f>tblPayrollMaster[[#This Row],[Net Pay]]</f>
        <v>0</v>
      </c>
      <c r="X108" s="25"/>
    </row>
    <row r="109" spans="1:24" x14ac:dyDescent="0.25">
      <c r="A109" s="24"/>
      <c r="B109" s="24" t="str">
        <f>_xlfn.XLOOKUP(tblPayrollMaster[[#This Row],[Employee ID]],tblEmployee[Employee ID],tblEmployee[Employee Name],"")</f>
        <v/>
      </c>
      <c r="C109" s="24" t="str">
        <f>_xlfn.XLOOKUP(tblPayrollMaster[[#This Row],[Employee ID]],tblEmployee[Employee ID],tblEmployee[Employee Position],"")</f>
        <v/>
      </c>
      <c r="D109" s="24" t="str">
        <f>_xlfn.XLOOKUP(tblPayrollMaster[[#This Row],[Employee ID]], tblEmployee[Employee ID], tblEmployee[Pay Status], "Pay")</f>
        <v>Pay</v>
      </c>
      <c r="E109" s="24" t="str">
        <f>_xlfn.XLOOKUP(tblPayrollMaster[[#This Row],[Employee ID]], tblEmployee[Employee ID], tblEmployee[Payable Flag], "Y")</f>
        <v>Y</v>
      </c>
      <c r="F109" s="45">
        <f>IF(tblPayrollMaster[[#This Row],[Payable Flag]]="N",0,_xlfn.XLOOKUP(tblPayrollMaster[[#This Row],[Employee ID]],tblEmployee[Employee ID],tblEmployee[Pay Factor],1))</f>
        <v>1</v>
      </c>
      <c r="G109" s="26" t="str" cm="1">
        <f t="array" ref="G109">IF(tblPayrollMaster[[#This Row],[Employee ID]]="","",_xlfn.XLOOKUP(selPayPeriodID,tblPayCalendar[PayPeriodID],tblPayCalendar[PeriodStart],""))</f>
        <v/>
      </c>
      <c r="H109" s="26" t="str" cm="1">
        <f t="array" ref="H109">IF(tblPayrollMaster[[#This Row],[Employee ID]]="","",_xlfn.XLOOKUP(selPayPeriodID,tblPayCalendar[PayPeriodID],tblPayCalendar[PeriodEnd],""))</f>
        <v/>
      </c>
      <c r="I109" s="24" t="e" cm="1" vm="1">
        <f t="array" aca="1" ref="I109" ca="1">Table18[Employer Name]</f>
        <v>#VALUE!</v>
      </c>
      <c r="J109" s="3" cm="1">
        <f t="array" ref="J10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09" s="25" t="str">
        <f>_xlfn.XLOOKUP(tblPayrollMaster[[#This Row],[Employee Position]],tblPositionandPayRate[Employee Position],tblPositionandPayRate[Overtime], " ")</f>
        <v xml:space="preserve"> </v>
      </c>
      <c r="L109" s="25">
        <f>_xlfn.XLOOKUP(tblPayrollMaster[[#This Row],[Employee Position]],tblPositionandPayRate[Employee Position],tblPositionandPayRate[Allowance 1],0)*tblPayrollMaster[[#This Row],[Pay Factor]]</f>
        <v>0</v>
      </c>
      <c r="M109" s="25">
        <f>_xlfn.XLOOKUP(tblPayrollMaster[[#This Row],[Employee Position]],tblPositionandPayRate[Employee Position],tblPositionandPayRate[Allowance 2],0)*tblPayrollMaster[[#This Row],[Pay Factor]]</f>
        <v>0</v>
      </c>
      <c r="N109" s="25">
        <f>_xlfn.XLOOKUP(tblPayrollMaster[[#This Row],[Employee Position]],tblPositionandPayRate[Employee Position],tblPositionandPayRate[Allowance 3],0)*tblPayrollMaster[[#This Row],[Pay Factor]]</f>
        <v>0</v>
      </c>
      <c r="O109" s="25">
        <f>_xlfn.XLOOKUP(tblPayrollMaster[[#This Row],[Employee Position]],tblPositionandPayRate[Employee Position],tblPositionandPayRate[Allowance 4],0)*tblPayrollMaster[[#This Row],[Pay Factor]]</f>
        <v>0</v>
      </c>
      <c r="P109" s="25">
        <f>_xlfn.XLOOKUP(tblPayrollMaster[[#This Row],[Employee Position]],tblPositionandPayRate[Employee Position],tblPositionandPayRate[Allowance 5],0)*tblPayrollMaster[[#This Row],[Pay Factor]]</f>
        <v>0</v>
      </c>
      <c r="Q109" s="25">
        <f>SUM(tblPayrollMaster[[#This Row],[Basic Pay]:[Allowance 5]])</f>
        <v>0</v>
      </c>
      <c r="R10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09" s="51" cm="1">
        <f t="array" ref="S1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09" s="3" cm="1">
        <f t="array" ref="T1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09" s="25">
        <f>_xlfn.LET(
_xlpm.tos, _xlfn.XLOOKUP(tblPayrollMaster[[#This Row],[Employee ID]], tblEmployee[Employee ID], tblEmployee[Type of Service], ""),
IF(_xlpm.tos="Contract of Service", 8.25, 0)
)</f>
        <v>0</v>
      </c>
      <c r="V109" s="25">
        <f>tblPayrollMaster[[#This Row],[Basic Earnings]]-tblPayrollMaster[[#This Row],[Tax]]-tblPayrollMaster[[#This Row],[NIS - Employee]]-tblPayrollMaster[[#This Row],[Health Surcharge]]</f>
        <v>0</v>
      </c>
      <c r="W109" s="25">
        <f>tblPayrollMaster[[#This Row],[Net Pay]]</f>
        <v>0</v>
      </c>
      <c r="X109" s="25"/>
    </row>
    <row r="110" spans="1:24" x14ac:dyDescent="0.25">
      <c r="A110" s="24"/>
      <c r="B110" s="24" t="str">
        <f>_xlfn.XLOOKUP(tblPayrollMaster[[#This Row],[Employee ID]],tblEmployee[Employee ID],tblEmployee[Employee Name],"")</f>
        <v/>
      </c>
      <c r="C110" s="24" t="str">
        <f>_xlfn.XLOOKUP(tblPayrollMaster[[#This Row],[Employee ID]],tblEmployee[Employee ID],tblEmployee[Employee Position],"")</f>
        <v/>
      </c>
      <c r="D110" s="24" t="str">
        <f>_xlfn.XLOOKUP(tblPayrollMaster[[#This Row],[Employee ID]], tblEmployee[Employee ID], tblEmployee[Pay Status], "Pay")</f>
        <v>Pay</v>
      </c>
      <c r="E110" s="24" t="str">
        <f>_xlfn.XLOOKUP(tblPayrollMaster[[#This Row],[Employee ID]], tblEmployee[Employee ID], tblEmployee[Payable Flag], "Y")</f>
        <v>Y</v>
      </c>
      <c r="F110" s="45">
        <f>IF(tblPayrollMaster[[#This Row],[Payable Flag]]="N",0,_xlfn.XLOOKUP(tblPayrollMaster[[#This Row],[Employee ID]],tblEmployee[Employee ID],tblEmployee[Pay Factor],1))</f>
        <v>1</v>
      </c>
      <c r="G110" s="26" t="str" cm="1">
        <f t="array" ref="G110">IF(tblPayrollMaster[[#This Row],[Employee ID]]="","",_xlfn.XLOOKUP(selPayPeriodID,tblPayCalendar[PayPeriodID],tblPayCalendar[PeriodStart],""))</f>
        <v/>
      </c>
      <c r="H110" s="26" t="str" cm="1">
        <f t="array" ref="H110">IF(tblPayrollMaster[[#This Row],[Employee ID]]="","",_xlfn.XLOOKUP(selPayPeriodID,tblPayCalendar[PayPeriodID],tblPayCalendar[PeriodEnd],""))</f>
        <v/>
      </c>
      <c r="I110" s="24" t="e" cm="1" vm="1">
        <f t="array" aca="1" ref="I110" ca="1">Table18[Employer Name]</f>
        <v>#VALUE!</v>
      </c>
      <c r="J110" s="3" cm="1">
        <f t="array" ref="J11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10" s="25" t="str">
        <f>_xlfn.XLOOKUP(tblPayrollMaster[[#This Row],[Employee Position]],tblPositionandPayRate[Employee Position],tblPositionandPayRate[Overtime], " ")</f>
        <v xml:space="preserve"> </v>
      </c>
      <c r="L110" s="25">
        <f>_xlfn.XLOOKUP(tblPayrollMaster[[#This Row],[Employee Position]],tblPositionandPayRate[Employee Position],tblPositionandPayRate[Allowance 1],0)*tblPayrollMaster[[#This Row],[Pay Factor]]</f>
        <v>0</v>
      </c>
      <c r="M110" s="25">
        <f>_xlfn.XLOOKUP(tblPayrollMaster[[#This Row],[Employee Position]],tblPositionandPayRate[Employee Position],tblPositionandPayRate[Allowance 2],0)*tblPayrollMaster[[#This Row],[Pay Factor]]</f>
        <v>0</v>
      </c>
      <c r="N110" s="25">
        <f>_xlfn.XLOOKUP(tblPayrollMaster[[#This Row],[Employee Position]],tblPositionandPayRate[Employee Position],tblPositionandPayRate[Allowance 3],0)*tblPayrollMaster[[#This Row],[Pay Factor]]</f>
        <v>0</v>
      </c>
      <c r="O110" s="25">
        <f>_xlfn.XLOOKUP(tblPayrollMaster[[#This Row],[Employee Position]],tblPositionandPayRate[Employee Position],tblPositionandPayRate[Allowance 4],0)*tblPayrollMaster[[#This Row],[Pay Factor]]</f>
        <v>0</v>
      </c>
      <c r="P110" s="25">
        <f>_xlfn.XLOOKUP(tblPayrollMaster[[#This Row],[Employee Position]],tblPositionandPayRate[Employee Position],tblPositionandPayRate[Allowance 5],0)*tblPayrollMaster[[#This Row],[Pay Factor]]</f>
        <v>0</v>
      </c>
      <c r="Q110" s="25">
        <f>SUM(tblPayrollMaster[[#This Row],[Basic Pay]:[Allowance 5]])</f>
        <v>0</v>
      </c>
      <c r="R11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10" s="51" cm="1">
        <f t="array" ref="S1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10" s="3" cm="1">
        <f t="array" ref="T1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10" s="25">
        <f>_xlfn.LET(
_xlpm.tos, _xlfn.XLOOKUP(tblPayrollMaster[[#This Row],[Employee ID]], tblEmployee[Employee ID], tblEmployee[Type of Service], ""),
IF(_xlpm.tos="Contract of Service", 8.25, 0)
)</f>
        <v>0</v>
      </c>
      <c r="V110" s="25">
        <f>tblPayrollMaster[[#This Row],[Basic Earnings]]-tblPayrollMaster[[#This Row],[Tax]]-tblPayrollMaster[[#This Row],[NIS - Employee]]-tblPayrollMaster[[#This Row],[Health Surcharge]]</f>
        <v>0</v>
      </c>
      <c r="W110" s="25">
        <f>tblPayrollMaster[[#This Row],[Net Pay]]</f>
        <v>0</v>
      </c>
      <c r="X110" s="25"/>
    </row>
    <row r="111" spans="1:24" x14ac:dyDescent="0.25">
      <c r="A111" s="24"/>
      <c r="B111" s="24" t="str">
        <f>_xlfn.XLOOKUP(tblPayrollMaster[[#This Row],[Employee ID]],tblEmployee[Employee ID],tblEmployee[Employee Name],"")</f>
        <v/>
      </c>
      <c r="C111" s="24" t="str">
        <f>_xlfn.XLOOKUP(tblPayrollMaster[[#This Row],[Employee ID]],tblEmployee[Employee ID],tblEmployee[Employee Position],"")</f>
        <v/>
      </c>
      <c r="D111" s="24" t="str">
        <f>_xlfn.XLOOKUP(tblPayrollMaster[[#This Row],[Employee ID]], tblEmployee[Employee ID], tblEmployee[Pay Status], "Pay")</f>
        <v>Pay</v>
      </c>
      <c r="E111" s="24" t="str">
        <f>_xlfn.XLOOKUP(tblPayrollMaster[[#This Row],[Employee ID]], tblEmployee[Employee ID], tblEmployee[Payable Flag], "Y")</f>
        <v>Y</v>
      </c>
      <c r="F111" s="45">
        <f>IF(tblPayrollMaster[[#This Row],[Payable Flag]]="N",0,_xlfn.XLOOKUP(tblPayrollMaster[[#This Row],[Employee ID]],tblEmployee[Employee ID],tblEmployee[Pay Factor],1))</f>
        <v>1</v>
      </c>
      <c r="G111" s="26" t="str" cm="1">
        <f t="array" ref="G111">IF(tblPayrollMaster[[#This Row],[Employee ID]]="","",_xlfn.XLOOKUP(selPayPeriodID,tblPayCalendar[PayPeriodID],tblPayCalendar[PeriodStart],""))</f>
        <v/>
      </c>
      <c r="H111" s="26" t="str" cm="1">
        <f t="array" ref="H111">IF(tblPayrollMaster[[#This Row],[Employee ID]]="","",_xlfn.XLOOKUP(selPayPeriodID,tblPayCalendar[PayPeriodID],tblPayCalendar[PeriodEnd],""))</f>
        <v/>
      </c>
      <c r="I111" s="24" t="e" cm="1" vm="1">
        <f t="array" aca="1" ref="I111" ca="1">Table18[Employer Name]</f>
        <v>#VALUE!</v>
      </c>
      <c r="J111" s="3" cm="1">
        <f t="array" ref="J11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11" s="25" t="str">
        <f>_xlfn.XLOOKUP(tblPayrollMaster[[#This Row],[Employee Position]],tblPositionandPayRate[Employee Position],tblPositionandPayRate[Overtime], " ")</f>
        <v xml:space="preserve"> </v>
      </c>
      <c r="L111" s="25">
        <f>_xlfn.XLOOKUP(tblPayrollMaster[[#This Row],[Employee Position]],tblPositionandPayRate[Employee Position],tblPositionandPayRate[Allowance 1],0)*tblPayrollMaster[[#This Row],[Pay Factor]]</f>
        <v>0</v>
      </c>
      <c r="M111" s="25">
        <f>_xlfn.XLOOKUP(tblPayrollMaster[[#This Row],[Employee Position]],tblPositionandPayRate[Employee Position],tblPositionandPayRate[Allowance 2],0)*tblPayrollMaster[[#This Row],[Pay Factor]]</f>
        <v>0</v>
      </c>
      <c r="N111" s="25">
        <f>_xlfn.XLOOKUP(tblPayrollMaster[[#This Row],[Employee Position]],tblPositionandPayRate[Employee Position],tblPositionandPayRate[Allowance 3],0)*tblPayrollMaster[[#This Row],[Pay Factor]]</f>
        <v>0</v>
      </c>
      <c r="O111" s="25">
        <f>_xlfn.XLOOKUP(tblPayrollMaster[[#This Row],[Employee Position]],tblPositionandPayRate[Employee Position],tblPositionandPayRate[Allowance 4],0)*tblPayrollMaster[[#This Row],[Pay Factor]]</f>
        <v>0</v>
      </c>
      <c r="P111" s="25">
        <f>_xlfn.XLOOKUP(tblPayrollMaster[[#This Row],[Employee Position]],tblPositionandPayRate[Employee Position],tblPositionandPayRate[Allowance 5],0)*tblPayrollMaster[[#This Row],[Pay Factor]]</f>
        <v>0</v>
      </c>
      <c r="Q111" s="25">
        <f>SUM(tblPayrollMaster[[#This Row],[Basic Pay]:[Allowance 5]])</f>
        <v>0</v>
      </c>
      <c r="R11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11" s="51" cm="1">
        <f t="array" ref="S1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11" s="3" cm="1">
        <f t="array" ref="T1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11" s="25">
        <f>_xlfn.LET(
_xlpm.tos, _xlfn.XLOOKUP(tblPayrollMaster[[#This Row],[Employee ID]], tblEmployee[Employee ID], tblEmployee[Type of Service], ""),
IF(_xlpm.tos="Contract of Service", 8.25, 0)
)</f>
        <v>0</v>
      </c>
      <c r="V111" s="25">
        <f>tblPayrollMaster[[#This Row],[Basic Earnings]]-tblPayrollMaster[[#This Row],[Tax]]-tblPayrollMaster[[#This Row],[NIS - Employee]]-tblPayrollMaster[[#This Row],[Health Surcharge]]</f>
        <v>0</v>
      </c>
      <c r="W111" s="25">
        <f>tblPayrollMaster[[#This Row],[Net Pay]]</f>
        <v>0</v>
      </c>
      <c r="X111" s="25"/>
    </row>
    <row r="112" spans="1:24" x14ac:dyDescent="0.25">
      <c r="A112" s="24"/>
      <c r="B112" s="24" t="str">
        <f>_xlfn.XLOOKUP(tblPayrollMaster[[#This Row],[Employee ID]],tblEmployee[Employee ID],tblEmployee[Employee Name],"")</f>
        <v/>
      </c>
      <c r="C112" s="24" t="str">
        <f>_xlfn.XLOOKUP(tblPayrollMaster[[#This Row],[Employee ID]],tblEmployee[Employee ID],tblEmployee[Employee Position],"")</f>
        <v/>
      </c>
      <c r="D112" s="24" t="str">
        <f>_xlfn.XLOOKUP(tblPayrollMaster[[#This Row],[Employee ID]], tblEmployee[Employee ID], tblEmployee[Pay Status], "Pay")</f>
        <v>Pay</v>
      </c>
      <c r="E112" s="24" t="str">
        <f>_xlfn.XLOOKUP(tblPayrollMaster[[#This Row],[Employee ID]], tblEmployee[Employee ID], tblEmployee[Payable Flag], "Y")</f>
        <v>Y</v>
      </c>
      <c r="F112" s="45">
        <f>IF(tblPayrollMaster[[#This Row],[Payable Flag]]="N",0,_xlfn.XLOOKUP(tblPayrollMaster[[#This Row],[Employee ID]],tblEmployee[Employee ID],tblEmployee[Pay Factor],1))</f>
        <v>1</v>
      </c>
      <c r="G112" s="26" t="str" cm="1">
        <f t="array" ref="G112">IF(tblPayrollMaster[[#This Row],[Employee ID]]="","",_xlfn.XLOOKUP(selPayPeriodID,tblPayCalendar[PayPeriodID],tblPayCalendar[PeriodStart],""))</f>
        <v/>
      </c>
      <c r="H112" s="26" t="str" cm="1">
        <f t="array" ref="H112">IF(tblPayrollMaster[[#This Row],[Employee ID]]="","",_xlfn.XLOOKUP(selPayPeriodID,tblPayCalendar[PayPeriodID],tblPayCalendar[PeriodEnd],""))</f>
        <v/>
      </c>
      <c r="I112" s="24" t="e" cm="1" vm="1">
        <f t="array" aca="1" ref="I112" ca="1">Table18[Employer Name]</f>
        <v>#VALUE!</v>
      </c>
      <c r="J112" s="3" cm="1">
        <f t="array" ref="J11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12" s="25" t="str">
        <f>_xlfn.XLOOKUP(tblPayrollMaster[[#This Row],[Employee Position]],tblPositionandPayRate[Employee Position],tblPositionandPayRate[Overtime], " ")</f>
        <v xml:space="preserve"> </v>
      </c>
      <c r="L112" s="25">
        <f>_xlfn.XLOOKUP(tblPayrollMaster[[#This Row],[Employee Position]],tblPositionandPayRate[Employee Position],tblPositionandPayRate[Allowance 1],0)*tblPayrollMaster[[#This Row],[Pay Factor]]</f>
        <v>0</v>
      </c>
      <c r="M112" s="25">
        <f>_xlfn.XLOOKUP(tblPayrollMaster[[#This Row],[Employee Position]],tblPositionandPayRate[Employee Position],tblPositionandPayRate[Allowance 2],0)*tblPayrollMaster[[#This Row],[Pay Factor]]</f>
        <v>0</v>
      </c>
      <c r="N112" s="25">
        <f>_xlfn.XLOOKUP(tblPayrollMaster[[#This Row],[Employee Position]],tblPositionandPayRate[Employee Position],tblPositionandPayRate[Allowance 3],0)*tblPayrollMaster[[#This Row],[Pay Factor]]</f>
        <v>0</v>
      </c>
      <c r="O112" s="25">
        <f>_xlfn.XLOOKUP(tblPayrollMaster[[#This Row],[Employee Position]],tblPositionandPayRate[Employee Position],tblPositionandPayRate[Allowance 4],0)*tblPayrollMaster[[#This Row],[Pay Factor]]</f>
        <v>0</v>
      </c>
      <c r="P112" s="25">
        <f>_xlfn.XLOOKUP(tblPayrollMaster[[#This Row],[Employee Position]],tblPositionandPayRate[Employee Position],tblPositionandPayRate[Allowance 5],0)*tblPayrollMaster[[#This Row],[Pay Factor]]</f>
        <v>0</v>
      </c>
      <c r="Q112" s="25">
        <f>SUM(tblPayrollMaster[[#This Row],[Basic Pay]:[Allowance 5]])</f>
        <v>0</v>
      </c>
      <c r="R11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12" s="51" cm="1">
        <f t="array" ref="S1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12" s="3" cm="1">
        <f t="array" ref="T1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12" s="25">
        <f>_xlfn.LET(
_xlpm.tos, _xlfn.XLOOKUP(tblPayrollMaster[[#This Row],[Employee ID]], tblEmployee[Employee ID], tblEmployee[Type of Service], ""),
IF(_xlpm.tos="Contract of Service", 8.25, 0)
)</f>
        <v>0</v>
      </c>
      <c r="V112" s="25">
        <f>tblPayrollMaster[[#This Row],[Basic Earnings]]-tblPayrollMaster[[#This Row],[Tax]]-tblPayrollMaster[[#This Row],[NIS - Employee]]-tblPayrollMaster[[#This Row],[Health Surcharge]]</f>
        <v>0</v>
      </c>
      <c r="W112" s="25">
        <f>tblPayrollMaster[[#This Row],[Net Pay]]</f>
        <v>0</v>
      </c>
      <c r="X112" s="25"/>
    </row>
    <row r="113" spans="1:24" x14ac:dyDescent="0.25">
      <c r="A113" s="24"/>
      <c r="B113" s="24" t="str">
        <f>_xlfn.XLOOKUP(tblPayrollMaster[[#This Row],[Employee ID]],tblEmployee[Employee ID],tblEmployee[Employee Name],"")</f>
        <v/>
      </c>
      <c r="C113" s="24" t="str">
        <f>_xlfn.XLOOKUP(tblPayrollMaster[[#This Row],[Employee ID]],tblEmployee[Employee ID],tblEmployee[Employee Position],"")</f>
        <v/>
      </c>
      <c r="D113" s="24" t="str">
        <f>_xlfn.XLOOKUP(tblPayrollMaster[[#This Row],[Employee ID]], tblEmployee[Employee ID], tblEmployee[Pay Status], "Pay")</f>
        <v>Pay</v>
      </c>
      <c r="E113" s="24" t="str">
        <f>_xlfn.XLOOKUP(tblPayrollMaster[[#This Row],[Employee ID]], tblEmployee[Employee ID], tblEmployee[Payable Flag], "Y")</f>
        <v>Y</v>
      </c>
      <c r="F113" s="45">
        <f>IF(tblPayrollMaster[[#This Row],[Payable Flag]]="N",0,_xlfn.XLOOKUP(tblPayrollMaster[[#This Row],[Employee ID]],tblEmployee[Employee ID],tblEmployee[Pay Factor],1))</f>
        <v>1</v>
      </c>
      <c r="G113" s="26" t="str" cm="1">
        <f t="array" ref="G113">IF(tblPayrollMaster[[#This Row],[Employee ID]]="","",_xlfn.XLOOKUP(selPayPeriodID,tblPayCalendar[PayPeriodID],tblPayCalendar[PeriodStart],""))</f>
        <v/>
      </c>
      <c r="H113" s="26" t="str" cm="1">
        <f t="array" ref="H113">IF(tblPayrollMaster[[#This Row],[Employee ID]]="","",_xlfn.XLOOKUP(selPayPeriodID,tblPayCalendar[PayPeriodID],tblPayCalendar[PeriodEnd],""))</f>
        <v/>
      </c>
      <c r="I113" s="24" t="e" cm="1" vm="1">
        <f t="array" aca="1" ref="I113" ca="1">Table18[Employer Name]</f>
        <v>#VALUE!</v>
      </c>
      <c r="J113" s="3" cm="1">
        <f t="array" ref="J11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13" s="25" t="str">
        <f>_xlfn.XLOOKUP(tblPayrollMaster[[#This Row],[Employee Position]],tblPositionandPayRate[Employee Position],tblPositionandPayRate[Overtime], " ")</f>
        <v xml:space="preserve"> </v>
      </c>
      <c r="L113" s="25">
        <f>_xlfn.XLOOKUP(tblPayrollMaster[[#This Row],[Employee Position]],tblPositionandPayRate[Employee Position],tblPositionandPayRate[Allowance 1],0)*tblPayrollMaster[[#This Row],[Pay Factor]]</f>
        <v>0</v>
      </c>
      <c r="M113" s="25">
        <f>_xlfn.XLOOKUP(tblPayrollMaster[[#This Row],[Employee Position]],tblPositionandPayRate[Employee Position],tblPositionandPayRate[Allowance 2],0)*tblPayrollMaster[[#This Row],[Pay Factor]]</f>
        <v>0</v>
      </c>
      <c r="N113" s="25">
        <f>_xlfn.XLOOKUP(tblPayrollMaster[[#This Row],[Employee Position]],tblPositionandPayRate[Employee Position],tblPositionandPayRate[Allowance 3],0)*tblPayrollMaster[[#This Row],[Pay Factor]]</f>
        <v>0</v>
      </c>
      <c r="O113" s="25">
        <f>_xlfn.XLOOKUP(tblPayrollMaster[[#This Row],[Employee Position]],tblPositionandPayRate[Employee Position],tblPositionandPayRate[Allowance 4],0)*tblPayrollMaster[[#This Row],[Pay Factor]]</f>
        <v>0</v>
      </c>
      <c r="P113" s="25">
        <f>_xlfn.XLOOKUP(tblPayrollMaster[[#This Row],[Employee Position]],tblPositionandPayRate[Employee Position],tblPositionandPayRate[Allowance 5],0)*tblPayrollMaster[[#This Row],[Pay Factor]]</f>
        <v>0</v>
      </c>
      <c r="Q113" s="25">
        <f>SUM(tblPayrollMaster[[#This Row],[Basic Pay]:[Allowance 5]])</f>
        <v>0</v>
      </c>
      <c r="R11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13" s="51" cm="1">
        <f t="array" ref="S1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13" s="3" cm="1">
        <f t="array" ref="T1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13" s="25">
        <f>_xlfn.LET(
_xlpm.tos, _xlfn.XLOOKUP(tblPayrollMaster[[#This Row],[Employee ID]], tblEmployee[Employee ID], tblEmployee[Type of Service], ""),
IF(_xlpm.tos="Contract of Service", 8.25, 0)
)</f>
        <v>0</v>
      </c>
      <c r="V113" s="25">
        <f>tblPayrollMaster[[#This Row],[Basic Earnings]]-tblPayrollMaster[[#This Row],[Tax]]-tblPayrollMaster[[#This Row],[NIS - Employee]]-tblPayrollMaster[[#This Row],[Health Surcharge]]</f>
        <v>0</v>
      </c>
      <c r="W113" s="25">
        <f>tblPayrollMaster[[#This Row],[Net Pay]]</f>
        <v>0</v>
      </c>
      <c r="X113" s="25"/>
    </row>
    <row r="114" spans="1:24" x14ac:dyDescent="0.25">
      <c r="A114" s="24"/>
      <c r="B114" s="24" t="str">
        <f>_xlfn.XLOOKUP(tblPayrollMaster[[#This Row],[Employee ID]],tblEmployee[Employee ID],tblEmployee[Employee Name],"")</f>
        <v/>
      </c>
      <c r="C114" s="24" t="str">
        <f>_xlfn.XLOOKUP(tblPayrollMaster[[#This Row],[Employee ID]],tblEmployee[Employee ID],tblEmployee[Employee Position],"")</f>
        <v/>
      </c>
      <c r="D114" s="24" t="str">
        <f>_xlfn.XLOOKUP(tblPayrollMaster[[#This Row],[Employee ID]], tblEmployee[Employee ID], tblEmployee[Pay Status], "Pay")</f>
        <v>Pay</v>
      </c>
      <c r="E114" s="24" t="str">
        <f>_xlfn.XLOOKUP(tblPayrollMaster[[#This Row],[Employee ID]], tblEmployee[Employee ID], tblEmployee[Payable Flag], "Y")</f>
        <v>Y</v>
      </c>
      <c r="F114" s="45">
        <f>IF(tblPayrollMaster[[#This Row],[Payable Flag]]="N",0,_xlfn.XLOOKUP(tblPayrollMaster[[#This Row],[Employee ID]],tblEmployee[Employee ID],tblEmployee[Pay Factor],1))</f>
        <v>1</v>
      </c>
      <c r="G114" s="26" t="str" cm="1">
        <f t="array" ref="G114">IF(tblPayrollMaster[[#This Row],[Employee ID]]="","",_xlfn.XLOOKUP(selPayPeriodID,tblPayCalendar[PayPeriodID],tblPayCalendar[PeriodStart],""))</f>
        <v/>
      </c>
      <c r="H114" s="26" t="str" cm="1">
        <f t="array" ref="H114">IF(tblPayrollMaster[[#This Row],[Employee ID]]="","",_xlfn.XLOOKUP(selPayPeriodID,tblPayCalendar[PayPeriodID],tblPayCalendar[PeriodEnd],""))</f>
        <v/>
      </c>
      <c r="I114" s="24" t="e" cm="1" vm="1">
        <f t="array" aca="1" ref="I114" ca="1">Table18[Employer Name]</f>
        <v>#VALUE!</v>
      </c>
      <c r="J114" s="3" cm="1">
        <f t="array" ref="J11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14" s="25" t="str">
        <f>_xlfn.XLOOKUP(tblPayrollMaster[[#This Row],[Employee Position]],tblPositionandPayRate[Employee Position],tblPositionandPayRate[Overtime], " ")</f>
        <v xml:space="preserve"> </v>
      </c>
      <c r="L114" s="25">
        <f>_xlfn.XLOOKUP(tblPayrollMaster[[#This Row],[Employee Position]],tblPositionandPayRate[Employee Position],tblPositionandPayRate[Allowance 1],0)*tblPayrollMaster[[#This Row],[Pay Factor]]</f>
        <v>0</v>
      </c>
      <c r="M114" s="25">
        <f>_xlfn.XLOOKUP(tblPayrollMaster[[#This Row],[Employee Position]],tblPositionandPayRate[Employee Position],tblPositionandPayRate[Allowance 2],0)*tblPayrollMaster[[#This Row],[Pay Factor]]</f>
        <v>0</v>
      </c>
      <c r="N114" s="25">
        <f>_xlfn.XLOOKUP(tblPayrollMaster[[#This Row],[Employee Position]],tblPositionandPayRate[Employee Position],tblPositionandPayRate[Allowance 3],0)*tblPayrollMaster[[#This Row],[Pay Factor]]</f>
        <v>0</v>
      </c>
      <c r="O114" s="25">
        <f>_xlfn.XLOOKUP(tblPayrollMaster[[#This Row],[Employee Position]],tblPositionandPayRate[Employee Position],tblPositionandPayRate[Allowance 4],0)*tblPayrollMaster[[#This Row],[Pay Factor]]</f>
        <v>0</v>
      </c>
      <c r="P114" s="25">
        <f>_xlfn.XLOOKUP(tblPayrollMaster[[#This Row],[Employee Position]],tblPositionandPayRate[Employee Position],tblPositionandPayRate[Allowance 5],0)*tblPayrollMaster[[#This Row],[Pay Factor]]</f>
        <v>0</v>
      </c>
      <c r="Q114" s="25">
        <f>SUM(tblPayrollMaster[[#This Row],[Basic Pay]:[Allowance 5]])</f>
        <v>0</v>
      </c>
      <c r="R11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14" s="51" cm="1">
        <f t="array" ref="S1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14" s="3" cm="1">
        <f t="array" ref="T1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14" s="25">
        <f>_xlfn.LET(
_xlpm.tos, _xlfn.XLOOKUP(tblPayrollMaster[[#This Row],[Employee ID]], tblEmployee[Employee ID], tblEmployee[Type of Service], ""),
IF(_xlpm.tos="Contract of Service", 8.25, 0)
)</f>
        <v>0</v>
      </c>
      <c r="V114" s="25">
        <f>tblPayrollMaster[[#This Row],[Basic Earnings]]-tblPayrollMaster[[#This Row],[Tax]]-tblPayrollMaster[[#This Row],[NIS - Employee]]-tblPayrollMaster[[#This Row],[Health Surcharge]]</f>
        <v>0</v>
      </c>
      <c r="W114" s="25">
        <f>tblPayrollMaster[[#This Row],[Net Pay]]</f>
        <v>0</v>
      </c>
      <c r="X114" s="25"/>
    </row>
    <row r="115" spans="1:24" x14ac:dyDescent="0.25">
      <c r="A115" s="24"/>
      <c r="B115" s="24" t="str">
        <f>_xlfn.XLOOKUP(tblPayrollMaster[[#This Row],[Employee ID]],tblEmployee[Employee ID],tblEmployee[Employee Name],"")</f>
        <v/>
      </c>
      <c r="C115" s="24" t="str">
        <f>_xlfn.XLOOKUP(tblPayrollMaster[[#This Row],[Employee ID]],tblEmployee[Employee ID],tblEmployee[Employee Position],"")</f>
        <v/>
      </c>
      <c r="D115" s="24" t="str">
        <f>_xlfn.XLOOKUP(tblPayrollMaster[[#This Row],[Employee ID]], tblEmployee[Employee ID], tblEmployee[Pay Status], "Pay")</f>
        <v>Pay</v>
      </c>
      <c r="E115" s="24" t="str">
        <f>_xlfn.XLOOKUP(tblPayrollMaster[[#This Row],[Employee ID]], tblEmployee[Employee ID], tblEmployee[Payable Flag], "Y")</f>
        <v>Y</v>
      </c>
      <c r="F115" s="45">
        <f>IF(tblPayrollMaster[[#This Row],[Payable Flag]]="N",0,_xlfn.XLOOKUP(tblPayrollMaster[[#This Row],[Employee ID]],tblEmployee[Employee ID],tblEmployee[Pay Factor],1))</f>
        <v>1</v>
      </c>
      <c r="G115" s="26" t="str" cm="1">
        <f t="array" ref="G115">IF(tblPayrollMaster[[#This Row],[Employee ID]]="","",_xlfn.XLOOKUP(selPayPeriodID,tblPayCalendar[PayPeriodID],tblPayCalendar[PeriodStart],""))</f>
        <v/>
      </c>
      <c r="H115" s="26" t="str" cm="1">
        <f t="array" ref="H115">IF(tblPayrollMaster[[#This Row],[Employee ID]]="","",_xlfn.XLOOKUP(selPayPeriodID,tblPayCalendar[PayPeriodID],tblPayCalendar[PeriodEnd],""))</f>
        <v/>
      </c>
      <c r="I115" s="24" t="e" cm="1" vm="1">
        <f t="array" aca="1" ref="I115" ca="1">Table18[Employer Name]</f>
        <v>#VALUE!</v>
      </c>
      <c r="J115" s="3" cm="1">
        <f t="array" ref="J11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15" s="25" t="str">
        <f>_xlfn.XLOOKUP(tblPayrollMaster[[#This Row],[Employee Position]],tblPositionandPayRate[Employee Position],tblPositionandPayRate[Overtime], " ")</f>
        <v xml:space="preserve"> </v>
      </c>
      <c r="L115" s="25">
        <f>_xlfn.XLOOKUP(tblPayrollMaster[[#This Row],[Employee Position]],tblPositionandPayRate[Employee Position],tblPositionandPayRate[Allowance 1],0)*tblPayrollMaster[[#This Row],[Pay Factor]]</f>
        <v>0</v>
      </c>
      <c r="M115" s="25">
        <f>_xlfn.XLOOKUP(tblPayrollMaster[[#This Row],[Employee Position]],tblPositionandPayRate[Employee Position],tblPositionandPayRate[Allowance 2],0)*tblPayrollMaster[[#This Row],[Pay Factor]]</f>
        <v>0</v>
      </c>
      <c r="N115" s="25">
        <f>_xlfn.XLOOKUP(tblPayrollMaster[[#This Row],[Employee Position]],tblPositionandPayRate[Employee Position],tblPositionandPayRate[Allowance 3],0)*tblPayrollMaster[[#This Row],[Pay Factor]]</f>
        <v>0</v>
      </c>
      <c r="O115" s="25">
        <f>_xlfn.XLOOKUP(tblPayrollMaster[[#This Row],[Employee Position]],tblPositionandPayRate[Employee Position],tblPositionandPayRate[Allowance 4],0)*tblPayrollMaster[[#This Row],[Pay Factor]]</f>
        <v>0</v>
      </c>
      <c r="P115" s="25">
        <f>_xlfn.XLOOKUP(tblPayrollMaster[[#This Row],[Employee Position]],tblPositionandPayRate[Employee Position],tblPositionandPayRate[Allowance 5],0)*tblPayrollMaster[[#This Row],[Pay Factor]]</f>
        <v>0</v>
      </c>
      <c r="Q115" s="25">
        <f>SUM(tblPayrollMaster[[#This Row],[Basic Pay]:[Allowance 5]])</f>
        <v>0</v>
      </c>
      <c r="R11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15" s="51" cm="1">
        <f t="array" ref="S1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15" s="3" cm="1">
        <f t="array" ref="T1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15" s="25">
        <f>_xlfn.LET(
_xlpm.tos, _xlfn.XLOOKUP(tblPayrollMaster[[#This Row],[Employee ID]], tblEmployee[Employee ID], tblEmployee[Type of Service], ""),
IF(_xlpm.tos="Contract of Service", 8.25, 0)
)</f>
        <v>0</v>
      </c>
      <c r="V115" s="25">
        <f>tblPayrollMaster[[#This Row],[Basic Earnings]]-tblPayrollMaster[[#This Row],[Tax]]-tblPayrollMaster[[#This Row],[NIS - Employee]]-tblPayrollMaster[[#This Row],[Health Surcharge]]</f>
        <v>0</v>
      </c>
      <c r="W115" s="25">
        <f>tblPayrollMaster[[#This Row],[Net Pay]]</f>
        <v>0</v>
      </c>
      <c r="X115" s="25"/>
    </row>
    <row r="116" spans="1:24" x14ac:dyDescent="0.25">
      <c r="A116" s="24"/>
      <c r="B116" s="24" t="str">
        <f>_xlfn.XLOOKUP(tblPayrollMaster[[#This Row],[Employee ID]],tblEmployee[Employee ID],tblEmployee[Employee Name],"")</f>
        <v/>
      </c>
      <c r="C116" s="24" t="str">
        <f>_xlfn.XLOOKUP(tblPayrollMaster[[#This Row],[Employee ID]],tblEmployee[Employee ID],tblEmployee[Employee Position],"")</f>
        <v/>
      </c>
      <c r="D116" s="24" t="str">
        <f>_xlfn.XLOOKUP(tblPayrollMaster[[#This Row],[Employee ID]], tblEmployee[Employee ID], tblEmployee[Pay Status], "Pay")</f>
        <v>Pay</v>
      </c>
      <c r="E116" s="24" t="str">
        <f>_xlfn.XLOOKUP(tblPayrollMaster[[#This Row],[Employee ID]], tblEmployee[Employee ID], tblEmployee[Payable Flag], "Y")</f>
        <v>Y</v>
      </c>
      <c r="F116" s="45">
        <f>IF(tblPayrollMaster[[#This Row],[Payable Flag]]="N",0,_xlfn.XLOOKUP(tblPayrollMaster[[#This Row],[Employee ID]],tblEmployee[Employee ID],tblEmployee[Pay Factor],1))</f>
        <v>1</v>
      </c>
      <c r="G116" s="26" t="str" cm="1">
        <f t="array" ref="G116">IF(tblPayrollMaster[[#This Row],[Employee ID]]="","",_xlfn.XLOOKUP(selPayPeriodID,tblPayCalendar[PayPeriodID],tblPayCalendar[PeriodStart],""))</f>
        <v/>
      </c>
      <c r="H116" s="26" t="str" cm="1">
        <f t="array" ref="H116">IF(tblPayrollMaster[[#This Row],[Employee ID]]="","",_xlfn.XLOOKUP(selPayPeriodID,tblPayCalendar[PayPeriodID],tblPayCalendar[PeriodEnd],""))</f>
        <v/>
      </c>
      <c r="I116" s="24" t="e" cm="1" vm="1">
        <f t="array" aca="1" ref="I116" ca="1">Table18[Employer Name]</f>
        <v>#VALUE!</v>
      </c>
      <c r="J116" s="3" cm="1">
        <f t="array" ref="J11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16" s="25" t="str">
        <f>_xlfn.XLOOKUP(tblPayrollMaster[[#This Row],[Employee Position]],tblPositionandPayRate[Employee Position],tblPositionandPayRate[Overtime], " ")</f>
        <v xml:space="preserve"> </v>
      </c>
      <c r="L116" s="25">
        <f>_xlfn.XLOOKUP(tblPayrollMaster[[#This Row],[Employee Position]],tblPositionandPayRate[Employee Position],tblPositionandPayRate[Allowance 1],0)*tblPayrollMaster[[#This Row],[Pay Factor]]</f>
        <v>0</v>
      </c>
      <c r="M116" s="25">
        <f>_xlfn.XLOOKUP(tblPayrollMaster[[#This Row],[Employee Position]],tblPositionandPayRate[Employee Position],tblPositionandPayRate[Allowance 2],0)*tblPayrollMaster[[#This Row],[Pay Factor]]</f>
        <v>0</v>
      </c>
      <c r="N116" s="25">
        <f>_xlfn.XLOOKUP(tblPayrollMaster[[#This Row],[Employee Position]],tblPositionandPayRate[Employee Position],tblPositionandPayRate[Allowance 3],0)*tblPayrollMaster[[#This Row],[Pay Factor]]</f>
        <v>0</v>
      </c>
      <c r="O116" s="25">
        <f>_xlfn.XLOOKUP(tblPayrollMaster[[#This Row],[Employee Position]],tblPositionandPayRate[Employee Position],tblPositionandPayRate[Allowance 4],0)*tblPayrollMaster[[#This Row],[Pay Factor]]</f>
        <v>0</v>
      </c>
      <c r="P116" s="25">
        <f>_xlfn.XLOOKUP(tblPayrollMaster[[#This Row],[Employee Position]],tblPositionandPayRate[Employee Position],tblPositionandPayRate[Allowance 5],0)*tblPayrollMaster[[#This Row],[Pay Factor]]</f>
        <v>0</v>
      </c>
      <c r="Q116" s="25">
        <f>SUM(tblPayrollMaster[[#This Row],[Basic Pay]:[Allowance 5]])</f>
        <v>0</v>
      </c>
      <c r="R11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16" s="51" cm="1">
        <f t="array" ref="S1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16" s="3" cm="1">
        <f t="array" ref="T1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16" s="25">
        <f>_xlfn.LET(
_xlpm.tos, _xlfn.XLOOKUP(tblPayrollMaster[[#This Row],[Employee ID]], tblEmployee[Employee ID], tblEmployee[Type of Service], ""),
IF(_xlpm.tos="Contract of Service", 8.25, 0)
)</f>
        <v>0</v>
      </c>
      <c r="V116" s="25">
        <f>tblPayrollMaster[[#This Row],[Basic Earnings]]-tblPayrollMaster[[#This Row],[Tax]]-tblPayrollMaster[[#This Row],[NIS - Employee]]-tblPayrollMaster[[#This Row],[Health Surcharge]]</f>
        <v>0</v>
      </c>
      <c r="W116" s="25">
        <f>tblPayrollMaster[[#This Row],[Net Pay]]</f>
        <v>0</v>
      </c>
      <c r="X116" s="25"/>
    </row>
    <row r="117" spans="1:24" x14ac:dyDescent="0.25">
      <c r="A117" s="24"/>
      <c r="B117" s="24" t="str">
        <f>_xlfn.XLOOKUP(tblPayrollMaster[[#This Row],[Employee ID]],tblEmployee[Employee ID],tblEmployee[Employee Name],"")</f>
        <v/>
      </c>
      <c r="C117" s="24" t="str">
        <f>_xlfn.XLOOKUP(tblPayrollMaster[[#This Row],[Employee ID]],tblEmployee[Employee ID],tblEmployee[Employee Position],"")</f>
        <v/>
      </c>
      <c r="D117" s="24" t="str">
        <f>_xlfn.XLOOKUP(tblPayrollMaster[[#This Row],[Employee ID]], tblEmployee[Employee ID], tblEmployee[Pay Status], "Pay")</f>
        <v>Pay</v>
      </c>
      <c r="E117" s="24" t="str">
        <f>_xlfn.XLOOKUP(tblPayrollMaster[[#This Row],[Employee ID]], tblEmployee[Employee ID], tblEmployee[Payable Flag], "Y")</f>
        <v>Y</v>
      </c>
      <c r="F117" s="45">
        <f>IF(tblPayrollMaster[[#This Row],[Payable Flag]]="N",0,_xlfn.XLOOKUP(tblPayrollMaster[[#This Row],[Employee ID]],tblEmployee[Employee ID],tblEmployee[Pay Factor],1))</f>
        <v>1</v>
      </c>
      <c r="G117" s="26" t="str" cm="1">
        <f t="array" ref="G117">IF(tblPayrollMaster[[#This Row],[Employee ID]]="","",_xlfn.XLOOKUP(selPayPeriodID,tblPayCalendar[PayPeriodID],tblPayCalendar[PeriodStart],""))</f>
        <v/>
      </c>
      <c r="H117" s="26" t="str" cm="1">
        <f t="array" ref="H117">IF(tblPayrollMaster[[#This Row],[Employee ID]]="","",_xlfn.XLOOKUP(selPayPeriodID,tblPayCalendar[PayPeriodID],tblPayCalendar[PeriodEnd],""))</f>
        <v/>
      </c>
      <c r="I117" s="24" t="e" cm="1" vm="1">
        <f t="array" aca="1" ref="I117" ca="1">Table18[Employer Name]</f>
        <v>#VALUE!</v>
      </c>
      <c r="J117" s="3" cm="1">
        <f t="array" ref="J11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17" s="25" t="str">
        <f>_xlfn.XLOOKUP(tblPayrollMaster[[#This Row],[Employee Position]],tblPositionandPayRate[Employee Position],tblPositionandPayRate[Overtime], " ")</f>
        <v xml:space="preserve"> </v>
      </c>
      <c r="L117" s="25">
        <f>_xlfn.XLOOKUP(tblPayrollMaster[[#This Row],[Employee Position]],tblPositionandPayRate[Employee Position],tblPositionandPayRate[Allowance 1],0)*tblPayrollMaster[[#This Row],[Pay Factor]]</f>
        <v>0</v>
      </c>
      <c r="M117" s="25">
        <f>_xlfn.XLOOKUP(tblPayrollMaster[[#This Row],[Employee Position]],tblPositionandPayRate[Employee Position],tblPositionandPayRate[Allowance 2],0)*tblPayrollMaster[[#This Row],[Pay Factor]]</f>
        <v>0</v>
      </c>
      <c r="N117" s="25">
        <f>_xlfn.XLOOKUP(tblPayrollMaster[[#This Row],[Employee Position]],tblPositionandPayRate[Employee Position],tblPositionandPayRate[Allowance 3],0)*tblPayrollMaster[[#This Row],[Pay Factor]]</f>
        <v>0</v>
      </c>
      <c r="O117" s="25">
        <f>_xlfn.XLOOKUP(tblPayrollMaster[[#This Row],[Employee Position]],tblPositionandPayRate[Employee Position],tblPositionandPayRate[Allowance 4],0)*tblPayrollMaster[[#This Row],[Pay Factor]]</f>
        <v>0</v>
      </c>
      <c r="P117" s="25">
        <f>_xlfn.XLOOKUP(tblPayrollMaster[[#This Row],[Employee Position]],tblPositionandPayRate[Employee Position],tblPositionandPayRate[Allowance 5],0)*tblPayrollMaster[[#This Row],[Pay Factor]]</f>
        <v>0</v>
      </c>
      <c r="Q117" s="25">
        <f>SUM(tblPayrollMaster[[#This Row],[Basic Pay]:[Allowance 5]])</f>
        <v>0</v>
      </c>
      <c r="R11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17" s="51" cm="1">
        <f t="array" ref="S1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17" s="3" cm="1">
        <f t="array" ref="T1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17" s="25">
        <f>_xlfn.LET(
_xlpm.tos, _xlfn.XLOOKUP(tblPayrollMaster[[#This Row],[Employee ID]], tblEmployee[Employee ID], tblEmployee[Type of Service], ""),
IF(_xlpm.tos="Contract of Service", 8.25, 0)
)</f>
        <v>0</v>
      </c>
      <c r="V117" s="25">
        <f>tblPayrollMaster[[#This Row],[Basic Earnings]]-tblPayrollMaster[[#This Row],[Tax]]-tblPayrollMaster[[#This Row],[NIS - Employee]]-tblPayrollMaster[[#This Row],[Health Surcharge]]</f>
        <v>0</v>
      </c>
      <c r="W117" s="25">
        <f>tblPayrollMaster[[#This Row],[Net Pay]]</f>
        <v>0</v>
      </c>
      <c r="X117" s="25"/>
    </row>
    <row r="118" spans="1:24" x14ac:dyDescent="0.25">
      <c r="A118" s="24"/>
      <c r="B118" s="24" t="str">
        <f>_xlfn.XLOOKUP(tblPayrollMaster[[#This Row],[Employee ID]],tblEmployee[Employee ID],tblEmployee[Employee Name],"")</f>
        <v/>
      </c>
      <c r="C118" s="24" t="str">
        <f>_xlfn.XLOOKUP(tblPayrollMaster[[#This Row],[Employee ID]],tblEmployee[Employee ID],tblEmployee[Employee Position],"")</f>
        <v/>
      </c>
      <c r="D118" s="24" t="str">
        <f>_xlfn.XLOOKUP(tblPayrollMaster[[#This Row],[Employee ID]], tblEmployee[Employee ID], tblEmployee[Pay Status], "Pay")</f>
        <v>Pay</v>
      </c>
      <c r="E118" s="24" t="str">
        <f>_xlfn.XLOOKUP(tblPayrollMaster[[#This Row],[Employee ID]], tblEmployee[Employee ID], tblEmployee[Payable Flag], "Y")</f>
        <v>Y</v>
      </c>
      <c r="F118" s="45">
        <f>IF(tblPayrollMaster[[#This Row],[Payable Flag]]="N",0,_xlfn.XLOOKUP(tblPayrollMaster[[#This Row],[Employee ID]],tblEmployee[Employee ID],tblEmployee[Pay Factor],1))</f>
        <v>1</v>
      </c>
      <c r="G118" s="26" t="str" cm="1">
        <f t="array" ref="G118">IF(tblPayrollMaster[[#This Row],[Employee ID]]="","",_xlfn.XLOOKUP(selPayPeriodID,tblPayCalendar[PayPeriodID],tblPayCalendar[PeriodStart],""))</f>
        <v/>
      </c>
      <c r="H118" s="26" t="str" cm="1">
        <f t="array" ref="H118">IF(tblPayrollMaster[[#This Row],[Employee ID]]="","",_xlfn.XLOOKUP(selPayPeriodID,tblPayCalendar[PayPeriodID],tblPayCalendar[PeriodEnd],""))</f>
        <v/>
      </c>
      <c r="I118" s="24" t="e" cm="1" vm="1">
        <f t="array" aca="1" ref="I118" ca="1">Table18[Employer Name]</f>
        <v>#VALUE!</v>
      </c>
      <c r="J118" s="3" cm="1">
        <f t="array" ref="J11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18" s="25" t="str">
        <f>_xlfn.XLOOKUP(tblPayrollMaster[[#This Row],[Employee Position]],tblPositionandPayRate[Employee Position],tblPositionandPayRate[Overtime], " ")</f>
        <v xml:space="preserve"> </v>
      </c>
      <c r="L118" s="25">
        <f>_xlfn.XLOOKUP(tblPayrollMaster[[#This Row],[Employee Position]],tblPositionandPayRate[Employee Position],tblPositionandPayRate[Allowance 1],0)*tblPayrollMaster[[#This Row],[Pay Factor]]</f>
        <v>0</v>
      </c>
      <c r="M118" s="25">
        <f>_xlfn.XLOOKUP(tblPayrollMaster[[#This Row],[Employee Position]],tblPositionandPayRate[Employee Position],tblPositionandPayRate[Allowance 2],0)*tblPayrollMaster[[#This Row],[Pay Factor]]</f>
        <v>0</v>
      </c>
      <c r="N118" s="25">
        <f>_xlfn.XLOOKUP(tblPayrollMaster[[#This Row],[Employee Position]],tblPositionandPayRate[Employee Position],tblPositionandPayRate[Allowance 3],0)*tblPayrollMaster[[#This Row],[Pay Factor]]</f>
        <v>0</v>
      </c>
      <c r="O118" s="25">
        <f>_xlfn.XLOOKUP(tblPayrollMaster[[#This Row],[Employee Position]],tblPositionandPayRate[Employee Position],tblPositionandPayRate[Allowance 4],0)*tblPayrollMaster[[#This Row],[Pay Factor]]</f>
        <v>0</v>
      </c>
      <c r="P118" s="25">
        <f>_xlfn.XLOOKUP(tblPayrollMaster[[#This Row],[Employee Position]],tblPositionandPayRate[Employee Position],tblPositionandPayRate[Allowance 5],0)*tblPayrollMaster[[#This Row],[Pay Factor]]</f>
        <v>0</v>
      </c>
      <c r="Q118" s="25">
        <f>SUM(tblPayrollMaster[[#This Row],[Basic Pay]:[Allowance 5]])</f>
        <v>0</v>
      </c>
      <c r="R11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18" s="51" cm="1">
        <f t="array" ref="S1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18" s="3" cm="1">
        <f t="array" ref="T1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18" s="25">
        <f>_xlfn.LET(
_xlpm.tos, _xlfn.XLOOKUP(tblPayrollMaster[[#This Row],[Employee ID]], tblEmployee[Employee ID], tblEmployee[Type of Service], ""),
IF(_xlpm.tos="Contract of Service", 8.25, 0)
)</f>
        <v>0</v>
      </c>
      <c r="V118" s="25">
        <f>tblPayrollMaster[[#This Row],[Basic Earnings]]-tblPayrollMaster[[#This Row],[Tax]]-tblPayrollMaster[[#This Row],[NIS - Employee]]-tblPayrollMaster[[#This Row],[Health Surcharge]]</f>
        <v>0</v>
      </c>
      <c r="W118" s="25">
        <f>tblPayrollMaster[[#This Row],[Net Pay]]</f>
        <v>0</v>
      </c>
      <c r="X118" s="25"/>
    </row>
    <row r="119" spans="1:24" x14ac:dyDescent="0.25">
      <c r="A119" s="24"/>
      <c r="B119" s="24" t="str">
        <f>_xlfn.XLOOKUP(tblPayrollMaster[[#This Row],[Employee ID]],tblEmployee[Employee ID],tblEmployee[Employee Name],"")</f>
        <v/>
      </c>
      <c r="C119" s="24" t="str">
        <f>_xlfn.XLOOKUP(tblPayrollMaster[[#This Row],[Employee ID]],tblEmployee[Employee ID],tblEmployee[Employee Position],"")</f>
        <v/>
      </c>
      <c r="D119" s="24" t="str">
        <f>_xlfn.XLOOKUP(tblPayrollMaster[[#This Row],[Employee ID]], tblEmployee[Employee ID], tblEmployee[Pay Status], "Pay")</f>
        <v>Pay</v>
      </c>
      <c r="E119" s="24" t="str">
        <f>_xlfn.XLOOKUP(tblPayrollMaster[[#This Row],[Employee ID]], tblEmployee[Employee ID], tblEmployee[Payable Flag], "Y")</f>
        <v>Y</v>
      </c>
      <c r="F119" s="45">
        <f>IF(tblPayrollMaster[[#This Row],[Payable Flag]]="N",0,_xlfn.XLOOKUP(tblPayrollMaster[[#This Row],[Employee ID]],tblEmployee[Employee ID],tblEmployee[Pay Factor],1))</f>
        <v>1</v>
      </c>
      <c r="G119" s="26" t="str" cm="1">
        <f t="array" ref="G119">IF(tblPayrollMaster[[#This Row],[Employee ID]]="","",_xlfn.XLOOKUP(selPayPeriodID,tblPayCalendar[PayPeriodID],tblPayCalendar[PeriodStart],""))</f>
        <v/>
      </c>
      <c r="H119" s="26" t="str" cm="1">
        <f t="array" ref="H119">IF(tblPayrollMaster[[#This Row],[Employee ID]]="","",_xlfn.XLOOKUP(selPayPeriodID,tblPayCalendar[PayPeriodID],tblPayCalendar[PeriodEnd],""))</f>
        <v/>
      </c>
      <c r="I119" s="24" t="e" cm="1" vm="1">
        <f t="array" aca="1" ref="I119" ca="1">Table18[Employer Name]</f>
        <v>#VALUE!</v>
      </c>
      <c r="J119" s="3" cm="1">
        <f t="array" ref="J11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19" s="25" t="str">
        <f>_xlfn.XLOOKUP(tblPayrollMaster[[#This Row],[Employee Position]],tblPositionandPayRate[Employee Position],tblPositionandPayRate[Overtime], " ")</f>
        <v xml:space="preserve"> </v>
      </c>
      <c r="L119" s="25">
        <f>_xlfn.XLOOKUP(tblPayrollMaster[[#This Row],[Employee Position]],tblPositionandPayRate[Employee Position],tblPositionandPayRate[Allowance 1],0)*tblPayrollMaster[[#This Row],[Pay Factor]]</f>
        <v>0</v>
      </c>
      <c r="M119" s="25">
        <f>_xlfn.XLOOKUP(tblPayrollMaster[[#This Row],[Employee Position]],tblPositionandPayRate[Employee Position],tblPositionandPayRate[Allowance 2],0)*tblPayrollMaster[[#This Row],[Pay Factor]]</f>
        <v>0</v>
      </c>
      <c r="N119" s="25">
        <f>_xlfn.XLOOKUP(tblPayrollMaster[[#This Row],[Employee Position]],tblPositionandPayRate[Employee Position],tblPositionandPayRate[Allowance 3],0)*tblPayrollMaster[[#This Row],[Pay Factor]]</f>
        <v>0</v>
      </c>
      <c r="O119" s="25">
        <f>_xlfn.XLOOKUP(tblPayrollMaster[[#This Row],[Employee Position]],tblPositionandPayRate[Employee Position],tblPositionandPayRate[Allowance 4],0)*tblPayrollMaster[[#This Row],[Pay Factor]]</f>
        <v>0</v>
      </c>
      <c r="P119" s="25">
        <f>_xlfn.XLOOKUP(tblPayrollMaster[[#This Row],[Employee Position]],tblPositionandPayRate[Employee Position],tblPositionandPayRate[Allowance 5],0)*tblPayrollMaster[[#This Row],[Pay Factor]]</f>
        <v>0</v>
      </c>
      <c r="Q119" s="25">
        <f>SUM(tblPayrollMaster[[#This Row],[Basic Pay]:[Allowance 5]])</f>
        <v>0</v>
      </c>
      <c r="R11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19" s="51" cm="1">
        <f t="array" ref="S1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19" s="3" cm="1">
        <f t="array" ref="T1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19" s="25">
        <f>_xlfn.LET(
_xlpm.tos, _xlfn.XLOOKUP(tblPayrollMaster[[#This Row],[Employee ID]], tblEmployee[Employee ID], tblEmployee[Type of Service], ""),
IF(_xlpm.tos="Contract of Service", 8.25, 0)
)</f>
        <v>0</v>
      </c>
      <c r="V119" s="25">
        <f>tblPayrollMaster[[#This Row],[Basic Earnings]]-tblPayrollMaster[[#This Row],[Tax]]-tblPayrollMaster[[#This Row],[NIS - Employee]]-tblPayrollMaster[[#This Row],[Health Surcharge]]</f>
        <v>0</v>
      </c>
      <c r="W119" s="25">
        <f>tblPayrollMaster[[#This Row],[Net Pay]]</f>
        <v>0</v>
      </c>
      <c r="X119" s="25"/>
    </row>
    <row r="120" spans="1:24" x14ac:dyDescent="0.25">
      <c r="A120" s="24"/>
      <c r="B120" s="24" t="str">
        <f>_xlfn.XLOOKUP(tblPayrollMaster[[#This Row],[Employee ID]],tblEmployee[Employee ID],tblEmployee[Employee Name],"")</f>
        <v/>
      </c>
      <c r="C120" s="24" t="str">
        <f>_xlfn.XLOOKUP(tblPayrollMaster[[#This Row],[Employee ID]],tblEmployee[Employee ID],tblEmployee[Employee Position],"")</f>
        <v/>
      </c>
      <c r="D120" s="24" t="str">
        <f>_xlfn.XLOOKUP(tblPayrollMaster[[#This Row],[Employee ID]], tblEmployee[Employee ID], tblEmployee[Pay Status], "Pay")</f>
        <v>Pay</v>
      </c>
      <c r="E120" s="24" t="str">
        <f>_xlfn.XLOOKUP(tblPayrollMaster[[#This Row],[Employee ID]], tblEmployee[Employee ID], tblEmployee[Payable Flag], "Y")</f>
        <v>Y</v>
      </c>
      <c r="F120" s="45">
        <f>IF(tblPayrollMaster[[#This Row],[Payable Flag]]="N",0,_xlfn.XLOOKUP(tblPayrollMaster[[#This Row],[Employee ID]],tblEmployee[Employee ID],tblEmployee[Pay Factor],1))</f>
        <v>1</v>
      </c>
      <c r="G120" s="26" t="str" cm="1">
        <f t="array" ref="G120">IF(tblPayrollMaster[[#This Row],[Employee ID]]="","",_xlfn.XLOOKUP(selPayPeriodID,tblPayCalendar[PayPeriodID],tblPayCalendar[PeriodStart],""))</f>
        <v/>
      </c>
      <c r="H120" s="26" t="str" cm="1">
        <f t="array" ref="H120">IF(tblPayrollMaster[[#This Row],[Employee ID]]="","",_xlfn.XLOOKUP(selPayPeriodID,tblPayCalendar[PayPeriodID],tblPayCalendar[PeriodEnd],""))</f>
        <v/>
      </c>
      <c r="I120" s="24" t="e" cm="1" vm="1">
        <f t="array" aca="1" ref="I120" ca="1">Table18[Employer Name]</f>
        <v>#VALUE!</v>
      </c>
      <c r="J120" s="3" cm="1">
        <f t="array" ref="J12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20" s="25" t="str">
        <f>_xlfn.XLOOKUP(tblPayrollMaster[[#This Row],[Employee Position]],tblPositionandPayRate[Employee Position],tblPositionandPayRate[Overtime], " ")</f>
        <v xml:space="preserve"> </v>
      </c>
      <c r="L120" s="25">
        <f>_xlfn.XLOOKUP(tblPayrollMaster[[#This Row],[Employee Position]],tblPositionandPayRate[Employee Position],tblPositionandPayRate[Allowance 1],0)*tblPayrollMaster[[#This Row],[Pay Factor]]</f>
        <v>0</v>
      </c>
      <c r="M120" s="25">
        <f>_xlfn.XLOOKUP(tblPayrollMaster[[#This Row],[Employee Position]],tblPositionandPayRate[Employee Position],tblPositionandPayRate[Allowance 2],0)*tblPayrollMaster[[#This Row],[Pay Factor]]</f>
        <v>0</v>
      </c>
      <c r="N120" s="25">
        <f>_xlfn.XLOOKUP(tblPayrollMaster[[#This Row],[Employee Position]],tblPositionandPayRate[Employee Position],tblPositionandPayRate[Allowance 3],0)*tblPayrollMaster[[#This Row],[Pay Factor]]</f>
        <v>0</v>
      </c>
      <c r="O120" s="25">
        <f>_xlfn.XLOOKUP(tblPayrollMaster[[#This Row],[Employee Position]],tblPositionandPayRate[Employee Position],tblPositionandPayRate[Allowance 4],0)*tblPayrollMaster[[#This Row],[Pay Factor]]</f>
        <v>0</v>
      </c>
      <c r="P120" s="25">
        <f>_xlfn.XLOOKUP(tblPayrollMaster[[#This Row],[Employee Position]],tblPositionandPayRate[Employee Position],tblPositionandPayRate[Allowance 5],0)*tblPayrollMaster[[#This Row],[Pay Factor]]</f>
        <v>0</v>
      </c>
      <c r="Q120" s="25">
        <f>SUM(tblPayrollMaster[[#This Row],[Basic Pay]:[Allowance 5]])</f>
        <v>0</v>
      </c>
      <c r="R12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20" s="51" cm="1">
        <f t="array" ref="S1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20" s="3" cm="1">
        <f t="array" ref="T1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20" s="25">
        <f>_xlfn.LET(
_xlpm.tos, _xlfn.XLOOKUP(tblPayrollMaster[[#This Row],[Employee ID]], tblEmployee[Employee ID], tblEmployee[Type of Service], ""),
IF(_xlpm.tos="Contract of Service", 8.25, 0)
)</f>
        <v>0</v>
      </c>
      <c r="V120" s="25">
        <f>tblPayrollMaster[[#This Row],[Basic Earnings]]-tblPayrollMaster[[#This Row],[Tax]]-tblPayrollMaster[[#This Row],[NIS - Employee]]-tblPayrollMaster[[#This Row],[Health Surcharge]]</f>
        <v>0</v>
      </c>
      <c r="W120" s="25">
        <f>tblPayrollMaster[[#This Row],[Net Pay]]</f>
        <v>0</v>
      </c>
      <c r="X120" s="25"/>
    </row>
    <row r="121" spans="1:24" x14ac:dyDescent="0.25">
      <c r="A121" s="24"/>
      <c r="B121" s="24" t="str">
        <f>_xlfn.XLOOKUP(tblPayrollMaster[[#This Row],[Employee ID]],tblEmployee[Employee ID],tblEmployee[Employee Name],"")</f>
        <v/>
      </c>
      <c r="C121" s="24" t="str">
        <f>_xlfn.XLOOKUP(tblPayrollMaster[[#This Row],[Employee ID]],tblEmployee[Employee ID],tblEmployee[Employee Position],"")</f>
        <v/>
      </c>
      <c r="D121" s="24" t="str">
        <f>_xlfn.XLOOKUP(tblPayrollMaster[[#This Row],[Employee ID]], tblEmployee[Employee ID], tblEmployee[Pay Status], "Pay")</f>
        <v>Pay</v>
      </c>
      <c r="E121" s="24" t="str">
        <f>_xlfn.XLOOKUP(tblPayrollMaster[[#This Row],[Employee ID]], tblEmployee[Employee ID], tblEmployee[Payable Flag], "Y")</f>
        <v>Y</v>
      </c>
      <c r="F121" s="45">
        <f>IF(tblPayrollMaster[[#This Row],[Payable Flag]]="N",0,_xlfn.XLOOKUP(tblPayrollMaster[[#This Row],[Employee ID]],tblEmployee[Employee ID],tblEmployee[Pay Factor],1))</f>
        <v>1</v>
      </c>
      <c r="G121" s="26" t="str" cm="1">
        <f t="array" ref="G121">IF(tblPayrollMaster[[#This Row],[Employee ID]]="","",_xlfn.XLOOKUP(selPayPeriodID,tblPayCalendar[PayPeriodID],tblPayCalendar[PeriodStart],""))</f>
        <v/>
      </c>
      <c r="H121" s="26" t="str" cm="1">
        <f t="array" ref="H121">IF(tblPayrollMaster[[#This Row],[Employee ID]]="","",_xlfn.XLOOKUP(selPayPeriodID,tblPayCalendar[PayPeriodID],tblPayCalendar[PeriodEnd],""))</f>
        <v/>
      </c>
      <c r="I121" s="24" t="e" cm="1" vm="1">
        <f t="array" aca="1" ref="I121" ca="1">Table18[Employer Name]</f>
        <v>#VALUE!</v>
      </c>
      <c r="J121" s="3" cm="1">
        <f t="array" ref="J12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21" s="25" t="str">
        <f>_xlfn.XLOOKUP(tblPayrollMaster[[#This Row],[Employee Position]],tblPositionandPayRate[Employee Position],tblPositionandPayRate[Overtime], " ")</f>
        <v xml:space="preserve"> </v>
      </c>
      <c r="L121" s="25">
        <f>_xlfn.XLOOKUP(tblPayrollMaster[[#This Row],[Employee Position]],tblPositionandPayRate[Employee Position],tblPositionandPayRate[Allowance 1],0)*tblPayrollMaster[[#This Row],[Pay Factor]]</f>
        <v>0</v>
      </c>
      <c r="M121" s="25">
        <f>_xlfn.XLOOKUP(tblPayrollMaster[[#This Row],[Employee Position]],tblPositionandPayRate[Employee Position],tblPositionandPayRate[Allowance 2],0)*tblPayrollMaster[[#This Row],[Pay Factor]]</f>
        <v>0</v>
      </c>
      <c r="N121" s="25">
        <f>_xlfn.XLOOKUP(tblPayrollMaster[[#This Row],[Employee Position]],tblPositionandPayRate[Employee Position],tblPositionandPayRate[Allowance 3],0)*tblPayrollMaster[[#This Row],[Pay Factor]]</f>
        <v>0</v>
      </c>
      <c r="O121" s="25">
        <f>_xlfn.XLOOKUP(tblPayrollMaster[[#This Row],[Employee Position]],tblPositionandPayRate[Employee Position],tblPositionandPayRate[Allowance 4],0)*tblPayrollMaster[[#This Row],[Pay Factor]]</f>
        <v>0</v>
      </c>
      <c r="P121" s="25">
        <f>_xlfn.XLOOKUP(tblPayrollMaster[[#This Row],[Employee Position]],tblPositionandPayRate[Employee Position],tblPositionandPayRate[Allowance 5],0)*tblPayrollMaster[[#This Row],[Pay Factor]]</f>
        <v>0</v>
      </c>
      <c r="Q121" s="25">
        <f>SUM(tblPayrollMaster[[#This Row],[Basic Pay]:[Allowance 5]])</f>
        <v>0</v>
      </c>
      <c r="R12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21" s="51" cm="1">
        <f t="array" ref="S1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21" s="3" cm="1">
        <f t="array" ref="T1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21" s="25">
        <f>_xlfn.LET(
_xlpm.tos, _xlfn.XLOOKUP(tblPayrollMaster[[#This Row],[Employee ID]], tblEmployee[Employee ID], tblEmployee[Type of Service], ""),
IF(_xlpm.tos="Contract of Service", 8.25, 0)
)</f>
        <v>0</v>
      </c>
      <c r="V121" s="25">
        <f>tblPayrollMaster[[#This Row],[Basic Earnings]]-tblPayrollMaster[[#This Row],[Tax]]-tblPayrollMaster[[#This Row],[NIS - Employee]]-tblPayrollMaster[[#This Row],[Health Surcharge]]</f>
        <v>0</v>
      </c>
      <c r="W121" s="25">
        <f>tblPayrollMaster[[#This Row],[Net Pay]]</f>
        <v>0</v>
      </c>
      <c r="X121" s="25"/>
    </row>
    <row r="122" spans="1:24" x14ac:dyDescent="0.25">
      <c r="A122" s="24"/>
      <c r="B122" s="24" t="str">
        <f>_xlfn.XLOOKUP(tblPayrollMaster[[#This Row],[Employee ID]],tblEmployee[Employee ID],tblEmployee[Employee Name],"")</f>
        <v/>
      </c>
      <c r="C122" s="24" t="str">
        <f>_xlfn.XLOOKUP(tblPayrollMaster[[#This Row],[Employee ID]],tblEmployee[Employee ID],tblEmployee[Employee Position],"")</f>
        <v/>
      </c>
      <c r="D122" s="24" t="str">
        <f>_xlfn.XLOOKUP(tblPayrollMaster[[#This Row],[Employee ID]], tblEmployee[Employee ID], tblEmployee[Pay Status], "Pay")</f>
        <v>Pay</v>
      </c>
      <c r="E122" s="24" t="str">
        <f>_xlfn.XLOOKUP(tblPayrollMaster[[#This Row],[Employee ID]], tblEmployee[Employee ID], tblEmployee[Payable Flag], "Y")</f>
        <v>Y</v>
      </c>
      <c r="F122" s="45">
        <f>IF(tblPayrollMaster[[#This Row],[Payable Flag]]="N",0,_xlfn.XLOOKUP(tblPayrollMaster[[#This Row],[Employee ID]],tblEmployee[Employee ID],tblEmployee[Pay Factor],1))</f>
        <v>1</v>
      </c>
      <c r="G122" s="26" t="str" cm="1">
        <f t="array" ref="G122">IF(tblPayrollMaster[[#This Row],[Employee ID]]="","",_xlfn.XLOOKUP(selPayPeriodID,tblPayCalendar[PayPeriodID],tblPayCalendar[PeriodStart],""))</f>
        <v/>
      </c>
      <c r="H122" s="26" t="str" cm="1">
        <f t="array" ref="H122">IF(tblPayrollMaster[[#This Row],[Employee ID]]="","",_xlfn.XLOOKUP(selPayPeriodID,tblPayCalendar[PayPeriodID],tblPayCalendar[PeriodEnd],""))</f>
        <v/>
      </c>
      <c r="I122" s="24" t="e" cm="1" vm="1">
        <f t="array" aca="1" ref="I122" ca="1">Table18[Employer Name]</f>
        <v>#VALUE!</v>
      </c>
      <c r="J122" s="3" cm="1">
        <f t="array" ref="J12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22" s="25" t="str">
        <f>_xlfn.XLOOKUP(tblPayrollMaster[[#This Row],[Employee Position]],tblPositionandPayRate[Employee Position],tblPositionandPayRate[Overtime], " ")</f>
        <v xml:space="preserve"> </v>
      </c>
      <c r="L122" s="25">
        <f>_xlfn.XLOOKUP(tblPayrollMaster[[#This Row],[Employee Position]],tblPositionandPayRate[Employee Position],tblPositionandPayRate[Allowance 1],0)*tblPayrollMaster[[#This Row],[Pay Factor]]</f>
        <v>0</v>
      </c>
      <c r="M122" s="25">
        <f>_xlfn.XLOOKUP(tblPayrollMaster[[#This Row],[Employee Position]],tblPositionandPayRate[Employee Position],tblPositionandPayRate[Allowance 2],0)*tblPayrollMaster[[#This Row],[Pay Factor]]</f>
        <v>0</v>
      </c>
      <c r="N122" s="25">
        <f>_xlfn.XLOOKUP(tblPayrollMaster[[#This Row],[Employee Position]],tblPositionandPayRate[Employee Position],tblPositionandPayRate[Allowance 3],0)*tblPayrollMaster[[#This Row],[Pay Factor]]</f>
        <v>0</v>
      </c>
      <c r="O122" s="25">
        <f>_xlfn.XLOOKUP(tblPayrollMaster[[#This Row],[Employee Position]],tblPositionandPayRate[Employee Position],tblPositionandPayRate[Allowance 4],0)*tblPayrollMaster[[#This Row],[Pay Factor]]</f>
        <v>0</v>
      </c>
      <c r="P122" s="25">
        <f>_xlfn.XLOOKUP(tblPayrollMaster[[#This Row],[Employee Position]],tblPositionandPayRate[Employee Position],tblPositionandPayRate[Allowance 5],0)*tblPayrollMaster[[#This Row],[Pay Factor]]</f>
        <v>0</v>
      </c>
      <c r="Q122" s="25">
        <f>SUM(tblPayrollMaster[[#This Row],[Basic Pay]:[Allowance 5]])</f>
        <v>0</v>
      </c>
      <c r="R12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22" s="51" cm="1">
        <f t="array" ref="S1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22" s="3" cm="1">
        <f t="array" ref="T1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22" s="25">
        <f>_xlfn.LET(
_xlpm.tos, _xlfn.XLOOKUP(tblPayrollMaster[[#This Row],[Employee ID]], tblEmployee[Employee ID], tblEmployee[Type of Service], ""),
IF(_xlpm.tos="Contract of Service", 8.25, 0)
)</f>
        <v>0</v>
      </c>
      <c r="V122" s="25">
        <f>tblPayrollMaster[[#This Row],[Basic Earnings]]-tblPayrollMaster[[#This Row],[Tax]]-tblPayrollMaster[[#This Row],[NIS - Employee]]-tblPayrollMaster[[#This Row],[Health Surcharge]]</f>
        <v>0</v>
      </c>
      <c r="W122" s="25">
        <f>tblPayrollMaster[[#This Row],[Net Pay]]</f>
        <v>0</v>
      </c>
      <c r="X122" s="25"/>
    </row>
    <row r="123" spans="1:24" x14ac:dyDescent="0.25">
      <c r="A123" s="24"/>
      <c r="B123" s="24" t="str">
        <f>_xlfn.XLOOKUP(tblPayrollMaster[[#This Row],[Employee ID]],tblEmployee[Employee ID],tblEmployee[Employee Name],"")</f>
        <v/>
      </c>
      <c r="C123" s="24" t="str">
        <f>_xlfn.XLOOKUP(tblPayrollMaster[[#This Row],[Employee ID]],tblEmployee[Employee ID],tblEmployee[Employee Position],"")</f>
        <v/>
      </c>
      <c r="D123" s="24" t="str">
        <f>_xlfn.XLOOKUP(tblPayrollMaster[[#This Row],[Employee ID]], tblEmployee[Employee ID], tblEmployee[Pay Status], "Pay")</f>
        <v>Pay</v>
      </c>
      <c r="E123" s="24" t="str">
        <f>_xlfn.XLOOKUP(tblPayrollMaster[[#This Row],[Employee ID]], tblEmployee[Employee ID], tblEmployee[Payable Flag], "Y")</f>
        <v>Y</v>
      </c>
      <c r="F123" s="45">
        <f>IF(tblPayrollMaster[[#This Row],[Payable Flag]]="N",0,_xlfn.XLOOKUP(tblPayrollMaster[[#This Row],[Employee ID]],tblEmployee[Employee ID],tblEmployee[Pay Factor],1))</f>
        <v>1</v>
      </c>
      <c r="G123" s="26" t="str" cm="1">
        <f t="array" ref="G123">IF(tblPayrollMaster[[#This Row],[Employee ID]]="","",_xlfn.XLOOKUP(selPayPeriodID,tblPayCalendar[PayPeriodID],tblPayCalendar[PeriodStart],""))</f>
        <v/>
      </c>
      <c r="H123" s="26" t="str" cm="1">
        <f t="array" ref="H123">IF(tblPayrollMaster[[#This Row],[Employee ID]]="","",_xlfn.XLOOKUP(selPayPeriodID,tblPayCalendar[PayPeriodID],tblPayCalendar[PeriodEnd],""))</f>
        <v/>
      </c>
      <c r="I123" s="24" t="e" cm="1" vm="1">
        <f t="array" aca="1" ref="I123" ca="1">Table18[Employer Name]</f>
        <v>#VALUE!</v>
      </c>
      <c r="J123" s="3" cm="1">
        <f t="array" ref="J12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23" s="25" t="str">
        <f>_xlfn.XLOOKUP(tblPayrollMaster[[#This Row],[Employee Position]],tblPositionandPayRate[Employee Position],tblPositionandPayRate[Overtime], " ")</f>
        <v xml:space="preserve"> </v>
      </c>
      <c r="L123" s="25">
        <f>_xlfn.XLOOKUP(tblPayrollMaster[[#This Row],[Employee Position]],tblPositionandPayRate[Employee Position],tblPositionandPayRate[Allowance 1],0)*tblPayrollMaster[[#This Row],[Pay Factor]]</f>
        <v>0</v>
      </c>
      <c r="M123" s="25">
        <f>_xlfn.XLOOKUP(tblPayrollMaster[[#This Row],[Employee Position]],tblPositionandPayRate[Employee Position],tblPositionandPayRate[Allowance 2],0)*tblPayrollMaster[[#This Row],[Pay Factor]]</f>
        <v>0</v>
      </c>
      <c r="N123" s="25">
        <f>_xlfn.XLOOKUP(tblPayrollMaster[[#This Row],[Employee Position]],tblPositionandPayRate[Employee Position],tblPositionandPayRate[Allowance 3],0)*tblPayrollMaster[[#This Row],[Pay Factor]]</f>
        <v>0</v>
      </c>
      <c r="O123" s="25">
        <f>_xlfn.XLOOKUP(tblPayrollMaster[[#This Row],[Employee Position]],tblPositionandPayRate[Employee Position],tblPositionandPayRate[Allowance 4],0)*tblPayrollMaster[[#This Row],[Pay Factor]]</f>
        <v>0</v>
      </c>
      <c r="P123" s="25">
        <f>_xlfn.XLOOKUP(tblPayrollMaster[[#This Row],[Employee Position]],tblPositionandPayRate[Employee Position],tblPositionandPayRate[Allowance 5],0)*tblPayrollMaster[[#This Row],[Pay Factor]]</f>
        <v>0</v>
      </c>
      <c r="Q123" s="25">
        <f>SUM(tblPayrollMaster[[#This Row],[Basic Pay]:[Allowance 5]])</f>
        <v>0</v>
      </c>
      <c r="R12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23" s="51" cm="1">
        <f t="array" ref="S1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23" s="3" cm="1">
        <f t="array" ref="T1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23" s="25">
        <f>_xlfn.LET(
_xlpm.tos, _xlfn.XLOOKUP(tblPayrollMaster[[#This Row],[Employee ID]], tblEmployee[Employee ID], tblEmployee[Type of Service], ""),
IF(_xlpm.tos="Contract of Service", 8.25, 0)
)</f>
        <v>0</v>
      </c>
      <c r="V123" s="25">
        <f>tblPayrollMaster[[#This Row],[Basic Earnings]]-tblPayrollMaster[[#This Row],[Tax]]-tblPayrollMaster[[#This Row],[NIS - Employee]]-tblPayrollMaster[[#This Row],[Health Surcharge]]</f>
        <v>0</v>
      </c>
      <c r="W123" s="25">
        <f>tblPayrollMaster[[#This Row],[Net Pay]]</f>
        <v>0</v>
      </c>
      <c r="X123" s="25"/>
    </row>
    <row r="124" spans="1:24" x14ac:dyDescent="0.25">
      <c r="A124" s="24"/>
      <c r="B124" s="24" t="str">
        <f>_xlfn.XLOOKUP(tblPayrollMaster[[#This Row],[Employee ID]],tblEmployee[Employee ID],tblEmployee[Employee Name],"")</f>
        <v/>
      </c>
      <c r="C124" s="24" t="str">
        <f>_xlfn.XLOOKUP(tblPayrollMaster[[#This Row],[Employee ID]],tblEmployee[Employee ID],tblEmployee[Employee Position],"")</f>
        <v/>
      </c>
      <c r="D124" s="24" t="str">
        <f>_xlfn.XLOOKUP(tblPayrollMaster[[#This Row],[Employee ID]], tblEmployee[Employee ID], tblEmployee[Pay Status], "Pay")</f>
        <v>Pay</v>
      </c>
      <c r="E124" s="24" t="str">
        <f>_xlfn.XLOOKUP(tblPayrollMaster[[#This Row],[Employee ID]], tblEmployee[Employee ID], tblEmployee[Payable Flag], "Y")</f>
        <v>Y</v>
      </c>
      <c r="F124" s="45">
        <f>IF(tblPayrollMaster[[#This Row],[Payable Flag]]="N",0,_xlfn.XLOOKUP(tblPayrollMaster[[#This Row],[Employee ID]],tblEmployee[Employee ID],tblEmployee[Pay Factor],1))</f>
        <v>1</v>
      </c>
      <c r="G124" s="26" t="str" cm="1">
        <f t="array" ref="G124">IF(tblPayrollMaster[[#This Row],[Employee ID]]="","",_xlfn.XLOOKUP(selPayPeriodID,tblPayCalendar[PayPeriodID],tblPayCalendar[PeriodStart],""))</f>
        <v/>
      </c>
      <c r="H124" s="26" t="str" cm="1">
        <f t="array" ref="H124">IF(tblPayrollMaster[[#This Row],[Employee ID]]="","",_xlfn.XLOOKUP(selPayPeriodID,tblPayCalendar[PayPeriodID],tblPayCalendar[PeriodEnd],""))</f>
        <v/>
      </c>
      <c r="I124" s="24" t="e" cm="1" vm="1">
        <f t="array" aca="1" ref="I124" ca="1">Table18[Employer Name]</f>
        <v>#VALUE!</v>
      </c>
      <c r="J124" s="3" cm="1">
        <f t="array" ref="J12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24" s="25" t="str">
        <f>_xlfn.XLOOKUP(tblPayrollMaster[[#This Row],[Employee Position]],tblPositionandPayRate[Employee Position],tblPositionandPayRate[Overtime], " ")</f>
        <v xml:space="preserve"> </v>
      </c>
      <c r="L124" s="25">
        <f>_xlfn.XLOOKUP(tblPayrollMaster[[#This Row],[Employee Position]],tblPositionandPayRate[Employee Position],tblPositionandPayRate[Allowance 1],0)*tblPayrollMaster[[#This Row],[Pay Factor]]</f>
        <v>0</v>
      </c>
      <c r="M124" s="25">
        <f>_xlfn.XLOOKUP(tblPayrollMaster[[#This Row],[Employee Position]],tblPositionandPayRate[Employee Position],tblPositionandPayRate[Allowance 2],0)*tblPayrollMaster[[#This Row],[Pay Factor]]</f>
        <v>0</v>
      </c>
      <c r="N124" s="25">
        <f>_xlfn.XLOOKUP(tblPayrollMaster[[#This Row],[Employee Position]],tblPositionandPayRate[Employee Position],tblPositionandPayRate[Allowance 3],0)*tblPayrollMaster[[#This Row],[Pay Factor]]</f>
        <v>0</v>
      </c>
      <c r="O124" s="25">
        <f>_xlfn.XLOOKUP(tblPayrollMaster[[#This Row],[Employee Position]],tblPositionandPayRate[Employee Position],tblPositionandPayRate[Allowance 4],0)*tblPayrollMaster[[#This Row],[Pay Factor]]</f>
        <v>0</v>
      </c>
      <c r="P124" s="25">
        <f>_xlfn.XLOOKUP(tblPayrollMaster[[#This Row],[Employee Position]],tblPositionandPayRate[Employee Position],tblPositionandPayRate[Allowance 5],0)*tblPayrollMaster[[#This Row],[Pay Factor]]</f>
        <v>0</v>
      </c>
      <c r="Q124" s="25">
        <f>SUM(tblPayrollMaster[[#This Row],[Basic Pay]:[Allowance 5]])</f>
        <v>0</v>
      </c>
      <c r="R12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24" s="51" cm="1">
        <f t="array" ref="S1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24" s="3" cm="1">
        <f t="array" ref="T1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24" s="25">
        <f>_xlfn.LET(
_xlpm.tos, _xlfn.XLOOKUP(tblPayrollMaster[[#This Row],[Employee ID]], tblEmployee[Employee ID], tblEmployee[Type of Service], ""),
IF(_xlpm.tos="Contract of Service", 8.25, 0)
)</f>
        <v>0</v>
      </c>
      <c r="V124" s="25">
        <f>tblPayrollMaster[[#This Row],[Basic Earnings]]-tblPayrollMaster[[#This Row],[Tax]]-tblPayrollMaster[[#This Row],[NIS - Employee]]-tblPayrollMaster[[#This Row],[Health Surcharge]]</f>
        <v>0</v>
      </c>
      <c r="W124" s="25">
        <f>tblPayrollMaster[[#This Row],[Net Pay]]</f>
        <v>0</v>
      </c>
      <c r="X124" s="25"/>
    </row>
    <row r="125" spans="1:24" x14ac:dyDescent="0.25">
      <c r="A125" s="24"/>
      <c r="B125" s="24" t="str">
        <f>_xlfn.XLOOKUP(tblPayrollMaster[[#This Row],[Employee ID]],tblEmployee[Employee ID],tblEmployee[Employee Name],"")</f>
        <v/>
      </c>
      <c r="C125" s="24" t="str">
        <f>_xlfn.XLOOKUP(tblPayrollMaster[[#This Row],[Employee ID]],tblEmployee[Employee ID],tblEmployee[Employee Position],"")</f>
        <v/>
      </c>
      <c r="D125" s="24" t="str">
        <f>_xlfn.XLOOKUP(tblPayrollMaster[[#This Row],[Employee ID]], tblEmployee[Employee ID], tblEmployee[Pay Status], "Pay")</f>
        <v>Pay</v>
      </c>
      <c r="E125" s="24" t="str">
        <f>_xlfn.XLOOKUP(tblPayrollMaster[[#This Row],[Employee ID]], tblEmployee[Employee ID], tblEmployee[Payable Flag], "Y")</f>
        <v>Y</v>
      </c>
      <c r="F125" s="45">
        <f>IF(tblPayrollMaster[[#This Row],[Payable Flag]]="N",0,_xlfn.XLOOKUP(tblPayrollMaster[[#This Row],[Employee ID]],tblEmployee[Employee ID],tblEmployee[Pay Factor],1))</f>
        <v>1</v>
      </c>
      <c r="G125" s="26" t="str" cm="1">
        <f t="array" ref="G125">IF(tblPayrollMaster[[#This Row],[Employee ID]]="","",_xlfn.XLOOKUP(selPayPeriodID,tblPayCalendar[PayPeriodID],tblPayCalendar[PeriodStart],""))</f>
        <v/>
      </c>
      <c r="H125" s="26" t="str" cm="1">
        <f t="array" ref="H125">IF(tblPayrollMaster[[#This Row],[Employee ID]]="","",_xlfn.XLOOKUP(selPayPeriodID,tblPayCalendar[PayPeriodID],tblPayCalendar[PeriodEnd],""))</f>
        <v/>
      </c>
      <c r="I125" s="24" t="e" cm="1" vm="1">
        <f t="array" aca="1" ref="I125" ca="1">Table18[Employer Name]</f>
        <v>#VALUE!</v>
      </c>
      <c r="J125" s="3" cm="1">
        <f t="array" ref="J12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25" s="25" t="str">
        <f>_xlfn.XLOOKUP(tblPayrollMaster[[#This Row],[Employee Position]],tblPositionandPayRate[Employee Position],tblPositionandPayRate[Overtime], " ")</f>
        <v xml:space="preserve"> </v>
      </c>
      <c r="L125" s="25">
        <f>_xlfn.XLOOKUP(tblPayrollMaster[[#This Row],[Employee Position]],tblPositionandPayRate[Employee Position],tblPositionandPayRate[Allowance 1],0)*tblPayrollMaster[[#This Row],[Pay Factor]]</f>
        <v>0</v>
      </c>
      <c r="M125" s="25">
        <f>_xlfn.XLOOKUP(tblPayrollMaster[[#This Row],[Employee Position]],tblPositionandPayRate[Employee Position],tblPositionandPayRate[Allowance 2],0)*tblPayrollMaster[[#This Row],[Pay Factor]]</f>
        <v>0</v>
      </c>
      <c r="N125" s="25">
        <f>_xlfn.XLOOKUP(tblPayrollMaster[[#This Row],[Employee Position]],tblPositionandPayRate[Employee Position],tblPositionandPayRate[Allowance 3],0)*tblPayrollMaster[[#This Row],[Pay Factor]]</f>
        <v>0</v>
      </c>
      <c r="O125" s="25">
        <f>_xlfn.XLOOKUP(tblPayrollMaster[[#This Row],[Employee Position]],tblPositionandPayRate[Employee Position],tblPositionandPayRate[Allowance 4],0)*tblPayrollMaster[[#This Row],[Pay Factor]]</f>
        <v>0</v>
      </c>
      <c r="P125" s="25">
        <f>_xlfn.XLOOKUP(tblPayrollMaster[[#This Row],[Employee Position]],tblPositionandPayRate[Employee Position],tblPositionandPayRate[Allowance 5],0)*tblPayrollMaster[[#This Row],[Pay Factor]]</f>
        <v>0</v>
      </c>
      <c r="Q125" s="25">
        <f>SUM(tblPayrollMaster[[#This Row],[Basic Pay]:[Allowance 5]])</f>
        <v>0</v>
      </c>
      <c r="R12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25" s="51" cm="1">
        <f t="array" ref="S1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25" s="3" cm="1">
        <f t="array" ref="T1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25" s="25">
        <f>_xlfn.LET(
_xlpm.tos, _xlfn.XLOOKUP(tblPayrollMaster[[#This Row],[Employee ID]], tblEmployee[Employee ID], tblEmployee[Type of Service], ""),
IF(_xlpm.tos="Contract of Service", 8.25, 0)
)</f>
        <v>0</v>
      </c>
      <c r="V125" s="25">
        <f>tblPayrollMaster[[#This Row],[Basic Earnings]]-tblPayrollMaster[[#This Row],[Tax]]-tblPayrollMaster[[#This Row],[NIS - Employee]]-tblPayrollMaster[[#This Row],[Health Surcharge]]</f>
        <v>0</v>
      </c>
      <c r="W125" s="25">
        <f>tblPayrollMaster[[#This Row],[Net Pay]]</f>
        <v>0</v>
      </c>
      <c r="X125" s="25"/>
    </row>
    <row r="126" spans="1:24" x14ac:dyDescent="0.25">
      <c r="A126" s="24"/>
      <c r="B126" s="24" t="str">
        <f>_xlfn.XLOOKUP(tblPayrollMaster[[#This Row],[Employee ID]],tblEmployee[Employee ID],tblEmployee[Employee Name],"")</f>
        <v/>
      </c>
      <c r="C126" s="24" t="str">
        <f>_xlfn.XLOOKUP(tblPayrollMaster[[#This Row],[Employee ID]],tblEmployee[Employee ID],tblEmployee[Employee Position],"")</f>
        <v/>
      </c>
      <c r="D126" s="24" t="str">
        <f>_xlfn.XLOOKUP(tblPayrollMaster[[#This Row],[Employee ID]], tblEmployee[Employee ID], tblEmployee[Pay Status], "Pay")</f>
        <v>Pay</v>
      </c>
      <c r="E126" s="24" t="str">
        <f>_xlfn.XLOOKUP(tblPayrollMaster[[#This Row],[Employee ID]], tblEmployee[Employee ID], tblEmployee[Payable Flag], "Y")</f>
        <v>Y</v>
      </c>
      <c r="F126" s="45">
        <f>IF(tblPayrollMaster[[#This Row],[Payable Flag]]="N",0,_xlfn.XLOOKUP(tblPayrollMaster[[#This Row],[Employee ID]],tblEmployee[Employee ID],tblEmployee[Pay Factor],1))</f>
        <v>1</v>
      </c>
      <c r="G126" s="26" t="str" cm="1">
        <f t="array" ref="G126">IF(tblPayrollMaster[[#This Row],[Employee ID]]="","",_xlfn.XLOOKUP(selPayPeriodID,tblPayCalendar[PayPeriodID],tblPayCalendar[PeriodStart],""))</f>
        <v/>
      </c>
      <c r="H126" s="26" t="str" cm="1">
        <f t="array" ref="H126">IF(tblPayrollMaster[[#This Row],[Employee ID]]="","",_xlfn.XLOOKUP(selPayPeriodID,tblPayCalendar[PayPeriodID],tblPayCalendar[PeriodEnd],""))</f>
        <v/>
      </c>
      <c r="I126" s="24" t="e" cm="1" vm="1">
        <f t="array" aca="1" ref="I126" ca="1">Table18[Employer Name]</f>
        <v>#VALUE!</v>
      </c>
      <c r="J126" s="3" cm="1">
        <f t="array" ref="J12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26" s="25" t="str">
        <f>_xlfn.XLOOKUP(tblPayrollMaster[[#This Row],[Employee Position]],tblPositionandPayRate[Employee Position],tblPositionandPayRate[Overtime], " ")</f>
        <v xml:space="preserve"> </v>
      </c>
      <c r="L126" s="25">
        <f>_xlfn.XLOOKUP(tblPayrollMaster[[#This Row],[Employee Position]],tblPositionandPayRate[Employee Position],tblPositionandPayRate[Allowance 1],0)*tblPayrollMaster[[#This Row],[Pay Factor]]</f>
        <v>0</v>
      </c>
      <c r="M126" s="25">
        <f>_xlfn.XLOOKUP(tblPayrollMaster[[#This Row],[Employee Position]],tblPositionandPayRate[Employee Position],tblPositionandPayRate[Allowance 2],0)*tblPayrollMaster[[#This Row],[Pay Factor]]</f>
        <v>0</v>
      </c>
      <c r="N126" s="25">
        <f>_xlfn.XLOOKUP(tblPayrollMaster[[#This Row],[Employee Position]],tblPositionandPayRate[Employee Position],tblPositionandPayRate[Allowance 3],0)*tblPayrollMaster[[#This Row],[Pay Factor]]</f>
        <v>0</v>
      </c>
      <c r="O126" s="25">
        <f>_xlfn.XLOOKUP(tblPayrollMaster[[#This Row],[Employee Position]],tblPositionandPayRate[Employee Position],tblPositionandPayRate[Allowance 4],0)*tblPayrollMaster[[#This Row],[Pay Factor]]</f>
        <v>0</v>
      </c>
      <c r="P126" s="25">
        <f>_xlfn.XLOOKUP(tblPayrollMaster[[#This Row],[Employee Position]],tblPositionandPayRate[Employee Position],tblPositionandPayRate[Allowance 5],0)*tblPayrollMaster[[#This Row],[Pay Factor]]</f>
        <v>0</v>
      </c>
      <c r="Q126" s="25">
        <f>SUM(tblPayrollMaster[[#This Row],[Basic Pay]:[Allowance 5]])</f>
        <v>0</v>
      </c>
      <c r="R12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26" s="51" cm="1">
        <f t="array" ref="S1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26" s="3" cm="1">
        <f t="array" ref="T1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26" s="25">
        <f>_xlfn.LET(
_xlpm.tos, _xlfn.XLOOKUP(tblPayrollMaster[[#This Row],[Employee ID]], tblEmployee[Employee ID], tblEmployee[Type of Service], ""),
IF(_xlpm.tos="Contract of Service", 8.25, 0)
)</f>
        <v>0</v>
      </c>
      <c r="V126" s="25">
        <f>tblPayrollMaster[[#This Row],[Basic Earnings]]-tblPayrollMaster[[#This Row],[Tax]]-tblPayrollMaster[[#This Row],[NIS - Employee]]-tblPayrollMaster[[#This Row],[Health Surcharge]]</f>
        <v>0</v>
      </c>
      <c r="W126" s="25">
        <f>tblPayrollMaster[[#This Row],[Net Pay]]</f>
        <v>0</v>
      </c>
      <c r="X126" s="25"/>
    </row>
    <row r="127" spans="1:24" x14ac:dyDescent="0.25">
      <c r="A127" s="24"/>
      <c r="B127" s="24" t="str">
        <f>_xlfn.XLOOKUP(tblPayrollMaster[[#This Row],[Employee ID]],tblEmployee[Employee ID],tblEmployee[Employee Name],"")</f>
        <v/>
      </c>
      <c r="C127" s="24" t="str">
        <f>_xlfn.XLOOKUP(tblPayrollMaster[[#This Row],[Employee ID]],tblEmployee[Employee ID],tblEmployee[Employee Position],"")</f>
        <v/>
      </c>
      <c r="D127" s="24" t="str">
        <f>_xlfn.XLOOKUP(tblPayrollMaster[[#This Row],[Employee ID]], tblEmployee[Employee ID], tblEmployee[Pay Status], "Pay")</f>
        <v>Pay</v>
      </c>
      <c r="E127" s="24" t="str">
        <f>_xlfn.XLOOKUP(tblPayrollMaster[[#This Row],[Employee ID]], tblEmployee[Employee ID], tblEmployee[Payable Flag], "Y")</f>
        <v>Y</v>
      </c>
      <c r="F127" s="45">
        <f>IF(tblPayrollMaster[[#This Row],[Payable Flag]]="N",0,_xlfn.XLOOKUP(tblPayrollMaster[[#This Row],[Employee ID]],tblEmployee[Employee ID],tblEmployee[Pay Factor],1))</f>
        <v>1</v>
      </c>
      <c r="G127" s="26" t="str" cm="1">
        <f t="array" ref="G127">IF(tblPayrollMaster[[#This Row],[Employee ID]]="","",_xlfn.XLOOKUP(selPayPeriodID,tblPayCalendar[PayPeriodID],tblPayCalendar[PeriodStart],""))</f>
        <v/>
      </c>
      <c r="H127" s="26" t="str" cm="1">
        <f t="array" ref="H127">IF(tblPayrollMaster[[#This Row],[Employee ID]]="","",_xlfn.XLOOKUP(selPayPeriodID,tblPayCalendar[PayPeriodID],tblPayCalendar[PeriodEnd],""))</f>
        <v/>
      </c>
      <c r="I127" s="24" t="e" cm="1" vm="1">
        <f t="array" aca="1" ref="I127" ca="1">Table18[Employer Name]</f>
        <v>#VALUE!</v>
      </c>
      <c r="J127" s="3" cm="1">
        <f t="array" ref="J12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27" s="25" t="str">
        <f>_xlfn.XLOOKUP(tblPayrollMaster[[#This Row],[Employee Position]],tblPositionandPayRate[Employee Position],tblPositionandPayRate[Overtime], " ")</f>
        <v xml:space="preserve"> </v>
      </c>
      <c r="L127" s="25">
        <f>_xlfn.XLOOKUP(tblPayrollMaster[[#This Row],[Employee Position]],tblPositionandPayRate[Employee Position],tblPositionandPayRate[Allowance 1],0)*tblPayrollMaster[[#This Row],[Pay Factor]]</f>
        <v>0</v>
      </c>
      <c r="M127" s="25">
        <f>_xlfn.XLOOKUP(tblPayrollMaster[[#This Row],[Employee Position]],tblPositionandPayRate[Employee Position],tblPositionandPayRate[Allowance 2],0)*tblPayrollMaster[[#This Row],[Pay Factor]]</f>
        <v>0</v>
      </c>
      <c r="N127" s="25">
        <f>_xlfn.XLOOKUP(tblPayrollMaster[[#This Row],[Employee Position]],tblPositionandPayRate[Employee Position],tblPositionandPayRate[Allowance 3],0)*tblPayrollMaster[[#This Row],[Pay Factor]]</f>
        <v>0</v>
      </c>
      <c r="O127" s="25">
        <f>_xlfn.XLOOKUP(tblPayrollMaster[[#This Row],[Employee Position]],tblPositionandPayRate[Employee Position],tblPositionandPayRate[Allowance 4],0)*tblPayrollMaster[[#This Row],[Pay Factor]]</f>
        <v>0</v>
      </c>
      <c r="P127" s="25">
        <f>_xlfn.XLOOKUP(tblPayrollMaster[[#This Row],[Employee Position]],tblPositionandPayRate[Employee Position],tblPositionandPayRate[Allowance 5],0)*tblPayrollMaster[[#This Row],[Pay Factor]]</f>
        <v>0</v>
      </c>
      <c r="Q127" s="25">
        <f>SUM(tblPayrollMaster[[#This Row],[Basic Pay]:[Allowance 5]])</f>
        <v>0</v>
      </c>
      <c r="R12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27" s="51" cm="1">
        <f t="array" ref="S1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27" s="3" cm="1">
        <f t="array" ref="T1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27" s="25">
        <f>_xlfn.LET(
_xlpm.tos, _xlfn.XLOOKUP(tblPayrollMaster[[#This Row],[Employee ID]], tblEmployee[Employee ID], tblEmployee[Type of Service], ""),
IF(_xlpm.tos="Contract of Service", 8.25, 0)
)</f>
        <v>0</v>
      </c>
      <c r="V127" s="25">
        <f>tblPayrollMaster[[#This Row],[Basic Earnings]]-tblPayrollMaster[[#This Row],[Tax]]-tblPayrollMaster[[#This Row],[NIS - Employee]]-tblPayrollMaster[[#This Row],[Health Surcharge]]</f>
        <v>0</v>
      </c>
      <c r="W127" s="25">
        <f>tblPayrollMaster[[#This Row],[Net Pay]]</f>
        <v>0</v>
      </c>
      <c r="X127" s="25"/>
    </row>
    <row r="128" spans="1:24" x14ac:dyDescent="0.25">
      <c r="A128" s="24"/>
      <c r="B128" s="24" t="str">
        <f>_xlfn.XLOOKUP(tblPayrollMaster[[#This Row],[Employee ID]],tblEmployee[Employee ID],tblEmployee[Employee Name],"")</f>
        <v/>
      </c>
      <c r="C128" s="24" t="str">
        <f>_xlfn.XLOOKUP(tblPayrollMaster[[#This Row],[Employee ID]],tblEmployee[Employee ID],tblEmployee[Employee Position],"")</f>
        <v/>
      </c>
      <c r="D128" s="24" t="str">
        <f>_xlfn.XLOOKUP(tblPayrollMaster[[#This Row],[Employee ID]], tblEmployee[Employee ID], tblEmployee[Pay Status], "Pay")</f>
        <v>Pay</v>
      </c>
      <c r="E128" s="24" t="str">
        <f>_xlfn.XLOOKUP(tblPayrollMaster[[#This Row],[Employee ID]], tblEmployee[Employee ID], tblEmployee[Payable Flag], "Y")</f>
        <v>Y</v>
      </c>
      <c r="F128" s="45">
        <f>IF(tblPayrollMaster[[#This Row],[Payable Flag]]="N",0,_xlfn.XLOOKUP(tblPayrollMaster[[#This Row],[Employee ID]],tblEmployee[Employee ID],tblEmployee[Pay Factor],1))</f>
        <v>1</v>
      </c>
      <c r="G128" s="26" t="str" cm="1">
        <f t="array" ref="G128">IF(tblPayrollMaster[[#This Row],[Employee ID]]="","",_xlfn.XLOOKUP(selPayPeriodID,tblPayCalendar[PayPeriodID],tblPayCalendar[PeriodStart],""))</f>
        <v/>
      </c>
      <c r="H128" s="26" t="str" cm="1">
        <f t="array" ref="H128">IF(tblPayrollMaster[[#This Row],[Employee ID]]="","",_xlfn.XLOOKUP(selPayPeriodID,tblPayCalendar[PayPeriodID],tblPayCalendar[PeriodEnd],""))</f>
        <v/>
      </c>
      <c r="I128" s="24" t="e" cm="1" vm="1">
        <f t="array" aca="1" ref="I128" ca="1">Table18[Employer Name]</f>
        <v>#VALUE!</v>
      </c>
      <c r="J128" s="3" cm="1">
        <f t="array" ref="J12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28" s="25" t="str">
        <f>_xlfn.XLOOKUP(tblPayrollMaster[[#This Row],[Employee Position]],tblPositionandPayRate[Employee Position],tblPositionandPayRate[Overtime], " ")</f>
        <v xml:space="preserve"> </v>
      </c>
      <c r="L128" s="25">
        <f>_xlfn.XLOOKUP(tblPayrollMaster[[#This Row],[Employee Position]],tblPositionandPayRate[Employee Position],tblPositionandPayRate[Allowance 1],0)*tblPayrollMaster[[#This Row],[Pay Factor]]</f>
        <v>0</v>
      </c>
      <c r="M128" s="25">
        <f>_xlfn.XLOOKUP(tblPayrollMaster[[#This Row],[Employee Position]],tblPositionandPayRate[Employee Position],tblPositionandPayRate[Allowance 2],0)*tblPayrollMaster[[#This Row],[Pay Factor]]</f>
        <v>0</v>
      </c>
      <c r="N128" s="25">
        <f>_xlfn.XLOOKUP(tblPayrollMaster[[#This Row],[Employee Position]],tblPositionandPayRate[Employee Position],tblPositionandPayRate[Allowance 3],0)*tblPayrollMaster[[#This Row],[Pay Factor]]</f>
        <v>0</v>
      </c>
      <c r="O128" s="25">
        <f>_xlfn.XLOOKUP(tblPayrollMaster[[#This Row],[Employee Position]],tblPositionandPayRate[Employee Position],tblPositionandPayRate[Allowance 4],0)*tblPayrollMaster[[#This Row],[Pay Factor]]</f>
        <v>0</v>
      </c>
      <c r="P128" s="25">
        <f>_xlfn.XLOOKUP(tblPayrollMaster[[#This Row],[Employee Position]],tblPositionandPayRate[Employee Position],tblPositionandPayRate[Allowance 5],0)*tblPayrollMaster[[#This Row],[Pay Factor]]</f>
        <v>0</v>
      </c>
      <c r="Q128" s="25">
        <f>SUM(tblPayrollMaster[[#This Row],[Basic Pay]:[Allowance 5]])</f>
        <v>0</v>
      </c>
      <c r="R12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28" s="51" cm="1">
        <f t="array" ref="S1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28" s="3" cm="1">
        <f t="array" ref="T1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28" s="25">
        <f>_xlfn.LET(
_xlpm.tos, _xlfn.XLOOKUP(tblPayrollMaster[[#This Row],[Employee ID]], tblEmployee[Employee ID], tblEmployee[Type of Service], ""),
IF(_xlpm.tos="Contract of Service", 8.25, 0)
)</f>
        <v>0</v>
      </c>
      <c r="V128" s="25">
        <f>tblPayrollMaster[[#This Row],[Basic Earnings]]-tblPayrollMaster[[#This Row],[Tax]]-tblPayrollMaster[[#This Row],[NIS - Employee]]-tblPayrollMaster[[#This Row],[Health Surcharge]]</f>
        <v>0</v>
      </c>
      <c r="W128" s="25">
        <f>tblPayrollMaster[[#This Row],[Net Pay]]</f>
        <v>0</v>
      </c>
      <c r="X128" s="25"/>
    </row>
    <row r="129" spans="1:24" x14ac:dyDescent="0.25">
      <c r="A129" s="24"/>
      <c r="B129" s="24" t="str">
        <f>_xlfn.XLOOKUP(tblPayrollMaster[[#This Row],[Employee ID]],tblEmployee[Employee ID],tblEmployee[Employee Name],"")</f>
        <v/>
      </c>
      <c r="C129" s="24" t="str">
        <f>_xlfn.XLOOKUP(tblPayrollMaster[[#This Row],[Employee ID]],tblEmployee[Employee ID],tblEmployee[Employee Position],"")</f>
        <v/>
      </c>
      <c r="D129" s="24" t="str">
        <f>_xlfn.XLOOKUP(tblPayrollMaster[[#This Row],[Employee ID]], tblEmployee[Employee ID], tblEmployee[Pay Status], "Pay")</f>
        <v>Pay</v>
      </c>
      <c r="E129" s="24" t="str">
        <f>_xlfn.XLOOKUP(tblPayrollMaster[[#This Row],[Employee ID]], tblEmployee[Employee ID], tblEmployee[Payable Flag], "Y")</f>
        <v>Y</v>
      </c>
      <c r="F129" s="45">
        <f>IF(tblPayrollMaster[[#This Row],[Payable Flag]]="N",0,_xlfn.XLOOKUP(tblPayrollMaster[[#This Row],[Employee ID]],tblEmployee[Employee ID],tblEmployee[Pay Factor],1))</f>
        <v>1</v>
      </c>
      <c r="G129" s="26" t="str" cm="1">
        <f t="array" ref="G129">IF(tblPayrollMaster[[#This Row],[Employee ID]]="","",_xlfn.XLOOKUP(selPayPeriodID,tblPayCalendar[PayPeriodID],tblPayCalendar[PeriodStart],""))</f>
        <v/>
      </c>
      <c r="H129" s="26" t="str" cm="1">
        <f t="array" ref="H129">IF(tblPayrollMaster[[#This Row],[Employee ID]]="","",_xlfn.XLOOKUP(selPayPeriodID,tblPayCalendar[PayPeriodID],tblPayCalendar[PeriodEnd],""))</f>
        <v/>
      </c>
      <c r="I129" s="24" t="e" cm="1" vm="1">
        <f t="array" aca="1" ref="I129" ca="1">Table18[Employer Name]</f>
        <v>#VALUE!</v>
      </c>
      <c r="J129" s="3" cm="1">
        <f t="array" ref="J12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29" s="25" t="str">
        <f>_xlfn.XLOOKUP(tblPayrollMaster[[#This Row],[Employee Position]],tblPositionandPayRate[Employee Position],tblPositionandPayRate[Overtime], " ")</f>
        <v xml:space="preserve"> </v>
      </c>
      <c r="L129" s="25">
        <f>_xlfn.XLOOKUP(tblPayrollMaster[[#This Row],[Employee Position]],tblPositionandPayRate[Employee Position],tblPositionandPayRate[Allowance 1],0)*tblPayrollMaster[[#This Row],[Pay Factor]]</f>
        <v>0</v>
      </c>
      <c r="M129" s="25">
        <f>_xlfn.XLOOKUP(tblPayrollMaster[[#This Row],[Employee Position]],tblPositionandPayRate[Employee Position],tblPositionandPayRate[Allowance 2],0)*tblPayrollMaster[[#This Row],[Pay Factor]]</f>
        <v>0</v>
      </c>
      <c r="N129" s="25">
        <f>_xlfn.XLOOKUP(tblPayrollMaster[[#This Row],[Employee Position]],tblPositionandPayRate[Employee Position],tblPositionandPayRate[Allowance 3],0)*tblPayrollMaster[[#This Row],[Pay Factor]]</f>
        <v>0</v>
      </c>
      <c r="O129" s="25">
        <f>_xlfn.XLOOKUP(tblPayrollMaster[[#This Row],[Employee Position]],tblPositionandPayRate[Employee Position],tblPositionandPayRate[Allowance 4],0)*tblPayrollMaster[[#This Row],[Pay Factor]]</f>
        <v>0</v>
      </c>
      <c r="P129" s="25">
        <f>_xlfn.XLOOKUP(tblPayrollMaster[[#This Row],[Employee Position]],tblPositionandPayRate[Employee Position],tblPositionandPayRate[Allowance 5],0)*tblPayrollMaster[[#This Row],[Pay Factor]]</f>
        <v>0</v>
      </c>
      <c r="Q129" s="25">
        <f>SUM(tblPayrollMaster[[#This Row],[Basic Pay]:[Allowance 5]])</f>
        <v>0</v>
      </c>
      <c r="R12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29" s="51" cm="1">
        <f t="array" ref="S1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29" s="3" cm="1">
        <f t="array" ref="T1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29" s="25">
        <f>_xlfn.LET(
_xlpm.tos, _xlfn.XLOOKUP(tblPayrollMaster[[#This Row],[Employee ID]], tblEmployee[Employee ID], tblEmployee[Type of Service], ""),
IF(_xlpm.tos="Contract of Service", 8.25, 0)
)</f>
        <v>0</v>
      </c>
      <c r="V129" s="25">
        <f>tblPayrollMaster[[#This Row],[Basic Earnings]]-tblPayrollMaster[[#This Row],[Tax]]-tblPayrollMaster[[#This Row],[NIS - Employee]]-tblPayrollMaster[[#This Row],[Health Surcharge]]</f>
        <v>0</v>
      </c>
      <c r="W129" s="25">
        <f>tblPayrollMaster[[#This Row],[Net Pay]]</f>
        <v>0</v>
      </c>
      <c r="X129" s="25"/>
    </row>
    <row r="130" spans="1:24" x14ac:dyDescent="0.25">
      <c r="A130" s="24"/>
      <c r="B130" s="24" t="str">
        <f>_xlfn.XLOOKUP(tblPayrollMaster[[#This Row],[Employee ID]],tblEmployee[Employee ID],tblEmployee[Employee Name],"")</f>
        <v/>
      </c>
      <c r="C130" s="24" t="str">
        <f>_xlfn.XLOOKUP(tblPayrollMaster[[#This Row],[Employee ID]],tblEmployee[Employee ID],tblEmployee[Employee Position],"")</f>
        <v/>
      </c>
      <c r="D130" s="24" t="str">
        <f>_xlfn.XLOOKUP(tblPayrollMaster[[#This Row],[Employee ID]], tblEmployee[Employee ID], tblEmployee[Pay Status], "Pay")</f>
        <v>Pay</v>
      </c>
      <c r="E130" s="24" t="str">
        <f>_xlfn.XLOOKUP(tblPayrollMaster[[#This Row],[Employee ID]], tblEmployee[Employee ID], tblEmployee[Payable Flag], "Y")</f>
        <v>Y</v>
      </c>
      <c r="F130" s="45">
        <f>IF(tblPayrollMaster[[#This Row],[Payable Flag]]="N",0,_xlfn.XLOOKUP(tblPayrollMaster[[#This Row],[Employee ID]],tblEmployee[Employee ID],tblEmployee[Pay Factor],1))</f>
        <v>1</v>
      </c>
      <c r="G130" s="26" t="str" cm="1">
        <f t="array" ref="G130">IF(tblPayrollMaster[[#This Row],[Employee ID]]="","",_xlfn.XLOOKUP(selPayPeriodID,tblPayCalendar[PayPeriodID],tblPayCalendar[PeriodStart],""))</f>
        <v/>
      </c>
      <c r="H130" s="26" t="str" cm="1">
        <f t="array" ref="H130">IF(tblPayrollMaster[[#This Row],[Employee ID]]="","",_xlfn.XLOOKUP(selPayPeriodID,tblPayCalendar[PayPeriodID],tblPayCalendar[PeriodEnd],""))</f>
        <v/>
      </c>
      <c r="I130" s="24" t="e" cm="1" vm="1">
        <f t="array" aca="1" ref="I130" ca="1">Table18[Employer Name]</f>
        <v>#VALUE!</v>
      </c>
      <c r="J130" s="3" cm="1">
        <f t="array" ref="J13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30" s="25" t="str">
        <f>_xlfn.XLOOKUP(tblPayrollMaster[[#This Row],[Employee Position]],tblPositionandPayRate[Employee Position],tblPositionandPayRate[Overtime], " ")</f>
        <v xml:space="preserve"> </v>
      </c>
      <c r="L130" s="25">
        <f>_xlfn.XLOOKUP(tblPayrollMaster[[#This Row],[Employee Position]],tblPositionandPayRate[Employee Position],tblPositionandPayRate[Allowance 1],0)*tblPayrollMaster[[#This Row],[Pay Factor]]</f>
        <v>0</v>
      </c>
      <c r="M130" s="25">
        <f>_xlfn.XLOOKUP(tblPayrollMaster[[#This Row],[Employee Position]],tblPositionandPayRate[Employee Position],tblPositionandPayRate[Allowance 2],0)*tblPayrollMaster[[#This Row],[Pay Factor]]</f>
        <v>0</v>
      </c>
      <c r="N130" s="25">
        <f>_xlfn.XLOOKUP(tblPayrollMaster[[#This Row],[Employee Position]],tblPositionandPayRate[Employee Position],tblPositionandPayRate[Allowance 3],0)*tblPayrollMaster[[#This Row],[Pay Factor]]</f>
        <v>0</v>
      </c>
      <c r="O130" s="25">
        <f>_xlfn.XLOOKUP(tblPayrollMaster[[#This Row],[Employee Position]],tblPositionandPayRate[Employee Position],tblPositionandPayRate[Allowance 4],0)*tblPayrollMaster[[#This Row],[Pay Factor]]</f>
        <v>0</v>
      </c>
      <c r="P130" s="25">
        <f>_xlfn.XLOOKUP(tblPayrollMaster[[#This Row],[Employee Position]],tblPositionandPayRate[Employee Position],tblPositionandPayRate[Allowance 5],0)*tblPayrollMaster[[#This Row],[Pay Factor]]</f>
        <v>0</v>
      </c>
      <c r="Q130" s="25">
        <f>SUM(tblPayrollMaster[[#This Row],[Basic Pay]:[Allowance 5]])</f>
        <v>0</v>
      </c>
      <c r="R13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30" s="51" cm="1">
        <f t="array" ref="S1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30" s="3" cm="1">
        <f t="array" ref="T1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30" s="25">
        <f>_xlfn.LET(
_xlpm.tos, _xlfn.XLOOKUP(tblPayrollMaster[[#This Row],[Employee ID]], tblEmployee[Employee ID], tblEmployee[Type of Service], ""),
IF(_xlpm.tos="Contract of Service", 8.25, 0)
)</f>
        <v>0</v>
      </c>
      <c r="V130" s="25">
        <f>tblPayrollMaster[[#This Row],[Basic Earnings]]-tblPayrollMaster[[#This Row],[Tax]]-tblPayrollMaster[[#This Row],[NIS - Employee]]-tblPayrollMaster[[#This Row],[Health Surcharge]]</f>
        <v>0</v>
      </c>
      <c r="W130" s="25">
        <f>tblPayrollMaster[[#This Row],[Net Pay]]</f>
        <v>0</v>
      </c>
      <c r="X130" s="25"/>
    </row>
    <row r="131" spans="1:24" x14ac:dyDescent="0.25">
      <c r="A131" s="24"/>
      <c r="B131" s="24" t="str">
        <f>_xlfn.XLOOKUP(tblPayrollMaster[[#This Row],[Employee ID]],tblEmployee[Employee ID],tblEmployee[Employee Name],"")</f>
        <v/>
      </c>
      <c r="C131" s="24" t="str">
        <f>_xlfn.XLOOKUP(tblPayrollMaster[[#This Row],[Employee ID]],tblEmployee[Employee ID],tblEmployee[Employee Position],"")</f>
        <v/>
      </c>
      <c r="D131" s="24" t="str">
        <f>_xlfn.XLOOKUP(tblPayrollMaster[[#This Row],[Employee ID]], tblEmployee[Employee ID], tblEmployee[Pay Status], "Pay")</f>
        <v>Pay</v>
      </c>
      <c r="E131" s="24" t="str">
        <f>_xlfn.XLOOKUP(tblPayrollMaster[[#This Row],[Employee ID]], tblEmployee[Employee ID], tblEmployee[Payable Flag], "Y")</f>
        <v>Y</v>
      </c>
      <c r="F131" s="45">
        <f>IF(tblPayrollMaster[[#This Row],[Payable Flag]]="N",0,_xlfn.XLOOKUP(tblPayrollMaster[[#This Row],[Employee ID]],tblEmployee[Employee ID],tblEmployee[Pay Factor],1))</f>
        <v>1</v>
      </c>
      <c r="G131" s="26" t="str" cm="1">
        <f t="array" ref="G131">IF(tblPayrollMaster[[#This Row],[Employee ID]]="","",_xlfn.XLOOKUP(selPayPeriodID,tblPayCalendar[PayPeriodID],tblPayCalendar[PeriodStart],""))</f>
        <v/>
      </c>
      <c r="H131" s="26" t="str" cm="1">
        <f t="array" ref="H131">IF(tblPayrollMaster[[#This Row],[Employee ID]]="","",_xlfn.XLOOKUP(selPayPeriodID,tblPayCalendar[PayPeriodID],tblPayCalendar[PeriodEnd],""))</f>
        <v/>
      </c>
      <c r="I131" s="24" t="e" cm="1" vm="1">
        <f t="array" aca="1" ref="I131" ca="1">Table18[Employer Name]</f>
        <v>#VALUE!</v>
      </c>
      <c r="J131" s="3" cm="1">
        <f t="array" ref="J13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31" s="25" t="str">
        <f>_xlfn.XLOOKUP(tblPayrollMaster[[#This Row],[Employee Position]],tblPositionandPayRate[Employee Position],tblPositionandPayRate[Overtime], " ")</f>
        <v xml:space="preserve"> </v>
      </c>
      <c r="L131" s="25">
        <f>_xlfn.XLOOKUP(tblPayrollMaster[[#This Row],[Employee Position]],tblPositionandPayRate[Employee Position],tblPositionandPayRate[Allowance 1],0)*tblPayrollMaster[[#This Row],[Pay Factor]]</f>
        <v>0</v>
      </c>
      <c r="M131" s="25">
        <f>_xlfn.XLOOKUP(tblPayrollMaster[[#This Row],[Employee Position]],tblPositionandPayRate[Employee Position],tblPositionandPayRate[Allowance 2],0)*tblPayrollMaster[[#This Row],[Pay Factor]]</f>
        <v>0</v>
      </c>
      <c r="N131" s="25">
        <f>_xlfn.XLOOKUP(tblPayrollMaster[[#This Row],[Employee Position]],tblPositionandPayRate[Employee Position],tblPositionandPayRate[Allowance 3],0)*tblPayrollMaster[[#This Row],[Pay Factor]]</f>
        <v>0</v>
      </c>
      <c r="O131" s="25">
        <f>_xlfn.XLOOKUP(tblPayrollMaster[[#This Row],[Employee Position]],tblPositionandPayRate[Employee Position],tblPositionandPayRate[Allowance 4],0)*tblPayrollMaster[[#This Row],[Pay Factor]]</f>
        <v>0</v>
      </c>
      <c r="P131" s="25">
        <f>_xlfn.XLOOKUP(tblPayrollMaster[[#This Row],[Employee Position]],tblPositionandPayRate[Employee Position],tblPositionandPayRate[Allowance 5],0)*tblPayrollMaster[[#This Row],[Pay Factor]]</f>
        <v>0</v>
      </c>
      <c r="Q131" s="25">
        <f>SUM(tblPayrollMaster[[#This Row],[Basic Pay]:[Allowance 5]])</f>
        <v>0</v>
      </c>
      <c r="R13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31" s="51" cm="1">
        <f t="array" ref="S1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31" s="3" cm="1">
        <f t="array" ref="T1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31" s="25">
        <f>_xlfn.LET(
_xlpm.tos, _xlfn.XLOOKUP(tblPayrollMaster[[#This Row],[Employee ID]], tblEmployee[Employee ID], tblEmployee[Type of Service], ""),
IF(_xlpm.tos="Contract of Service", 8.25, 0)
)</f>
        <v>0</v>
      </c>
      <c r="V131" s="25">
        <f>tblPayrollMaster[[#This Row],[Basic Earnings]]-tblPayrollMaster[[#This Row],[Tax]]-tblPayrollMaster[[#This Row],[NIS - Employee]]-tblPayrollMaster[[#This Row],[Health Surcharge]]</f>
        <v>0</v>
      </c>
      <c r="W131" s="25">
        <f>tblPayrollMaster[[#This Row],[Net Pay]]</f>
        <v>0</v>
      </c>
      <c r="X131" s="25"/>
    </row>
    <row r="132" spans="1:24" x14ac:dyDescent="0.25">
      <c r="A132" s="24"/>
      <c r="B132" s="24" t="str">
        <f>_xlfn.XLOOKUP(tblPayrollMaster[[#This Row],[Employee ID]],tblEmployee[Employee ID],tblEmployee[Employee Name],"")</f>
        <v/>
      </c>
      <c r="C132" s="24" t="str">
        <f>_xlfn.XLOOKUP(tblPayrollMaster[[#This Row],[Employee ID]],tblEmployee[Employee ID],tblEmployee[Employee Position],"")</f>
        <v/>
      </c>
      <c r="D132" s="24" t="str">
        <f>_xlfn.XLOOKUP(tblPayrollMaster[[#This Row],[Employee ID]], tblEmployee[Employee ID], tblEmployee[Pay Status], "Pay")</f>
        <v>Pay</v>
      </c>
      <c r="E132" s="24" t="str">
        <f>_xlfn.XLOOKUP(tblPayrollMaster[[#This Row],[Employee ID]], tblEmployee[Employee ID], tblEmployee[Payable Flag], "Y")</f>
        <v>Y</v>
      </c>
      <c r="F132" s="45">
        <f>IF(tblPayrollMaster[[#This Row],[Payable Flag]]="N",0,_xlfn.XLOOKUP(tblPayrollMaster[[#This Row],[Employee ID]],tblEmployee[Employee ID],tblEmployee[Pay Factor],1))</f>
        <v>1</v>
      </c>
      <c r="G132" s="26" t="str" cm="1">
        <f t="array" ref="G132">IF(tblPayrollMaster[[#This Row],[Employee ID]]="","",_xlfn.XLOOKUP(selPayPeriodID,tblPayCalendar[PayPeriodID],tblPayCalendar[PeriodStart],""))</f>
        <v/>
      </c>
      <c r="H132" s="26" t="str" cm="1">
        <f t="array" ref="H132">IF(tblPayrollMaster[[#This Row],[Employee ID]]="","",_xlfn.XLOOKUP(selPayPeriodID,tblPayCalendar[PayPeriodID],tblPayCalendar[PeriodEnd],""))</f>
        <v/>
      </c>
      <c r="I132" s="24" t="e" cm="1" vm="1">
        <f t="array" aca="1" ref="I132" ca="1">Table18[Employer Name]</f>
        <v>#VALUE!</v>
      </c>
      <c r="J132" s="3" cm="1">
        <f t="array" ref="J13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32" s="25" t="str">
        <f>_xlfn.XLOOKUP(tblPayrollMaster[[#This Row],[Employee Position]],tblPositionandPayRate[Employee Position],tblPositionandPayRate[Overtime], " ")</f>
        <v xml:space="preserve"> </v>
      </c>
      <c r="L132" s="25">
        <f>_xlfn.XLOOKUP(tblPayrollMaster[[#This Row],[Employee Position]],tblPositionandPayRate[Employee Position],tblPositionandPayRate[Allowance 1],0)*tblPayrollMaster[[#This Row],[Pay Factor]]</f>
        <v>0</v>
      </c>
      <c r="M132" s="25">
        <f>_xlfn.XLOOKUP(tblPayrollMaster[[#This Row],[Employee Position]],tblPositionandPayRate[Employee Position],tblPositionandPayRate[Allowance 2],0)*tblPayrollMaster[[#This Row],[Pay Factor]]</f>
        <v>0</v>
      </c>
      <c r="N132" s="25">
        <f>_xlfn.XLOOKUP(tblPayrollMaster[[#This Row],[Employee Position]],tblPositionandPayRate[Employee Position],tblPositionandPayRate[Allowance 3],0)*tblPayrollMaster[[#This Row],[Pay Factor]]</f>
        <v>0</v>
      </c>
      <c r="O132" s="25">
        <f>_xlfn.XLOOKUP(tblPayrollMaster[[#This Row],[Employee Position]],tblPositionandPayRate[Employee Position],tblPositionandPayRate[Allowance 4],0)*tblPayrollMaster[[#This Row],[Pay Factor]]</f>
        <v>0</v>
      </c>
      <c r="P132" s="25">
        <f>_xlfn.XLOOKUP(tblPayrollMaster[[#This Row],[Employee Position]],tblPositionandPayRate[Employee Position],tblPositionandPayRate[Allowance 5],0)*tblPayrollMaster[[#This Row],[Pay Factor]]</f>
        <v>0</v>
      </c>
      <c r="Q132" s="25">
        <f>SUM(tblPayrollMaster[[#This Row],[Basic Pay]:[Allowance 5]])</f>
        <v>0</v>
      </c>
      <c r="R13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32" s="51" cm="1">
        <f t="array" ref="S1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32" s="3" cm="1">
        <f t="array" ref="T1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32" s="25">
        <f>_xlfn.LET(
_xlpm.tos, _xlfn.XLOOKUP(tblPayrollMaster[[#This Row],[Employee ID]], tblEmployee[Employee ID], tblEmployee[Type of Service], ""),
IF(_xlpm.tos="Contract of Service", 8.25, 0)
)</f>
        <v>0</v>
      </c>
      <c r="V132" s="25">
        <f>tblPayrollMaster[[#This Row],[Basic Earnings]]-tblPayrollMaster[[#This Row],[Tax]]-tblPayrollMaster[[#This Row],[NIS - Employee]]-tblPayrollMaster[[#This Row],[Health Surcharge]]</f>
        <v>0</v>
      </c>
      <c r="W132" s="25">
        <f>tblPayrollMaster[[#This Row],[Net Pay]]</f>
        <v>0</v>
      </c>
      <c r="X132" s="25"/>
    </row>
    <row r="133" spans="1:24" x14ac:dyDescent="0.25">
      <c r="A133" s="24"/>
      <c r="B133" s="24" t="str">
        <f>_xlfn.XLOOKUP(tblPayrollMaster[[#This Row],[Employee ID]],tblEmployee[Employee ID],tblEmployee[Employee Name],"")</f>
        <v/>
      </c>
      <c r="C133" s="24" t="str">
        <f>_xlfn.XLOOKUP(tblPayrollMaster[[#This Row],[Employee ID]],tblEmployee[Employee ID],tblEmployee[Employee Position],"")</f>
        <v/>
      </c>
      <c r="D133" s="24" t="str">
        <f>_xlfn.XLOOKUP(tblPayrollMaster[[#This Row],[Employee ID]], tblEmployee[Employee ID], tblEmployee[Pay Status], "Pay")</f>
        <v>Pay</v>
      </c>
      <c r="E133" s="24" t="str">
        <f>_xlfn.XLOOKUP(tblPayrollMaster[[#This Row],[Employee ID]], tblEmployee[Employee ID], tblEmployee[Payable Flag], "Y")</f>
        <v>Y</v>
      </c>
      <c r="F133" s="45">
        <f>IF(tblPayrollMaster[[#This Row],[Payable Flag]]="N",0,_xlfn.XLOOKUP(tblPayrollMaster[[#This Row],[Employee ID]],tblEmployee[Employee ID],tblEmployee[Pay Factor],1))</f>
        <v>1</v>
      </c>
      <c r="G133" s="26" t="str" cm="1">
        <f t="array" ref="G133">IF(tblPayrollMaster[[#This Row],[Employee ID]]="","",_xlfn.XLOOKUP(selPayPeriodID,tblPayCalendar[PayPeriodID],tblPayCalendar[PeriodStart],""))</f>
        <v/>
      </c>
      <c r="H133" s="26" t="str" cm="1">
        <f t="array" ref="H133">IF(tblPayrollMaster[[#This Row],[Employee ID]]="","",_xlfn.XLOOKUP(selPayPeriodID,tblPayCalendar[PayPeriodID],tblPayCalendar[PeriodEnd],""))</f>
        <v/>
      </c>
      <c r="I133" s="24" t="e" cm="1" vm="1">
        <f t="array" aca="1" ref="I133" ca="1">Table18[Employer Name]</f>
        <v>#VALUE!</v>
      </c>
      <c r="J133" s="3" cm="1">
        <f t="array" ref="J13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33" s="25" t="str">
        <f>_xlfn.XLOOKUP(tblPayrollMaster[[#This Row],[Employee Position]],tblPositionandPayRate[Employee Position],tblPositionandPayRate[Overtime], " ")</f>
        <v xml:space="preserve"> </v>
      </c>
      <c r="L133" s="25">
        <f>_xlfn.XLOOKUP(tblPayrollMaster[[#This Row],[Employee Position]],tblPositionandPayRate[Employee Position],tblPositionandPayRate[Allowance 1],0)*tblPayrollMaster[[#This Row],[Pay Factor]]</f>
        <v>0</v>
      </c>
      <c r="M133" s="25">
        <f>_xlfn.XLOOKUP(tblPayrollMaster[[#This Row],[Employee Position]],tblPositionandPayRate[Employee Position],tblPositionandPayRate[Allowance 2],0)*tblPayrollMaster[[#This Row],[Pay Factor]]</f>
        <v>0</v>
      </c>
      <c r="N133" s="25">
        <f>_xlfn.XLOOKUP(tblPayrollMaster[[#This Row],[Employee Position]],tblPositionandPayRate[Employee Position],tblPositionandPayRate[Allowance 3],0)*tblPayrollMaster[[#This Row],[Pay Factor]]</f>
        <v>0</v>
      </c>
      <c r="O133" s="25">
        <f>_xlfn.XLOOKUP(tblPayrollMaster[[#This Row],[Employee Position]],tblPositionandPayRate[Employee Position],tblPositionandPayRate[Allowance 4],0)*tblPayrollMaster[[#This Row],[Pay Factor]]</f>
        <v>0</v>
      </c>
      <c r="P133" s="25">
        <f>_xlfn.XLOOKUP(tblPayrollMaster[[#This Row],[Employee Position]],tblPositionandPayRate[Employee Position],tblPositionandPayRate[Allowance 5],0)*tblPayrollMaster[[#This Row],[Pay Factor]]</f>
        <v>0</v>
      </c>
      <c r="Q133" s="25">
        <f>SUM(tblPayrollMaster[[#This Row],[Basic Pay]:[Allowance 5]])</f>
        <v>0</v>
      </c>
      <c r="R13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33" s="51" cm="1">
        <f t="array" ref="S1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33" s="3" cm="1">
        <f t="array" ref="T1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33" s="25">
        <f>_xlfn.LET(
_xlpm.tos, _xlfn.XLOOKUP(tblPayrollMaster[[#This Row],[Employee ID]], tblEmployee[Employee ID], tblEmployee[Type of Service], ""),
IF(_xlpm.tos="Contract of Service", 8.25, 0)
)</f>
        <v>0</v>
      </c>
      <c r="V133" s="25">
        <f>tblPayrollMaster[[#This Row],[Basic Earnings]]-tblPayrollMaster[[#This Row],[Tax]]-tblPayrollMaster[[#This Row],[NIS - Employee]]-tblPayrollMaster[[#This Row],[Health Surcharge]]</f>
        <v>0</v>
      </c>
      <c r="W133" s="25">
        <f>tblPayrollMaster[[#This Row],[Net Pay]]</f>
        <v>0</v>
      </c>
      <c r="X133" s="25"/>
    </row>
    <row r="134" spans="1:24" x14ac:dyDescent="0.25">
      <c r="A134" s="24"/>
      <c r="B134" s="24" t="str">
        <f>_xlfn.XLOOKUP(tblPayrollMaster[[#This Row],[Employee ID]],tblEmployee[Employee ID],tblEmployee[Employee Name],"")</f>
        <v/>
      </c>
      <c r="C134" s="24" t="str">
        <f>_xlfn.XLOOKUP(tblPayrollMaster[[#This Row],[Employee ID]],tblEmployee[Employee ID],tblEmployee[Employee Position],"")</f>
        <v/>
      </c>
      <c r="D134" s="24" t="str">
        <f>_xlfn.XLOOKUP(tblPayrollMaster[[#This Row],[Employee ID]], tblEmployee[Employee ID], tblEmployee[Pay Status], "Pay")</f>
        <v>Pay</v>
      </c>
      <c r="E134" s="24" t="str">
        <f>_xlfn.XLOOKUP(tblPayrollMaster[[#This Row],[Employee ID]], tblEmployee[Employee ID], tblEmployee[Payable Flag], "Y")</f>
        <v>Y</v>
      </c>
      <c r="F134" s="45">
        <f>IF(tblPayrollMaster[[#This Row],[Payable Flag]]="N",0,_xlfn.XLOOKUP(tblPayrollMaster[[#This Row],[Employee ID]],tblEmployee[Employee ID],tblEmployee[Pay Factor],1))</f>
        <v>1</v>
      </c>
      <c r="G134" s="26" t="str" cm="1">
        <f t="array" ref="G134">IF(tblPayrollMaster[[#This Row],[Employee ID]]="","",_xlfn.XLOOKUP(selPayPeriodID,tblPayCalendar[PayPeriodID],tblPayCalendar[PeriodStart],""))</f>
        <v/>
      </c>
      <c r="H134" s="26" t="str" cm="1">
        <f t="array" ref="H134">IF(tblPayrollMaster[[#This Row],[Employee ID]]="","",_xlfn.XLOOKUP(selPayPeriodID,tblPayCalendar[PayPeriodID],tblPayCalendar[PeriodEnd],""))</f>
        <v/>
      </c>
      <c r="I134" s="24" t="e" cm="1" vm="1">
        <f t="array" aca="1" ref="I134" ca="1">Table18[Employer Name]</f>
        <v>#VALUE!</v>
      </c>
      <c r="J134" s="3" cm="1">
        <f t="array" ref="J13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34" s="25" t="str">
        <f>_xlfn.XLOOKUP(tblPayrollMaster[[#This Row],[Employee Position]],tblPositionandPayRate[Employee Position],tblPositionandPayRate[Overtime], " ")</f>
        <v xml:space="preserve"> </v>
      </c>
      <c r="L134" s="25">
        <f>_xlfn.XLOOKUP(tblPayrollMaster[[#This Row],[Employee Position]],tblPositionandPayRate[Employee Position],tblPositionandPayRate[Allowance 1],0)*tblPayrollMaster[[#This Row],[Pay Factor]]</f>
        <v>0</v>
      </c>
      <c r="M134" s="25">
        <f>_xlfn.XLOOKUP(tblPayrollMaster[[#This Row],[Employee Position]],tblPositionandPayRate[Employee Position],tblPositionandPayRate[Allowance 2],0)*tblPayrollMaster[[#This Row],[Pay Factor]]</f>
        <v>0</v>
      </c>
      <c r="N134" s="25">
        <f>_xlfn.XLOOKUP(tblPayrollMaster[[#This Row],[Employee Position]],tblPositionandPayRate[Employee Position],tblPositionandPayRate[Allowance 3],0)*tblPayrollMaster[[#This Row],[Pay Factor]]</f>
        <v>0</v>
      </c>
      <c r="O134" s="25">
        <f>_xlfn.XLOOKUP(tblPayrollMaster[[#This Row],[Employee Position]],tblPositionandPayRate[Employee Position],tblPositionandPayRate[Allowance 4],0)*tblPayrollMaster[[#This Row],[Pay Factor]]</f>
        <v>0</v>
      </c>
      <c r="P134" s="25">
        <f>_xlfn.XLOOKUP(tblPayrollMaster[[#This Row],[Employee Position]],tblPositionandPayRate[Employee Position],tblPositionandPayRate[Allowance 5],0)*tblPayrollMaster[[#This Row],[Pay Factor]]</f>
        <v>0</v>
      </c>
      <c r="Q134" s="25">
        <f>SUM(tblPayrollMaster[[#This Row],[Basic Pay]:[Allowance 5]])</f>
        <v>0</v>
      </c>
      <c r="R13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34" s="51" cm="1">
        <f t="array" ref="S1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34" s="3" cm="1">
        <f t="array" ref="T1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34" s="25">
        <f>_xlfn.LET(
_xlpm.tos, _xlfn.XLOOKUP(tblPayrollMaster[[#This Row],[Employee ID]], tblEmployee[Employee ID], tblEmployee[Type of Service], ""),
IF(_xlpm.tos="Contract of Service", 8.25, 0)
)</f>
        <v>0</v>
      </c>
      <c r="V134" s="25">
        <f>tblPayrollMaster[[#This Row],[Basic Earnings]]-tblPayrollMaster[[#This Row],[Tax]]-tblPayrollMaster[[#This Row],[NIS - Employee]]-tblPayrollMaster[[#This Row],[Health Surcharge]]</f>
        <v>0</v>
      </c>
      <c r="W134" s="25">
        <f>tblPayrollMaster[[#This Row],[Net Pay]]</f>
        <v>0</v>
      </c>
      <c r="X134" s="25"/>
    </row>
    <row r="135" spans="1:24" x14ac:dyDescent="0.25">
      <c r="A135" s="24"/>
      <c r="B135" s="24" t="str">
        <f>_xlfn.XLOOKUP(tblPayrollMaster[[#This Row],[Employee ID]],tblEmployee[Employee ID],tblEmployee[Employee Name],"")</f>
        <v/>
      </c>
      <c r="C135" s="24" t="str">
        <f>_xlfn.XLOOKUP(tblPayrollMaster[[#This Row],[Employee ID]],tblEmployee[Employee ID],tblEmployee[Employee Position],"")</f>
        <v/>
      </c>
      <c r="D135" s="24" t="str">
        <f>_xlfn.XLOOKUP(tblPayrollMaster[[#This Row],[Employee ID]], tblEmployee[Employee ID], tblEmployee[Pay Status], "Pay")</f>
        <v>Pay</v>
      </c>
      <c r="E135" s="24" t="str">
        <f>_xlfn.XLOOKUP(tblPayrollMaster[[#This Row],[Employee ID]], tblEmployee[Employee ID], tblEmployee[Payable Flag], "Y")</f>
        <v>Y</v>
      </c>
      <c r="F135" s="45">
        <f>IF(tblPayrollMaster[[#This Row],[Payable Flag]]="N",0,_xlfn.XLOOKUP(tblPayrollMaster[[#This Row],[Employee ID]],tblEmployee[Employee ID],tblEmployee[Pay Factor],1))</f>
        <v>1</v>
      </c>
      <c r="G135" s="26" t="str" cm="1">
        <f t="array" ref="G135">IF(tblPayrollMaster[[#This Row],[Employee ID]]="","",_xlfn.XLOOKUP(selPayPeriodID,tblPayCalendar[PayPeriodID],tblPayCalendar[PeriodStart],""))</f>
        <v/>
      </c>
      <c r="H135" s="26" t="str" cm="1">
        <f t="array" ref="H135">IF(tblPayrollMaster[[#This Row],[Employee ID]]="","",_xlfn.XLOOKUP(selPayPeriodID,tblPayCalendar[PayPeriodID],tblPayCalendar[PeriodEnd],""))</f>
        <v/>
      </c>
      <c r="I135" s="24" t="e" cm="1" vm="1">
        <f t="array" aca="1" ref="I135" ca="1">Table18[Employer Name]</f>
        <v>#VALUE!</v>
      </c>
      <c r="J135" s="3" cm="1">
        <f t="array" ref="J13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35" s="25" t="str">
        <f>_xlfn.XLOOKUP(tblPayrollMaster[[#This Row],[Employee Position]],tblPositionandPayRate[Employee Position],tblPositionandPayRate[Overtime], " ")</f>
        <v xml:space="preserve"> </v>
      </c>
      <c r="L135" s="25">
        <f>_xlfn.XLOOKUP(tblPayrollMaster[[#This Row],[Employee Position]],tblPositionandPayRate[Employee Position],tblPositionandPayRate[Allowance 1],0)*tblPayrollMaster[[#This Row],[Pay Factor]]</f>
        <v>0</v>
      </c>
      <c r="M135" s="25">
        <f>_xlfn.XLOOKUP(tblPayrollMaster[[#This Row],[Employee Position]],tblPositionandPayRate[Employee Position],tblPositionandPayRate[Allowance 2],0)*tblPayrollMaster[[#This Row],[Pay Factor]]</f>
        <v>0</v>
      </c>
      <c r="N135" s="25">
        <f>_xlfn.XLOOKUP(tblPayrollMaster[[#This Row],[Employee Position]],tblPositionandPayRate[Employee Position],tblPositionandPayRate[Allowance 3],0)*tblPayrollMaster[[#This Row],[Pay Factor]]</f>
        <v>0</v>
      </c>
      <c r="O135" s="25">
        <f>_xlfn.XLOOKUP(tblPayrollMaster[[#This Row],[Employee Position]],tblPositionandPayRate[Employee Position],tblPositionandPayRate[Allowance 4],0)*tblPayrollMaster[[#This Row],[Pay Factor]]</f>
        <v>0</v>
      </c>
      <c r="P135" s="25">
        <f>_xlfn.XLOOKUP(tblPayrollMaster[[#This Row],[Employee Position]],tblPositionandPayRate[Employee Position],tblPositionandPayRate[Allowance 5],0)*tblPayrollMaster[[#This Row],[Pay Factor]]</f>
        <v>0</v>
      </c>
      <c r="Q135" s="25">
        <f>SUM(tblPayrollMaster[[#This Row],[Basic Pay]:[Allowance 5]])</f>
        <v>0</v>
      </c>
      <c r="R13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35" s="51" cm="1">
        <f t="array" ref="S1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35" s="3" cm="1">
        <f t="array" ref="T1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35" s="25">
        <f>_xlfn.LET(
_xlpm.tos, _xlfn.XLOOKUP(tblPayrollMaster[[#This Row],[Employee ID]], tblEmployee[Employee ID], tblEmployee[Type of Service], ""),
IF(_xlpm.tos="Contract of Service", 8.25, 0)
)</f>
        <v>0</v>
      </c>
      <c r="V135" s="25">
        <f>tblPayrollMaster[[#This Row],[Basic Earnings]]-tblPayrollMaster[[#This Row],[Tax]]-tblPayrollMaster[[#This Row],[NIS - Employee]]-tblPayrollMaster[[#This Row],[Health Surcharge]]</f>
        <v>0</v>
      </c>
      <c r="W135" s="25">
        <f>tblPayrollMaster[[#This Row],[Net Pay]]</f>
        <v>0</v>
      </c>
      <c r="X135" s="25"/>
    </row>
    <row r="136" spans="1:24" x14ac:dyDescent="0.25">
      <c r="A136" s="24"/>
      <c r="B136" s="24" t="str">
        <f>_xlfn.XLOOKUP(tblPayrollMaster[[#This Row],[Employee ID]],tblEmployee[Employee ID],tblEmployee[Employee Name],"")</f>
        <v/>
      </c>
      <c r="C136" s="24" t="str">
        <f>_xlfn.XLOOKUP(tblPayrollMaster[[#This Row],[Employee ID]],tblEmployee[Employee ID],tblEmployee[Employee Position],"")</f>
        <v/>
      </c>
      <c r="D136" s="24" t="str">
        <f>_xlfn.XLOOKUP(tblPayrollMaster[[#This Row],[Employee ID]], tblEmployee[Employee ID], tblEmployee[Pay Status], "Pay")</f>
        <v>Pay</v>
      </c>
      <c r="E136" s="24" t="str">
        <f>_xlfn.XLOOKUP(tblPayrollMaster[[#This Row],[Employee ID]], tblEmployee[Employee ID], tblEmployee[Payable Flag], "Y")</f>
        <v>Y</v>
      </c>
      <c r="F136" s="45">
        <f>IF(tblPayrollMaster[[#This Row],[Payable Flag]]="N",0,_xlfn.XLOOKUP(tblPayrollMaster[[#This Row],[Employee ID]],tblEmployee[Employee ID],tblEmployee[Pay Factor],1))</f>
        <v>1</v>
      </c>
      <c r="G136" s="26" t="str" cm="1">
        <f t="array" ref="G136">IF(tblPayrollMaster[[#This Row],[Employee ID]]="","",_xlfn.XLOOKUP(selPayPeriodID,tblPayCalendar[PayPeriodID],tblPayCalendar[PeriodStart],""))</f>
        <v/>
      </c>
      <c r="H136" s="26" t="str" cm="1">
        <f t="array" ref="H136">IF(tblPayrollMaster[[#This Row],[Employee ID]]="","",_xlfn.XLOOKUP(selPayPeriodID,tblPayCalendar[PayPeriodID],tblPayCalendar[PeriodEnd],""))</f>
        <v/>
      </c>
      <c r="I136" s="24" t="e" cm="1" vm="1">
        <f t="array" aca="1" ref="I136" ca="1">Table18[Employer Name]</f>
        <v>#VALUE!</v>
      </c>
      <c r="J136" s="3" cm="1">
        <f t="array" ref="J13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36" s="25" t="str">
        <f>_xlfn.XLOOKUP(tblPayrollMaster[[#This Row],[Employee Position]],tblPositionandPayRate[Employee Position],tblPositionandPayRate[Overtime], " ")</f>
        <v xml:space="preserve"> </v>
      </c>
      <c r="L136" s="25">
        <f>_xlfn.XLOOKUP(tblPayrollMaster[[#This Row],[Employee Position]],tblPositionandPayRate[Employee Position],tblPositionandPayRate[Allowance 1],0)*tblPayrollMaster[[#This Row],[Pay Factor]]</f>
        <v>0</v>
      </c>
      <c r="M136" s="25">
        <f>_xlfn.XLOOKUP(tblPayrollMaster[[#This Row],[Employee Position]],tblPositionandPayRate[Employee Position],tblPositionandPayRate[Allowance 2],0)*tblPayrollMaster[[#This Row],[Pay Factor]]</f>
        <v>0</v>
      </c>
      <c r="N136" s="25">
        <f>_xlfn.XLOOKUP(tblPayrollMaster[[#This Row],[Employee Position]],tblPositionandPayRate[Employee Position],tblPositionandPayRate[Allowance 3],0)*tblPayrollMaster[[#This Row],[Pay Factor]]</f>
        <v>0</v>
      </c>
      <c r="O136" s="25">
        <f>_xlfn.XLOOKUP(tblPayrollMaster[[#This Row],[Employee Position]],tblPositionandPayRate[Employee Position],tblPositionandPayRate[Allowance 4],0)*tblPayrollMaster[[#This Row],[Pay Factor]]</f>
        <v>0</v>
      </c>
      <c r="P136" s="25">
        <f>_xlfn.XLOOKUP(tblPayrollMaster[[#This Row],[Employee Position]],tblPositionandPayRate[Employee Position],tblPositionandPayRate[Allowance 5],0)*tblPayrollMaster[[#This Row],[Pay Factor]]</f>
        <v>0</v>
      </c>
      <c r="Q136" s="25">
        <f>SUM(tblPayrollMaster[[#This Row],[Basic Pay]:[Allowance 5]])</f>
        <v>0</v>
      </c>
      <c r="R13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36" s="51" cm="1">
        <f t="array" ref="S1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36" s="3" cm="1">
        <f t="array" ref="T1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36" s="25">
        <f>_xlfn.LET(
_xlpm.tos, _xlfn.XLOOKUP(tblPayrollMaster[[#This Row],[Employee ID]], tblEmployee[Employee ID], tblEmployee[Type of Service], ""),
IF(_xlpm.tos="Contract of Service", 8.25, 0)
)</f>
        <v>0</v>
      </c>
      <c r="V136" s="25">
        <f>tblPayrollMaster[[#This Row],[Basic Earnings]]-tblPayrollMaster[[#This Row],[Tax]]-tblPayrollMaster[[#This Row],[NIS - Employee]]-tblPayrollMaster[[#This Row],[Health Surcharge]]</f>
        <v>0</v>
      </c>
      <c r="W136" s="25">
        <f>tblPayrollMaster[[#This Row],[Net Pay]]</f>
        <v>0</v>
      </c>
      <c r="X136" s="25"/>
    </row>
    <row r="137" spans="1:24" x14ac:dyDescent="0.25">
      <c r="A137" s="24"/>
      <c r="B137" s="24" t="str">
        <f>_xlfn.XLOOKUP(tblPayrollMaster[[#This Row],[Employee ID]],tblEmployee[Employee ID],tblEmployee[Employee Name],"")</f>
        <v/>
      </c>
      <c r="C137" s="24" t="str">
        <f>_xlfn.XLOOKUP(tblPayrollMaster[[#This Row],[Employee ID]],tblEmployee[Employee ID],tblEmployee[Employee Position],"")</f>
        <v/>
      </c>
      <c r="D137" s="24" t="str">
        <f>_xlfn.XLOOKUP(tblPayrollMaster[[#This Row],[Employee ID]], tblEmployee[Employee ID], tblEmployee[Pay Status], "Pay")</f>
        <v>Pay</v>
      </c>
      <c r="E137" s="24" t="str">
        <f>_xlfn.XLOOKUP(tblPayrollMaster[[#This Row],[Employee ID]], tblEmployee[Employee ID], tblEmployee[Payable Flag], "Y")</f>
        <v>Y</v>
      </c>
      <c r="F137" s="45">
        <f>IF(tblPayrollMaster[[#This Row],[Payable Flag]]="N",0,_xlfn.XLOOKUP(tblPayrollMaster[[#This Row],[Employee ID]],tblEmployee[Employee ID],tblEmployee[Pay Factor],1))</f>
        <v>1</v>
      </c>
      <c r="G137" s="26" t="str" cm="1">
        <f t="array" ref="G137">IF(tblPayrollMaster[[#This Row],[Employee ID]]="","",_xlfn.XLOOKUP(selPayPeriodID,tblPayCalendar[PayPeriodID],tblPayCalendar[PeriodStart],""))</f>
        <v/>
      </c>
      <c r="H137" s="26" t="str" cm="1">
        <f t="array" ref="H137">IF(tblPayrollMaster[[#This Row],[Employee ID]]="","",_xlfn.XLOOKUP(selPayPeriodID,tblPayCalendar[PayPeriodID],tblPayCalendar[PeriodEnd],""))</f>
        <v/>
      </c>
      <c r="I137" s="24" t="e" cm="1" vm="1">
        <f t="array" aca="1" ref="I137" ca="1">Table18[Employer Name]</f>
        <v>#VALUE!</v>
      </c>
      <c r="J137" s="3" cm="1">
        <f t="array" ref="J13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37" s="25" t="str">
        <f>_xlfn.XLOOKUP(tblPayrollMaster[[#This Row],[Employee Position]],tblPositionandPayRate[Employee Position],tblPositionandPayRate[Overtime], " ")</f>
        <v xml:space="preserve"> </v>
      </c>
      <c r="L137" s="25">
        <f>_xlfn.XLOOKUP(tblPayrollMaster[[#This Row],[Employee Position]],tblPositionandPayRate[Employee Position],tblPositionandPayRate[Allowance 1],0)*tblPayrollMaster[[#This Row],[Pay Factor]]</f>
        <v>0</v>
      </c>
      <c r="M137" s="25">
        <f>_xlfn.XLOOKUP(tblPayrollMaster[[#This Row],[Employee Position]],tblPositionandPayRate[Employee Position],tblPositionandPayRate[Allowance 2],0)*tblPayrollMaster[[#This Row],[Pay Factor]]</f>
        <v>0</v>
      </c>
      <c r="N137" s="25">
        <f>_xlfn.XLOOKUP(tblPayrollMaster[[#This Row],[Employee Position]],tblPositionandPayRate[Employee Position],tblPositionandPayRate[Allowance 3],0)*tblPayrollMaster[[#This Row],[Pay Factor]]</f>
        <v>0</v>
      </c>
      <c r="O137" s="25">
        <f>_xlfn.XLOOKUP(tblPayrollMaster[[#This Row],[Employee Position]],tblPositionandPayRate[Employee Position],tblPositionandPayRate[Allowance 4],0)*tblPayrollMaster[[#This Row],[Pay Factor]]</f>
        <v>0</v>
      </c>
      <c r="P137" s="25">
        <f>_xlfn.XLOOKUP(tblPayrollMaster[[#This Row],[Employee Position]],tblPositionandPayRate[Employee Position],tblPositionandPayRate[Allowance 5],0)*tblPayrollMaster[[#This Row],[Pay Factor]]</f>
        <v>0</v>
      </c>
      <c r="Q137" s="25">
        <f>SUM(tblPayrollMaster[[#This Row],[Basic Pay]:[Allowance 5]])</f>
        <v>0</v>
      </c>
      <c r="R13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37" s="51" cm="1">
        <f t="array" ref="S1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37" s="3" cm="1">
        <f t="array" ref="T1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37" s="25">
        <f>_xlfn.LET(
_xlpm.tos, _xlfn.XLOOKUP(tblPayrollMaster[[#This Row],[Employee ID]], tblEmployee[Employee ID], tblEmployee[Type of Service], ""),
IF(_xlpm.tos="Contract of Service", 8.25, 0)
)</f>
        <v>0</v>
      </c>
      <c r="V137" s="25">
        <f>tblPayrollMaster[[#This Row],[Basic Earnings]]-tblPayrollMaster[[#This Row],[Tax]]-tblPayrollMaster[[#This Row],[NIS - Employee]]-tblPayrollMaster[[#This Row],[Health Surcharge]]</f>
        <v>0</v>
      </c>
      <c r="W137" s="25">
        <f>tblPayrollMaster[[#This Row],[Net Pay]]</f>
        <v>0</v>
      </c>
      <c r="X137" s="25"/>
    </row>
    <row r="138" spans="1:24" x14ac:dyDescent="0.25">
      <c r="A138" s="24"/>
      <c r="B138" s="24" t="str">
        <f>_xlfn.XLOOKUP(tblPayrollMaster[[#This Row],[Employee ID]],tblEmployee[Employee ID],tblEmployee[Employee Name],"")</f>
        <v/>
      </c>
      <c r="C138" s="24" t="str">
        <f>_xlfn.XLOOKUP(tblPayrollMaster[[#This Row],[Employee ID]],tblEmployee[Employee ID],tblEmployee[Employee Position],"")</f>
        <v/>
      </c>
      <c r="D138" s="24" t="str">
        <f>_xlfn.XLOOKUP(tblPayrollMaster[[#This Row],[Employee ID]], tblEmployee[Employee ID], tblEmployee[Pay Status], "Pay")</f>
        <v>Pay</v>
      </c>
      <c r="E138" s="24" t="str">
        <f>_xlfn.XLOOKUP(tblPayrollMaster[[#This Row],[Employee ID]], tblEmployee[Employee ID], tblEmployee[Payable Flag], "Y")</f>
        <v>Y</v>
      </c>
      <c r="F138" s="45">
        <f>IF(tblPayrollMaster[[#This Row],[Payable Flag]]="N",0,_xlfn.XLOOKUP(tblPayrollMaster[[#This Row],[Employee ID]],tblEmployee[Employee ID],tblEmployee[Pay Factor],1))</f>
        <v>1</v>
      </c>
      <c r="G138" s="26" t="str" cm="1">
        <f t="array" ref="G138">IF(tblPayrollMaster[[#This Row],[Employee ID]]="","",_xlfn.XLOOKUP(selPayPeriodID,tblPayCalendar[PayPeriodID],tblPayCalendar[PeriodStart],""))</f>
        <v/>
      </c>
      <c r="H138" s="26" t="str" cm="1">
        <f t="array" ref="H138">IF(tblPayrollMaster[[#This Row],[Employee ID]]="","",_xlfn.XLOOKUP(selPayPeriodID,tblPayCalendar[PayPeriodID],tblPayCalendar[PeriodEnd],""))</f>
        <v/>
      </c>
      <c r="I138" s="24" t="e" cm="1" vm="1">
        <f t="array" aca="1" ref="I138" ca="1">Table18[Employer Name]</f>
        <v>#VALUE!</v>
      </c>
      <c r="J138" s="3" cm="1">
        <f t="array" ref="J13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38" s="25" t="str">
        <f>_xlfn.XLOOKUP(tblPayrollMaster[[#This Row],[Employee Position]],tblPositionandPayRate[Employee Position],tblPositionandPayRate[Overtime], " ")</f>
        <v xml:space="preserve"> </v>
      </c>
      <c r="L138" s="25">
        <f>_xlfn.XLOOKUP(tblPayrollMaster[[#This Row],[Employee Position]],tblPositionandPayRate[Employee Position],tblPositionandPayRate[Allowance 1],0)*tblPayrollMaster[[#This Row],[Pay Factor]]</f>
        <v>0</v>
      </c>
      <c r="M138" s="25">
        <f>_xlfn.XLOOKUP(tblPayrollMaster[[#This Row],[Employee Position]],tblPositionandPayRate[Employee Position],tblPositionandPayRate[Allowance 2],0)*tblPayrollMaster[[#This Row],[Pay Factor]]</f>
        <v>0</v>
      </c>
      <c r="N138" s="25">
        <f>_xlfn.XLOOKUP(tblPayrollMaster[[#This Row],[Employee Position]],tblPositionandPayRate[Employee Position],tblPositionandPayRate[Allowance 3],0)*tblPayrollMaster[[#This Row],[Pay Factor]]</f>
        <v>0</v>
      </c>
      <c r="O138" s="25">
        <f>_xlfn.XLOOKUP(tblPayrollMaster[[#This Row],[Employee Position]],tblPositionandPayRate[Employee Position],tblPositionandPayRate[Allowance 4],0)*tblPayrollMaster[[#This Row],[Pay Factor]]</f>
        <v>0</v>
      </c>
      <c r="P138" s="25">
        <f>_xlfn.XLOOKUP(tblPayrollMaster[[#This Row],[Employee Position]],tblPositionandPayRate[Employee Position],tblPositionandPayRate[Allowance 5],0)*tblPayrollMaster[[#This Row],[Pay Factor]]</f>
        <v>0</v>
      </c>
      <c r="Q138" s="25">
        <f>SUM(tblPayrollMaster[[#This Row],[Basic Pay]:[Allowance 5]])</f>
        <v>0</v>
      </c>
      <c r="R13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38" s="51" cm="1">
        <f t="array" ref="S1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38" s="3" cm="1">
        <f t="array" ref="T1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38" s="25">
        <f>_xlfn.LET(
_xlpm.tos, _xlfn.XLOOKUP(tblPayrollMaster[[#This Row],[Employee ID]], tblEmployee[Employee ID], tblEmployee[Type of Service], ""),
IF(_xlpm.tos="Contract of Service", 8.25, 0)
)</f>
        <v>0</v>
      </c>
      <c r="V138" s="25">
        <f>tblPayrollMaster[[#This Row],[Basic Earnings]]-tblPayrollMaster[[#This Row],[Tax]]-tblPayrollMaster[[#This Row],[NIS - Employee]]-tblPayrollMaster[[#This Row],[Health Surcharge]]</f>
        <v>0</v>
      </c>
      <c r="W138" s="25">
        <f>tblPayrollMaster[[#This Row],[Net Pay]]</f>
        <v>0</v>
      </c>
      <c r="X138" s="25"/>
    </row>
    <row r="139" spans="1:24" x14ac:dyDescent="0.25">
      <c r="A139" s="24"/>
      <c r="B139" s="24" t="str">
        <f>_xlfn.XLOOKUP(tblPayrollMaster[[#This Row],[Employee ID]],tblEmployee[Employee ID],tblEmployee[Employee Name],"")</f>
        <v/>
      </c>
      <c r="C139" s="24" t="str">
        <f>_xlfn.XLOOKUP(tblPayrollMaster[[#This Row],[Employee ID]],tblEmployee[Employee ID],tblEmployee[Employee Position],"")</f>
        <v/>
      </c>
      <c r="D139" s="24" t="str">
        <f>_xlfn.XLOOKUP(tblPayrollMaster[[#This Row],[Employee ID]], tblEmployee[Employee ID], tblEmployee[Pay Status], "Pay")</f>
        <v>Pay</v>
      </c>
      <c r="E139" s="24" t="str">
        <f>_xlfn.XLOOKUP(tblPayrollMaster[[#This Row],[Employee ID]], tblEmployee[Employee ID], tblEmployee[Payable Flag], "Y")</f>
        <v>Y</v>
      </c>
      <c r="F139" s="45">
        <f>IF(tblPayrollMaster[[#This Row],[Payable Flag]]="N",0,_xlfn.XLOOKUP(tblPayrollMaster[[#This Row],[Employee ID]],tblEmployee[Employee ID],tblEmployee[Pay Factor],1))</f>
        <v>1</v>
      </c>
      <c r="G139" s="26" t="str" cm="1">
        <f t="array" ref="G139">IF(tblPayrollMaster[[#This Row],[Employee ID]]="","",_xlfn.XLOOKUP(selPayPeriodID,tblPayCalendar[PayPeriodID],tblPayCalendar[PeriodStart],""))</f>
        <v/>
      </c>
      <c r="H139" s="26" t="str" cm="1">
        <f t="array" ref="H139">IF(tblPayrollMaster[[#This Row],[Employee ID]]="","",_xlfn.XLOOKUP(selPayPeriodID,tblPayCalendar[PayPeriodID],tblPayCalendar[PeriodEnd],""))</f>
        <v/>
      </c>
      <c r="I139" s="24" t="e" cm="1" vm="1">
        <f t="array" aca="1" ref="I139" ca="1">Table18[Employer Name]</f>
        <v>#VALUE!</v>
      </c>
      <c r="J139" s="3" cm="1">
        <f t="array" ref="J13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39" s="25" t="str">
        <f>_xlfn.XLOOKUP(tblPayrollMaster[[#This Row],[Employee Position]],tblPositionandPayRate[Employee Position],tblPositionandPayRate[Overtime], " ")</f>
        <v xml:space="preserve"> </v>
      </c>
      <c r="L139" s="25">
        <f>_xlfn.XLOOKUP(tblPayrollMaster[[#This Row],[Employee Position]],tblPositionandPayRate[Employee Position],tblPositionandPayRate[Allowance 1],0)*tblPayrollMaster[[#This Row],[Pay Factor]]</f>
        <v>0</v>
      </c>
      <c r="M139" s="25">
        <f>_xlfn.XLOOKUP(tblPayrollMaster[[#This Row],[Employee Position]],tblPositionandPayRate[Employee Position],tblPositionandPayRate[Allowance 2],0)*tblPayrollMaster[[#This Row],[Pay Factor]]</f>
        <v>0</v>
      </c>
      <c r="N139" s="25">
        <f>_xlfn.XLOOKUP(tblPayrollMaster[[#This Row],[Employee Position]],tblPositionandPayRate[Employee Position],tblPositionandPayRate[Allowance 3],0)*tblPayrollMaster[[#This Row],[Pay Factor]]</f>
        <v>0</v>
      </c>
      <c r="O139" s="25">
        <f>_xlfn.XLOOKUP(tblPayrollMaster[[#This Row],[Employee Position]],tblPositionandPayRate[Employee Position],tblPositionandPayRate[Allowance 4],0)*tblPayrollMaster[[#This Row],[Pay Factor]]</f>
        <v>0</v>
      </c>
      <c r="P139" s="25">
        <f>_xlfn.XLOOKUP(tblPayrollMaster[[#This Row],[Employee Position]],tblPositionandPayRate[Employee Position],tblPositionandPayRate[Allowance 5],0)*tblPayrollMaster[[#This Row],[Pay Factor]]</f>
        <v>0</v>
      </c>
      <c r="Q139" s="25">
        <f>SUM(tblPayrollMaster[[#This Row],[Basic Pay]:[Allowance 5]])</f>
        <v>0</v>
      </c>
      <c r="R13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39" s="51" cm="1">
        <f t="array" ref="S1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39" s="3" cm="1">
        <f t="array" ref="T1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39" s="25">
        <f>_xlfn.LET(
_xlpm.tos, _xlfn.XLOOKUP(tblPayrollMaster[[#This Row],[Employee ID]], tblEmployee[Employee ID], tblEmployee[Type of Service], ""),
IF(_xlpm.tos="Contract of Service", 8.25, 0)
)</f>
        <v>0</v>
      </c>
      <c r="V139" s="25">
        <f>tblPayrollMaster[[#This Row],[Basic Earnings]]-tblPayrollMaster[[#This Row],[Tax]]-tblPayrollMaster[[#This Row],[NIS - Employee]]-tblPayrollMaster[[#This Row],[Health Surcharge]]</f>
        <v>0</v>
      </c>
      <c r="W139" s="25">
        <f>tblPayrollMaster[[#This Row],[Net Pay]]</f>
        <v>0</v>
      </c>
      <c r="X139" s="25"/>
    </row>
    <row r="140" spans="1:24" x14ac:dyDescent="0.25">
      <c r="A140" s="24"/>
      <c r="B140" s="24" t="str">
        <f>_xlfn.XLOOKUP(tblPayrollMaster[[#This Row],[Employee ID]],tblEmployee[Employee ID],tblEmployee[Employee Name],"")</f>
        <v/>
      </c>
      <c r="C140" s="24" t="str">
        <f>_xlfn.XLOOKUP(tblPayrollMaster[[#This Row],[Employee ID]],tblEmployee[Employee ID],tblEmployee[Employee Position],"")</f>
        <v/>
      </c>
      <c r="D140" s="24" t="str">
        <f>_xlfn.XLOOKUP(tblPayrollMaster[[#This Row],[Employee ID]], tblEmployee[Employee ID], tblEmployee[Pay Status], "Pay")</f>
        <v>Pay</v>
      </c>
      <c r="E140" s="24" t="str">
        <f>_xlfn.XLOOKUP(tblPayrollMaster[[#This Row],[Employee ID]], tblEmployee[Employee ID], tblEmployee[Payable Flag], "Y")</f>
        <v>Y</v>
      </c>
      <c r="F140" s="45">
        <f>IF(tblPayrollMaster[[#This Row],[Payable Flag]]="N",0,_xlfn.XLOOKUP(tblPayrollMaster[[#This Row],[Employee ID]],tblEmployee[Employee ID],tblEmployee[Pay Factor],1))</f>
        <v>1</v>
      </c>
      <c r="G140" s="26" t="str" cm="1">
        <f t="array" ref="G140">IF(tblPayrollMaster[[#This Row],[Employee ID]]="","",_xlfn.XLOOKUP(selPayPeriodID,tblPayCalendar[PayPeriodID],tblPayCalendar[PeriodStart],""))</f>
        <v/>
      </c>
      <c r="H140" s="26" t="str" cm="1">
        <f t="array" ref="H140">IF(tblPayrollMaster[[#This Row],[Employee ID]]="","",_xlfn.XLOOKUP(selPayPeriodID,tblPayCalendar[PayPeriodID],tblPayCalendar[PeriodEnd],""))</f>
        <v/>
      </c>
      <c r="I140" s="24" t="e" cm="1" vm="1">
        <f t="array" aca="1" ref="I140" ca="1">Table18[Employer Name]</f>
        <v>#VALUE!</v>
      </c>
      <c r="J140" s="3" cm="1">
        <f t="array" ref="J14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40" s="25" t="str">
        <f>_xlfn.XLOOKUP(tblPayrollMaster[[#This Row],[Employee Position]],tblPositionandPayRate[Employee Position],tblPositionandPayRate[Overtime], " ")</f>
        <v xml:space="preserve"> </v>
      </c>
      <c r="L140" s="25">
        <f>_xlfn.XLOOKUP(tblPayrollMaster[[#This Row],[Employee Position]],tblPositionandPayRate[Employee Position],tblPositionandPayRate[Allowance 1],0)*tblPayrollMaster[[#This Row],[Pay Factor]]</f>
        <v>0</v>
      </c>
      <c r="M140" s="25">
        <f>_xlfn.XLOOKUP(tblPayrollMaster[[#This Row],[Employee Position]],tblPositionandPayRate[Employee Position],tblPositionandPayRate[Allowance 2],0)*tblPayrollMaster[[#This Row],[Pay Factor]]</f>
        <v>0</v>
      </c>
      <c r="N140" s="25">
        <f>_xlfn.XLOOKUP(tblPayrollMaster[[#This Row],[Employee Position]],tblPositionandPayRate[Employee Position],tblPositionandPayRate[Allowance 3],0)*tblPayrollMaster[[#This Row],[Pay Factor]]</f>
        <v>0</v>
      </c>
      <c r="O140" s="25">
        <f>_xlfn.XLOOKUP(tblPayrollMaster[[#This Row],[Employee Position]],tblPositionandPayRate[Employee Position],tblPositionandPayRate[Allowance 4],0)*tblPayrollMaster[[#This Row],[Pay Factor]]</f>
        <v>0</v>
      </c>
      <c r="P140" s="25">
        <f>_xlfn.XLOOKUP(tblPayrollMaster[[#This Row],[Employee Position]],tblPositionandPayRate[Employee Position],tblPositionandPayRate[Allowance 5],0)*tblPayrollMaster[[#This Row],[Pay Factor]]</f>
        <v>0</v>
      </c>
      <c r="Q140" s="25">
        <f>SUM(tblPayrollMaster[[#This Row],[Basic Pay]:[Allowance 5]])</f>
        <v>0</v>
      </c>
      <c r="R14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40" s="51" cm="1">
        <f t="array" ref="S1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40" s="3" cm="1">
        <f t="array" ref="T1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40" s="25">
        <f>_xlfn.LET(
_xlpm.tos, _xlfn.XLOOKUP(tblPayrollMaster[[#This Row],[Employee ID]], tblEmployee[Employee ID], tblEmployee[Type of Service], ""),
IF(_xlpm.tos="Contract of Service", 8.25, 0)
)</f>
        <v>0</v>
      </c>
      <c r="V140" s="25">
        <f>tblPayrollMaster[[#This Row],[Basic Earnings]]-tblPayrollMaster[[#This Row],[Tax]]-tblPayrollMaster[[#This Row],[NIS - Employee]]-tblPayrollMaster[[#This Row],[Health Surcharge]]</f>
        <v>0</v>
      </c>
      <c r="W140" s="25">
        <f>tblPayrollMaster[[#This Row],[Net Pay]]</f>
        <v>0</v>
      </c>
      <c r="X140" s="25"/>
    </row>
    <row r="141" spans="1:24" x14ac:dyDescent="0.25">
      <c r="A141" s="24"/>
      <c r="B141" s="24" t="str">
        <f>_xlfn.XLOOKUP(tblPayrollMaster[[#This Row],[Employee ID]],tblEmployee[Employee ID],tblEmployee[Employee Name],"")</f>
        <v/>
      </c>
      <c r="C141" s="24" t="str">
        <f>_xlfn.XLOOKUP(tblPayrollMaster[[#This Row],[Employee ID]],tblEmployee[Employee ID],tblEmployee[Employee Position],"")</f>
        <v/>
      </c>
      <c r="D141" s="24" t="str">
        <f>_xlfn.XLOOKUP(tblPayrollMaster[[#This Row],[Employee ID]], tblEmployee[Employee ID], tblEmployee[Pay Status], "Pay")</f>
        <v>Pay</v>
      </c>
      <c r="E141" s="24" t="str">
        <f>_xlfn.XLOOKUP(tblPayrollMaster[[#This Row],[Employee ID]], tblEmployee[Employee ID], tblEmployee[Payable Flag], "Y")</f>
        <v>Y</v>
      </c>
      <c r="F141" s="45">
        <f>IF(tblPayrollMaster[[#This Row],[Payable Flag]]="N",0,_xlfn.XLOOKUP(tblPayrollMaster[[#This Row],[Employee ID]],tblEmployee[Employee ID],tblEmployee[Pay Factor],1))</f>
        <v>1</v>
      </c>
      <c r="G141" s="26" t="str" cm="1">
        <f t="array" ref="G141">IF(tblPayrollMaster[[#This Row],[Employee ID]]="","",_xlfn.XLOOKUP(selPayPeriodID,tblPayCalendar[PayPeriodID],tblPayCalendar[PeriodStart],""))</f>
        <v/>
      </c>
      <c r="H141" s="26" t="str" cm="1">
        <f t="array" ref="H141">IF(tblPayrollMaster[[#This Row],[Employee ID]]="","",_xlfn.XLOOKUP(selPayPeriodID,tblPayCalendar[PayPeriodID],tblPayCalendar[PeriodEnd],""))</f>
        <v/>
      </c>
      <c r="I141" s="24" t="e" cm="1" vm="1">
        <f t="array" aca="1" ref="I141" ca="1">Table18[Employer Name]</f>
        <v>#VALUE!</v>
      </c>
      <c r="J141" s="3" cm="1">
        <f t="array" ref="J14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41" s="25" t="str">
        <f>_xlfn.XLOOKUP(tblPayrollMaster[[#This Row],[Employee Position]],tblPositionandPayRate[Employee Position],tblPositionandPayRate[Overtime], " ")</f>
        <v xml:space="preserve"> </v>
      </c>
      <c r="L141" s="25">
        <f>_xlfn.XLOOKUP(tblPayrollMaster[[#This Row],[Employee Position]],tblPositionandPayRate[Employee Position],tblPositionandPayRate[Allowance 1],0)*tblPayrollMaster[[#This Row],[Pay Factor]]</f>
        <v>0</v>
      </c>
      <c r="M141" s="25">
        <f>_xlfn.XLOOKUP(tblPayrollMaster[[#This Row],[Employee Position]],tblPositionandPayRate[Employee Position],tblPositionandPayRate[Allowance 2],0)*tblPayrollMaster[[#This Row],[Pay Factor]]</f>
        <v>0</v>
      </c>
      <c r="N141" s="25">
        <f>_xlfn.XLOOKUP(tblPayrollMaster[[#This Row],[Employee Position]],tblPositionandPayRate[Employee Position],tblPositionandPayRate[Allowance 3],0)*tblPayrollMaster[[#This Row],[Pay Factor]]</f>
        <v>0</v>
      </c>
      <c r="O141" s="25">
        <f>_xlfn.XLOOKUP(tblPayrollMaster[[#This Row],[Employee Position]],tblPositionandPayRate[Employee Position],tblPositionandPayRate[Allowance 4],0)*tblPayrollMaster[[#This Row],[Pay Factor]]</f>
        <v>0</v>
      </c>
      <c r="P141" s="25">
        <f>_xlfn.XLOOKUP(tblPayrollMaster[[#This Row],[Employee Position]],tblPositionandPayRate[Employee Position],tblPositionandPayRate[Allowance 5],0)*tblPayrollMaster[[#This Row],[Pay Factor]]</f>
        <v>0</v>
      </c>
      <c r="Q141" s="25">
        <f>SUM(tblPayrollMaster[[#This Row],[Basic Pay]:[Allowance 5]])</f>
        <v>0</v>
      </c>
      <c r="R14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41" s="51" cm="1">
        <f t="array" ref="S1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41" s="3" cm="1">
        <f t="array" ref="T1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41" s="25">
        <f>_xlfn.LET(
_xlpm.tos, _xlfn.XLOOKUP(tblPayrollMaster[[#This Row],[Employee ID]], tblEmployee[Employee ID], tblEmployee[Type of Service], ""),
IF(_xlpm.tos="Contract of Service", 8.25, 0)
)</f>
        <v>0</v>
      </c>
      <c r="V141" s="25">
        <f>tblPayrollMaster[[#This Row],[Basic Earnings]]-tblPayrollMaster[[#This Row],[Tax]]-tblPayrollMaster[[#This Row],[NIS - Employee]]-tblPayrollMaster[[#This Row],[Health Surcharge]]</f>
        <v>0</v>
      </c>
      <c r="W141" s="25">
        <f>tblPayrollMaster[[#This Row],[Net Pay]]</f>
        <v>0</v>
      </c>
      <c r="X141" s="25"/>
    </row>
    <row r="142" spans="1:24" x14ac:dyDescent="0.25">
      <c r="A142" s="24"/>
      <c r="B142" s="24" t="str">
        <f>_xlfn.XLOOKUP(tblPayrollMaster[[#This Row],[Employee ID]],tblEmployee[Employee ID],tblEmployee[Employee Name],"")</f>
        <v/>
      </c>
      <c r="C142" s="24" t="str">
        <f>_xlfn.XLOOKUP(tblPayrollMaster[[#This Row],[Employee ID]],tblEmployee[Employee ID],tblEmployee[Employee Position],"")</f>
        <v/>
      </c>
      <c r="D142" s="24" t="str">
        <f>_xlfn.XLOOKUP(tblPayrollMaster[[#This Row],[Employee ID]], tblEmployee[Employee ID], tblEmployee[Pay Status], "Pay")</f>
        <v>Pay</v>
      </c>
      <c r="E142" s="24" t="str">
        <f>_xlfn.XLOOKUP(tblPayrollMaster[[#This Row],[Employee ID]], tblEmployee[Employee ID], tblEmployee[Payable Flag], "Y")</f>
        <v>Y</v>
      </c>
      <c r="F142" s="45">
        <f>IF(tblPayrollMaster[[#This Row],[Payable Flag]]="N",0,_xlfn.XLOOKUP(tblPayrollMaster[[#This Row],[Employee ID]],tblEmployee[Employee ID],tblEmployee[Pay Factor],1))</f>
        <v>1</v>
      </c>
      <c r="G142" s="26" t="str" cm="1">
        <f t="array" ref="G142">IF(tblPayrollMaster[[#This Row],[Employee ID]]="","",_xlfn.XLOOKUP(selPayPeriodID,tblPayCalendar[PayPeriodID],tblPayCalendar[PeriodStart],""))</f>
        <v/>
      </c>
      <c r="H142" s="26" t="str" cm="1">
        <f t="array" ref="H142">IF(tblPayrollMaster[[#This Row],[Employee ID]]="","",_xlfn.XLOOKUP(selPayPeriodID,tblPayCalendar[PayPeriodID],tblPayCalendar[PeriodEnd],""))</f>
        <v/>
      </c>
      <c r="I142" s="24" t="e" cm="1" vm="1">
        <f t="array" aca="1" ref="I142" ca="1">Table18[Employer Name]</f>
        <v>#VALUE!</v>
      </c>
      <c r="J142" s="3" cm="1">
        <f t="array" ref="J14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42" s="25" t="str">
        <f>_xlfn.XLOOKUP(tblPayrollMaster[[#This Row],[Employee Position]],tblPositionandPayRate[Employee Position],tblPositionandPayRate[Overtime], " ")</f>
        <v xml:space="preserve"> </v>
      </c>
      <c r="L142" s="25">
        <f>_xlfn.XLOOKUP(tblPayrollMaster[[#This Row],[Employee Position]],tblPositionandPayRate[Employee Position],tblPositionandPayRate[Allowance 1],0)*tblPayrollMaster[[#This Row],[Pay Factor]]</f>
        <v>0</v>
      </c>
      <c r="M142" s="25">
        <f>_xlfn.XLOOKUP(tblPayrollMaster[[#This Row],[Employee Position]],tblPositionandPayRate[Employee Position],tblPositionandPayRate[Allowance 2],0)*tblPayrollMaster[[#This Row],[Pay Factor]]</f>
        <v>0</v>
      </c>
      <c r="N142" s="25">
        <f>_xlfn.XLOOKUP(tblPayrollMaster[[#This Row],[Employee Position]],tblPositionandPayRate[Employee Position],tblPositionandPayRate[Allowance 3],0)*tblPayrollMaster[[#This Row],[Pay Factor]]</f>
        <v>0</v>
      </c>
      <c r="O142" s="25">
        <f>_xlfn.XLOOKUP(tblPayrollMaster[[#This Row],[Employee Position]],tblPositionandPayRate[Employee Position],tblPositionandPayRate[Allowance 4],0)*tblPayrollMaster[[#This Row],[Pay Factor]]</f>
        <v>0</v>
      </c>
      <c r="P142" s="25">
        <f>_xlfn.XLOOKUP(tblPayrollMaster[[#This Row],[Employee Position]],tblPositionandPayRate[Employee Position],tblPositionandPayRate[Allowance 5],0)*tblPayrollMaster[[#This Row],[Pay Factor]]</f>
        <v>0</v>
      </c>
      <c r="Q142" s="25">
        <f>SUM(tblPayrollMaster[[#This Row],[Basic Pay]:[Allowance 5]])</f>
        <v>0</v>
      </c>
      <c r="R14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42" s="51" cm="1">
        <f t="array" ref="S1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42" s="3" cm="1">
        <f t="array" ref="T1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42" s="25">
        <f>_xlfn.LET(
_xlpm.tos, _xlfn.XLOOKUP(tblPayrollMaster[[#This Row],[Employee ID]], tblEmployee[Employee ID], tblEmployee[Type of Service], ""),
IF(_xlpm.tos="Contract of Service", 8.25, 0)
)</f>
        <v>0</v>
      </c>
      <c r="V142" s="25">
        <f>tblPayrollMaster[[#This Row],[Basic Earnings]]-tblPayrollMaster[[#This Row],[Tax]]-tblPayrollMaster[[#This Row],[NIS - Employee]]-tblPayrollMaster[[#This Row],[Health Surcharge]]</f>
        <v>0</v>
      </c>
      <c r="W142" s="25">
        <f>tblPayrollMaster[[#This Row],[Net Pay]]</f>
        <v>0</v>
      </c>
      <c r="X142" s="25"/>
    </row>
    <row r="143" spans="1:24" x14ac:dyDescent="0.25">
      <c r="A143" s="24"/>
      <c r="B143" s="24" t="str">
        <f>_xlfn.XLOOKUP(tblPayrollMaster[[#This Row],[Employee ID]],tblEmployee[Employee ID],tblEmployee[Employee Name],"")</f>
        <v/>
      </c>
      <c r="C143" s="24" t="str">
        <f>_xlfn.XLOOKUP(tblPayrollMaster[[#This Row],[Employee ID]],tblEmployee[Employee ID],tblEmployee[Employee Position],"")</f>
        <v/>
      </c>
      <c r="D143" s="24" t="str">
        <f>_xlfn.XLOOKUP(tblPayrollMaster[[#This Row],[Employee ID]], tblEmployee[Employee ID], tblEmployee[Pay Status], "Pay")</f>
        <v>Pay</v>
      </c>
      <c r="E143" s="24" t="str">
        <f>_xlfn.XLOOKUP(tblPayrollMaster[[#This Row],[Employee ID]], tblEmployee[Employee ID], tblEmployee[Payable Flag], "Y")</f>
        <v>Y</v>
      </c>
      <c r="F143" s="45">
        <f>IF(tblPayrollMaster[[#This Row],[Payable Flag]]="N",0,_xlfn.XLOOKUP(tblPayrollMaster[[#This Row],[Employee ID]],tblEmployee[Employee ID],tblEmployee[Pay Factor],1))</f>
        <v>1</v>
      </c>
      <c r="G143" s="26" t="str" cm="1">
        <f t="array" ref="G143">IF(tblPayrollMaster[[#This Row],[Employee ID]]="","",_xlfn.XLOOKUP(selPayPeriodID,tblPayCalendar[PayPeriodID],tblPayCalendar[PeriodStart],""))</f>
        <v/>
      </c>
      <c r="H143" s="26" t="str" cm="1">
        <f t="array" ref="H143">IF(tblPayrollMaster[[#This Row],[Employee ID]]="","",_xlfn.XLOOKUP(selPayPeriodID,tblPayCalendar[PayPeriodID],tblPayCalendar[PeriodEnd],""))</f>
        <v/>
      </c>
      <c r="I143" s="24" t="e" cm="1" vm="1">
        <f t="array" aca="1" ref="I143" ca="1">Table18[Employer Name]</f>
        <v>#VALUE!</v>
      </c>
      <c r="J143" s="3" cm="1">
        <f t="array" ref="J14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43" s="25" t="str">
        <f>_xlfn.XLOOKUP(tblPayrollMaster[[#This Row],[Employee Position]],tblPositionandPayRate[Employee Position],tblPositionandPayRate[Overtime], " ")</f>
        <v xml:space="preserve"> </v>
      </c>
      <c r="L143" s="25">
        <f>_xlfn.XLOOKUP(tblPayrollMaster[[#This Row],[Employee Position]],tblPositionandPayRate[Employee Position],tblPositionandPayRate[Allowance 1],0)*tblPayrollMaster[[#This Row],[Pay Factor]]</f>
        <v>0</v>
      </c>
      <c r="M143" s="25">
        <f>_xlfn.XLOOKUP(tblPayrollMaster[[#This Row],[Employee Position]],tblPositionandPayRate[Employee Position],tblPositionandPayRate[Allowance 2],0)*tblPayrollMaster[[#This Row],[Pay Factor]]</f>
        <v>0</v>
      </c>
      <c r="N143" s="25">
        <f>_xlfn.XLOOKUP(tblPayrollMaster[[#This Row],[Employee Position]],tblPositionandPayRate[Employee Position],tblPositionandPayRate[Allowance 3],0)*tblPayrollMaster[[#This Row],[Pay Factor]]</f>
        <v>0</v>
      </c>
      <c r="O143" s="25">
        <f>_xlfn.XLOOKUP(tblPayrollMaster[[#This Row],[Employee Position]],tblPositionandPayRate[Employee Position],tblPositionandPayRate[Allowance 4],0)*tblPayrollMaster[[#This Row],[Pay Factor]]</f>
        <v>0</v>
      </c>
      <c r="P143" s="25">
        <f>_xlfn.XLOOKUP(tblPayrollMaster[[#This Row],[Employee Position]],tblPositionandPayRate[Employee Position],tblPositionandPayRate[Allowance 5],0)*tblPayrollMaster[[#This Row],[Pay Factor]]</f>
        <v>0</v>
      </c>
      <c r="Q143" s="25">
        <f>SUM(tblPayrollMaster[[#This Row],[Basic Pay]:[Allowance 5]])</f>
        <v>0</v>
      </c>
      <c r="R14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43" s="51" cm="1">
        <f t="array" ref="S1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43" s="3" cm="1">
        <f t="array" ref="T1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43" s="25">
        <f>_xlfn.LET(
_xlpm.tos, _xlfn.XLOOKUP(tblPayrollMaster[[#This Row],[Employee ID]], tblEmployee[Employee ID], tblEmployee[Type of Service], ""),
IF(_xlpm.tos="Contract of Service", 8.25, 0)
)</f>
        <v>0</v>
      </c>
      <c r="V143" s="25">
        <f>tblPayrollMaster[[#This Row],[Basic Earnings]]-tblPayrollMaster[[#This Row],[Tax]]-tblPayrollMaster[[#This Row],[NIS - Employee]]-tblPayrollMaster[[#This Row],[Health Surcharge]]</f>
        <v>0</v>
      </c>
      <c r="W143" s="25">
        <f>tblPayrollMaster[[#This Row],[Net Pay]]</f>
        <v>0</v>
      </c>
      <c r="X143" s="25"/>
    </row>
    <row r="144" spans="1:24" x14ac:dyDescent="0.25">
      <c r="A144" s="24"/>
      <c r="B144" s="24" t="str">
        <f>_xlfn.XLOOKUP(tblPayrollMaster[[#This Row],[Employee ID]],tblEmployee[Employee ID],tblEmployee[Employee Name],"")</f>
        <v/>
      </c>
      <c r="C144" s="24" t="str">
        <f>_xlfn.XLOOKUP(tblPayrollMaster[[#This Row],[Employee ID]],tblEmployee[Employee ID],tblEmployee[Employee Position],"")</f>
        <v/>
      </c>
      <c r="D144" s="24" t="str">
        <f>_xlfn.XLOOKUP(tblPayrollMaster[[#This Row],[Employee ID]], tblEmployee[Employee ID], tblEmployee[Pay Status], "Pay")</f>
        <v>Pay</v>
      </c>
      <c r="E144" s="24" t="str">
        <f>_xlfn.XLOOKUP(tblPayrollMaster[[#This Row],[Employee ID]], tblEmployee[Employee ID], tblEmployee[Payable Flag], "Y")</f>
        <v>Y</v>
      </c>
      <c r="F144" s="45">
        <f>IF(tblPayrollMaster[[#This Row],[Payable Flag]]="N",0,_xlfn.XLOOKUP(tblPayrollMaster[[#This Row],[Employee ID]],tblEmployee[Employee ID],tblEmployee[Pay Factor],1))</f>
        <v>1</v>
      </c>
      <c r="G144" s="26" t="str" cm="1">
        <f t="array" ref="G144">IF(tblPayrollMaster[[#This Row],[Employee ID]]="","",_xlfn.XLOOKUP(selPayPeriodID,tblPayCalendar[PayPeriodID],tblPayCalendar[PeriodStart],""))</f>
        <v/>
      </c>
      <c r="H144" s="26" t="str" cm="1">
        <f t="array" ref="H144">IF(tblPayrollMaster[[#This Row],[Employee ID]]="","",_xlfn.XLOOKUP(selPayPeriodID,tblPayCalendar[PayPeriodID],tblPayCalendar[PeriodEnd],""))</f>
        <v/>
      </c>
      <c r="I144" s="24" t="e" cm="1" vm="1">
        <f t="array" aca="1" ref="I144" ca="1">Table18[Employer Name]</f>
        <v>#VALUE!</v>
      </c>
      <c r="J144" s="3" cm="1">
        <f t="array" ref="J14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44" s="25" t="str">
        <f>_xlfn.XLOOKUP(tblPayrollMaster[[#This Row],[Employee Position]],tblPositionandPayRate[Employee Position],tblPositionandPayRate[Overtime], " ")</f>
        <v xml:space="preserve"> </v>
      </c>
      <c r="L144" s="25">
        <f>_xlfn.XLOOKUP(tblPayrollMaster[[#This Row],[Employee Position]],tblPositionandPayRate[Employee Position],tblPositionandPayRate[Allowance 1],0)*tblPayrollMaster[[#This Row],[Pay Factor]]</f>
        <v>0</v>
      </c>
      <c r="M144" s="25">
        <f>_xlfn.XLOOKUP(tblPayrollMaster[[#This Row],[Employee Position]],tblPositionandPayRate[Employee Position],tblPositionandPayRate[Allowance 2],0)*tblPayrollMaster[[#This Row],[Pay Factor]]</f>
        <v>0</v>
      </c>
      <c r="N144" s="25">
        <f>_xlfn.XLOOKUP(tblPayrollMaster[[#This Row],[Employee Position]],tblPositionandPayRate[Employee Position],tblPositionandPayRate[Allowance 3],0)*tblPayrollMaster[[#This Row],[Pay Factor]]</f>
        <v>0</v>
      </c>
      <c r="O144" s="25">
        <f>_xlfn.XLOOKUP(tblPayrollMaster[[#This Row],[Employee Position]],tblPositionandPayRate[Employee Position],tblPositionandPayRate[Allowance 4],0)*tblPayrollMaster[[#This Row],[Pay Factor]]</f>
        <v>0</v>
      </c>
      <c r="P144" s="25">
        <f>_xlfn.XLOOKUP(tblPayrollMaster[[#This Row],[Employee Position]],tblPositionandPayRate[Employee Position],tblPositionandPayRate[Allowance 5],0)*tblPayrollMaster[[#This Row],[Pay Factor]]</f>
        <v>0</v>
      </c>
      <c r="Q144" s="25">
        <f>SUM(tblPayrollMaster[[#This Row],[Basic Pay]:[Allowance 5]])</f>
        <v>0</v>
      </c>
      <c r="R14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44" s="51" cm="1">
        <f t="array" ref="S1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44" s="3" cm="1">
        <f t="array" ref="T1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44" s="25">
        <f>_xlfn.LET(
_xlpm.tos, _xlfn.XLOOKUP(tblPayrollMaster[[#This Row],[Employee ID]], tblEmployee[Employee ID], tblEmployee[Type of Service], ""),
IF(_xlpm.tos="Contract of Service", 8.25, 0)
)</f>
        <v>0</v>
      </c>
      <c r="V144" s="25">
        <f>tblPayrollMaster[[#This Row],[Basic Earnings]]-tblPayrollMaster[[#This Row],[Tax]]-tblPayrollMaster[[#This Row],[NIS - Employee]]-tblPayrollMaster[[#This Row],[Health Surcharge]]</f>
        <v>0</v>
      </c>
      <c r="W144" s="25">
        <f>tblPayrollMaster[[#This Row],[Net Pay]]</f>
        <v>0</v>
      </c>
      <c r="X144" s="25"/>
    </row>
    <row r="145" spans="1:24" x14ac:dyDescent="0.25">
      <c r="A145" s="24"/>
      <c r="B145" s="24" t="str">
        <f>_xlfn.XLOOKUP(tblPayrollMaster[[#This Row],[Employee ID]],tblEmployee[Employee ID],tblEmployee[Employee Name],"")</f>
        <v/>
      </c>
      <c r="C145" s="24" t="str">
        <f>_xlfn.XLOOKUP(tblPayrollMaster[[#This Row],[Employee ID]],tblEmployee[Employee ID],tblEmployee[Employee Position],"")</f>
        <v/>
      </c>
      <c r="D145" s="24" t="str">
        <f>_xlfn.XLOOKUP(tblPayrollMaster[[#This Row],[Employee ID]], tblEmployee[Employee ID], tblEmployee[Pay Status], "Pay")</f>
        <v>Pay</v>
      </c>
      <c r="E145" s="24" t="str">
        <f>_xlfn.XLOOKUP(tblPayrollMaster[[#This Row],[Employee ID]], tblEmployee[Employee ID], tblEmployee[Payable Flag], "Y")</f>
        <v>Y</v>
      </c>
      <c r="F145" s="45">
        <f>IF(tblPayrollMaster[[#This Row],[Payable Flag]]="N",0,_xlfn.XLOOKUP(tblPayrollMaster[[#This Row],[Employee ID]],tblEmployee[Employee ID],tblEmployee[Pay Factor],1))</f>
        <v>1</v>
      </c>
      <c r="G145" s="26" t="str" cm="1">
        <f t="array" ref="G145">IF(tblPayrollMaster[[#This Row],[Employee ID]]="","",_xlfn.XLOOKUP(selPayPeriodID,tblPayCalendar[PayPeriodID],tblPayCalendar[PeriodStart],""))</f>
        <v/>
      </c>
      <c r="H145" s="26" t="str" cm="1">
        <f t="array" ref="H145">IF(tblPayrollMaster[[#This Row],[Employee ID]]="","",_xlfn.XLOOKUP(selPayPeriodID,tblPayCalendar[PayPeriodID],tblPayCalendar[PeriodEnd],""))</f>
        <v/>
      </c>
      <c r="I145" s="24" t="e" cm="1" vm="1">
        <f t="array" aca="1" ref="I145" ca="1">Table18[Employer Name]</f>
        <v>#VALUE!</v>
      </c>
      <c r="J145" s="3" cm="1">
        <f t="array" ref="J14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45" s="25" t="str">
        <f>_xlfn.XLOOKUP(tblPayrollMaster[[#This Row],[Employee Position]],tblPositionandPayRate[Employee Position],tblPositionandPayRate[Overtime], " ")</f>
        <v xml:space="preserve"> </v>
      </c>
      <c r="L145" s="25">
        <f>_xlfn.XLOOKUP(tblPayrollMaster[[#This Row],[Employee Position]],tblPositionandPayRate[Employee Position],tblPositionandPayRate[Allowance 1],0)*tblPayrollMaster[[#This Row],[Pay Factor]]</f>
        <v>0</v>
      </c>
      <c r="M145" s="25">
        <f>_xlfn.XLOOKUP(tblPayrollMaster[[#This Row],[Employee Position]],tblPositionandPayRate[Employee Position],tblPositionandPayRate[Allowance 2],0)*tblPayrollMaster[[#This Row],[Pay Factor]]</f>
        <v>0</v>
      </c>
      <c r="N145" s="25">
        <f>_xlfn.XLOOKUP(tblPayrollMaster[[#This Row],[Employee Position]],tblPositionandPayRate[Employee Position],tblPositionandPayRate[Allowance 3],0)*tblPayrollMaster[[#This Row],[Pay Factor]]</f>
        <v>0</v>
      </c>
      <c r="O145" s="25">
        <f>_xlfn.XLOOKUP(tblPayrollMaster[[#This Row],[Employee Position]],tblPositionandPayRate[Employee Position],tblPositionandPayRate[Allowance 4],0)*tblPayrollMaster[[#This Row],[Pay Factor]]</f>
        <v>0</v>
      </c>
      <c r="P145" s="25">
        <f>_xlfn.XLOOKUP(tblPayrollMaster[[#This Row],[Employee Position]],tblPositionandPayRate[Employee Position],tblPositionandPayRate[Allowance 5],0)*tblPayrollMaster[[#This Row],[Pay Factor]]</f>
        <v>0</v>
      </c>
      <c r="Q145" s="25">
        <f>SUM(tblPayrollMaster[[#This Row],[Basic Pay]:[Allowance 5]])</f>
        <v>0</v>
      </c>
      <c r="R14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45" s="51" cm="1">
        <f t="array" ref="S1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45" s="3" cm="1">
        <f t="array" ref="T1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45" s="25">
        <f>_xlfn.LET(
_xlpm.tos, _xlfn.XLOOKUP(tblPayrollMaster[[#This Row],[Employee ID]], tblEmployee[Employee ID], tblEmployee[Type of Service], ""),
IF(_xlpm.tos="Contract of Service", 8.25, 0)
)</f>
        <v>0</v>
      </c>
      <c r="V145" s="25">
        <f>tblPayrollMaster[[#This Row],[Basic Earnings]]-tblPayrollMaster[[#This Row],[Tax]]-tblPayrollMaster[[#This Row],[NIS - Employee]]-tblPayrollMaster[[#This Row],[Health Surcharge]]</f>
        <v>0</v>
      </c>
      <c r="W145" s="25">
        <f>tblPayrollMaster[[#This Row],[Net Pay]]</f>
        <v>0</v>
      </c>
      <c r="X145" s="25"/>
    </row>
    <row r="146" spans="1:24" x14ac:dyDescent="0.25">
      <c r="A146" s="24"/>
      <c r="B146" s="24" t="str">
        <f>_xlfn.XLOOKUP(tblPayrollMaster[[#This Row],[Employee ID]],tblEmployee[Employee ID],tblEmployee[Employee Name],"")</f>
        <v/>
      </c>
      <c r="C146" s="24" t="str">
        <f>_xlfn.XLOOKUP(tblPayrollMaster[[#This Row],[Employee ID]],tblEmployee[Employee ID],tblEmployee[Employee Position],"")</f>
        <v/>
      </c>
      <c r="D146" s="24" t="str">
        <f>_xlfn.XLOOKUP(tblPayrollMaster[[#This Row],[Employee ID]], tblEmployee[Employee ID], tblEmployee[Pay Status], "Pay")</f>
        <v>Pay</v>
      </c>
      <c r="E146" s="24" t="str">
        <f>_xlfn.XLOOKUP(tblPayrollMaster[[#This Row],[Employee ID]], tblEmployee[Employee ID], tblEmployee[Payable Flag], "Y")</f>
        <v>Y</v>
      </c>
      <c r="F146" s="45">
        <f>IF(tblPayrollMaster[[#This Row],[Payable Flag]]="N",0,_xlfn.XLOOKUP(tblPayrollMaster[[#This Row],[Employee ID]],tblEmployee[Employee ID],tblEmployee[Pay Factor],1))</f>
        <v>1</v>
      </c>
      <c r="G146" s="26" t="str" cm="1">
        <f t="array" ref="G146">IF(tblPayrollMaster[[#This Row],[Employee ID]]="","",_xlfn.XLOOKUP(selPayPeriodID,tblPayCalendar[PayPeriodID],tblPayCalendar[PeriodStart],""))</f>
        <v/>
      </c>
      <c r="H146" s="26" t="str" cm="1">
        <f t="array" ref="H146">IF(tblPayrollMaster[[#This Row],[Employee ID]]="","",_xlfn.XLOOKUP(selPayPeriodID,tblPayCalendar[PayPeriodID],tblPayCalendar[PeriodEnd],""))</f>
        <v/>
      </c>
      <c r="I146" s="24" t="e" cm="1" vm="1">
        <f t="array" aca="1" ref="I146" ca="1">Table18[Employer Name]</f>
        <v>#VALUE!</v>
      </c>
      <c r="J146" s="3" cm="1">
        <f t="array" ref="J14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46" s="25" t="str">
        <f>_xlfn.XLOOKUP(tblPayrollMaster[[#This Row],[Employee Position]],tblPositionandPayRate[Employee Position],tblPositionandPayRate[Overtime], " ")</f>
        <v xml:space="preserve"> </v>
      </c>
      <c r="L146" s="25">
        <f>_xlfn.XLOOKUP(tblPayrollMaster[[#This Row],[Employee Position]],tblPositionandPayRate[Employee Position],tblPositionandPayRate[Allowance 1],0)*tblPayrollMaster[[#This Row],[Pay Factor]]</f>
        <v>0</v>
      </c>
      <c r="M146" s="25">
        <f>_xlfn.XLOOKUP(tblPayrollMaster[[#This Row],[Employee Position]],tblPositionandPayRate[Employee Position],tblPositionandPayRate[Allowance 2],0)*tblPayrollMaster[[#This Row],[Pay Factor]]</f>
        <v>0</v>
      </c>
      <c r="N146" s="25">
        <f>_xlfn.XLOOKUP(tblPayrollMaster[[#This Row],[Employee Position]],tblPositionandPayRate[Employee Position],tblPositionandPayRate[Allowance 3],0)*tblPayrollMaster[[#This Row],[Pay Factor]]</f>
        <v>0</v>
      </c>
      <c r="O146" s="25">
        <f>_xlfn.XLOOKUP(tblPayrollMaster[[#This Row],[Employee Position]],tblPositionandPayRate[Employee Position],tblPositionandPayRate[Allowance 4],0)*tblPayrollMaster[[#This Row],[Pay Factor]]</f>
        <v>0</v>
      </c>
      <c r="P146" s="25">
        <f>_xlfn.XLOOKUP(tblPayrollMaster[[#This Row],[Employee Position]],tblPositionandPayRate[Employee Position],tblPositionandPayRate[Allowance 5],0)*tblPayrollMaster[[#This Row],[Pay Factor]]</f>
        <v>0</v>
      </c>
      <c r="Q146" s="25">
        <f>SUM(tblPayrollMaster[[#This Row],[Basic Pay]:[Allowance 5]])</f>
        <v>0</v>
      </c>
      <c r="R14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46" s="51" cm="1">
        <f t="array" ref="S1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46" s="3" cm="1">
        <f t="array" ref="T1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46" s="25">
        <f>_xlfn.LET(
_xlpm.tos, _xlfn.XLOOKUP(tblPayrollMaster[[#This Row],[Employee ID]], tblEmployee[Employee ID], tblEmployee[Type of Service], ""),
IF(_xlpm.tos="Contract of Service", 8.25, 0)
)</f>
        <v>0</v>
      </c>
      <c r="V146" s="25">
        <f>tblPayrollMaster[[#This Row],[Basic Earnings]]-tblPayrollMaster[[#This Row],[Tax]]-tblPayrollMaster[[#This Row],[NIS - Employee]]-tblPayrollMaster[[#This Row],[Health Surcharge]]</f>
        <v>0</v>
      </c>
      <c r="W146" s="25">
        <f>tblPayrollMaster[[#This Row],[Net Pay]]</f>
        <v>0</v>
      </c>
      <c r="X146" s="25"/>
    </row>
    <row r="147" spans="1:24" x14ac:dyDescent="0.25">
      <c r="A147" s="24"/>
      <c r="B147" s="24" t="str">
        <f>_xlfn.XLOOKUP(tblPayrollMaster[[#This Row],[Employee ID]],tblEmployee[Employee ID],tblEmployee[Employee Name],"")</f>
        <v/>
      </c>
      <c r="C147" s="24" t="str">
        <f>_xlfn.XLOOKUP(tblPayrollMaster[[#This Row],[Employee ID]],tblEmployee[Employee ID],tblEmployee[Employee Position],"")</f>
        <v/>
      </c>
      <c r="D147" s="24" t="str">
        <f>_xlfn.XLOOKUP(tblPayrollMaster[[#This Row],[Employee ID]], tblEmployee[Employee ID], tblEmployee[Pay Status], "Pay")</f>
        <v>Pay</v>
      </c>
      <c r="E147" s="24" t="str">
        <f>_xlfn.XLOOKUP(tblPayrollMaster[[#This Row],[Employee ID]], tblEmployee[Employee ID], tblEmployee[Payable Flag], "Y")</f>
        <v>Y</v>
      </c>
      <c r="F147" s="45">
        <f>IF(tblPayrollMaster[[#This Row],[Payable Flag]]="N",0,_xlfn.XLOOKUP(tblPayrollMaster[[#This Row],[Employee ID]],tblEmployee[Employee ID],tblEmployee[Pay Factor],1))</f>
        <v>1</v>
      </c>
      <c r="G147" s="26" t="str" cm="1">
        <f t="array" ref="G147">IF(tblPayrollMaster[[#This Row],[Employee ID]]="","",_xlfn.XLOOKUP(selPayPeriodID,tblPayCalendar[PayPeriodID],tblPayCalendar[PeriodStart],""))</f>
        <v/>
      </c>
      <c r="H147" s="26" t="str" cm="1">
        <f t="array" ref="H147">IF(tblPayrollMaster[[#This Row],[Employee ID]]="","",_xlfn.XLOOKUP(selPayPeriodID,tblPayCalendar[PayPeriodID],tblPayCalendar[PeriodEnd],""))</f>
        <v/>
      </c>
      <c r="I147" s="24" t="e" cm="1" vm="1">
        <f t="array" aca="1" ref="I147" ca="1">Table18[Employer Name]</f>
        <v>#VALUE!</v>
      </c>
      <c r="J147" s="3" cm="1">
        <f t="array" ref="J14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47" s="25" t="str">
        <f>_xlfn.XLOOKUP(tblPayrollMaster[[#This Row],[Employee Position]],tblPositionandPayRate[Employee Position],tblPositionandPayRate[Overtime], " ")</f>
        <v xml:space="preserve"> </v>
      </c>
      <c r="L147" s="25">
        <f>_xlfn.XLOOKUP(tblPayrollMaster[[#This Row],[Employee Position]],tblPositionandPayRate[Employee Position],tblPositionandPayRate[Allowance 1],0)*tblPayrollMaster[[#This Row],[Pay Factor]]</f>
        <v>0</v>
      </c>
      <c r="M147" s="25">
        <f>_xlfn.XLOOKUP(tblPayrollMaster[[#This Row],[Employee Position]],tblPositionandPayRate[Employee Position],tblPositionandPayRate[Allowance 2],0)*tblPayrollMaster[[#This Row],[Pay Factor]]</f>
        <v>0</v>
      </c>
      <c r="N147" s="25">
        <f>_xlfn.XLOOKUP(tblPayrollMaster[[#This Row],[Employee Position]],tblPositionandPayRate[Employee Position],tblPositionandPayRate[Allowance 3],0)*tblPayrollMaster[[#This Row],[Pay Factor]]</f>
        <v>0</v>
      </c>
      <c r="O147" s="25">
        <f>_xlfn.XLOOKUP(tblPayrollMaster[[#This Row],[Employee Position]],tblPositionandPayRate[Employee Position],tblPositionandPayRate[Allowance 4],0)*tblPayrollMaster[[#This Row],[Pay Factor]]</f>
        <v>0</v>
      </c>
      <c r="P147" s="25">
        <f>_xlfn.XLOOKUP(tblPayrollMaster[[#This Row],[Employee Position]],tblPositionandPayRate[Employee Position],tblPositionandPayRate[Allowance 5],0)*tblPayrollMaster[[#This Row],[Pay Factor]]</f>
        <v>0</v>
      </c>
      <c r="Q147" s="25">
        <f>SUM(tblPayrollMaster[[#This Row],[Basic Pay]:[Allowance 5]])</f>
        <v>0</v>
      </c>
      <c r="R14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47" s="51" cm="1">
        <f t="array" ref="S1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47" s="3" cm="1">
        <f t="array" ref="T1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47" s="25">
        <f>_xlfn.LET(
_xlpm.tos, _xlfn.XLOOKUP(tblPayrollMaster[[#This Row],[Employee ID]], tblEmployee[Employee ID], tblEmployee[Type of Service], ""),
IF(_xlpm.tos="Contract of Service", 8.25, 0)
)</f>
        <v>0</v>
      </c>
      <c r="V147" s="25">
        <f>tblPayrollMaster[[#This Row],[Basic Earnings]]-tblPayrollMaster[[#This Row],[Tax]]-tblPayrollMaster[[#This Row],[NIS - Employee]]-tblPayrollMaster[[#This Row],[Health Surcharge]]</f>
        <v>0</v>
      </c>
      <c r="W147" s="25">
        <f>tblPayrollMaster[[#This Row],[Net Pay]]</f>
        <v>0</v>
      </c>
      <c r="X147" s="25"/>
    </row>
    <row r="148" spans="1:24" x14ac:dyDescent="0.25">
      <c r="A148" s="24"/>
      <c r="B148" s="24" t="str">
        <f>_xlfn.XLOOKUP(tblPayrollMaster[[#This Row],[Employee ID]],tblEmployee[Employee ID],tblEmployee[Employee Name],"")</f>
        <v/>
      </c>
      <c r="C148" s="24" t="str">
        <f>_xlfn.XLOOKUP(tblPayrollMaster[[#This Row],[Employee ID]],tblEmployee[Employee ID],tblEmployee[Employee Position],"")</f>
        <v/>
      </c>
      <c r="D148" s="24" t="str">
        <f>_xlfn.XLOOKUP(tblPayrollMaster[[#This Row],[Employee ID]], tblEmployee[Employee ID], tblEmployee[Pay Status], "Pay")</f>
        <v>Pay</v>
      </c>
      <c r="E148" s="24" t="str">
        <f>_xlfn.XLOOKUP(tblPayrollMaster[[#This Row],[Employee ID]], tblEmployee[Employee ID], tblEmployee[Payable Flag], "Y")</f>
        <v>Y</v>
      </c>
      <c r="F148" s="45">
        <f>IF(tblPayrollMaster[[#This Row],[Payable Flag]]="N",0,_xlfn.XLOOKUP(tblPayrollMaster[[#This Row],[Employee ID]],tblEmployee[Employee ID],tblEmployee[Pay Factor],1))</f>
        <v>1</v>
      </c>
      <c r="G148" s="26" t="str" cm="1">
        <f t="array" ref="G148">IF(tblPayrollMaster[[#This Row],[Employee ID]]="","",_xlfn.XLOOKUP(selPayPeriodID,tblPayCalendar[PayPeriodID],tblPayCalendar[PeriodStart],""))</f>
        <v/>
      </c>
      <c r="H148" s="26" t="str" cm="1">
        <f t="array" ref="H148">IF(tblPayrollMaster[[#This Row],[Employee ID]]="","",_xlfn.XLOOKUP(selPayPeriodID,tblPayCalendar[PayPeriodID],tblPayCalendar[PeriodEnd],""))</f>
        <v/>
      </c>
      <c r="I148" s="24" t="e" cm="1" vm="1">
        <f t="array" aca="1" ref="I148" ca="1">Table18[Employer Name]</f>
        <v>#VALUE!</v>
      </c>
      <c r="J148" s="3" cm="1">
        <f t="array" ref="J14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48" s="25" t="str">
        <f>_xlfn.XLOOKUP(tblPayrollMaster[[#This Row],[Employee Position]],tblPositionandPayRate[Employee Position],tblPositionandPayRate[Overtime], " ")</f>
        <v xml:space="preserve"> </v>
      </c>
      <c r="L148" s="25">
        <f>_xlfn.XLOOKUP(tblPayrollMaster[[#This Row],[Employee Position]],tblPositionandPayRate[Employee Position],tblPositionandPayRate[Allowance 1],0)*tblPayrollMaster[[#This Row],[Pay Factor]]</f>
        <v>0</v>
      </c>
      <c r="M148" s="25">
        <f>_xlfn.XLOOKUP(tblPayrollMaster[[#This Row],[Employee Position]],tblPositionandPayRate[Employee Position],tblPositionandPayRate[Allowance 2],0)*tblPayrollMaster[[#This Row],[Pay Factor]]</f>
        <v>0</v>
      </c>
      <c r="N148" s="25">
        <f>_xlfn.XLOOKUP(tblPayrollMaster[[#This Row],[Employee Position]],tblPositionandPayRate[Employee Position],tblPositionandPayRate[Allowance 3],0)*tblPayrollMaster[[#This Row],[Pay Factor]]</f>
        <v>0</v>
      </c>
      <c r="O148" s="25">
        <f>_xlfn.XLOOKUP(tblPayrollMaster[[#This Row],[Employee Position]],tblPositionandPayRate[Employee Position],tblPositionandPayRate[Allowance 4],0)*tblPayrollMaster[[#This Row],[Pay Factor]]</f>
        <v>0</v>
      </c>
      <c r="P148" s="25">
        <f>_xlfn.XLOOKUP(tblPayrollMaster[[#This Row],[Employee Position]],tblPositionandPayRate[Employee Position],tblPositionandPayRate[Allowance 5],0)*tblPayrollMaster[[#This Row],[Pay Factor]]</f>
        <v>0</v>
      </c>
      <c r="Q148" s="25">
        <f>SUM(tblPayrollMaster[[#This Row],[Basic Pay]:[Allowance 5]])</f>
        <v>0</v>
      </c>
      <c r="R14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48" s="51" cm="1">
        <f t="array" ref="S1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48" s="3" cm="1">
        <f t="array" ref="T1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48" s="25">
        <f>_xlfn.LET(
_xlpm.tos, _xlfn.XLOOKUP(tblPayrollMaster[[#This Row],[Employee ID]], tblEmployee[Employee ID], tblEmployee[Type of Service], ""),
IF(_xlpm.tos="Contract of Service", 8.25, 0)
)</f>
        <v>0</v>
      </c>
      <c r="V148" s="25">
        <f>tblPayrollMaster[[#This Row],[Basic Earnings]]-tblPayrollMaster[[#This Row],[Tax]]-tblPayrollMaster[[#This Row],[NIS - Employee]]-tblPayrollMaster[[#This Row],[Health Surcharge]]</f>
        <v>0</v>
      </c>
      <c r="W148" s="25">
        <f>tblPayrollMaster[[#This Row],[Net Pay]]</f>
        <v>0</v>
      </c>
      <c r="X148" s="25"/>
    </row>
    <row r="149" spans="1:24" x14ac:dyDescent="0.25">
      <c r="A149" s="24"/>
      <c r="B149" s="24" t="str">
        <f>_xlfn.XLOOKUP(tblPayrollMaster[[#This Row],[Employee ID]],tblEmployee[Employee ID],tblEmployee[Employee Name],"")</f>
        <v/>
      </c>
      <c r="C149" s="24" t="str">
        <f>_xlfn.XLOOKUP(tblPayrollMaster[[#This Row],[Employee ID]],tblEmployee[Employee ID],tblEmployee[Employee Position],"")</f>
        <v/>
      </c>
      <c r="D149" s="24" t="str">
        <f>_xlfn.XLOOKUP(tblPayrollMaster[[#This Row],[Employee ID]], tblEmployee[Employee ID], tblEmployee[Pay Status], "Pay")</f>
        <v>Pay</v>
      </c>
      <c r="E149" s="24" t="str">
        <f>_xlfn.XLOOKUP(tblPayrollMaster[[#This Row],[Employee ID]], tblEmployee[Employee ID], tblEmployee[Payable Flag], "Y")</f>
        <v>Y</v>
      </c>
      <c r="F149" s="45">
        <f>IF(tblPayrollMaster[[#This Row],[Payable Flag]]="N",0,_xlfn.XLOOKUP(tblPayrollMaster[[#This Row],[Employee ID]],tblEmployee[Employee ID],tblEmployee[Pay Factor],1))</f>
        <v>1</v>
      </c>
      <c r="G149" s="26" t="str" cm="1">
        <f t="array" ref="G149">IF(tblPayrollMaster[[#This Row],[Employee ID]]="","",_xlfn.XLOOKUP(selPayPeriodID,tblPayCalendar[PayPeriodID],tblPayCalendar[PeriodStart],""))</f>
        <v/>
      </c>
      <c r="H149" s="26" t="str" cm="1">
        <f t="array" ref="H149">IF(tblPayrollMaster[[#This Row],[Employee ID]]="","",_xlfn.XLOOKUP(selPayPeriodID,tblPayCalendar[PayPeriodID],tblPayCalendar[PeriodEnd],""))</f>
        <v/>
      </c>
      <c r="I149" s="24" t="e" cm="1" vm="1">
        <f t="array" aca="1" ref="I149" ca="1">Table18[Employer Name]</f>
        <v>#VALUE!</v>
      </c>
      <c r="J149" s="3" cm="1">
        <f t="array" ref="J14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49" s="25" t="str">
        <f>_xlfn.XLOOKUP(tblPayrollMaster[[#This Row],[Employee Position]],tblPositionandPayRate[Employee Position],tblPositionandPayRate[Overtime], " ")</f>
        <v xml:space="preserve"> </v>
      </c>
      <c r="L149" s="25">
        <f>_xlfn.XLOOKUP(tblPayrollMaster[[#This Row],[Employee Position]],tblPositionandPayRate[Employee Position],tblPositionandPayRate[Allowance 1],0)*tblPayrollMaster[[#This Row],[Pay Factor]]</f>
        <v>0</v>
      </c>
      <c r="M149" s="25">
        <f>_xlfn.XLOOKUP(tblPayrollMaster[[#This Row],[Employee Position]],tblPositionandPayRate[Employee Position],tblPositionandPayRate[Allowance 2],0)*tblPayrollMaster[[#This Row],[Pay Factor]]</f>
        <v>0</v>
      </c>
      <c r="N149" s="25">
        <f>_xlfn.XLOOKUP(tblPayrollMaster[[#This Row],[Employee Position]],tblPositionandPayRate[Employee Position],tblPositionandPayRate[Allowance 3],0)*tblPayrollMaster[[#This Row],[Pay Factor]]</f>
        <v>0</v>
      </c>
      <c r="O149" s="25">
        <f>_xlfn.XLOOKUP(tblPayrollMaster[[#This Row],[Employee Position]],tblPositionandPayRate[Employee Position],tblPositionandPayRate[Allowance 4],0)*tblPayrollMaster[[#This Row],[Pay Factor]]</f>
        <v>0</v>
      </c>
      <c r="P149" s="25">
        <f>_xlfn.XLOOKUP(tblPayrollMaster[[#This Row],[Employee Position]],tblPositionandPayRate[Employee Position],tblPositionandPayRate[Allowance 5],0)*tblPayrollMaster[[#This Row],[Pay Factor]]</f>
        <v>0</v>
      </c>
      <c r="Q149" s="25">
        <f>SUM(tblPayrollMaster[[#This Row],[Basic Pay]:[Allowance 5]])</f>
        <v>0</v>
      </c>
      <c r="R14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49" s="51" cm="1">
        <f t="array" ref="S1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49" s="3" cm="1">
        <f t="array" ref="T1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49" s="25">
        <f>_xlfn.LET(
_xlpm.tos, _xlfn.XLOOKUP(tblPayrollMaster[[#This Row],[Employee ID]], tblEmployee[Employee ID], tblEmployee[Type of Service], ""),
IF(_xlpm.tos="Contract of Service", 8.25, 0)
)</f>
        <v>0</v>
      </c>
      <c r="V149" s="25">
        <f>tblPayrollMaster[[#This Row],[Basic Earnings]]-tblPayrollMaster[[#This Row],[Tax]]-tblPayrollMaster[[#This Row],[NIS - Employee]]-tblPayrollMaster[[#This Row],[Health Surcharge]]</f>
        <v>0</v>
      </c>
      <c r="W149" s="25">
        <f>tblPayrollMaster[[#This Row],[Net Pay]]</f>
        <v>0</v>
      </c>
      <c r="X149" s="25"/>
    </row>
    <row r="150" spans="1:24" x14ac:dyDescent="0.25">
      <c r="A150" s="24"/>
      <c r="B150" s="24" t="str">
        <f>_xlfn.XLOOKUP(tblPayrollMaster[[#This Row],[Employee ID]],tblEmployee[Employee ID],tblEmployee[Employee Name],"")</f>
        <v/>
      </c>
      <c r="C150" s="24" t="str">
        <f>_xlfn.XLOOKUP(tblPayrollMaster[[#This Row],[Employee ID]],tblEmployee[Employee ID],tblEmployee[Employee Position],"")</f>
        <v/>
      </c>
      <c r="D150" s="24" t="str">
        <f>_xlfn.XLOOKUP(tblPayrollMaster[[#This Row],[Employee ID]], tblEmployee[Employee ID], tblEmployee[Pay Status], "Pay")</f>
        <v>Pay</v>
      </c>
      <c r="E150" s="24" t="str">
        <f>_xlfn.XLOOKUP(tblPayrollMaster[[#This Row],[Employee ID]], tblEmployee[Employee ID], tblEmployee[Payable Flag], "Y")</f>
        <v>Y</v>
      </c>
      <c r="F150" s="45">
        <f>IF(tblPayrollMaster[[#This Row],[Payable Flag]]="N",0,_xlfn.XLOOKUP(tblPayrollMaster[[#This Row],[Employee ID]],tblEmployee[Employee ID],tblEmployee[Pay Factor],1))</f>
        <v>1</v>
      </c>
      <c r="G150" s="26" t="str" cm="1">
        <f t="array" ref="G150">IF(tblPayrollMaster[[#This Row],[Employee ID]]="","",_xlfn.XLOOKUP(selPayPeriodID,tblPayCalendar[PayPeriodID],tblPayCalendar[PeriodStart],""))</f>
        <v/>
      </c>
      <c r="H150" s="26" t="str" cm="1">
        <f t="array" ref="H150">IF(tblPayrollMaster[[#This Row],[Employee ID]]="","",_xlfn.XLOOKUP(selPayPeriodID,tblPayCalendar[PayPeriodID],tblPayCalendar[PeriodEnd],""))</f>
        <v/>
      </c>
      <c r="I150" s="24" t="e" cm="1" vm="1">
        <f t="array" aca="1" ref="I150" ca="1">Table18[Employer Name]</f>
        <v>#VALUE!</v>
      </c>
      <c r="J150" s="3" cm="1">
        <f t="array" ref="J15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50" s="25" t="str">
        <f>_xlfn.XLOOKUP(tblPayrollMaster[[#This Row],[Employee Position]],tblPositionandPayRate[Employee Position],tblPositionandPayRate[Overtime], " ")</f>
        <v xml:space="preserve"> </v>
      </c>
      <c r="L150" s="25">
        <f>_xlfn.XLOOKUP(tblPayrollMaster[[#This Row],[Employee Position]],tblPositionandPayRate[Employee Position],tblPositionandPayRate[Allowance 1],0)*tblPayrollMaster[[#This Row],[Pay Factor]]</f>
        <v>0</v>
      </c>
      <c r="M150" s="25">
        <f>_xlfn.XLOOKUP(tblPayrollMaster[[#This Row],[Employee Position]],tblPositionandPayRate[Employee Position],tblPositionandPayRate[Allowance 2],0)*tblPayrollMaster[[#This Row],[Pay Factor]]</f>
        <v>0</v>
      </c>
      <c r="N150" s="25">
        <f>_xlfn.XLOOKUP(tblPayrollMaster[[#This Row],[Employee Position]],tblPositionandPayRate[Employee Position],tblPositionandPayRate[Allowance 3],0)*tblPayrollMaster[[#This Row],[Pay Factor]]</f>
        <v>0</v>
      </c>
      <c r="O150" s="25">
        <f>_xlfn.XLOOKUP(tblPayrollMaster[[#This Row],[Employee Position]],tblPositionandPayRate[Employee Position],tblPositionandPayRate[Allowance 4],0)*tblPayrollMaster[[#This Row],[Pay Factor]]</f>
        <v>0</v>
      </c>
      <c r="P150" s="25">
        <f>_xlfn.XLOOKUP(tblPayrollMaster[[#This Row],[Employee Position]],tblPositionandPayRate[Employee Position],tblPositionandPayRate[Allowance 5],0)*tblPayrollMaster[[#This Row],[Pay Factor]]</f>
        <v>0</v>
      </c>
      <c r="Q150" s="25">
        <f>SUM(tblPayrollMaster[[#This Row],[Basic Pay]:[Allowance 5]])</f>
        <v>0</v>
      </c>
      <c r="R15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50" s="51" cm="1">
        <f t="array" ref="S1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50" s="3" cm="1">
        <f t="array" ref="T1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50" s="25">
        <f>_xlfn.LET(
_xlpm.tos, _xlfn.XLOOKUP(tblPayrollMaster[[#This Row],[Employee ID]], tblEmployee[Employee ID], tblEmployee[Type of Service], ""),
IF(_xlpm.tos="Contract of Service", 8.25, 0)
)</f>
        <v>0</v>
      </c>
      <c r="V150" s="25">
        <f>tblPayrollMaster[[#This Row],[Basic Earnings]]-tblPayrollMaster[[#This Row],[Tax]]-tblPayrollMaster[[#This Row],[NIS - Employee]]-tblPayrollMaster[[#This Row],[Health Surcharge]]</f>
        <v>0</v>
      </c>
      <c r="W150" s="25">
        <f>tblPayrollMaster[[#This Row],[Net Pay]]</f>
        <v>0</v>
      </c>
      <c r="X150" s="25"/>
    </row>
    <row r="151" spans="1:24" x14ac:dyDescent="0.25">
      <c r="A151" s="24"/>
      <c r="B151" s="24" t="str">
        <f>_xlfn.XLOOKUP(tblPayrollMaster[[#This Row],[Employee ID]],tblEmployee[Employee ID],tblEmployee[Employee Name],"")</f>
        <v/>
      </c>
      <c r="C151" s="24" t="str">
        <f>_xlfn.XLOOKUP(tblPayrollMaster[[#This Row],[Employee ID]],tblEmployee[Employee ID],tblEmployee[Employee Position],"")</f>
        <v/>
      </c>
      <c r="D151" s="24" t="str">
        <f>_xlfn.XLOOKUP(tblPayrollMaster[[#This Row],[Employee ID]], tblEmployee[Employee ID], tblEmployee[Pay Status], "Pay")</f>
        <v>Pay</v>
      </c>
      <c r="E151" s="24" t="str">
        <f>_xlfn.XLOOKUP(tblPayrollMaster[[#This Row],[Employee ID]], tblEmployee[Employee ID], tblEmployee[Payable Flag], "Y")</f>
        <v>Y</v>
      </c>
      <c r="F151" s="45">
        <f>IF(tblPayrollMaster[[#This Row],[Payable Flag]]="N",0,_xlfn.XLOOKUP(tblPayrollMaster[[#This Row],[Employee ID]],tblEmployee[Employee ID],tblEmployee[Pay Factor],1))</f>
        <v>1</v>
      </c>
      <c r="G151" s="26" t="str" cm="1">
        <f t="array" ref="G151">IF(tblPayrollMaster[[#This Row],[Employee ID]]="","",_xlfn.XLOOKUP(selPayPeriodID,tblPayCalendar[PayPeriodID],tblPayCalendar[PeriodStart],""))</f>
        <v/>
      </c>
      <c r="H151" s="26" t="str" cm="1">
        <f t="array" ref="H151">IF(tblPayrollMaster[[#This Row],[Employee ID]]="","",_xlfn.XLOOKUP(selPayPeriodID,tblPayCalendar[PayPeriodID],tblPayCalendar[PeriodEnd],""))</f>
        <v/>
      </c>
      <c r="I151" s="24" t="e" cm="1" vm="1">
        <f t="array" aca="1" ref="I151" ca="1">Table18[Employer Name]</f>
        <v>#VALUE!</v>
      </c>
      <c r="J151" s="3" cm="1">
        <f t="array" ref="J15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51" s="25" t="str">
        <f>_xlfn.XLOOKUP(tblPayrollMaster[[#This Row],[Employee Position]],tblPositionandPayRate[Employee Position],tblPositionandPayRate[Overtime], " ")</f>
        <v xml:space="preserve"> </v>
      </c>
      <c r="L151" s="25">
        <f>_xlfn.XLOOKUP(tblPayrollMaster[[#This Row],[Employee Position]],tblPositionandPayRate[Employee Position],tblPositionandPayRate[Allowance 1],0)*tblPayrollMaster[[#This Row],[Pay Factor]]</f>
        <v>0</v>
      </c>
      <c r="M151" s="25">
        <f>_xlfn.XLOOKUP(tblPayrollMaster[[#This Row],[Employee Position]],tblPositionandPayRate[Employee Position],tblPositionandPayRate[Allowance 2],0)*tblPayrollMaster[[#This Row],[Pay Factor]]</f>
        <v>0</v>
      </c>
      <c r="N151" s="25">
        <f>_xlfn.XLOOKUP(tblPayrollMaster[[#This Row],[Employee Position]],tblPositionandPayRate[Employee Position],tblPositionandPayRate[Allowance 3],0)*tblPayrollMaster[[#This Row],[Pay Factor]]</f>
        <v>0</v>
      </c>
      <c r="O151" s="25">
        <f>_xlfn.XLOOKUP(tblPayrollMaster[[#This Row],[Employee Position]],tblPositionandPayRate[Employee Position],tblPositionandPayRate[Allowance 4],0)*tblPayrollMaster[[#This Row],[Pay Factor]]</f>
        <v>0</v>
      </c>
      <c r="P151" s="25">
        <f>_xlfn.XLOOKUP(tblPayrollMaster[[#This Row],[Employee Position]],tblPositionandPayRate[Employee Position],tblPositionandPayRate[Allowance 5],0)*tblPayrollMaster[[#This Row],[Pay Factor]]</f>
        <v>0</v>
      </c>
      <c r="Q151" s="25">
        <f>SUM(tblPayrollMaster[[#This Row],[Basic Pay]:[Allowance 5]])</f>
        <v>0</v>
      </c>
      <c r="R15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51" s="51" cm="1">
        <f t="array" ref="S1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51" s="3" cm="1">
        <f t="array" ref="T1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51" s="25">
        <f>_xlfn.LET(
_xlpm.tos, _xlfn.XLOOKUP(tblPayrollMaster[[#This Row],[Employee ID]], tblEmployee[Employee ID], tblEmployee[Type of Service], ""),
IF(_xlpm.tos="Contract of Service", 8.25, 0)
)</f>
        <v>0</v>
      </c>
      <c r="V151" s="25">
        <f>tblPayrollMaster[[#This Row],[Basic Earnings]]-tblPayrollMaster[[#This Row],[Tax]]-tblPayrollMaster[[#This Row],[NIS - Employee]]-tblPayrollMaster[[#This Row],[Health Surcharge]]</f>
        <v>0</v>
      </c>
      <c r="W151" s="25">
        <f>tblPayrollMaster[[#This Row],[Net Pay]]</f>
        <v>0</v>
      </c>
      <c r="X151" s="25"/>
    </row>
    <row r="152" spans="1:24" x14ac:dyDescent="0.25">
      <c r="A152" s="24"/>
      <c r="B152" s="24" t="str">
        <f>_xlfn.XLOOKUP(tblPayrollMaster[[#This Row],[Employee ID]],tblEmployee[Employee ID],tblEmployee[Employee Name],"")</f>
        <v/>
      </c>
      <c r="C152" s="24" t="str">
        <f>_xlfn.XLOOKUP(tblPayrollMaster[[#This Row],[Employee ID]],tblEmployee[Employee ID],tblEmployee[Employee Position],"")</f>
        <v/>
      </c>
      <c r="D152" s="24" t="str">
        <f>_xlfn.XLOOKUP(tblPayrollMaster[[#This Row],[Employee ID]], tblEmployee[Employee ID], tblEmployee[Pay Status], "Pay")</f>
        <v>Pay</v>
      </c>
      <c r="E152" s="24" t="str">
        <f>_xlfn.XLOOKUP(tblPayrollMaster[[#This Row],[Employee ID]], tblEmployee[Employee ID], tblEmployee[Payable Flag], "Y")</f>
        <v>Y</v>
      </c>
      <c r="F152" s="45">
        <f>IF(tblPayrollMaster[[#This Row],[Payable Flag]]="N",0,_xlfn.XLOOKUP(tblPayrollMaster[[#This Row],[Employee ID]],tblEmployee[Employee ID],tblEmployee[Pay Factor],1))</f>
        <v>1</v>
      </c>
      <c r="G152" s="26" t="str" cm="1">
        <f t="array" ref="G152">IF(tblPayrollMaster[[#This Row],[Employee ID]]="","",_xlfn.XLOOKUP(selPayPeriodID,tblPayCalendar[PayPeriodID],tblPayCalendar[PeriodStart],""))</f>
        <v/>
      </c>
      <c r="H152" s="26" t="str" cm="1">
        <f t="array" ref="H152">IF(tblPayrollMaster[[#This Row],[Employee ID]]="","",_xlfn.XLOOKUP(selPayPeriodID,tblPayCalendar[PayPeriodID],tblPayCalendar[PeriodEnd],""))</f>
        <v/>
      </c>
      <c r="I152" s="24" t="e" cm="1" vm="1">
        <f t="array" aca="1" ref="I152" ca="1">Table18[Employer Name]</f>
        <v>#VALUE!</v>
      </c>
      <c r="J152" s="3" cm="1">
        <f t="array" ref="J15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52" s="25" t="str">
        <f>_xlfn.XLOOKUP(tblPayrollMaster[[#This Row],[Employee Position]],tblPositionandPayRate[Employee Position],tblPositionandPayRate[Overtime], " ")</f>
        <v xml:space="preserve"> </v>
      </c>
      <c r="L152" s="25">
        <f>_xlfn.XLOOKUP(tblPayrollMaster[[#This Row],[Employee Position]],tblPositionandPayRate[Employee Position],tblPositionandPayRate[Allowance 1],0)*tblPayrollMaster[[#This Row],[Pay Factor]]</f>
        <v>0</v>
      </c>
      <c r="M152" s="25">
        <f>_xlfn.XLOOKUP(tblPayrollMaster[[#This Row],[Employee Position]],tblPositionandPayRate[Employee Position],tblPositionandPayRate[Allowance 2],0)*tblPayrollMaster[[#This Row],[Pay Factor]]</f>
        <v>0</v>
      </c>
      <c r="N152" s="25">
        <f>_xlfn.XLOOKUP(tblPayrollMaster[[#This Row],[Employee Position]],tblPositionandPayRate[Employee Position],tblPositionandPayRate[Allowance 3],0)*tblPayrollMaster[[#This Row],[Pay Factor]]</f>
        <v>0</v>
      </c>
      <c r="O152" s="25">
        <f>_xlfn.XLOOKUP(tblPayrollMaster[[#This Row],[Employee Position]],tblPositionandPayRate[Employee Position],tblPositionandPayRate[Allowance 4],0)*tblPayrollMaster[[#This Row],[Pay Factor]]</f>
        <v>0</v>
      </c>
      <c r="P152" s="25">
        <f>_xlfn.XLOOKUP(tblPayrollMaster[[#This Row],[Employee Position]],tblPositionandPayRate[Employee Position],tblPositionandPayRate[Allowance 5],0)*tblPayrollMaster[[#This Row],[Pay Factor]]</f>
        <v>0</v>
      </c>
      <c r="Q152" s="25">
        <f>SUM(tblPayrollMaster[[#This Row],[Basic Pay]:[Allowance 5]])</f>
        <v>0</v>
      </c>
      <c r="R15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52" s="51" cm="1">
        <f t="array" ref="S1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52" s="3" cm="1">
        <f t="array" ref="T1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52" s="25">
        <f>_xlfn.LET(
_xlpm.tos, _xlfn.XLOOKUP(tblPayrollMaster[[#This Row],[Employee ID]], tblEmployee[Employee ID], tblEmployee[Type of Service], ""),
IF(_xlpm.tos="Contract of Service", 8.25, 0)
)</f>
        <v>0</v>
      </c>
      <c r="V152" s="25">
        <f>tblPayrollMaster[[#This Row],[Basic Earnings]]-tblPayrollMaster[[#This Row],[Tax]]-tblPayrollMaster[[#This Row],[NIS - Employee]]-tblPayrollMaster[[#This Row],[Health Surcharge]]</f>
        <v>0</v>
      </c>
      <c r="W152" s="25">
        <f>tblPayrollMaster[[#This Row],[Net Pay]]</f>
        <v>0</v>
      </c>
      <c r="X152" s="25"/>
    </row>
    <row r="153" spans="1:24" x14ac:dyDescent="0.25">
      <c r="A153" s="24"/>
      <c r="B153" s="24" t="str">
        <f>_xlfn.XLOOKUP(tblPayrollMaster[[#This Row],[Employee ID]],tblEmployee[Employee ID],tblEmployee[Employee Name],"")</f>
        <v/>
      </c>
      <c r="C153" s="24" t="str">
        <f>_xlfn.XLOOKUP(tblPayrollMaster[[#This Row],[Employee ID]],tblEmployee[Employee ID],tblEmployee[Employee Position],"")</f>
        <v/>
      </c>
      <c r="D153" s="24" t="str">
        <f>_xlfn.XLOOKUP(tblPayrollMaster[[#This Row],[Employee ID]], tblEmployee[Employee ID], tblEmployee[Pay Status], "Pay")</f>
        <v>Pay</v>
      </c>
      <c r="E153" s="24" t="str">
        <f>_xlfn.XLOOKUP(tblPayrollMaster[[#This Row],[Employee ID]], tblEmployee[Employee ID], tblEmployee[Payable Flag], "Y")</f>
        <v>Y</v>
      </c>
      <c r="F153" s="45">
        <f>IF(tblPayrollMaster[[#This Row],[Payable Flag]]="N",0,_xlfn.XLOOKUP(tblPayrollMaster[[#This Row],[Employee ID]],tblEmployee[Employee ID],tblEmployee[Pay Factor],1))</f>
        <v>1</v>
      </c>
      <c r="G153" s="26" t="str" cm="1">
        <f t="array" ref="G153">IF(tblPayrollMaster[[#This Row],[Employee ID]]="","",_xlfn.XLOOKUP(selPayPeriodID,tblPayCalendar[PayPeriodID],tblPayCalendar[PeriodStart],""))</f>
        <v/>
      </c>
      <c r="H153" s="26" t="str" cm="1">
        <f t="array" ref="H153">IF(tblPayrollMaster[[#This Row],[Employee ID]]="","",_xlfn.XLOOKUP(selPayPeriodID,tblPayCalendar[PayPeriodID],tblPayCalendar[PeriodEnd],""))</f>
        <v/>
      </c>
      <c r="I153" s="24" t="e" cm="1" vm="1">
        <f t="array" aca="1" ref="I153" ca="1">Table18[Employer Name]</f>
        <v>#VALUE!</v>
      </c>
      <c r="J153" s="3" cm="1">
        <f t="array" ref="J15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53" s="25" t="str">
        <f>_xlfn.XLOOKUP(tblPayrollMaster[[#This Row],[Employee Position]],tblPositionandPayRate[Employee Position],tblPositionandPayRate[Overtime], " ")</f>
        <v xml:space="preserve"> </v>
      </c>
      <c r="L153" s="25">
        <f>_xlfn.XLOOKUP(tblPayrollMaster[[#This Row],[Employee Position]],tblPositionandPayRate[Employee Position],tblPositionandPayRate[Allowance 1],0)*tblPayrollMaster[[#This Row],[Pay Factor]]</f>
        <v>0</v>
      </c>
      <c r="M153" s="25">
        <f>_xlfn.XLOOKUP(tblPayrollMaster[[#This Row],[Employee Position]],tblPositionandPayRate[Employee Position],tblPositionandPayRate[Allowance 2],0)*tblPayrollMaster[[#This Row],[Pay Factor]]</f>
        <v>0</v>
      </c>
      <c r="N153" s="25">
        <f>_xlfn.XLOOKUP(tblPayrollMaster[[#This Row],[Employee Position]],tblPositionandPayRate[Employee Position],tblPositionandPayRate[Allowance 3],0)*tblPayrollMaster[[#This Row],[Pay Factor]]</f>
        <v>0</v>
      </c>
      <c r="O153" s="25">
        <f>_xlfn.XLOOKUP(tblPayrollMaster[[#This Row],[Employee Position]],tblPositionandPayRate[Employee Position],tblPositionandPayRate[Allowance 4],0)*tblPayrollMaster[[#This Row],[Pay Factor]]</f>
        <v>0</v>
      </c>
      <c r="P153" s="25">
        <f>_xlfn.XLOOKUP(tblPayrollMaster[[#This Row],[Employee Position]],tblPositionandPayRate[Employee Position],tblPositionandPayRate[Allowance 5],0)*tblPayrollMaster[[#This Row],[Pay Factor]]</f>
        <v>0</v>
      </c>
      <c r="Q153" s="25">
        <f>SUM(tblPayrollMaster[[#This Row],[Basic Pay]:[Allowance 5]])</f>
        <v>0</v>
      </c>
      <c r="R15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53" s="51" cm="1">
        <f t="array" ref="S1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53" s="3" cm="1">
        <f t="array" ref="T1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53" s="25">
        <f>_xlfn.LET(
_xlpm.tos, _xlfn.XLOOKUP(tblPayrollMaster[[#This Row],[Employee ID]], tblEmployee[Employee ID], tblEmployee[Type of Service], ""),
IF(_xlpm.tos="Contract of Service", 8.25, 0)
)</f>
        <v>0</v>
      </c>
      <c r="V153" s="25">
        <f>tblPayrollMaster[[#This Row],[Basic Earnings]]-tblPayrollMaster[[#This Row],[Tax]]-tblPayrollMaster[[#This Row],[NIS - Employee]]-tblPayrollMaster[[#This Row],[Health Surcharge]]</f>
        <v>0</v>
      </c>
      <c r="W153" s="25">
        <f>tblPayrollMaster[[#This Row],[Net Pay]]</f>
        <v>0</v>
      </c>
      <c r="X153" s="25"/>
    </row>
    <row r="154" spans="1:24" x14ac:dyDescent="0.25">
      <c r="A154" s="24"/>
      <c r="B154" s="24" t="str">
        <f>_xlfn.XLOOKUP(tblPayrollMaster[[#This Row],[Employee ID]],tblEmployee[Employee ID],tblEmployee[Employee Name],"")</f>
        <v/>
      </c>
      <c r="C154" s="24" t="str">
        <f>_xlfn.XLOOKUP(tblPayrollMaster[[#This Row],[Employee ID]],tblEmployee[Employee ID],tblEmployee[Employee Position],"")</f>
        <v/>
      </c>
      <c r="D154" s="24" t="str">
        <f>_xlfn.XLOOKUP(tblPayrollMaster[[#This Row],[Employee ID]], tblEmployee[Employee ID], tblEmployee[Pay Status], "Pay")</f>
        <v>Pay</v>
      </c>
      <c r="E154" s="24" t="str">
        <f>_xlfn.XLOOKUP(tblPayrollMaster[[#This Row],[Employee ID]], tblEmployee[Employee ID], tblEmployee[Payable Flag], "Y")</f>
        <v>Y</v>
      </c>
      <c r="F154" s="45">
        <f>IF(tblPayrollMaster[[#This Row],[Payable Flag]]="N",0,_xlfn.XLOOKUP(tblPayrollMaster[[#This Row],[Employee ID]],tblEmployee[Employee ID],tblEmployee[Pay Factor],1))</f>
        <v>1</v>
      </c>
      <c r="G154" s="26" t="str" cm="1">
        <f t="array" ref="G154">IF(tblPayrollMaster[[#This Row],[Employee ID]]="","",_xlfn.XLOOKUP(selPayPeriodID,tblPayCalendar[PayPeriodID],tblPayCalendar[PeriodStart],""))</f>
        <v/>
      </c>
      <c r="H154" s="26" t="str" cm="1">
        <f t="array" ref="H154">IF(tblPayrollMaster[[#This Row],[Employee ID]]="","",_xlfn.XLOOKUP(selPayPeriodID,tblPayCalendar[PayPeriodID],tblPayCalendar[PeriodEnd],""))</f>
        <v/>
      </c>
      <c r="I154" s="24" t="e" cm="1" vm="1">
        <f t="array" aca="1" ref="I154" ca="1">Table18[Employer Name]</f>
        <v>#VALUE!</v>
      </c>
      <c r="J154" s="3" cm="1">
        <f t="array" ref="J15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54" s="25" t="str">
        <f>_xlfn.XLOOKUP(tblPayrollMaster[[#This Row],[Employee Position]],tblPositionandPayRate[Employee Position],tblPositionandPayRate[Overtime], " ")</f>
        <v xml:space="preserve"> </v>
      </c>
      <c r="L154" s="25">
        <f>_xlfn.XLOOKUP(tblPayrollMaster[[#This Row],[Employee Position]],tblPositionandPayRate[Employee Position],tblPositionandPayRate[Allowance 1],0)*tblPayrollMaster[[#This Row],[Pay Factor]]</f>
        <v>0</v>
      </c>
      <c r="M154" s="25">
        <f>_xlfn.XLOOKUP(tblPayrollMaster[[#This Row],[Employee Position]],tblPositionandPayRate[Employee Position],tblPositionandPayRate[Allowance 2],0)*tblPayrollMaster[[#This Row],[Pay Factor]]</f>
        <v>0</v>
      </c>
      <c r="N154" s="25">
        <f>_xlfn.XLOOKUP(tblPayrollMaster[[#This Row],[Employee Position]],tblPositionandPayRate[Employee Position],tblPositionandPayRate[Allowance 3],0)*tblPayrollMaster[[#This Row],[Pay Factor]]</f>
        <v>0</v>
      </c>
      <c r="O154" s="25">
        <f>_xlfn.XLOOKUP(tblPayrollMaster[[#This Row],[Employee Position]],tblPositionandPayRate[Employee Position],tblPositionandPayRate[Allowance 4],0)*tblPayrollMaster[[#This Row],[Pay Factor]]</f>
        <v>0</v>
      </c>
      <c r="P154" s="25">
        <f>_xlfn.XLOOKUP(tblPayrollMaster[[#This Row],[Employee Position]],tblPositionandPayRate[Employee Position],tblPositionandPayRate[Allowance 5],0)*tblPayrollMaster[[#This Row],[Pay Factor]]</f>
        <v>0</v>
      </c>
      <c r="Q154" s="25">
        <f>SUM(tblPayrollMaster[[#This Row],[Basic Pay]:[Allowance 5]])</f>
        <v>0</v>
      </c>
      <c r="R15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54" s="51" cm="1">
        <f t="array" ref="S1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54" s="3" cm="1">
        <f t="array" ref="T1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54" s="25">
        <f>_xlfn.LET(
_xlpm.tos, _xlfn.XLOOKUP(tblPayrollMaster[[#This Row],[Employee ID]], tblEmployee[Employee ID], tblEmployee[Type of Service], ""),
IF(_xlpm.tos="Contract of Service", 8.25, 0)
)</f>
        <v>0</v>
      </c>
      <c r="V154" s="25">
        <f>tblPayrollMaster[[#This Row],[Basic Earnings]]-tblPayrollMaster[[#This Row],[Tax]]-tblPayrollMaster[[#This Row],[NIS - Employee]]-tblPayrollMaster[[#This Row],[Health Surcharge]]</f>
        <v>0</v>
      </c>
      <c r="W154" s="25">
        <f>tblPayrollMaster[[#This Row],[Net Pay]]</f>
        <v>0</v>
      </c>
      <c r="X154" s="25"/>
    </row>
    <row r="155" spans="1:24" x14ac:dyDescent="0.25">
      <c r="A155" s="24"/>
      <c r="B155" s="24" t="str">
        <f>_xlfn.XLOOKUP(tblPayrollMaster[[#This Row],[Employee ID]],tblEmployee[Employee ID],tblEmployee[Employee Name],"")</f>
        <v/>
      </c>
      <c r="C155" s="24" t="str">
        <f>_xlfn.XLOOKUP(tblPayrollMaster[[#This Row],[Employee ID]],tblEmployee[Employee ID],tblEmployee[Employee Position],"")</f>
        <v/>
      </c>
      <c r="D155" s="24" t="str">
        <f>_xlfn.XLOOKUP(tblPayrollMaster[[#This Row],[Employee ID]], tblEmployee[Employee ID], tblEmployee[Pay Status], "Pay")</f>
        <v>Pay</v>
      </c>
      <c r="E155" s="24" t="str">
        <f>_xlfn.XLOOKUP(tblPayrollMaster[[#This Row],[Employee ID]], tblEmployee[Employee ID], tblEmployee[Payable Flag], "Y")</f>
        <v>Y</v>
      </c>
      <c r="F155" s="45">
        <f>IF(tblPayrollMaster[[#This Row],[Payable Flag]]="N",0,_xlfn.XLOOKUP(tblPayrollMaster[[#This Row],[Employee ID]],tblEmployee[Employee ID],tblEmployee[Pay Factor],1))</f>
        <v>1</v>
      </c>
      <c r="G155" s="26" t="str" cm="1">
        <f t="array" ref="G155">IF(tblPayrollMaster[[#This Row],[Employee ID]]="","",_xlfn.XLOOKUP(selPayPeriodID,tblPayCalendar[PayPeriodID],tblPayCalendar[PeriodStart],""))</f>
        <v/>
      </c>
      <c r="H155" s="26" t="str" cm="1">
        <f t="array" ref="H155">IF(tblPayrollMaster[[#This Row],[Employee ID]]="","",_xlfn.XLOOKUP(selPayPeriodID,tblPayCalendar[PayPeriodID],tblPayCalendar[PeriodEnd],""))</f>
        <v/>
      </c>
      <c r="I155" s="24" t="e" cm="1" vm="1">
        <f t="array" aca="1" ref="I155" ca="1">Table18[Employer Name]</f>
        <v>#VALUE!</v>
      </c>
      <c r="J155" s="3" cm="1">
        <f t="array" ref="J15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55" s="25" t="str">
        <f>_xlfn.XLOOKUP(tblPayrollMaster[[#This Row],[Employee Position]],tblPositionandPayRate[Employee Position],tblPositionandPayRate[Overtime], " ")</f>
        <v xml:space="preserve"> </v>
      </c>
      <c r="L155" s="25">
        <f>_xlfn.XLOOKUP(tblPayrollMaster[[#This Row],[Employee Position]],tblPositionandPayRate[Employee Position],tblPositionandPayRate[Allowance 1],0)*tblPayrollMaster[[#This Row],[Pay Factor]]</f>
        <v>0</v>
      </c>
      <c r="M155" s="25">
        <f>_xlfn.XLOOKUP(tblPayrollMaster[[#This Row],[Employee Position]],tblPositionandPayRate[Employee Position],tblPositionandPayRate[Allowance 2],0)*tblPayrollMaster[[#This Row],[Pay Factor]]</f>
        <v>0</v>
      </c>
      <c r="N155" s="25">
        <f>_xlfn.XLOOKUP(tblPayrollMaster[[#This Row],[Employee Position]],tblPositionandPayRate[Employee Position],tblPositionandPayRate[Allowance 3],0)*tblPayrollMaster[[#This Row],[Pay Factor]]</f>
        <v>0</v>
      </c>
      <c r="O155" s="25">
        <f>_xlfn.XLOOKUP(tblPayrollMaster[[#This Row],[Employee Position]],tblPositionandPayRate[Employee Position],tblPositionandPayRate[Allowance 4],0)*tblPayrollMaster[[#This Row],[Pay Factor]]</f>
        <v>0</v>
      </c>
      <c r="P155" s="25">
        <f>_xlfn.XLOOKUP(tblPayrollMaster[[#This Row],[Employee Position]],tblPositionandPayRate[Employee Position],tblPositionandPayRate[Allowance 5],0)*tblPayrollMaster[[#This Row],[Pay Factor]]</f>
        <v>0</v>
      </c>
      <c r="Q155" s="25">
        <f>SUM(tblPayrollMaster[[#This Row],[Basic Pay]:[Allowance 5]])</f>
        <v>0</v>
      </c>
      <c r="R15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55" s="51" cm="1">
        <f t="array" ref="S1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55" s="3" cm="1">
        <f t="array" ref="T1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55" s="25">
        <f>_xlfn.LET(
_xlpm.tos, _xlfn.XLOOKUP(tblPayrollMaster[[#This Row],[Employee ID]], tblEmployee[Employee ID], tblEmployee[Type of Service], ""),
IF(_xlpm.tos="Contract of Service", 8.25, 0)
)</f>
        <v>0</v>
      </c>
      <c r="V155" s="25">
        <f>tblPayrollMaster[[#This Row],[Basic Earnings]]-tblPayrollMaster[[#This Row],[Tax]]-tblPayrollMaster[[#This Row],[NIS - Employee]]-tblPayrollMaster[[#This Row],[Health Surcharge]]</f>
        <v>0</v>
      </c>
      <c r="W155" s="25">
        <f>tblPayrollMaster[[#This Row],[Net Pay]]</f>
        <v>0</v>
      </c>
      <c r="X155" s="25"/>
    </row>
    <row r="156" spans="1:24" x14ac:dyDescent="0.25">
      <c r="A156" s="24"/>
      <c r="B156" s="24" t="str">
        <f>_xlfn.XLOOKUP(tblPayrollMaster[[#This Row],[Employee ID]],tblEmployee[Employee ID],tblEmployee[Employee Name],"")</f>
        <v/>
      </c>
      <c r="C156" s="24" t="str">
        <f>_xlfn.XLOOKUP(tblPayrollMaster[[#This Row],[Employee ID]],tblEmployee[Employee ID],tblEmployee[Employee Position],"")</f>
        <v/>
      </c>
      <c r="D156" s="24" t="str">
        <f>_xlfn.XLOOKUP(tblPayrollMaster[[#This Row],[Employee ID]], tblEmployee[Employee ID], tblEmployee[Pay Status], "Pay")</f>
        <v>Pay</v>
      </c>
      <c r="E156" s="24" t="str">
        <f>_xlfn.XLOOKUP(tblPayrollMaster[[#This Row],[Employee ID]], tblEmployee[Employee ID], tblEmployee[Payable Flag], "Y")</f>
        <v>Y</v>
      </c>
      <c r="F156" s="45">
        <f>IF(tblPayrollMaster[[#This Row],[Payable Flag]]="N",0,_xlfn.XLOOKUP(tblPayrollMaster[[#This Row],[Employee ID]],tblEmployee[Employee ID],tblEmployee[Pay Factor],1))</f>
        <v>1</v>
      </c>
      <c r="G156" s="26" t="str" cm="1">
        <f t="array" ref="G156">IF(tblPayrollMaster[[#This Row],[Employee ID]]="","",_xlfn.XLOOKUP(selPayPeriodID,tblPayCalendar[PayPeriodID],tblPayCalendar[PeriodStart],""))</f>
        <v/>
      </c>
      <c r="H156" s="26" t="str" cm="1">
        <f t="array" ref="H156">IF(tblPayrollMaster[[#This Row],[Employee ID]]="","",_xlfn.XLOOKUP(selPayPeriodID,tblPayCalendar[PayPeriodID],tblPayCalendar[PeriodEnd],""))</f>
        <v/>
      </c>
      <c r="I156" s="24" t="e" cm="1" vm="1">
        <f t="array" aca="1" ref="I156" ca="1">Table18[Employer Name]</f>
        <v>#VALUE!</v>
      </c>
      <c r="J156" s="3" cm="1">
        <f t="array" ref="J15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56" s="25" t="str">
        <f>_xlfn.XLOOKUP(tblPayrollMaster[[#This Row],[Employee Position]],tblPositionandPayRate[Employee Position],tblPositionandPayRate[Overtime], " ")</f>
        <v xml:space="preserve"> </v>
      </c>
      <c r="L156" s="25">
        <f>_xlfn.XLOOKUP(tblPayrollMaster[[#This Row],[Employee Position]],tblPositionandPayRate[Employee Position],tblPositionandPayRate[Allowance 1],0)*tblPayrollMaster[[#This Row],[Pay Factor]]</f>
        <v>0</v>
      </c>
      <c r="M156" s="25">
        <f>_xlfn.XLOOKUP(tblPayrollMaster[[#This Row],[Employee Position]],tblPositionandPayRate[Employee Position],tblPositionandPayRate[Allowance 2],0)*tblPayrollMaster[[#This Row],[Pay Factor]]</f>
        <v>0</v>
      </c>
      <c r="N156" s="25">
        <f>_xlfn.XLOOKUP(tblPayrollMaster[[#This Row],[Employee Position]],tblPositionandPayRate[Employee Position],tblPositionandPayRate[Allowance 3],0)*tblPayrollMaster[[#This Row],[Pay Factor]]</f>
        <v>0</v>
      </c>
      <c r="O156" s="25">
        <f>_xlfn.XLOOKUP(tblPayrollMaster[[#This Row],[Employee Position]],tblPositionandPayRate[Employee Position],tblPositionandPayRate[Allowance 4],0)*tblPayrollMaster[[#This Row],[Pay Factor]]</f>
        <v>0</v>
      </c>
      <c r="P156" s="25">
        <f>_xlfn.XLOOKUP(tblPayrollMaster[[#This Row],[Employee Position]],tblPositionandPayRate[Employee Position],tblPositionandPayRate[Allowance 5],0)*tblPayrollMaster[[#This Row],[Pay Factor]]</f>
        <v>0</v>
      </c>
      <c r="Q156" s="25">
        <f>SUM(tblPayrollMaster[[#This Row],[Basic Pay]:[Allowance 5]])</f>
        <v>0</v>
      </c>
      <c r="R15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56" s="51" cm="1">
        <f t="array" ref="S1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56" s="3" cm="1">
        <f t="array" ref="T1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56" s="25">
        <f>_xlfn.LET(
_xlpm.tos, _xlfn.XLOOKUP(tblPayrollMaster[[#This Row],[Employee ID]], tblEmployee[Employee ID], tblEmployee[Type of Service], ""),
IF(_xlpm.tos="Contract of Service", 8.25, 0)
)</f>
        <v>0</v>
      </c>
      <c r="V156" s="25">
        <f>tblPayrollMaster[[#This Row],[Basic Earnings]]-tblPayrollMaster[[#This Row],[Tax]]-tblPayrollMaster[[#This Row],[NIS - Employee]]-tblPayrollMaster[[#This Row],[Health Surcharge]]</f>
        <v>0</v>
      </c>
      <c r="W156" s="25">
        <f>tblPayrollMaster[[#This Row],[Net Pay]]</f>
        <v>0</v>
      </c>
      <c r="X156" s="25"/>
    </row>
    <row r="157" spans="1:24" x14ac:dyDescent="0.25">
      <c r="A157" s="24"/>
      <c r="B157" s="24" t="str">
        <f>_xlfn.XLOOKUP(tblPayrollMaster[[#This Row],[Employee ID]],tblEmployee[Employee ID],tblEmployee[Employee Name],"")</f>
        <v/>
      </c>
      <c r="C157" s="24" t="str">
        <f>_xlfn.XLOOKUP(tblPayrollMaster[[#This Row],[Employee ID]],tblEmployee[Employee ID],tblEmployee[Employee Position],"")</f>
        <v/>
      </c>
      <c r="D157" s="24" t="str">
        <f>_xlfn.XLOOKUP(tblPayrollMaster[[#This Row],[Employee ID]], tblEmployee[Employee ID], tblEmployee[Pay Status], "Pay")</f>
        <v>Pay</v>
      </c>
      <c r="E157" s="24" t="str">
        <f>_xlfn.XLOOKUP(tblPayrollMaster[[#This Row],[Employee ID]], tblEmployee[Employee ID], tblEmployee[Payable Flag], "Y")</f>
        <v>Y</v>
      </c>
      <c r="F157" s="45">
        <f>IF(tblPayrollMaster[[#This Row],[Payable Flag]]="N",0,_xlfn.XLOOKUP(tblPayrollMaster[[#This Row],[Employee ID]],tblEmployee[Employee ID],tblEmployee[Pay Factor],1))</f>
        <v>1</v>
      </c>
      <c r="G157" s="26" t="str" cm="1">
        <f t="array" ref="G157">IF(tblPayrollMaster[[#This Row],[Employee ID]]="","",_xlfn.XLOOKUP(selPayPeriodID,tblPayCalendar[PayPeriodID],tblPayCalendar[PeriodStart],""))</f>
        <v/>
      </c>
      <c r="H157" s="26" t="str" cm="1">
        <f t="array" ref="H157">IF(tblPayrollMaster[[#This Row],[Employee ID]]="","",_xlfn.XLOOKUP(selPayPeriodID,tblPayCalendar[PayPeriodID],tblPayCalendar[PeriodEnd],""))</f>
        <v/>
      </c>
      <c r="I157" s="24" t="e" cm="1" vm="1">
        <f t="array" aca="1" ref="I157" ca="1">Table18[Employer Name]</f>
        <v>#VALUE!</v>
      </c>
      <c r="J157" s="3" cm="1">
        <f t="array" ref="J15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57" s="25" t="str">
        <f>_xlfn.XLOOKUP(tblPayrollMaster[[#This Row],[Employee Position]],tblPositionandPayRate[Employee Position],tblPositionandPayRate[Overtime], " ")</f>
        <v xml:space="preserve"> </v>
      </c>
      <c r="L157" s="25">
        <f>_xlfn.XLOOKUP(tblPayrollMaster[[#This Row],[Employee Position]],tblPositionandPayRate[Employee Position],tblPositionandPayRate[Allowance 1],0)*tblPayrollMaster[[#This Row],[Pay Factor]]</f>
        <v>0</v>
      </c>
      <c r="M157" s="25">
        <f>_xlfn.XLOOKUP(tblPayrollMaster[[#This Row],[Employee Position]],tblPositionandPayRate[Employee Position],tblPositionandPayRate[Allowance 2],0)*tblPayrollMaster[[#This Row],[Pay Factor]]</f>
        <v>0</v>
      </c>
      <c r="N157" s="25">
        <f>_xlfn.XLOOKUP(tblPayrollMaster[[#This Row],[Employee Position]],tblPositionandPayRate[Employee Position],tblPositionandPayRate[Allowance 3],0)*tblPayrollMaster[[#This Row],[Pay Factor]]</f>
        <v>0</v>
      </c>
      <c r="O157" s="25">
        <f>_xlfn.XLOOKUP(tblPayrollMaster[[#This Row],[Employee Position]],tblPositionandPayRate[Employee Position],tblPositionandPayRate[Allowance 4],0)*tblPayrollMaster[[#This Row],[Pay Factor]]</f>
        <v>0</v>
      </c>
      <c r="P157" s="25">
        <f>_xlfn.XLOOKUP(tblPayrollMaster[[#This Row],[Employee Position]],tblPositionandPayRate[Employee Position],tblPositionandPayRate[Allowance 5],0)*tblPayrollMaster[[#This Row],[Pay Factor]]</f>
        <v>0</v>
      </c>
      <c r="Q157" s="25">
        <f>SUM(tblPayrollMaster[[#This Row],[Basic Pay]:[Allowance 5]])</f>
        <v>0</v>
      </c>
      <c r="R15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57" s="51" cm="1">
        <f t="array" ref="S1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57" s="3" cm="1">
        <f t="array" ref="T1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57" s="25">
        <f>_xlfn.LET(
_xlpm.tos, _xlfn.XLOOKUP(tblPayrollMaster[[#This Row],[Employee ID]], tblEmployee[Employee ID], tblEmployee[Type of Service], ""),
IF(_xlpm.tos="Contract of Service", 8.25, 0)
)</f>
        <v>0</v>
      </c>
      <c r="V157" s="25">
        <f>tblPayrollMaster[[#This Row],[Basic Earnings]]-tblPayrollMaster[[#This Row],[Tax]]-tblPayrollMaster[[#This Row],[NIS - Employee]]-tblPayrollMaster[[#This Row],[Health Surcharge]]</f>
        <v>0</v>
      </c>
      <c r="W157" s="25">
        <f>tblPayrollMaster[[#This Row],[Net Pay]]</f>
        <v>0</v>
      </c>
      <c r="X157" s="25"/>
    </row>
    <row r="158" spans="1:24" x14ac:dyDescent="0.25">
      <c r="A158" s="24"/>
      <c r="B158" s="24" t="str">
        <f>_xlfn.XLOOKUP(tblPayrollMaster[[#This Row],[Employee ID]],tblEmployee[Employee ID],tblEmployee[Employee Name],"")</f>
        <v/>
      </c>
      <c r="C158" s="24" t="str">
        <f>_xlfn.XLOOKUP(tblPayrollMaster[[#This Row],[Employee ID]],tblEmployee[Employee ID],tblEmployee[Employee Position],"")</f>
        <v/>
      </c>
      <c r="D158" s="24" t="str">
        <f>_xlfn.XLOOKUP(tblPayrollMaster[[#This Row],[Employee ID]], tblEmployee[Employee ID], tblEmployee[Pay Status], "Pay")</f>
        <v>Pay</v>
      </c>
      <c r="E158" s="24" t="str">
        <f>_xlfn.XLOOKUP(tblPayrollMaster[[#This Row],[Employee ID]], tblEmployee[Employee ID], tblEmployee[Payable Flag], "Y")</f>
        <v>Y</v>
      </c>
      <c r="F158" s="45">
        <f>IF(tblPayrollMaster[[#This Row],[Payable Flag]]="N",0,_xlfn.XLOOKUP(tblPayrollMaster[[#This Row],[Employee ID]],tblEmployee[Employee ID],tblEmployee[Pay Factor],1))</f>
        <v>1</v>
      </c>
      <c r="G158" s="26" t="str" cm="1">
        <f t="array" ref="G158">IF(tblPayrollMaster[[#This Row],[Employee ID]]="","",_xlfn.XLOOKUP(selPayPeriodID,tblPayCalendar[PayPeriodID],tblPayCalendar[PeriodStart],""))</f>
        <v/>
      </c>
      <c r="H158" s="26" t="str" cm="1">
        <f t="array" ref="H158">IF(tblPayrollMaster[[#This Row],[Employee ID]]="","",_xlfn.XLOOKUP(selPayPeriodID,tblPayCalendar[PayPeriodID],tblPayCalendar[PeriodEnd],""))</f>
        <v/>
      </c>
      <c r="I158" s="24" t="e" cm="1" vm="1">
        <f t="array" aca="1" ref="I158" ca="1">Table18[Employer Name]</f>
        <v>#VALUE!</v>
      </c>
      <c r="J158" s="3" cm="1">
        <f t="array" ref="J15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58" s="25" t="str">
        <f>_xlfn.XLOOKUP(tblPayrollMaster[[#This Row],[Employee Position]],tblPositionandPayRate[Employee Position],tblPositionandPayRate[Overtime], " ")</f>
        <v xml:space="preserve"> </v>
      </c>
      <c r="L158" s="25">
        <f>_xlfn.XLOOKUP(tblPayrollMaster[[#This Row],[Employee Position]],tblPositionandPayRate[Employee Position],tblPositionandPayRate[Allowance 1],0)*tblPayrollMaster[[#This Row],[Pay Factor]]</f>
        <v>0</v>
      </c>
      <c r="M158" s="25">
        <f>_xlfn.XLOOKUP(tblPayrollMaster[[#This Row],[Employee Position]],tblPositionandPayRate[Employee Position],tblPositionandPayRate[Allowance 2],0)*tblPayrollMaster[[#This Row],[Pay Factor]]</f>
        <v>0</v>
      </c>
      <c r="N158" s="25">
        <f>_xlfn.XLOOKUP(tblPayrollMaster[[#This Row],[Employee Position]],tblPositionandPayRate[Employee Position],tblPositionandPayRate[Allowance 3],0)*tblPayrollMaster[[#This Row],[Pay Factor]]</f>
        <v>0</v>
      </c>
      <c r="O158" s="25">
        <f>_xlfn.XLOOKUP(tblPayrollMaster[[#This Row],[Employee Position]],tblPositionandPayRate[Employee Position],tblPositionandPayRate[Allowance 4],0)*tblPayrollMaster[[#This Row],[Pay Factor]]</f>
        <v>0</v>
      </c>
      <c r="P158" s="25">
        <f>_xlfn.XLOOKUP(tblPayrollMaster[[#This Row],[Employee Position]],tblPositionandPayRate[Employee Position],tblPositionandPayRate[Allowance 5],0)*tblPayrollMaster[[#This Row],[Pay Factor]]</f>
        <v>0</v>
      </c>
      <c r="Q158" s="25">
        <f>SUM(tblPayrollMaster[[#This Row],[Basic Pay]:[Allowance 5]])</f>
        <v>0</v>
      </c>
      <c r="R15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58" s="51" cm="1">
        <f t="array" ref="S1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58" s="3" cm="1">
        <f t="array" ref="T1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58" s="25">
        <f>_xlfn.LET(
_xlpm.tos, _xlfn.XLOOKUP(tblPayrollMaster[[#This Row],[Employee ID]], tblEmployee[Employee ID], tblEmployee[Type of Service], ""),
IF(_xlpm.tos="Contract of Service", 8.25, 0)
)</f>
        <v>0</v>
      </c>
      <c r="V158" s="25">
        <f>tblPayrollMaster[[#This Row],[Basic Earnings]]-tblPayrollMaster[[#This Row],[Tax]]-tblPayrollMaster[[#This Row],[NIS - Employee]]-tblPayrollMaster[[#This Row],[Health Surcharge]]</f>
        <v>0</v>
      </c>
      <c r="W158" s="25">
        <f>tblPayrollMaster[[#This Row],[Net Pay]]</f>
        <v>0</v>
      </c>
      <c r="X158" s="25"/>
    </row>
    <row r="159" spans="1:24" x14ac:dyDescent="0.25">
      <c r="A159" s="24"/>
      <c r="B159" s="24" t="str">
        <f>_xlfn.XLOOKUP(tblPayrollMaster[[#This Row],[Employee ID]],tblEmployee[Employee ID],tblEmployee[Employee Name],"")</f>
        <v/>
      </c>
      <c r="C159" s="24" t="str">
        <f>_xlfn.XLOOKUP(tblPayrollMaster[[#This Row],[Employee ID]],tblEmployee[Employee ID],tblEmployee[Employee Position],"")</f>
        <v/>
      </c>
      <c r="D159" s="24" t="str">
        <f>_xlfn.XLOOKUP(tblPayrollMaster[[#This Row],[Employee ID]], tblEmployee[Employee ID], tblEmployee[Pay Status], "Pay")</f>
        <v>Pay</v>
      </c>
      <c r="E159" s="24" t="str">
        <f>_xlfn.XLOOKUP(tblPayrollMaster[[#This Row],[Employee ID]], tblEmployee[Employee ID], tblEmployee[Payable Flag], "Y")</f>
        <v>Y</v>
      </c>
      <c r="F159" s="45">
        <f>IF(tblPayrollMaster[[#This Row],[Payable Flag]]="N",0,_xlfn.XLOOKUP(tblPayrollMaster[[#This Row],[Employee ID]],tblEmployee[Employee ID],tblEmployee[Pay Factor],1))</f>
        <v>1</v>
      </c>
      <c r="G159" s="26" t="str" cm="1">
        <f t="array" ref="G159">IF(tblPayrollMaster[[#This Row],[Employee ID]]="","",_xlfn.XLOOKUP(selPayPeriodID,tblPayCalendar[PayPeriodID],tblPayCalendar[PeriodStart],""))</f>
        <v/>
      </c>
      <c r="H159" s="26" t="str" cm="1">
        <f t="array" ref="H159">IF(tblPayrollMaster[[#This Row],[Employee ID]]="","",_xlfn.XLOOKUP(selPayPeriodID,tblPayCalendar[PayPeriodID],tblPayCalendar[PeriodEnd],""))</f>
        <v/>
      </c>
      <c r="I159" s="24" t="e" cm="1" vm="1">
        <f t="array" aca="1" ref="I159" ca="1">Table18[Employer Name]</f>
        <v>#VALUE!</v>
      </c>
      <c r="J159" s="3" cm="1">
        <f t="array" ref="J15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59" s="25" t="str">
        <f>_xlfn.XLOOKUP(tblPayrollMaster[[#This Row],[Employee Position]],tblPositionandPayRate[Employee Position],tblPositionandPayRate[Overtime], " ")</f>
        <v xml:space="preserve"> </v>
      </c>
      <c r="L159" s="25">
        <f>_xlfn.XLOOKUP(tblPayrollMaster[[#This Row],[Employee Position]],tblPositionandPayRate[Employee Position],tblPositionandPayRate[Allowance 1],0)*tblPayrollMaster[[#This Row],[Pay Factor]]</f>
        <v>0</v>
      </c>
      <c r="M159" s="25">
        <f>_xlfn.XLOOKUP(tblPayrollMaster[[#This Row],[Employee Position]],tblPositionandPayRate[Employee Position],tblPositionandPayRate[Allowance 2],0)*tblPayrollMaster[[#This Row],[Pay Factor]]</f>
        <v>0</v>
      </c>
      <c r="N159" s="25">
        <f>_xlfn.XLOOKUP(tblPayrollMaster[[#This Row],[Employee Position]],tblPositionandPayRate[Employee Position],tblPositionandPayRate[Allowance 3],0)*tblPayrollMaster[[#This Row],[Pay Factor]]</f>
        <v>0</v>
      </c>
      <c r="O159" s="25">
        <f>_xlfn.XLOOKUP(tblPayrollMaster[[#This Row],[Employee Position]],tblPositionandPayRate[Employee Position],tblPositionandPayRate[Allowance 4],0)*tblPayrollMaster[[#This Row],[Pay Factor]]</f>
        <v>0</v>
      </c>
      <c r="P159" s="25">
        <f>_xlfn.XLOOKUP(tblPayrollMaster[[#This Row],[Employee Position]],tblPositionandPayRate[Employee Position],tblPositionandPayRate[Allowance 5],0)*tblPayrollMaster[[#This Row],[Pay Factor]]</f>
        <v>0</v>
      </c>
      <c r="Q159" s="25">
        <f>SUM(tblPayrollMaster[[#This Row],[Basic Pay]:[Allowance 5]])</f>
        <v>0</v>
      </c>
      <c r="R15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59" s="51" cm="1">
        <f t="array" ref="S1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59" s="3" cm="1">
        <f t="array" ref="T1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59" s="25">
        <f>_xlfn.LET(
_xlpm.tos, _xlfn.XLOOKUP(tblPayrollMaster[[#This Row],[Employee ID]], tblEmployee[Employee ID], tblEmployee[Type of Service], ""),
IF(_xlpm.tos="Contract of Service", 8.25, 0)
)</f>
        <v>0</v>
      </c>
      <c r="V159" s="25">
        <f>tblPayrollMaster[[#This Row],[Basic Earnings]]-tblPayrollMaster[[#This Row],[Tax]]-tblPayrollMaster[[#This Row],[NIS - Employee]]-tblPayrollMaster[[#This Row],[Health Surcharge]]</f>
        <v>0</v>
      </c>
      <c r="W159" s="25">
        <f>tblPayrollMaster[[#This Row],[Net Pay]]</f>
        <v>0</v>
      </c>
      <c r="X159" s="25"/>
    </row>
    <row r="160" spans="1:24" x14ac:dyDescent="0.25">
      <c r="A160" s="24"/>
      <c r="B160" s="24" t="str">
        <f>_xlfn.XLOOKUP(tblPayrollMaster[[#This Row],[Employee ID]],tblEmployee[Employee ID],tblEmployee[Employee Name],"")</f>
        <v/>
      </c>
      <c r="C160" s="24" t="str">
        <f>_xlfn.XLOOKUP(tblPayrollMaster[[#This Row],[Employee ID]],tblEmployee[Employee ID],tblEmployee[Employee Position],"")</f>
        <v/>
      </c>
      <c r="D160" s="24" t="str">
        <f>_xlfn.XLOOKUP(tblPayrollMaster[[#This Row],[Employee ID]], tblEmployee[Employee ID], tblEmployee[Pay Status], "Pay")</f>
        <v>Pay</v>
      </c>
      <c r="E160" s="24" t="str">
        <f>_xlfn.XLOOKUP(tblPayrollMaster[[#This Row],[Employee ID]], tblEmployee[Employee ID], tblEmployee[Payable Flag], "Y")</f>
        <v>Y</v>
      </c>
      <c r="F160" s="45">
        <f>IF(tblPayrollMaster[[#This Row],[Payable Flag]]="N",0,_xlfn.XLOOKUP(tblPayrollMaster[[#This Row],[Employee ID]],tblEmployee[Employee ID],tblEmployee[Pay Factor],1))</f>
        <v>1</v>
      </c>
      <c r="G160" s="26" t="str" cm="1">
        <f t="array" ref="G160">IF(tblPayrollMaster[[#This Row],[Employee ID]]="","",_xlfn.XLOOKUP(selPayPeriodID,tblPayCalendar[PayPeriodID],tblPayCalendar[PeriodStart],""))</f>
        <v/>
      </c>
      <c r="H160" s="26" t="str" cm="1">
        <f t="array" ref="H160">IF(tblPayrollMaster[[#This Row],[Employee ID]]="","",_xlfn.XLOOKUP(selPayPeriodID,tblPayCalendar[PayPeriodID],tblPayCalendar[PeriodEnd],""))</f>
        <v/>
      </c>
      <c r="I160" s="24" t="e" cm="1" vm="1">
        <f t="array" aca="1" ref="I160" ca="1">Table18[Employer Name]</f>
        <v>#VALUE!</v>
      </c>
      <c r="J160" s="3" cm="1">
        <f t="array" ref="J16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60" s="25" t="str">
        <f>_xlfn.XLOOKUP(tblPayrollMaster[[#This Row],[Employee Position]],tblPositionandPayRate[Employee Position],tblPositionandPayRate[Overtime], " ")</f>
        <v xml:space="preserve"> </v>
      </c>
      <c r="L160" s="25">
        <f>_xlfn.XLOOKUP(tblPayrollMaster[[#This Row],[Employee Position]],tblPositionandPayRate[Employee Position],tblPositionandPayRate[Allowance 1],0)*tblPayrollMaster[[#This Row],[Pay Factor]]</f>
        <v>0</v>
      </c>
      <c r="M160" s="25">
        <f>_xlfn.XLOOKUP(tblPayrollMaster[[#This Row],[Employee Position]],tblPositionandPayRate[Employee Position],tblPositionandPayRate[Allowance 2],0)*tblPayrollMaster[[#This Row],[Pay Factor]]</f>
        <v>0</v>
      </c>
      <c r="N160" s="25">
        <f>_xlfn.XLOOKUP(tblPayrollMaster[[#This Row],[Employee Position]],tblPositionandPayRate[Employee Position],tblPositionandPayRate[Allowance 3],0)*tblPayrollMaster[[#This Row],[Pay Factor]]</f>
        <v>0</v>
      </c>
      <c r="O160" s="25">
        <f>_xlfn.XLOOKUP(tblPayrollMaster[[#This Row],[Employee Position]],tblPositionandPayRate[Employee Position],tblPositionandPayRate[Allowance 4],0)*tblPayrollMaster[[#This Row],[Pay Factor]]</f>
        <v>0</v>
      </c>
      <c r="P160" s="25">
        <f>_xlfn.XLOOKUP(tblPayrollMaster[[#This Row],[Employee Position]],tblPositionandPayRate[Employee Position],tblPositionandPayRate[Allowance 5],0)*tblPayrollMaster[[#This Row],[Pay Factor]]</f>
        <v>0</v>
      </c>
      <c r="Q160" s="25">
        <f>SUM(tblPayrollMaster[[#This Row],[Basic Pay]:[Allowance 5]])</f>
        <v>0</v>
      </c>
      <c r="R16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60" s="51" cm="1">
        <f t="array" ref="S1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60" s="3" cm="1">
        <f t="array" ref="T1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60" s="25">
        <f>_xlfn.LET(
_xlpm.tos, _xlfn.XLOOKUP(tblPayrollMaster[[#This Row],[Employee ID]], tblEmployee[Employee ID], tblEmployee[Type of Service], ""),
IF(_xlpm.tos="Contract of Service", 8.25, 0)
)</f>
        <v>0</v>
      </c>
      <c r="V160" s="25">
        <f>tblPayrollMaster[[#This Row],[Basic Earnings]]-tblPayrollMaster[[#This Row],[Tax]]-tblPayrollMaster[[#This Row],[NIS - Employee]]-tblPayrollMaster[[#This Row],[Health Surcharge]]</f>
        <v>0</v>
      </c>
      <c r="W160" s="25">
        <f>tblPayrollMaster[[#This Row],[Net Pay]]</f>
        <v>0</v>
      </c>
      <c r="X160" s="25"/>
    </row>
    <row r="161" spans="1:24" x14ac:dyDescent="0.25">
      <c r="A161" s="24"/>
      <c r="B161" s="24" t="str">
        <f>_xlfn.XLOOKUP(tblPayrollMaster[[#This Row],[Employee ID]],tblEmployee[Employee ID],tblEmployee[Employee Name],"")</f>
        <v/>
      </c>
      <c r="C161" s="24" t="str">
        <f>_xlfn.XLOOKUP(tblPayrollMaster[[#This Row],[Employee ID]],tblEmployee[Employee ID],tblEmployee[Employee Position],"")</f>
        <v/>
      </c>
      <c r="D161" s="24" t="str">
        <f>_xlfn.XLOOKUP(tblPayrollMaster[[#This Row],[Employee ID]], tblEmployee[Employee ID], tblEmployee[Pay Status], "Pay")</f>
        <v>Pay</v>
      </c>
      <c r="E161" s="24" t="str">
        <f>_xlfn.XLOOKUP(tblPayrollMaster[[#This Row],[Employee ID]], tblEmployee[Employee ID], tblEmployee[Payable Flag], "Y")</f>
        <v>Y</v>
      </c>
      <c r="F161" s="45">
        <f>IF(tblPayrollMaster[[#This Row],[Payable Flag]]="N",0,_xlfn.XLOOKUP(tblPayrollMaster[[#This Row],[Employee ID]],tblEmployee[Employee ID],tblEmployee[Pay Factor],1))</f>
        <v>1</v>
      </c>
      <c r="G161" s="26" t="str" cm="1">
        <f t="array" ref="G161">IF(tblPayrollMaster[[#This Row],[Employee ID]]="","",_xlfn.XLOOKUP(selPayPeriodID,tblPayCalendar[PayPeriodID],tblPayCalendar[PeriodStart],""))</f>
        <v/>
      </c>
      <c r="H161" s="26" t="str" cm="1">
        <f t="array" ref="H161">IF(tblPayrollMaster[[#This Row],[Employee ID]]="","",_xlfn.XLOOKUP(selPayPeriodID,tblPayCalendar[PayPeriodID],tblPayCalendar[PeriodEnd],""))</f>
        <v/>
      </c>
      <c r="I161" s="24" t="e" cm="1" vm="1">
        <f t="array" aca="1" ref="I161" ca="1">Table18[Employer Name]</f>
        <v>#VALUE!</v>
      </c>
      <c r="J161" s="3" cm="1">
        <f t="array" ref="J16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61" s="25" t="str">
        <f>_xlfn.XLOOKUP(tblPayrollMaster[[#This Row],[Employee Position]],tblPositionandPayRate[Employee Position],tblPositionandPayRate[Overtime], " ")</f>
        <v xml:space="preserve"> </v>
      </c>
      <c r="L161" s="25">
        <f>_xlfn.XLOOKUP(tblPayrollMaster[[#This Row],[Employee Position]],tblPositionandPayRate[Employee Position],tblPositionandPayRate[Allowance 1],0)*tblPayrollMaster[[#This Row],[Pay Factor]]</f>
        <v>0</v>
      </c>
      <c r="M161" s="25">
        <f>_xlfn.XLOOKUP(tblPayrollMaster[[#This Row],[Employee Position]],tblPositionandPayRate[Employee Position],tblPositionandPayRate[Allowance 2],0)*tblPayrollMaster[[#This Row],[Pay Factor]]</f>
        <v>0</v>
      </c>
      <c r="N161" s="25">
        <f>_xlfn.XLOOKUP(tblPayrollMaster[[#This Row],[Employee Position]],tblPositionandPayRate[Employee Position],tblPositionandPayRate[Allowance 3],0)*tblPayrollMaster[[#This Row],[Pay Factor]]</f>
        <v>0</v>
      </c>
      <c r="O161" s="25">
        <f>_xlfn.XLOOKUP(tblPayrollMaster[[#This Row],[Employee Position]],tblPositionandPayRate[Employee Position],tblPositionandPayRate[Allowance 4],0)*tblPayrollMaster[[#This Row],[Pay Factor]]</f>
        <v>0</v>
      </c>
      <c r="P161" s="25">
        <f>_xlfn.XLOOKUP(tblPayrollMaster[[#This Row],[Employee Position]],tblPositionandPayRate[Employee Position],tblPositionandPayRate[Allowance 5],0)*tblPayrollMaster[[#This Row],[Pay Factor]]</f>
        <v>0</v>
      </c>
      <c r="Q161" s="25">
        <f>SUM(tblPayrollMaster[[#This Row],[Basic Pay]:[Allowance 5]])</f>
        <v>0</v>
      </c>
      <c r="R16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61" s="51" cm="1">
        <f t="array" ref="S1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61" s="3" cm="1">
        <f t="array" ref="T1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61" s="25">
        <f>_xlfn.LET(
_xlpm.tos, _xlfn.XLOOKUP(tblPayrollMaster[[#This Row],[Employee ID]], tblEmployee[Employee ID], tblEmployee[Type of Service], ""),
IF(_xlpm.tos="Contract of Service", 8.25, 0)
)</f>
        <v>0</v>
      </c>
      <c r="V161" s="25">
        <f>tblPayrollMaster[[#This Row],[Basic Earnings]]-tblPayrollMaster[[#This Row],[Tax]]-tblPayrollMaster[[#This Row],[NIS - Employee]]-tblPayrollMaster[[#This Row],[Health Surcharge]]</f>
        <v>0</v>
      </c>
      <c r="W161" s="25">
        <f>tblPayrollMaster[[#This Row],[Net Pay]]</f>
        <v>0</v>
      </c>
      <c r="X161" s="25"/>
    </row>
    <row r="162" spans="1:24" x14ac:dyDescent="0.25">
      <c r="A162" s="24"/>
      <c r="B162" s="24" t="str">
        <f>_xlfn.XLOOKUP(tblPayrollMaster[[#This Row],[Employee ID]],tblEmployee[Employee ID],tblEmployee[Employee Name],"")</f>
        <v/>
      </c>
      <c r="C162" s="24" t="str">
        <f>_xlfn.XLOOKUP(tblPayrollMaster[[#This Row],[Employee ID]],tblEmployee[Employee ID],tblEmployee[Employee Position],"")</f>
        <v/>
      </c>
      <c r="D162" s="24" t="str">
        <f>_xlfn.XLOOKUP(tblPayrollMaster[[#This Row],[Employee ID]], tblEmployee[Employee ID], tblEmployee[Pay Status], "Pay")</f>
        <v>Pay</v>
      </c>
      <c r="E162" s="24" t="str">
        <f>_xlfn.XLOOKUP(tblPayrollMaster[[#This Row],[Employee ID]], tblEmployee[Employee ID], tblEmployee[Payable Flag], "Y")</f>
        <v>Y</v>
      </c>
      <c r="F162" s="45">
        <f>IF(tblPayrollMaster[[#This Row],[Payable Flag]]="N",0,_xlfn.XLOOKUP(tblPayrollMaster[[#This Row],[Employee ID]],tblEmployee[Employee ID],tblEmployee[Pay Factor],1))</f>
        <v>1</v>
      </c>
      <c r="G162" s="26" t="str" cm="1">
        <f t="array" ref="G162">IF(tblPayrollMaster[[#This Row],[Employee ID]]="","",_xlfn.XLOOKUP(selPayPeriodID,tblPayCalendar[PayPeriodID],tblPayCalendar[PeriodStart],""))</f>
        <v/>
      </c>
      <c r="H162" s="26" t="str" cm="1">
        <f t="array" ref="H162">IF(tblPayrollMaster[[#This Row],[Employee ID]]="","",_xlfn.XLOOKUP(selPayPeriodID,tblPayCalendar[PayPeriodID],tblPayCalendar[PeriodEnd],""))</f>
        <v/>
      </c>
      <c r="I162" s="24" t="e" cm="1" vm="1">
        <f t="array" aca="1" ref="I162" ca="1">Table18[Employer Name]</f>
        <v>#VALUE!</v>
      </c>
      <c r="J162" s="3" cm="1">
        <f t="array" ref="J16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62" s="25" t="str">
        <f>_xlfn.XLOOKUP(tblPayrollMaster[[#This Row],[Employee Position]],tblPositionandPayRate[Employee Position],tblPositionandPayRate[Overtime], " ")</f>
        <v xml:space="preserve"> </v>
      </c>
      <c r="L162" s="25">
        <f>_xlfn.XLOOKUP(tblPayrollMaster[[#This Row],[Employee Position]],tblPositionandPayRate[Employee Position],tblPositionandPayRate[Allowance 1],0)*tblPayrollMaster[[#This Row],[Pay Factor]]</f>
        <v>0</v>
      </c>
      <c r="M162" s="25">
        <f>_xlfn.XLOOKUP(tblPayrollMaster[[#This Row],[Employee Position]],tblPositionandPayRate[Employee Position],tblPositionandPayRate[Allowance 2],0)*tblPayrollMaster[[#This Row],[Pay Factor]]</f>
        <v>0</v>
      </c>
      <c r="N162" s="25">
        <f>_xlfn.XLOOKUP(tblPayrollMaster[[#This Row],[Employee Position]],tblPositionandPayRate[Employee Position],tblPositionandPayRate[Allowance 3],0)*tblPayrollMaster[[#This Row],[Pay Factor]]</f>
        <v>0</v>
      </c>
      <c r="O162" s="25">
        <f>_xlfn.XLOOKUP(tblPayrollMaster[[#This Row],[Employee Position]],tblPositionandPayRate[Employee Position],tblPositionandPayRate[Allowance 4],0)*tblPayrollMaster[[#This Row],[Pay Factor]]</f>
        <v>0</v>
      </c>
      <c r="P162" s="25">
        <f>_xlfn.XLOOKUP(tblPayrollMaster[[#This Row],[Employee Position]],tblPositionandPayRate[Employee Position],tblPositionandPayRate[Allowance 5],0)*tblPayrollMaster[[#This Row],[Pay Factor]]</f>
        <v>0</v>
      </c>
      <c r="Q162" s="25">
        <f>SUM(tblPayrollMaster[[#This Row],[Basic Pay]:[Allowance 5]])</f>
        <v>0</v>
      </c>
      <c r="R16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62" s="51" cm="1">
        <f t="array" ref="S1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62" s="3" cm="1">
        <f t="array" ref="T1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62" s="25">
        <f>_xlfn.LET(
_xlpm.tos, _xlfn.XLOOKUP(tblPayrollMaster[[#This Row],[Employee ID]], tblEmployee[Employee ID], tblEmployee[Type of Service], ""),
IF(_xlpm.tos="Contract of Service", 8.25, 0)
)</f>
        <v>0</v>
      </c>
      <c r="V162" s="25">
        <f>tblPayrollMaster[[#This Row],[Basic Earnings]]-tblPayrollMaster[[#This Row],[Tax]]-tblPayrollMaster[[#This Row],[NIS - Employee]]-tblPayrollMaster[[#This Row],[Health Surcharge]]</f>
        <v>0</v>
      </c>
      <c r="W162" s="25">
        <f>tblPayrollMaster[[#This Row],[Net Pay]]</f>
        <v>0</v>
      </c>
      <c r="X162" s="25"/>
    </row>
    <row r="163" spans="1:24" x14ac:dyDescent="0.25">
      <c r="A163" s="24"/>
      <c r="B163" s="24" t="str">
        <f>_xlfn.XLOOKUP(tblPayrollMaster[[#This Row],[Employee ID]],tblEmployee[Employee ID],tblEmployee[Employee Name],"")</f>
        <v/>
      </c>
      <c r="C163" s="24" t="str">
        <f>_xlfn.XLOOKUP(tblPayrollMaster[[#This Row],[Employee ID]],tblEmployee[Employee ID],tblEmployee[Employee Position],"")</f>
        <v/>
      </c>
      <c r="D163" s="24" t="str">
        <f>_xlfn.XLOOKUP(tblPayrollMaster[[#This Row],[Employee ID]], tblEmployee[Employee ID], tblEmployee[Pay Status], "Pay")</f>
        <v>Pay</v>
      </c>
      <c r="E163" s="24" t="str">
        <f>_xlfn.XLOOKUP(tblPayrollMaster[[#This Row],[Employee ID]], tblEmployee[Employee ID], tblEmployee[Payable Flag], "Y")</f>
        <v>Y</v>
      </c>
      <c r="F163" s="45">
        <f>IF(tblPayrollMaster[[#This Row],[Payable Flag]]="N",0,_xlfn.XLOOKUP(tblPayrollMaster[[#This Row],[Employee ID]],tblEmployee[Employee ID],tblEmployee[Pay Factor],1))</f>
        <v>1</v>
      </c>
      <c r="G163" s="26" t="str" cm="1">
        <f t="array" ref="G163">IF(tblPayrollMaster[[#This Row],[Employee ID]]="","",_xlfn.XLOOKUP(selPayPeriodID,tblPayCalendar[PayPeriodID],tblPayCalendar[PeriodStart],""))</f>
        <v/>
      </c>
      <c r="H163" s="26" t="str" cm="1">
        <f t="array" ref="H163">IF(tblPayrollMaster[[#This Row],[Employee ID]]="","",_xlfn.XLOOKUP(selPayPeriodID,tblPayCalendar[PayPeriodID],tblPayCalendar[PeriodEnd],""))</f>
        <v/>
      </c>
      <c r="I163" s="24" t="e" cm="1" vm="1">
        <f t="array" aca="1" ref="I163" ca="1">Table18[Employer Name]</f>
        <v>#VALUE!</v>
      </c>
      <c r="J163" s="3" cm="1">
        <f t="array" ref="J16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63" s="25" t="str">
        <f>_xlfn.XLOOKUP(tblPayrollMaster[[#This Row],[Employee Position]],tblPositionandPayRate[Employee Position],tblPositionandPayRate[Overtime], " ")</f>
        <v xml:space="preserve"> </v>
      </c>
      <c r="L163" s="25">
        <f>_xlfn.XLOOKUP(tblPayrollMaster[[#This Row],[Employee Position]],tblPositionandPayRate[Employee Position],tblPositionandPayRate[Allowance 1],0)*tblPayrollMaster[[#This Row],[Pay Factor]]</f>
        <v>0</v>
      </c>
      <c r="M163" s="25">
        <f>_xlfn.XLOOKUP(tblPayrollMaster[[#This Row],[Employee Position]],tblPositionandPayRate[Employee Position],tblPositionandPayRate[Allowance 2],0)*tblPayrollMaster[[#This Row],[Pay Factor]]</f>
        <v>0</v>
      </c>
      <c r="N163" s="25">
        <f>_xlfn.XLOOKUP(tblPayrollMaster[[#This Row],[Employee Position]],tblPositionandPayRate[Employee Position],tblPositionandPayRate[Allowance 3],0)*tblPayrollMaster[[#This Row],[Pay Factor]]</f>
        <v>0</v>
      </c>
      <c r="O163" s="25">
        <f>_xlfn.XLOOKUP(tblPayrollMaster[[#This Row],[Employee Position]],tblPositionandPayRate[Employee Position],tblPositionandPayRate[Allowance 4],0)*tblPayrollMaster[[#This Row],[Pay Factor]]</f>
        <v>0</v>
      </c>
      <c r="P163" s="25">
        <f>_xlfn.XLOOKUP(tblPayrollMaster[[#This Row],[Employee Position]],tblPositionandPayRate[Employee Position],tblPositionandPayRate[Allowance 5],0)*tblPayrollMaster[[#This Row],[Pay Factor]]</f>
        <v>0</v>
      </c>
      <c r="Q163" s="25">
        <f>SUM(tblPayrollMaster[[#This Row],[Basic Pay]:[Allowance 5]])</f>
        <v>0</v>
      </c>
      <c r="R16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63" s="51" cm="1">
        <f t="array" ref="S1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63" s="3" cm="1">
        <f t="array" ref="T1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63" s="25">
        <f>_xlfn.LET(
_xlpm.tos, _xlfn.XLOOKUP(tblPayrollMaster[[#This Row],[Employee ID]], tblEmployee[Employee ID], tblEmployee[Type of Service], ""),
IF(_xlpm.tos="Contract of Service", 8.25, 0)
)</f>
        <v>0</v>
      </c>
      <c r="V163" s="25">
        <f>tblPayrollMaster[[#This Row],[Basic Earnings]]-tblPayrollMaster[[#This Row],[Tax]]-tblPayrollMaster[[#This Row],[NIS - Employee]]-tblPayrollMaster[[#This Row],[Health Surcharge]]</f>
        <v>0</v>
      </c>
      <c r="W163" s="25">
        <f>tblPayrollMaster[[#This Row],[Net Pay]]</f>
        <v>0</v>
      </c>
      <c r="X163" s="25"/>
    </row>
    <row r="164" spans="1:24" x14ac:dyDescent="0.25">
      <c r="A164" s="24"/>
      <c r="B164" s="24" t="str">
        <f>_xlfn.XLOOKUP(tblPayrollMaster[[#This Row],[Employee ID]],tblEmployee[Employee ID],tblEmployee[Employee Name],"")</f>
        <v/>
      </c>
      <c r="C164" s="24" t="str">
        <f>_xlfn.XLOOKUP(tblPayrollMaster[[#This Row],[Employee ID]],tblEmployee[Employee ID],tblEmployee[Employee Position],"")</f>
        <v/>
      </c>
      <c r="D164" s="24" t="str">
        <f>_xlfn.XLOOKUP(tblPayrollMaster[[#This Row],[Employee ID]], tblEmployee[Employee ID], tblEmployee[Pay Status], "Pay")</f>
        <v>Pay</v>
      </c>
      <c r="E164" s="24" t="str">
        <f>_xlfn.XLOOKUP(tblPayrollMaster[[#This Row],[Employee ID]], tblEmployee[Employee ID], tblEmployee[Payable Flag], "Y")</f>
        <v>Y</v>
      </c>
      <c r="F164" s="45">
        <f>IF(tblPayrollMaster[[#This Row],[Payable Flag]]="N",0,_xlfn.XLOOKUP(tblPayrollMaster[[#This Row],[Employee ID]],tblEmployee[Employee ID],tblEmployee[Pay Factor],1))</f>
        <v>1</v>
      </c>
      <c r="G164" s="26" t="str" cm="1">
        <f t="array" ref="G164">IF(tblPayrollMaster[[#This Row],[Employee ID]]="","",_xlfn.XLOOKUP(selPayPeriodID,tblPayCalendar[PayPeriodID],tblPayCalendar[PeriodStart],""))</f>
        <v/>
      </c>
      <c r="H164" s="26" t="str" cm="1">
        <f t="array" ref="H164">IF(tblPayrollMaster[[#This Row],[Employee ID]]="","",_xlfn.XLOOKUP(selPayPeriodID,tblPayCalendar[PayPeriodID],tblPayCalendar[PeriodEnd],""))</f>
        <v/>
      </c>
      <c r="I164" s="24" t="e" cm="1" vm="1">
        <f t="array" aca="1" ref="I164" ca="1">Table18[Employer Name]</f>
        <v>#VALUE!</v>
      </c>
      <c r="J164" s="3" cm="1">
        <f t="array" ref="J16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64" s="25" t="str">
        <f>_xlfn.XLOOKUP(tblPayrollMaster[[#This Row],[Employee Position]],tblPositionandPayRate[Employee Position],tblPositionandPayRate[Overtime], " ")</f>
        <v xml:space="preserve"> </v>
      </c>
      <c r="L164" s="25">
        <f>_xlfn.XLOOKUP(tblPayrollMaster[[#This Row],[Employee Position]],tblPositionandPayRate[Employee Position],tblPositionandPayRate[Allowance 1],0)*tblPayrollMaster[[#This Row],[Pay Factor]]</f>
        <v>0</v>
      </c>
      <c r="M164" s="25">
        <f>_xlfn.XLOOKUP(tblPayrollMaster[[#This Row],[Employee Position]],tblPositionandPayRate[Employee Position],tblPositionandPayRate[Allowance 2],0)*tblPayrollMaster[[#This Row],[Pay Factor]]</f>
        <v>0</v>
      </c>
      <c r="N164" s="25">
        <f>_xlfn.XLOOKUP(tblPayrollMaster[[#This Row],[Employee Position]],tblPositionandPayRate[Employee Position],tblPositionandPayRate[Allowance 3],0)*tblPayrollMaster[[#This Row],[Pay Factor]]</f>
        <v>0</v>
      </c>
      <c r="O164" s="25">
        <f>_xlfn.XLOOKUP(tblPayrollMaster[[#This Row],[Employee Position]],tblPositionandPayRate[Employee Position],tblPositionandPayRate[Allowance 4],0)*tblPayrollMaster[[#This Row],[Pay Factor]]</f>
        <v>0</v>
      </c>
      <c r="P164" s="25">
        <f>_xlfn.XLOOKUP(tblPayrollMaster[[#This Row],[Employee Position]],tblPositionandPayRate[Employee Position],tblPositionandPayRate[Allowance 5],0)*tblPayrollMaster[[#This Row],[Pay Factor]]</f>
        <v>0</v>
      </c>
      <c r="Q164" s="25">
        <f>SUM(tblPayrollMaster[[#This Row],[Basic Pay]:[Allowance 5]])</f>
        <v>0</v>
      </c>
      <c r="R16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64" s="51" cm="1">
        <f t="array" ref="S1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64" s="3" cm="1">
        <f t="array" ref="T1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64" s="25">
        <f>_xlfn.LET(
_xlpm.tos, _xlfn.XLOOKUP(tblPayrollMaster[[#This Row],[Employee ID]], tblEmployee[Employee ID], tblEmployee[Type of Service], ""),
IF(_xlpm.tos="Contract of Service", 8.25, 0)
)</f>
        <v>0</v>
      </c>
      <c r="V164" s="25">
        <f>tblPayrollMaster[[#This Row],[Basic Earnings]]-tblPayrollMaster[[#This Row],[Tax]]-tblPayrollMaster[[#This Row],[NIS - Employee]]-tblPayrollMaster[[#This Row],[Health Surcharge]]</f>
        <v>0</v>
      </c>
      <c r="W164" s="25">
        <f>tblPayrollMaster[[#This Row],[Net Pay]]</f>
        <v>0</v>
      </c>
      <c r="X164" s="25"/>
    </row>
    <row r="165" spans="1:24" x14ac:dyDescent="0.25">
      <c r="A165" s="24"/>
      <c r="B165" s="24" t="str">
        <f>_xlfn.XLOOKUP(tblPayrollMaster[[#This Row],[Employee ID]],tblEmployee[Employee ID],tblEmployee[Employee Name],"")</f>
        <v/>
      </c>
      <c r="C165" s="24" t="str">
        <f>_xlfn.XLOOKUP(tblPayrollMaster[[#This Row],[Employee ID]],tblEmployee[Employee ID],tblEmployee[Employee Position],"")</f>
        <v/>
      </c>
      <c r="D165" s="24" t="str">
        <f>_xlfn.XLOOKUP(tblPayrollMaster[[#This Row],[Employee ID]], tblEmployee[Employee ID], tblEmployee[Pay Status], "Pay")</f>
        <v>Pay</v>
      </c>
      <c r="E165" s="24" t="str">
        <f>_xlfn.XLOOKUP(tblPayrollMaster[[#This Row],[Employee ID]], tblEmployee[Employee ID], tblEmployee[Payable Flag], "Y")</f>
        <v>Y</v>
      </c>
      <c r="F165" s="45">
        <f>IF(tblPayrollMaster[[#This Row],[Payable Flag]]="N",0,_xlfn.XLOOKUP(tblPayrollMaster[[#This Row],[Employee ID]],tblEmployee[Employee ID],tblEmployee[Pay Factor],1))</f>
        <v>1</v>
      </c>
      <c r="G165" s="26" t="str" cm="1">
        <f t="array" ref="G165">IF(tblPayrollMaster[[#This Row],[Employee ID]]="","",_xlfn.XLOOKUP(selPayPeriodID,tblPayCalendar[PayPeriodID],tblPayCalendar[PeriodStart],""))</f>
        <v/>
      </c>
      <c r="H165" s="26" t="str" cm="1">
        <f t="array" ref="H165">IF(tblPayrollMaster[[#This Row],[Employee ID]]="","",_xlfn.XLOOKUP(selPayPeriodID,tblPayCalendar[PayPeriodID],tblPayCalendar[PeriodEnd],""))</f>
        <v/>
      </c>
      <c r="I165" s="24" t="e" cm="1" vm="1">
        <f t="array" aca="1" ref="I165" ca="1">Table18[Employer Name]</f>
        <v>#VALUE!</v>
      </c>
      <c r="J165" s="3" cm="1">
        <f t="array" ref="J16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65" s="25" t="str">
        <f>_xlfn.XLOOKUP(tblPayrollMaster[[#This Row],[Employee Position]],tblPositionandPayRate[Employee Position],tblPositionandPayRate[Overtime], " ")</f>
        <v xml:space="preserve"> </v>
      </c>
      <c r="L165" s="25">
        <f>_xlfn.XLOOKUP(tblPayrollMaster[[#This Row],[Employee Position]],tblPositionandPayRate[Employee Position],tblPositionandPayRate[Allowance 1],0)*tblPayrollMaster[[#This Row],[Pay Factor]]</f>
        <v>0</v>
      </c>
      <c r="M165" s="25">
        <f>_xlfn.XLOOKUP(tblPayrollMaster[[#This Row],[Employee Position]],tblPositionandPayRate[Employee Position],tblPositionandPayRate[Allowance 2],0)*tblPayrollMaster[[#This Row],[Pay Factor]]</f>
        <v>0</v>
      </c>
      <c r="N165" s="25">
        <f>_xlfn.XLOOKUP(tblPayrollMaster[[#This Row],[Employee Position]],tblPositionandPayRate[Employee Position],tblPositionandPayRate[Allowance 3],0)*tblPayrollMaster[[#This Row],[Pay Factor]]</f>
        <v>0</v>
      </c>
      <c r="O165" s="25">
        <f>_xlfn.XLOOKUP(tblPayrollMaster[[#This Row],[Employee Position]],tblPositionandPayRate[Employee Position],tblPositionandPayRate[Allowance 4],0)*tblPayrollMaster[[#This Row],[Pay Factor]]</f>
        <v>0</v>
      </c>
      <c r="P165" s="25">
        <f>_xlfn.XLOOKUP(tblPayrollMaster[[#This Row],[Employee Position]],tblPositionandPayRate[Employee Position],tblPositionandPayRate[Allowance 5],0)*tblPayrollMaster[[#This Row],[Pay Factor]]</f>
        <v>0</v>
      </c>
      <c r="Q165" s="25">
        <f>SUM(tblPayrollMaster[[#This Row],[Basic Pay]:[Allowance 5]])</f>
        <v>0</v>
      </c>
      <c r="R16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65" s="51" cm="1">
        <f t="array" ref="S1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65" s="3" cm="1">
        <f t="array" ref="T1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65" s="25">
        <f>_xlfn.LET(
_xlpm.tos, _xlfn.XLOOKUP(tblPayrollMaster[[#This Row],[Employee ID]], tblEmployee[Employee ID], tblEmployee[Type of Service], ""),
IF(_xlpm.tos="Contract of Service", 8.25, 0)
)</f>
        <v>0</v>
      </c>
      <c r="V165" s="25">
        <f>tblPayrollMaster[[#This Row],[Basic Earnings]]-tblPayrollMaster[[#This Row],[Tax]]-tblPayrollMaster[[#This Row],[NIS - Employee]]-tblPayrollMaster[[#This Row],[Health Surcharge]]</f>
        <v>0</v>
      </c>
      <c r="W165" s="25">
        <f>tblPayrollMaster[[#This Row],[Net Pay]]</f>
        <v>0</v>
      </c>
      <c r="X165" s="25"/>
    </row>
    <row r="166" spans="1:24" x14ac:dyDescent="0.25">
      <c r="A166" s="24"/>
      <c r="B166" s="24" t="str">
        <f>_xlfn.XLOOKUP(tblPayrollMaster[[#This Row],[Employee ID]],tblEmployee[Employee ID],tblEmployee[Employee Name],"")</f>
        <v/>
      </c>
      <c r="C166" s="24" t="str">
        <f>_xlfn.XLOOKUP(tblPayrollMaster[[#This Row],[Employee ID]],tblEmployee[Employee ID],tblEmployee[Employee Position],"")</f>
        <v/>
      </c>
      <c r="D166" s="24" t="str">
        <f>_xlfn.XLOOKUP(tblPayrollMaster[[#This Row],[Employee ID]], tblEmployee[Employee ID], tblEmployee[Pay Status], "Pay")</f>
        <v>Pay</v>
      </c>
      <c r="E166" s="24" t="str">
        <f>_xlfn.XLOOKUP(tblPayrollMaster[[#This Row],[Employee ID]], tblEmployee[Employee ID], tblEmployee[Payable Flag], "Y")</f>
        <v>Y</v>
      </c>
      <c r="F166" s="45">
        <f>IF(tblPayrollMaster[[#This Row],[Payable Flag]]="N",0,_xlfn.XLOOKUP(tblPayrollMaster[[#This Row],[Employee ID]],tblEmployee[Employee ID],tblEmployee[Pay Factor],1))</f>
        <v>1</v>
      </c>
      <c r="G166" s="26" t="str" cm="1">
        <f t="array" ref="G166">IF(tblPayrollMaster[[#This Row],[Employee ID]]="","",_xlfn.XLOOKUP(selPayPeriodID,tblPayCalendar[PayPeriodID],tblPayCalendar[PeriodStart],""))</f>
        <v/>
      </c>
      <c r="H166" s="26" t="str" cm="1">
        <f t="array" ref="H166">IF(tblPayrollMaster[[#This Row],[Employee ID]]="","",_xlfn.XLOOKUP(selPayPeriodID,tblPayCalendar[PayPeriodID],tblPayCalendar[PeriodEnd],""))</f>
        <v/>
      </c>
      <c r="I166" s="24" t="e" cm="1" vm="1">
        <f t="array" aca="1" ref="I166" ca="1">Table18[Employer Name]</f>
        <v>#VALUE!</v>
      </c>
      <c r="J166" s="3" cm="1">
        <f t="array" ref="J16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66" s="25" t="str">
        <f>_xlfn.XLOOKUP(tblPayrollMaster[[#This Row],[Employee Position]],tblPositionandPayRate[Employee Position],tblPositionandPayRate[Overtime], " ")</f>
        <v xml:space="preserve"> </v>
      </c>
      <c r="L166" s="25">
        <f>_xlfn.XLOOKUP(tblPayrollMaster[[#This Row],[Employee Position]],tblPositionandPayRate[Employee Position],tblPositionandPayRate[Allowance 1],0)*tblPayrollMaster[[#This Row],[Pay Factor]]</f>
        <v>0</v>
      </c>
      <c r="M166" s="25">
        <f>_xlfn.XLOOKUP(tblPayrollMaster[[#This Row],[Employee Position]],tblPositionandPayRate[Employee Position],tblPositionandPayRate[Allowance 2],0)*tblPayrollMaster[[#This Row],[Pay Factor]]</f>
        <v>0</v>
      </c>
      <c r="N166" s="25">
        <f>_xlfn.XLOOKUP(tblPayrollMaster[[#This Row],[Employee Position]],tblPositionandPayRate[Employee Position],tblPositionandPayRate[Allowance 3],0)*tblPayrollMaster[[#This Row],[Pay Factor]]</f>
        <v>0</v>
      </c>
      <c r="O166" s="25">
        <f>_xlfn.XLOOKUP(tblPayrollMaster[[#This Row],[Employee Position]],tblPositionandPayRate[Employee Position],tblPositionandPayRate[Allowance 4],0)*tblPayrollMaster[[#This Row],[Pay Factor]]</f>
        <v>0</v>
      </c>
      <c r="P166" s="25">
        <f>_xlfn.XLOOKUP(tblPayrollMaster[[#This Row],[Employee Position]],tblPositionandPayRate[Employee Position],tblPositionandPayRate[Allowance 5],0)*tblPayrollMaster[[#This Row],[Pay Factor]]</f>
        <v>0</v>
      </c>
      <c r="Q166" s="25">
        <f>SUM(tblPayrollMaster[[#This Row],[Basic Pay]:[Allowance 5]])</f>
        <v>0</v>
      </c>
      <c r="R16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66" s="51" cm="1">
        <f t="array" ref="S1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66" s="3" cm="1">
        <f t="array" ref="T1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66" s="25">
        <f>_xlfn.LET(
_xlpm.tos, _xlfn.XLOOKUP(tblPayrollMaster[[#This Row],[Employee ID]], tblEmployee[Employee ID], tblEmployee[Type of Service], ""),
IF(_xlpm.tos="Contract of Service", 8.25, 0)
)</f>
        <v>0</v>
      </c>
      <c r="V166" s="25">
        <f>tblPayrollMaster[[#This Row],[Basic Earnings]]-tblPayrollMaster[[#This Row],[Tax]]-tblPayrollMaster[[#This Row],[NIS - Employee]]-tblPayrollMaster[[#This Row],[Health Surcharge]]</f>
        <v>0</v>
      </c>
      <c r="W166" s="25">
        <f>tblPayrollMaster[[#This Row],[Net Pay]]</f>
        <v>0</v>
      </c>
      <c r="X166" s="25"/>
    </row>
    <row r="167" spans="1:24" x14ac:dyDescent="0.25">
      <c r="A167" s="24"/>
      <c r="B167" s="24" t="str">
        <f>_xlfn.XLOOKUP(tblPayrollMaster[[#This Row],[Employee ID]],tblEmployee[Employee ID],tblEmployee[Employee Name],"")</f>
        <v/>
      </c>
      <c r="C167" s="24" t="str">
        <f>_xlfn.XLOOKUP(tblPayrollMaster[[#This Row],[Employee ID]],tblEmployee[Employee ID],tblEmployee[Employee Position],"")</f>
        <v/>
      </c>
      <c r="D167" s="24" t="str">
        <f>_xlfn.XLOOKUP(tblPayrollMaster[[#This Row],[Employee ID]], tblEmployee[Employee ID], tblEmployee[Pay Status], "Pay")</f>
        <v>Pay</v>
      </c>
      <c r="E167" s="24" t="str">
        <f>_xlfn.XLOOKUP(tblPayrollMaster[[#This Row],[Employee ID]], tblEmployee[Employee ID], tblEmployee[Payable Flag], "Y")</f>
        <v>Y</v>
      </c>
      <c r="F167" s="45">
        <f>IF(tblPayrollMaster[[#This Row],[Payable Flag]]="N",0,_xlfn.XLOOKUP(tblPayrollMaster[[#This Row],[Employee ID]],tblEmployee[Employee ID],tblEmployee[Pay Factor],1))</f>
        <v>1</v>
      </c>
      <c r="G167" s="26" t="str" cm="1">
        <f t="array" ref="G167">IF(tblPayrollMaster[[#This Row],[Employee ID]]="","",_xlfn.XLOOKUP(selPayPeriodID,tblPayCalendar[PayPeriodID],tblPayCalendar[PeriodStart],""))</f>
        <v/>
      </c>
      <c r="H167" s="26" t="str" cm="1">
        <f t="array" ref="H167">IF(tblPayrollMaster[[#This Row],[Employee ID]]="","",_xlfn.XLOOKUP(selPayPeriodID,tblPayCalendar[PayPeriodID],tblPayCalendar[PeriodEnd],""))</f>
        <v/>
      </c>
      <c r="I167" s="24" t="e" cm="1" vm="1">
        <f t="array" aca="1" ref="I167" ca="1">Table18[Employer Name]</f>
        <v>#VALUE!</v>
      </c>
      <c r="J167" s="3" cm="1">
        <f t="array" ref="J16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67" s="25" t="str">
        <f>_xlfn.XLOOKUP(tblPayrollMaster[[#This Row],[Employee Position]],tblPositionandPayRate[Employee Position],tblPositionandPayRate[Overtime], " ")</f>
        <v xml:space="preserve"> </v>
      </c>
      <c r="L167" s="25">
        <f>_xlfn.XLOOKUP(tblPayrollMaster[[#This Row],[Employee Position]],tblPositionandPayRate[Employee Position],tblPositionandPayRate[Allowance 1],0)*tblPayrollMaster[[#This Row],[Pay Factor]]</f>
        <v>0</v>
      </c>
      <c r="M167" s="25">
        <f>_xlfn.XLOOKUP(tblPayrollMaster[[#This Row],[Employee Position]],tblPositionandPayRate[Employee Position],tblPositionandPayRate[Allowance 2],0)*tblPayrollMaster[[#This Row],[Pay Factor]]</f>
        <v>0</v>
      </c>
      <c r="N167" s="25">
        <f>_xlfn.XLOOKUP(tblPayrollMaster[[#This Row],[Employee Position]],tblPositionandPayRate[Employee Position],tblPositionandPayRate[Allowance 3],0)*tblPayrollMaster[[#This Row],[Pay Factor]]</f>
        <v>0</v>
      </c>
      <c r="O167" s="25">
        <f>_xlfn.XLOOKUP(tblPayrollMaster[[#This Row],[Employee Position]],tblPositionandPayRate[Employee Position],tblPositionandPayRate[Allowance 4],0)*tblPayrollMaster[[#This Row],[Pay Factor]]</f>
        <v>0</v>
      </c>
      <c r="P167" s="25">
        <f>_xlfn.XLOOKUP(tblPayrollMaster[[#This Row],[Employee Position]],tblPositionandPayRate[Employee Position],tblPositionandPayRate[Allowance 5],0)*tblPayrollMaster[[#This Row],[Pay Factor]]</f>
        <v>0</v>
      </c>
      <c r="Q167" s="25">
        <f>SUM(tblPayrollMaster[[#This Row],[Basic Pay]:[Allowance 5]])</f>
        <v>0</v>
      </c>
      <c r="R16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67" s="51" cm="1">
        <f t="array" ref="S1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67" s="3" cm="1">
        <f t="array" ref="T1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67" s="25">
        <f>_xlfn.LET(
_xlpm.tos, _xlfn.XLOOKUP(tblPayrollMaster[[#This Row],[Employee ID]], tblEmployee[Employee ID], tblEmployee[Type of Service], ""),
IF(_xlpm.tos="Contract of Service", 8.25, 0)
)</f>
        <v>0</v>
      </c>
      <c r="V167" s="25">
        <f>tblPayrollMaster[[#This Row],[Basic Earnings]]-tblPayrollMaster[[#This Row],[Tax]]-tblPayrollMaster[[#This Row],[NIS - Employee]]-tblPayrollMaster[[#This Row],[Health Surcharge]]</f>
        <v>0</v>
      </c>
      <c r="W167" s="25">
        <f>tblPayrollMaster[[#This Row],[Net Pay]]</f>
        <v>0</v>
      </c>
      <c r="X167" s="25"/>
    </row>
    <row r="168" spans="1:24" x14ac:dyDescent="0.25">
      <c r="A168" s="24"/>
      <c r="B168" s="24" t="str">
        <f>_xlfn.XLOOKUP(tblPayrollMaster[[#This Row],[Employee ID]],tblEmployee[Employee ID],tblEmployee[Employee Name],"")</f>
        <v/>
      </c>
      <c r="C168" s="24" t="str">
        <f>_xlfn.XLOOKUP(tblPayrollMaster[[#This Row],[Employee ID]],tblEmployee[Employee ID],tblEmployee[Employee Position],"")</f>
        <v/>
      </c>
      <c r="D168" s="24" t="str">
        <f>_xlfn.XLOOKUP(tblPayrollMaster[[#This Row],[Employee ID]], tblEmployee[Employee ID], tblEmployee[Pay Status], "Pay")</f>
        <v>Pay</v>
      </c>
      <c r="E168" s="24" t="str">
        <f>_xlfn.XLOOKUP(tblPayrollMaster[[#This Row],[Employee ID]], tblEmployee[Employee ID], tblEmployee[Payable Flag], "Y")</f>
        <v>Y</v>
      </c>
      <c r="F168" s="45">
        <f>IF(tblPayrollMaster[[#This Row],[Payable Flag]]="N",0,_xlfn.XLOOKUP(tblPayrollMaster[[#This Row],[Employee ID]],tblEmployee[Employee ID],tblEmployee[Pay Factor],1))</f>
        <v>1</v>
      </c>
      <c r="G168" s="26" t="str" cm="1">
        <f t="array" ref="G168">IF(tblPayrollMaster[[#This Row],[Employee ID]]="","",_xlfn.XLOOKUP(selPayPeriodID,tblPayCalendar[PayPeriodID],tblPayCalendar[PeriodStart],""))</f>
        <v/>
      </c>
      <c r="H168" s="26" t="str" cm="1">
        <f t="array" ref="H168">IF(tblPayrollMaster[[#This Row],[Employee ID]]="","",_xlfn.XLOOKUP(selPayPeriodID,tblPayCalendar[PayPeriodID],tblPayCalendar[PeriodEnd],""))</f>
        <v/>
      </c>
      <c r="I168" s="24" t="e" cm="1" vm="1">
        <f t="array" aca="1" ref="I168" ca="1">Table18[Employer Name]</f>
        <v>#VALUE!</v>
      </c>
      <c r="J168" s="3" cm="1">
        <f t="array" ref="J16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68" s="25" t="str">
        <f>_xlfn.XLOOKUP(tblPayrollMaster[[#This Row],[Employee Position]],tblPositionandPayRate[Employee Position],tblPositionandPayRate[Overtime], " ")</f>
        <v xml:space="preserve"> </v>
      </c>
      <c r="L168" s="25">
        <f>_xlfn.XLOOKUP(tblPayrollMaster[[#This Row],[Employee Position]],tblPositionandPayRate[Employee Position],tblPositionandPayRate[Allowance 1],0)*tblPayrollMaster[[#This Row],[Pay Factor]]</f>
        <v>0</v>
      </c>
      <c r="M168" s="25">
        <f>_xlfn.XLOOKUP(tblPayrollMaster[[#This Row],[Employee Position]],tblPositionandPayRate[Employee Position],tblPositionandPayRate[Allowance 2],0)*tblPayrollMaster[[#This Row],[Pay Factor]]</f>
        <v>0</v>
      </c>
      <c r="N168" s="25">
        <f>_xlfn.XLOOKUP(tblPayrollMaster[[#This Row],[Employee Position]],tblPositionandPayRate[Employee Position],tblPositionandPayRate[Allowance 3],0)*tblPayrollMaster[[#This Row],[Pay Factor]]</f>
        <v>0</v>
      </c>
      <c r="O168" s="25">
        <f>_xlfn.XLOOKUP(tblPayrollMaster[[#This Row],[Employee Position]],tblPositionandPayRate[Employee Position],tblPositionandPayRate[Allowance 4],0)*tblPayrollMaster[[#This Row],[Pay Factor]]</f>
        <v>0</v>
      </c>
      <c r="P168" s="25">
        <f>_xlfn.XLOOKUP(tblPayrollMaster[[#This Row],[Employee Position]],tblPositionandPayRate[Employee Position],tblPositionandPayRate[Allowance 5],0)*tblPayrollMaster[[#This Row],[Pay Factor]]</f>
        <v>0</v>
      </c>
      <c r="Q168" s="25">
        <f>SUM(tblPayrollMaster[[#This Row],[Basic Pay]:[Allowance 5]])</f>
        <v>0</v>
      </c>
      <c r="R16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68" s="51" cm="1">
        <f t="array" ref="S1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68" s="3" cm="1">
        <f t="array" ref="T1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68" s="25">
        <f>_xlfn.LET(
_xlpm.tos, _xlfn.XLOOKUP(tblPayrollMaster[[#This Row],[Employee ID]], tblEmployee[Employee ID], tblEmployee[Type of Service], ""),
IF(_xlpm.tos="Contract of Service", 8.25, 0)
)</f>
        <v>0</v>
      </c>
      <c r="V168" s="25">
        <f>tblPayrollMaster[[#This Row],[Basic Earnings]]-tblPayrollMaster[[#This Row],[Tax]]-tblPayrollMaster[[#This Row],[NIS - Employee]]-tblPayrollMaster[[#This Row],[Health Surcharge]]</f>
        <v>0</v>
      </c>
      <c r="W168" s="25">
        <f>tblPayrollMaster[[#This Row],[Net Pay]]</f>
        <v>0</v>
      </c>
      <c r="X168" s="25"/>
    </row>
    <row r="169" spans="1:24" x14ac:dyDescent="0.25">
      <c r="A169" s="24"/>
      <c r="B169" s="24" t="str">
        <f>_xlfn.XLOOKUP(tblPayrollMaster[[#This Row],[Employee ID]],tblEmployee[Employee ID],tblEmployee[Employee Name],"")</f>
        <v/>
      </c>
      <c r="C169" s="24" t="str">
        <f>_xlfn.XLOOKUP(tblPayrollMaster[[#This Row],[Employee ID]],tblEmployee[Employee ID],tblEmployee[Employee Position],"")</f>
        <v/>
      </c>
      <c r="D169" s="24" t="str">
        <f>_xlfn.XLOOKUP(tblPayrollMaster[[#This Row],[Employee ID]], tblEmployee[Employee ID], tblEmployee[Pay Status], "Pay")</f>
        <v>Pay</v>
      </c>
      <c r="E169" s="24" t="str">
        <f>_xlfn.XLOOKUP(tblPayrollMaster[[#This Row],[Employee ID]], tblEmployee[Employee ID], tblEmployee[Payable Flag], "Y")</f>
        <v>Y</v>
      </c>
      <c r="F169" s="45">
        <f>IF(tblPayrollMaster[[#This Row],[Payable Flag]]="N",0,_xlfn.XLOOKUP(tblPayrollMaster[[#This Row],[Employee ID]],tblEmployee[Employee ID],tblEmployee[Pay Factor],1))</f>
        <v>1</v>
      </c>
      <c r="G169" s="26" t="str" cm="1">
        <f t="array" ref="G169">IF(tblPayrollMaster[[#This Row],[Employee ID]]="","",_xlfn.XLOOKUP(selPayPeriodID,tblPayCalendar[PayPeriodID],tblPayCalendar[PeriodStart],""))</f>
        <v/>
      </c>
      <c r="H169" s="26" t="str" cm="1">
        <f t="array" ref="H169">IF(tblPayrollMaster[[#This Row],[Employee ID]]="","",_xlfn.XLOOKUP(selPayPeriodID,tblPayCalendar[PayPeriodID],tblPayCalendar[PeriodEnd],""))</f>
        <v/>
      </c>
      <c r="I169" s="24" t="e" cm="1" vm="1">
        <f t="array" aca="1" ref="I169" ca="1">Table18[Employer Name]</f>
        <v>#VALUE!</v>
      </c>
      <c r="J169" s="3" cm="1">
        <f t="array" ref="J16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69" s="25" t="str">
        <f>_xlfn.XLOOKUP(tblPayrollMaster[[#This Row],[Employee Position]],tblPositionandPayRate[Employee Position],tblPositionandPayRate[Overtime], " ")</f>
        <v xml:space="preserve"> </v>
      </c>
      <c r="L169" s="25">
        <f>_xlfn.XLOOKUP(tblPayrollMaster[[#This Row],[Employee Position]],tblPositionandPayRate[Employee Position],tblPositionandPayRate[Allowance 1],0)*tblPayrollMaster[[#This Row],[Pay Factor]]</f>
        <v>0</v>
      </c>
      <c r="M169" s="25">
        <f>_xlfn.XLOOKUP(tblPayrollMaster[[#This Row],[Employee Position]],tblPositionandPayRate[Employee Position],tblPositionandPayRate[Allowance 2],0)*tblPayrollMaster[[#This Row],[Pay Factor]]</f>
        <v>0</v>
      </c>
      <c r="N169" s="25">
        <f>_xlfn.XLOOKUP(tblPayrollMaster[[#This Row],[Employee Position]],tblPositionandPayRate[Employee Position],tblPositionandPayRate[Allowance 3],0)*tblPayrollMaster[[#This Row],[Pay Factor]]</f>
        <v>0</v>
      </c>
      <c r="O169" s="25">
        <f>_xlfn.XLOOKUP(tblPayrollMaster[[#This Row],[Employee Position]],tblPositionandPayRate[Employee Position],tblPositionandPayRate[Allowance 4],0)*tblPayrollMaster[[#This Row],[Pay Factor]]</f>
        <v>0</v>
      </c>
      <c r="P169" s="25">
        <f>_xlfn.XLOOKUP(tblPayrollMaster[[#This Row],[Employee Position]],tblPositionandPayRate[Employee Position],tblPositionandPayRate[Allowance 5],0)*tblPayrollMaster[[#This Row],[Pay Factor]]</f>
        <v>0</v>
      </c>
      <c r="Q169" s="25">
        <f>SUM(tblPayrollMaster[[#This Row],[Basic Pay]:[Allowance 5]])</f>
        <v>0</v>
      </c>
      <c r="R16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69" s="51" cm="1">
        <f t="array" ref="S1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69" s="3" cm="1">
        <f t="array" ref="T1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69" s="25">
        <f>_xlfn.LET(
_xlpm.tos, _xlfn.XLOOKUP(tblPayrollMaster[[#This Row],[Employee ID]], tblEmployee[Employee ID], tblEmployee[Type of Service], ""),
IF(_xlpm.tos="Contract of Service", 8.25, 0)
)</f>
        <v>0</v>
      </c>
      <c r="V169" s="25">
        <f>tblPayrollMaster[[#This Row],[Basic Earnings]]-tblPayrollMaster[[#This Row],[Tax]]-tblPayrollMaster[[#This Row],[NIS - Employee]]-tblPayrollMaster[[#This Row],[Health Surcharge]]</f>
        <v>0</v>
      </c>
      <c r="W169" s="25">
        <f>tblPayrollMaster[[#This Row],[Net Pay]]</f>
        <v>0</v>
      </c>
      <c r="X169" s="25"/>
    </row>
    <row r="170" spans="1:24" x14ac:dyDescent="0.25">
      <c r="A170" s="24"/>
      <c r="B170" s="24" t="str">
        <f>_xlfn.XLOOKUP(tblPayrollMaster[[#This Row],[Employee ID]],tblEmployee[Employee ID],tblEmployee[Employee Name],"")</f>
        <v/>
      </c>
      <c r="C170" s="24" t="str">
        <f>_xlfn.XLOOKUP(tblPayrollMaster[[#This Row],[Employee ID]],tblEmployee[Employee ID],tblEmployee[Employee Position],"")</f>
        <v/>
      </c>
      <c r="D170" s="24" t="str">
        <f>_xlfn.XLOOKUP(tblPayrollMaster[[#This Row],[Employee ID]], tblEmployee[Employee ID], tblEmployee[Pay Status], "Pay")</f>
        <v>Pay</v>
      </c>
      <c r="E170" s="24" t="str">
        <f>_xlfn.XLOOKUP(tblPayrollMaster[[#This Row],[Employee ID]], tblEmployee[Employee ID], tblEmployee[Payable Flag], "Y")</f>
        <v>Y</v>
      </c>
      <c r="F170" s="45">
        <f>IF(tblPayrollMaster[[#This Row],[Payable Flag]]="N",0,_xlfn.XLOOKUP(tblPayrollMaster[[#This Row],[Employee ID]],tblEmployee[Employee ID],tblEmployee[Pay Factor],1))</f>
        <v>1</v>
      </c>
      <c r="G170" s="26" t="str" cm="1">
        <f t="array" ref="G170">IF(tblPayrollMaster[[#This Row],[Employee ID]]="","",_xlfn.XLOOKUP(selPayPeriodID,tblPayCalendar[PayPeriodID],tblPayCalendar[PeriodStart],""))</f>
        <v/>
      </c>
      <c r="H170" s="26" t="str" cm="1">
        <f t="array" ref="H170">IF(tblPayrollMaster[[#This Row],[Employee ID]]="","",_xlfn.XLOOKUP(selPayPeriodID,tblPayCalendar[PayPeriodID],tblPayCalendar[PeriodEnd],""))</f>
        <v/>
      </c>
      <c r="I170" s="24" t="e" cm="1" vm="1">
        <f t="array" aca="1" ref="I170" ca="1">Table18[Employer Name]</f>
        <v>#VALUE!</v>
      </c>
      <c r="J170" s="3" cm="1">
        <f t="array" ref="J17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70" s="25" t="str">
        <f>_xlfn.XLOOKUP(tblPayrollMaster[[#This Row],[Employee Position]],tblPositionandPayRate[Employee Position],tblPositionandPayRate[Overtime], " ")</f>
        <v xml:space="preserve"> </v>
      </c>
      <c r="L170" s="25">
        <f>_xlfn.XLOOKUP(tblPayrollMaster[[#This Row],[Employee Position]],tblPositionandPayRate[Employee Position],tblPositionandPayRate[Allowance 1],0)*tblPayrollMaster[[#This Row],[Pay Factor]]</f>
        <v>0</v>
      </c>
      <c r="M170" s="25">
        <f>_xlfn.XLOOKUP(tblPayrollMaster[[#This Row],[Employee Position]],tblPositionandPayRate[Employee Position],tblPositionandPayRate[Allowance 2],0)*tblPayrollMaster[[#This Row],[Pay Factor]]</f>
        <v>0</v>
      </c>
      <c r="N170" s="25">
        <f>_xlfn.XLOOKUP(tblPayrollMaster[[#This Row],[Employee Position]],tblPositionandPayRate[Employee Position],tblPositionandPayRate[Allowance 3],0)*tblPayrollMaster[[#This Row],[Pay Factor]]</f>
        <v>0</v>
      </c>
      <c r="O170" s="25">
        <f>_xlfn.XLOOKUP(tblPayrollMaster[[#This Row],[Employee Position]],tblPositionandPayRate[Employee Position],tblPositionandPayRate[Allowance 4],0)*tblPayrollMaster[[#This Row],[Pay Factor]]</f>
        <v>0</v>
      </c>
      <c r="P170" s="25">
        <f>_xlfn.XLOOKUP(tblPayrollMaster[[#This Row],[Employee Position]],tblPositionandPayRate[Employee Position],tblPositionandPayRate[Allowance 5],0)*tblPayrollMaster[[#This Row],[Pay Factor]]</f>
        <v>0</v>
      </c>
      <c r="Q170" s="25">
        <f>SUM(tblPayrollMaster[[#This Row],[Basic Pay]:[Allowance 5]])</f>
        <v>0</v>
      </c>
      <c r="R17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70" s="51" cm="1">
        <f t="array" ref="S1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70" s="3" cm="1">
        <f t="array" ref="T1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70" s="25">
        <f>_xlfn.LET(
_xlpm.tos, _xlfn.XLOOKUP(tblPayrollMaster[[#This Row],[Employee ID]], tblEmployee[Employee ID], tblEmployee[Type of Service], ""),
IF(_xlpm.tos="Contract of Service", 8.25, 0)
)</f>
        <v>0</v>
      </c>
      <c r="V170" s="25">
        <f>tblPayrollMaster[[#This Row],[Basic Earnings]]-tblPayrollMaster[[#This Row],[Tax]]-tblPayrollMaster[[#This Row],[NIS - Employee]]-tblPayrollMaster[[#This Row],[Health Surcharge]]</f>
        <v>0</v>
      </c>
      <c r="W170" s="25">
        <f>tblPayrollMaster[[#This Row],[Net Pay]]</f>
        <v>0</v>
      </c>
      <c r="X170" s="25"/>
    </row>
    <row r="171" spans="1:24" x14ac:dyDescent="0.25">
      <c r="A171" s="24"/>
      <c r="B171" s="24" t="str">
        <f>_xlfn.XLOOKUP(tblPayrollMaster[[#This Row],[Employee ID]],tblEmployee[Employee ID],tblEmployee[Employee Name],"")</f>
        <v/>
      </c>
      <c r="C171" s="24" t="str">
        <f>_xlfn.XLOOKUP(tblPayrollMaster[[#This Row],[Employee ID]],tblEmployee[Employee ID],tblEmployee[Employee Position],"")</f>
        <v/>
      </c>
      <c r="D171" s="24" t="str">
        <f>_xlfn.XLOOKUP(tblPayrollMaster[[#This Row],[Employee ID]], tblEmployee[Employee ID], tblEmployee[Pay Status], "Pay")</f>
        <v>Pay</v>
      </c>
      <c r="E171" s="24" t="str">
        <f>_xlfn.XLOOKUP(tblPayrollMaster[[#This Row],[Employee ID]], tblEmployee[Employee ID], tblEmployee[Payable Flag], "Y")</f>
        <v>Y</v>
      </c>
      <c r="F171" s="45">
        <f>IF(tblPayrollMaster[[#This Row],[Payable Flag]]="N",0,_xlfn.XLOOKUP(tblPayrollMaster[[#This Row],[Employee ID]],tblEmployee[Employee ID],tblEmployee[Pay Factor],1))</f>
        <v>1</v>
      </c>
      <c r="G171" s="26" t="str" cm="1">
        <f t="array" ref="G171">IF(tblPayrollMaster[[#This Row],[Employee ID]]="","",_xlfn.XLOOKUP(selPayPeriodID,tblPayCalendar[PayPeriodID],tblPayCalendar[PeriodStart],""))</f>
        <v/>
      </c>
      <c r="H171" s="26" t="str" cm="1">
        <f t="array" ref="H171">IF(tblPayrollMaster[[#This Row],[Employee ID]]="","",_xlfn.XLOOKUP(selPayPeriodID,tblPayCalendar[PayPeriodID],tblPayCalendar[PeriodEnd],""))</f>
        <v/>
      </c>
      <c r="I171" s="24" t="e" cm="1" vm="1">
        <f t="array" aca="1" ref="I171" ca="1">Table18[Employer Name]</f>
        <v>#VALUE!</v>
      </c>
      <c r="J171" s="3" cm="1">
        <f t="array" ref="J17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71" s="25" t="str">
        <f>_xlfn.XLOOKUP(tblPayrollMaster[[#This Row],[Employee Position]],tblPositionandPayRate[Employee Position],tblPositionandPayRate[Overtime], " ")</f>
        <v xml:space="preserve"> </v>
      </c>
      <c r="L171" s="25">
        <f>_xlfn.XLOOKUP(tblPayrollMaster[[#This Row],[Employee Position]],tblPositionandPayRate[Employee Position],tblPositionandPayRate[Allowance 1],0)*tblPayrollMaster[[#This Row],[Pay Factor]]</f>
        <v>0</v>
      </c>
      <c r="M171" s="25">
        <f>_xlfn.XLOOKUP(tblPayrollMaster[[#This Row],[Employee Position]],tblPositionandPayRate[Employee Position],tblPositionandPayRate[Allowance 2],0)*tblPayrollMaster[[#This Row],[Pay Factor]]</f>
        <v>0</v>
      </c>
      <c r="N171" s="25">
        <f>_xlfn.XLOOKUP(tblPayrollMaster[[#This Row],[Employee Position]],tblPositionandPayRate[Employee Position],tblPositionandPayRate[Allowance 3],0)*tblPayrollMaster[[#This Row],[Pay Factor]]</f>
        <v>0</v>
      </c>
      <c r="O171" s="25">
        <f>_xlfn.XLOOKUP(tblPayrollMaster[[#This Row],[Employee Position]],tblPositionandPayRate[Employee Position],tblPositionandPayRate[Allowance 4],0)*tblPayrollMaster[[#This Row],[Pay Factor]]</f>
        <v>0</v>
      </c>
      <c r="P171" s="25">
        <f>_xlfn.XLOOKUP(tblPayrollMaster[[#This Row],[Employee Position]],tblPositionandPayRate[Employee Position],tblPositionandPayRate[Allowance 5],0)*tblPayrollMaster[[#This Row],[Pay Factor]]</f>
        <v>0</v>
      </c>
      <c r="Q171" s="25">
        <f>SUM(tblPayrollMaster[[#This Row],[Basic Pay]:[Allowance 5]])</f>
        <v>0</v>
      </c>
      <c r="R17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71" s="51" cm="1">
        <f t="array" ref="S1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71" s="3" cm="1">
        <f t="array" ref="T1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71" s="25">
        <f>_xlfn.LET(
_xlpm.tos, _xlfn.XLOOKUP(tblPayrollMaster[[#This Row],[Employee ID]], tblEmployee[Employee ID], tblEmployee[Type of Service], ""),
IF(_xlpm.tos="Contract of Service", 8.25, 0)
)</f>
        <v>0</v>
      </c>
      <c r="V171" s="25">
        <f>tblPayrollMaster[[#This Row],[Basic Earnings]]-tblPayrollMaster[[#This Row],[Tax]]-tblPayrollMaster[[#This Row],[NIS - Employee]]-tblPayrollMaster[[#This Row],[Health Surcharge]]</f>
        <v>0</v>
      </c>
      <c r="W171" s="25">
        <f>tblPayrollMaster[[#This Row],[Net Pay]]</f>
        <v>0</v>
      </c>
      <c r="X171" s="25"/>
    </row>
    <row r="172" spans="1:24" x14ac:dyDescent="0.25">
      <c r="A172" s="24"/>
      <c r="B172" s="24" t="str">
        <f>_xlfn.XLOOKUP(tblPayrollMaster[[#This Row],[Employee ID]],tblEmployee[Employee ID],tblEmployee[Employee Name],"")</f>
        <v/>
      </c>
      <c r="C172" s="24" t="str">
        <f>_xlfn.XLOOKUP(tblPayrollMaster[[#This Row],[Employee ID]],tblEmployee[Employee ID],tblEmployee[Employee Position],"")</f>
        <v/>
      </c>
      <c r="D172" s="24" t="str">
        <f>_xlfn.XLOOKUP(tblPayrollMaster[[#This Row],[Employee ID]], tblEmployee[Employee ID], tblEmployee[Pay Status], "Pay")</f>
        <v>Pay</v>
      </c>
      <c r="E172" s="24" t="str">
        <f>_xlfn.XLOOKUP(tblPayrollMaster[[#This Row],[Employee ID]], tblEmployee[Employee ID], tblEmployee[Payable Flag], "Y")</f>
        <v>Y</v>
      </c>
      <c r="F172" s="45">
        <f>IF(tblPayrollMaster[[#This Row],[Payable Flag]]="N",0,_xlfn.XLOOKUP(tblPayrollMaster[[#This Row],[Employee ID]],tblEmployee[Employee ID],tblEmployee[Pay Factor],1))</f>
        <v>1</v>
      </c>
      <c r="G172" s="26" t="str" cm="1">
        <f t="array" ref="G172">IF(tblPayrollMaster[[#This Row],[Employee ID]]="","",_xlfn.XLOOKUP(selPayPeriodID,tblPayCalendar[PayPeriodID],tblPayCalendar[PeriodStart],""))</f>
        <v/>
      </c>
      <c r="H172" s="26" t="str" cm="1">
        <f t="array" ref="H172">IF(tblPayrollMaster[[#This Row],[Employee ID]]="","",_xlfn.XLOOKUP(selPayPeriodID,tblPayCalendar[PayPeriodID],tblPayCalendar[PeriodEnd],""))</f>
        <v/>
      </c>
      <c r="I172" s="24" t="e" cm="1" vm="1">
        <f t="array" aca="1" ref="I172" ca="1">Table18[Employer Name]</f>
        <v>#VALUE!</v>
      </c>
      <c r="J172" s="3" cm="1">
        <f t="array" ref="J17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72" s="25" t="str">
        <f>_xlfn.XLOOKUP(tblPayrollMaster[[#This Row],[Employee Position]],tblPositionandPayRate[Employee Position],tblPositionandPayRate[Overtime], " ")</f>
        <v xml:space="preserve"> </v>
      </c>
      <c r="L172" s="25">
        <f>_xlfn.XLOOKUP(tblPayrollMaster[[#This Row],[Employee Position]],tblPositionandPayRate[Employee Position],tblPositionandPayRate[Allowance 1],0)*tblPayrollMaster[[#This Row],[Pay Factor]]</f>
        <v>0</v>
      </c>
      <c r="M172" s="25">
        <f>_xlfn.XLOOKUP(tblPayrollMaster[[#This Row],[Employee Position]],tblPositionandPayRate[Employee Position],tblPositionandPayRate[Allowance 2],0)*tblPayrollMaster[[#This Row],[Pay Factor]]</f>
        <v>0</v>
      </c>
      <c r="N172" s="25">
        <f>_xlfn.XLOOKUP(tblPayrollMaster[[#This Row],[Employee Position]],tblPositionandPayRate[Employee Position],tblPositionandPayRate[Allowance 3],0)*tblPayrollMaster[[#This Row],[Pay Factor]]</f>
        <v>0</v>
      </c>
      <c r="O172" s="25">
        <f>_xlfn.XLOOKUP(tblPayrollMaster[[#This Row],[Employee Position]],tblPositionandPayRate[Employee Position],tblPositionandPayRate[Allowance 4],0)*tblPayrollMaster[[#This Row],[Pay Factor]]</f>
        <v>0</v>
      </c>
      <c r="P172" s="25">
        <f>_xlfn.XLOOKUP(tblPayrollMaster[[#This Row],[Employee Position]],tblPositionandPayRate[Employee Position],tblPositionandPayRate[Allowance 5],0)*tblPayrollMaster[[#This Row],[Pay Factor]]</f>
        <v>0</v>
      </c>
      <c r="Q172" s="25">
        <f>SUM(tblPayrollMaster[[#This Row],[Basic Pay]:[Allowance 5]])</f>
        <v>0</v>
      </c>
      <c r="R17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72" s="51" cm="1">
        <f t="array" ref="S1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72" s="3" cm="1">
        <f t="array" ref="T1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72" s="25">
        <f>_xlfn.LET(
_xlpm.tos, _xlfn.XLOOKUP(tblPayrollMaster[[#This Row],[Employee ID]], tblEmployee[Employee ID], tblEmployee[Type of Service], ""),
IF(_xlpm.tos="Contract of Service", 8.25, 0)
)</f>
        <v>0</v>
      </c>
      <c r="V172" s="25">
        <f>tblPayrollMaster[[#This Row],[Basic Earnings]]-tblPayrollMaster[[#This Row],[Tax]]-tblPayrollMaster[[#This Row],[NIS - Employee]]-tblPayrollMaster[[#This Row],[Health Surcharge]]</f>
        <v>0</v>
      </c>
      <c r="W172" s="25">
        <f>tblPayrollMaster[[#This Row],[Net Pay]]</f>
        <v>0</v>
      </c>
      <c r="X172" s="25"/>
    </row>
    <row r="173" spans="1:24" x14ac:dyDescent="0.25">
      <c r="A173" s="24"/>
      <c r="B173" s="24" t="str">
        <f>_xlfn.XLOOKUP(tblPayrollMaster[[#This Row],[Employee ID]],tblEmployee[Employee ID],tblEmployee[Employee Name],"")</f>
        <v/>
      </c>
      <c r="C173" s="24" t="str">
        <f>_xlfn.XLOOKUP(tblPayrollMaster[[#This Row],[Employee ID]],tblEmployee[Employee ID],tblEmployee[Employee Position],"")</f>
        <v/>
      </c>
      <c r="D173" s="24" t="str">
        <f>_xlfn.XLOOKUP(tblPayrollMaster[[#This Row],[Employee ID]], tblEmployee[Employee ID], tblEmployee[Pay Status], "Pay")</f>
        <v>Pay</v>
      </c>
      <c r="E173" s="24" t="str">
        <f>_xlfn.XLOOKUP(tblPayrollMaster[[#This Row],[Employee ID]], tblEmployee[Employee ID], tblEmployee[Payable Flag], "Y")</f>
        <v>Y</v>
      </c>
      <c r="F173" s="45">
        <f>IF(tblPayrollMaster[[#This Row],[Payable Flag]]="N",0,_xlfn.XLOOKUP(tblPayrollMaster[[#This Row],[Employee ID]],tblEmployee[Employee ID],tblEmployee[Pay Factor],1))</f>
        <v>1</v>
      </c>
      <c r="G173" s="26" t="str" cm="1">
        <f t="array" ref="G173">IF(tblPayrollMaster[[#This Row],[Employee ID]]="","",_xlfn.XLOOKUP(selPayPeriodID,tblPayCalendar[PayPeriodID],tblPayCalendar[PeriodStart],""))</f>
        <v/>
      </c>
      <c r="H173" s="26" t="str" cm="1">
        <f t="array" ref="H173">IF(tblPayrollMaster[[#This Row],[Employee ID]]="","",_xlfn.XLOOKUP(selPayPeriodID,tblPayCalendar[PayPeriodID],tblPayCalendar[PeriodEnd],""))</f>
        <v/>
      </c>
      <c r="I173" s="24" t="e" cm="1" vm="1">
        <f t="array" aca="1" ref="I173" ca="1">Table18[Employer Name]</f>
        <v>#VALUE!</v>
      </c>
      <c r="J173" s="3" cm="1">
        <f t="array" ref="J17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73" s="25" t="str">
        <f>_xlfn.XLOOKUP(tblPayrollMaster[[#This Row],[Employee Position]],tblPositionandPayRate[Employee Position],tblPositionandPayRate[Overtime], " ")</f>
        <v xml:space="preserve"> </v>
      </c>
      <c r="L173" s="25">
        <f>_xlfn.XLOOKUP(tblPayrollMaster[[#This Row],[Employee Position]],tblPositionandPayRate[Employee Position],tblPositionandPayRate[Allowance 1],0)*tblPayrollMaster[[#This Row],[Pay Factor]]</f>
        <v>0</v>
      </c>
      <c r="M173" s="25">
        <f>_xlfn.XLOOKUP(tblPayrollMaster[[#This Row],[Employee Position]],tblPositionandPayRate[Employee Position],tblPositionandPayRate[Allowance 2],0)*tblPayrollMaster[[#This Row],[Pay Factor]]</f>
        <v>0</v>
      </c>
      <c r="N173" s="25">
        <f>_xlfn.XLOOKUP(tblPayrollMaster[[#This Row],[Employee Position]],tblPositionandPayRate[Employee Position],tblPositionandPayRate[Allowance 3],0)*tblPayrollMaster[[#This Row],[Pay Factor]]</f>
        <v>0</v>
      </c>
      <c r="O173" s="25">
        <f>_xlfn.XLOOKUP(tblPayrollMaster[[#This Row],[Employee Position]],tblPositionandPayRate[Employee Position],tblPositionandPayRate[Allowance 4],0)*tblPayrollMaster[[#This Row],[Pay Factor]]</f>
        <v>0</v>
      </c>
      <c r="P173" s="25">
        <f>_xlfn.XLOOKUP(tblPayrollMaster[[#This Row],[Employee Position]],tblPositionandPayRate[Employee Position],tblPositionandPayRate[Allowance 5],0)*tblPayrollMaster[[#This Row],[Pay Factor]]</f>
        <v>0</v>
      </c>
      <c r="Q173" s="25">
        <f>SUM(tblPayrollMaster[[#This Row],[Basic Pay]:[Allowance 5]])</f>
        <v>0</v>
      </c>
      <c r="R17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73" s="51" cm="1">
        <f t="array" ref="S1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73" s="3" cm="1">
        <f t="array" ref="T1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73" s="25">
        <f>_xlfn.LET(
_xlpm.tos, _xlfn.XLOOKUP(tblPayrollMaster[[#This Row],[Employee ID]], tblEmployee[Employee ID], tblEmployee[Type of Service], ""),
IF(_xlpm.tos="Contract of Service", 8.25, 0)
)</f>
        <v>0</v>
      </c>
      <c r="V173" s="25">
        <f>tblPayrollMaster[[#This Row],[Basic Earnings]]-tblPayrollMaster[[#This Row],[Tax]]-tblPayrollMaster[[#This Row],[NIS - Employee]]-tblPayrollMaster[[#This Row],[Health Surcharge]]</f>
        <v>0</v>
      </c>
      <c r="W173" s="25">
        <f>tblPayrollMaster[[#This Row],[Net Pay]]</f>
        <v>0</v>
      </c>
      <c r="X173" s="25"/>
    </row>
    <row r="174" spans="1:24" x14ac:dyDescent="0.25">
      <c r="A174" s="24"/>
      <c r="B174" s="24" t="str">
        <f>_xlfn.XLOOKUP(tblPayrollMaster[[#This Row],[Employee ID]],tblEmployee[Employee ID],tblEmployee[Employee Name],"")</f>
        <v/>
      </c>
      <c r="C174" s="24" t="str">
        <f>_xlfn.XLOOKUP(tblPayrollMaster[[#This Row],[Employee ID]],tblEmployee[Employee ID],tblEmployee[Employee Position],"")</f>
        <v/>
      </c>
      <c r="D174" s="24" t="str">
        <f>_xlfn.XLOOKUP(tblPayrollMaster[[#This Row],[Employee ID]], tblEmployee[Employee ID], tblEmployee[Pay Status], "Pay")</f>
        <v>Pay</v>
      </c>
      <c r="E174" s="24" t="str">
        <f>_xlfn.XLOOKUP(tblPayrollMaster[[#This Row],[Employee ID]], tblEmployee[Employee ID], tblEmployee[Payable Flag], "Y")</f>
        <v>Y</v>
      </c>
      <c r="F174" s="45">
        <f>IF(tblPayrollMaster[[#This Row],[Payable Flag]]="N",0,_xlfn.XLOOKUP(tblPayrollMaster[[#This Row],[Employee ID]],tblEmployee[Employee ID],tblEmployee[Pay Factor],1))</f>
        <v>1</v>
      </c>
      <c r="G174" s="26" t="str" cm="1">
        <f t="array" ref="G174">IF(tblPayrollMaster[[#This Row],[Employee ID]]="","",_xlfn.XLOOKUP(selPayPeriodID,tblPayCalendar[PayPeriodID],tblPayCalendar[PeriodStart],""))</f>
        <v/>
      </c>
      <c r="H174" s="26" t="str" cm="1">
        <f t="array" ref="H174">IF(tblPayrollMaster[[#This Row],[Employee ID]]="","",_xlfn.XLOOKUP(selPayPeriodID,tblPayCalendar[PayPeriodID],tblPayCalendar[PeriodEnd],""))</f>
        <v/>
      </c>
      <c r="I174" s="24" t="e" cm="1" vm="1">
        <f t="array" aca="1" ref="I174" ca="1">Table18[Employer Name]</f>
        <v>#VALUE!</v>
      </c>
      <c r="J174" s="3" cm="1">
        <f t="array" ref="J17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74" s="25" t="str">
        <f>_xlfn.XLOOKUP(tblPayrollMaster[[#This Row],[Employee Position]],tblPositionandPayRate[Employee Position],tblPositionandPayRate[Overtime], " ")</f>
        <v xml:space="preserve"> </v>
      </c>
      <c r="L174" s="25">
        <f>_xlfn.XLOOKUP(tblPayrollMaster[[#This Row],[Employee Position]],tblPositionandPayRate[Employee Position],tblPositionandPayRate[Allowance 1],0)*tblPayrollMaster[[#This Row],[Pay Factor]]</f>
        <v>0</v>
      </c>
      <c r="M174" s="25">
        <f>_xlfn.XLOOKUP(tblPayrollMaster[[#This Row],[Employee Position]],tblPositionandPayRate[Employee Position],tblPositionandPayRate[Allowance 2],0)*tblPayrollMaster[[#This Row],[Pay Factor]]</f>
        <v>0</v>
      </c>
      <c r="N174" s="25">
        <f>_xlfn.XLOOKUP(tblPayrollMaster[[#This Row],[Employee Position]],tblPositionandPayRate[Employee Position],tblPositionandPayRate[Allowance 3],0)*tblPayrollMaster[[#This Row],[Pay Factor]]</f>
        <v>0</v>
      </c>
      <c r="O174" s="25">
        <f>_xlfn.XLOOKUP(tblPayrollMaster[[#This Row],[Employee Position]],tblPositionandPayRate[Employee Position],tblPositionandPayRate[Allowance 4],0)*tblPayrollMaster[[#This Row],[Pay Factor]]</f>
        <v>0</v>
      </c>
      <c r="P174" s="25">
        <f>_xlfn.XLOOKUP(tblPayrollMaster[[#This Row],[Employee Position]],tblPositionandPayRate[Employee Position],tblPositionandPayRate[Allowance 5],0)*tblPayrollMaster[[#This Row],[Pay Factor]]</f>
        <v>0</v>
      </c>
      <c r="Q174" s="25">
        <f>SUM(tblPayrollMaster[[#This Row],[Basic Pay]:[Allowance 5]])</f>
        <v>0</v>
      </c>
      <c r="R17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74" s="51" cm="1">
        <f t="array" ref="S1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74" s="3" cm="1">
        <f t="array" ref="T1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74" s="25">
        <f>_xlfn.LET(
_xlpm.tos, _xlfn.XLOOKUP(tblPayrollMaster[[#This Row],[Employee ID]], tblEmployee[Employee ID], tblEmployee[Type of Service], ""),
IF(_xlpm.tos="Contract of Service", 8.25, 0)
)</f>
        <v>0</v>
      </c>
      <c r="V174" s="25">
        <f>tblPayrollMaster[[#This Row],[Basic Earnings]]-tblPayrollMaster[[#This Row],[Tax]]-tblPayrollMaster[[#This Row],[NIS - Employee]]-tblPayrollMaster[[#This Row],[Health Surcharge]]</f>
        <v>0</v>
      </c>
      <c r="W174" s="25">
        <f>tblPayrollMaster[[#This Row],[Net Pay]]</f>
        <v>0</v>
      </c>
      <c r="X174" s="25"/>
    </row>
    <row r="175" spans="1:24" x14ac:dyDescent="0.25">
      <c r="A175" s="24"/>
      <c r="B175" s="24" t="str">
        <f>_xlfn.XLOOKUP(tblPayrollMaster[[#This Row],[Employee ID]],tblEmployee[Employee ID],tblEmployee[Employee Name],"")</f>
        <v/>
      </c>
      <c r="C175" s="24" t="str">
        <f>_xlfn.XLOOKUP(tblPayrollMaster[[#This Row],[Employee ID]],tblEmployee[Employee ID],tblEmployee[Employee Position],"")</f>
        <v/>
      </c>
      <c r="D175" s="24" t="str">
        <f>_xlfn.XLOOKUP(tblPayrollMaster[[#This Row],[Employee ID]], tblEmployee[Employee ID], tblEmployee[Pay Status], "Pay")</f>
        <v>Pay</v>
      </c>
      <c r="E175" s="24" t="str">
        <f>_xlfn.XLOOKUP(tblPayrollMaster[[#This Row],[Employee ID]], tblEmployee[Employee ID], tblEmployee[Payable Flag], "Y")</f>
        <v>Y</v>
      </c>
      <c r="F175" s="45">
        <f>IF(tblPayrollMaster[[#This Row],[Payable Flag]]="N",0,_xlfn.XLOOKUP(tblPayrollMaster[[#This Row],[Employee ID]],tblEmployee[Employee ID],tblEmployee[Pay Factor],1))</f>
        <v>1</v>
      </c>
      <c r="G175" s="26" t="str" cm="1">
        <f t="array" ref="G175">IF(tblPayrollMaster[[#This Row],[Employee ID]]="","",_xlfn.XLOOKUP(selPayPeriodID,tblPayCalendar[PayPeriodID],tblPayCalendar[PeriodStart],""))</f>
        <v/>
      </c>
      <c r="H175" s="26" t="str" cm="1">
        <f t="array" ref="H175">IF(tblPayrollMaster[[#This Row],[Employee ID]]="","",_xlfn.XLOOKUP(selPayPeriodID,tblPayCalendar[PayPeriodID],tblPayCalendar[PeriodEnd],""))</f>
        <v/>
      </c>
      <c r="I175" s="24" t="e" cm="1" vm="1">
        <f t="array" aca="1" ref="I175" ca="1">Table18[Employer Name]</f>
        <v>#VALUE!</v>
      </c>
      <c r="J175" s="3" cm="1">
        <f t="array" ref="J17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75" s="25" t="str">
        <f>_xlfn.XLOOKUP(tblPayrollMaster[[#This Row],[Employee Position]],tblPositionandPayRate[Employee Position],tblPositionandPayRate[Overtime], " ")</f>
        <v xml:space="preserve"> </v>
      </c>
      <c r="L175" s="25">
        <f>_xlfn.XLOOKUP(tblPayrollMaster[[#This Row],[Employee Position]],tblPositionandPayRate[Employee Position],tblPositionandPayRate[Allowance 1],0)*tblPayrollMaster[[#This Row],[Pay Factor]]</f>
        <v>0</v>
      </c>
      <c r="M175" s="25">
        <f>_xlfn.XLOOKUP(tblPayrollMaster[[#This Row],[Employee Position]],tblPositionandPayRate[Employee Position],tblPositionandPayRate[Allowance 2],0)*tblPayrollMaster[[#This Row],[Pay Factor]]</f>
        <v>0</v>
      </c>
      <c r="N175" s="25">
        <f>_xlfn.XLOOKUP(tblPayrollMaster[[#This Row],[Employee Position]],tblPositionandPayRate[Employee Position],tblPositionandPayRate[Allowance 3],0)*tblPayrollMaster[[#This Row],[Pay Factor]]</f>
        <v>0</v>
      </c>
      <c r="O175" s="25">
        <f>_xlfn.XLOOKUP(tblPayrollMaster[[#This Row],[Employee Position]],tblPositionandPayRate[Employee Position],tblPositionandPayRate[Allowance 4],0)*tblPayrollMaster[[#This Row],[Pay Factor]]</f>
        <v>0</v>
      </c>
      <c r="P175" s="25">
        <f>_xlfn.XLOOKUP(tblPayrollMaster[[#This Row],[Employee Position]],tblPositionandPayRate[Employee Position],tblPositionandPayRate[Allowance 5],0)*tblPayrollMaster[[#This Row],[Pay Factor]]</f>
        <v>0</v>
      </c>
      <c r="Q175" s="25">
        <f>SUM(tblPayrollMaster[[#This Row],[Basic Pay]:[Allowance 5]])</f>
        <v>0</v>
      </c>
      <c r="R17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75" s="51" cm="1">
        <f t="array" ref="S1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75" s="3" cm="1">
        <f t="array" ref="T1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75" s="25">
        <f>_xlfn.LET(
_xlpm.tos, _xlfn.XLOOKUP(tblPayrollMaster[[#This Row],[Employee ID]], tblEmployee[Employee ID], tblEmployee[Type of Service], ""),
IF(_xlpm.tos="Contract of Service", 8.25, 0)
)</f>
        <v>0</v>
      </c>
      <c r="V175" s="25">
        <f>tblPayrollMaster[[#This Row],[Basic Earnings]]-tblPayrollMaster[[#This Row],[Tax]]-tblPayrollMaster[[#This Row],[NIS - Employee]]-tblPayrollMaster[[#This Row],[Health Surcharge]]</f>
        <v>0</v>
      </c>
      <c r="W175" s="25">
        <f>tblPayrollMaster[[#This Row],[Net Pay]]</f>
        <v>0</v>
      </c>
      <c r="X175" s="25"/>
    </row>
    <row r="176" spans="1:24" x14ac:dyDescent="0.25">
      <c r="A176" s="24"/>
      <c r="B176" s="24" t="str">
        <f>_xlfn.XLOOKUP(tblPayrollMaster[[#This Row],[Employee ID]],tblEmployee[Employee ID],tblEmployee[Employee Name],"")</f>
        <v/>
      </c>
      <c r="C176" s="24" t="str">
        <f>_xlfn.XLOOKUP(tblPayrollMaster[[#This Row],[Employee ID]],tblEmployee[Employee ID],tblEmployee[Employee Position],"")</f>
        <v/>
      </c>
      <c r="D176" s="24" t="str">
        <f>_xlfn.XLOOKUP(tblPayrollMaster[[#This Row],[Employee ID]], tblEmployee[Employee ID], tblEmployee[Pay Status], "Pay")</f>
        <v>Pay</v>
      </c>
      <c r="E176" s="24" t="str">
        <f>_xlfn.XLOOKUP(tblPayrollMaster[[#This Row],[Employee ID]], tblEmployee[Employee ID], tblEmployee[Payable Flag], "Y")</f>
        <v>Y</v>
      </c>
      <c r="F176" s="45">
        <f>IF(tblPayrollMaster[[#This Row],[Payable Flag]]="N",0,_xlfn.XLOOKUP(tblPayrollMaster[[#This Row],[Employee ID]],tblEmployee[Employee ID],tblEmployee[Pay Factor],1))</f>
        <v>1</v>
      </c>
      <c r="G176" s="26" t="str" cm="1">
        <f t="array" ref="G176">IF(tblPayrollMaster[[#This Row],[Employee ID]]="","",_xlfn.XLOOKUP(selPayPeriodID,tblPayCalendar[PayPeriodID],tblPayCalendar[PeriodStart],""))</f>
        <v/>
      </c>
      <c r="H176" s="26" t="str" cm="1">
        <f t="array" ref="H176">IF(tblPayrollMaster[[#This Row],[Employee ID]]="","",_xlfn.XLOOKUP(selPayPeriodID,tblPayCalendar[PayPeriodID],tblPayCalendar[PeriodEnd],""))</f>
        <v/>
      </c>
      <c r="I176" s="24" t="e" cm="1" vm="1">
        <f t="array" aca="1" ref="I176" ca="1">Table18[Employer Name]</f>
        <v>#VALUE!</v>
      </c>
      <c r="J176" s="3" cm="1">
        <f t="array" ref="J17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76" s="25" t="str">
        <f>_xlfn.XLOOKUP(tblPayrollMaster[[#This Row],[Employee Position]],tblPositionandPayRate[Employee Position],tblPositionandPayRate[Overtime], " ")</f>
        <v xml:space="preserve"> </v>
      </c>
      <c r="L176" s="25">
        <f>_xlfn.XLOOKUP(tblPayrollMaster[[#This Row],[Employee Position]],tblPositionandPayRate[Employee Position],tblPositionandPayRate[Allowance 1],0)*tblPayrollMaster[[#This Row],[Pay Factor]]</f>
        <v>0</v>
      </c>
      <c r="M176" s="25">
        <f>_xlfn.XLOOKUP(tblPayrollMaster[[#This Row],[Employee Position]],tblPositionandPayRate[Employee Position],tblPositionandPayRate[Allowance 2],0)*tblPayrollMaster[[#This Row],[Pay Factor]]</f>
        <v>0</v>
      </c>
      <c r="N176" s="25">
        <f>_xlfn.XLOOKUP(tblPayrollMaster[[#This Row],[Employee Position]],tblPositionandPayRate[Employee Position],tblPositionandPayRate[Allowance 3],0)*tblPayrollMaster[[#This Row],[Pay Factor]]</f>
        <v>0</v>
      </c>
      <c r="O176" s="25">
        <f>_xlfn.XLOOKUP(tblPayrollMaster[[#This Row],[Employee Position]],tblPositionandPayRate[Employee Position],tblPositionandPayRate[Allowance 4],0)*tblPayrollMaster[[#This Row],[Pay Factor]]</f>
        <v>0</v>
      </c>
      <c r="P176" s="25">
        <f>_xlfn.XLOOKUP(tblPayrollMaster[[#This Row],[Employee Position]],tblPositionandPayRate[Employee Position],tblPositionandPayRate[Allowance 5],0)*tblPayrollMaster[[#This Row],[Pay Factor]]</f>
        <v>0</v>
      </c>
      <c r="Q176" s="25">
        <f>SUM(tblPayrollMaster[[#This Row],[Basic Pay]:[Allowance 5]])</f>
        <v>0</v>
      </c>
      <c r="R17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76" s="51" cm="1">
        <f t="array" ref="S1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76" s="3" cm="1">
        <f t="array" ref="T1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76" s="25">
        <f>_xlfn.LET(
_xlpm.tos, _xlfn.XLOOKUP(tblPayrollMaster[[#This Row],[Employee ID]], tblEmployee[Employee ID], tblEmployee[Type of Service], ""),
IF(_xlpm.tos="Contract of Service", 8.25, 0)
)</f>
        <v>0</v>
      </c>
      <c r="V176" s="25">
        <f>tblPayrollMaster[[#This Row],[Basic Earnings]]-tblPayrollMaster[[#This Row],[Tax]]-tblPayrollMaster[[#This Row],[NIS - Employee]]-tblPayrollMaster[[#This Row],[Health Surcharge]]</f>
        <v>0</v>
      </c>
      <c r="W176" s="25">
        <f>tblPayrollMaster[[#This Row],[Net Pay]]</f>
        <v>0</v>
      </c>
      <c r="X176" s="25"/>
    </row>
    <row r="177" spans="1:24" x14ac:dyDescent="0.25">
      <c r="A177" s="24"/>
      <c r="B177" s="24" t="str">
        <f>_xlfn.XLOOKUP(tblPayrollMaster[[#This Row],[Employee ID]],tblEmployee[Employee ID],tblEmployee[Employee Name],"")</f>
        <v/>
      </c>
      <c r="C177" s="24" t="str">
        <f>_xlfn.XLOOKUP(tblPayrollMaster[[#This Row],[Employee ID]],tblEmployee[Employee ID],tblEmployee[Employee Position],"")</f>
        <v/>
      </c>
      <c r="D177" s="24" t="str">
        <f>_xlfn.XLOOKUP(tblPayrollMaster[[#This Row],[Employee ID]], tblEmployee[Employee ID], tblEmployee[Pay Status], "Pay")</f>
        <v>Pay</v>
      </c>
      <c r="E177" s="24" t="str">
        <f>_xlfn.XLOOKUP(tblPayrollMaster[[#This Row],[Employee ID]], tblEmployee[Employee ID], tblEmployee[Payable Flag], "Y")</f>
        <v>Y</v>
      </c>
      <c r="F177" s="45">
        <f>IF(tblPayrollMaster[[#This Row],[Payable Flag]]="N",0,_xlfn.XLOOKUP(tblPayrollMaster[[#This Row],[Employee ID]],tblEmployee[Employee ID],tblEmployee[Pay Factor],1))</f>
        <v>1</v>
      </c>
      <c r="G177" s="26" t="str" cm="1">
        <f t="array" ref="G177">IF(tblPayrollMaster[[#This Row],[Employee ID]]="","",_xlfn.XLOOKUP(selPayPeriodID,tblPayCalendar[PayPeriodID],tblPayCalendar[PeriodStart],""))</f>
        <v/>
      </c>
      <c r="H177" s="26" t="str" cm="1">
        <f t="array" ref="H177">IF(tblPayrollMaster[[#This Row],[Employee ID]]="","",_xlfn.XLOOKUP(selPayPeriodID,tblPayCalendar[PayPeriodID],tblPayCalendar[PeriodEnd],""))</f>
        <v/>
      </c>
      <c r="I177" s="24" t="e" cm="1" vm="1">
        <f t="array" aca="1" ref="I177" ca="1">Table18[Employer Name]</f>
        <v>#VALUE!</v>
      </c>
      <c r="J177" s="3" cm="1">
        <f t="array" ref="J17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77" s="25" t="str">
        <f>_xlfn.XLOOKUP(tblPayrollMaster[[#This Row],[Employee Position]],tblPositionandPayRate[Employee Position],tblPositionandPayRate[Overtime], " ")</f>
        <v xml:space="preserve"> </v>
      </c>
      <c r="L177" s="25">
        <f>_xlfn.XLOOKUP(tblPayrollMaster[[#This Row],[Employee Position]],tblPositionandPayRate[Employee Position],tblPositionandPayRate[Allowance 1],0)*tblPayrollMaster[[#This Row],[Pay Factor]]</f>
        <v>0</v>
      </c>
      <c r="M177" s="25">
        <f>_xlfn.XLOOKUP(tblPayrollMaster[[#This Row],[Employee Position]],tblPositionandPayRate[Employee Position],tblPositionandPayRate[Allowance 2],0)*tblPayrollMaster[[#This Row],[Pay Factor]]</f>
        <v>0</v>
      </c>
      <c r="N177" s="25">
        <f>_xlfn.XLOOKUP(tblPayrollMaster[[#This Row],[Employee Position]],tblPositionandPayRate[Employee Position],tblPositionandPayRate[Allowance 3],0)*tblPayrollMaster[[#This Row],[Pay Factor]]</f>
        <v>0</v>
      </c>
      <c r="O177" s="25">
        <f>_xlfn.XLOOKUP(tblPayrollMaster[[#This Row],[Employee Position]],tblPositionandPayRate[Employee Position],tblPositionandPayRate[Allowance 4],0)*tblPayrollMaster[[#This Row],[Pay Factor]]</f>
        <v>0</v>
      </c>
      <c r="P177" s="25">
        <f>_xlfn.XLOOKUP(tblPayrollMaster[[#This Row],[Employee Position]],tblPositionandPayRate[Employee Position],tblPositionandPayRate[Allowance 5],0)*tblPayrollMaster[[#This Row],[Pay Factor]]</f>
        <v>0</v>
      </c>
      <c r="Q177" s="25">
        <f>SUM(tblPayrollMaster[[#This Row],[Basic Pay]:[Allowance 5]])</f>
        <v>0</v>
      </c>
      <c r="R17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77" s="51" cm="1">
        <f t="array" ref="S1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77" s="3" cm="1">
        <f t="array" ref="T1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77" s="25">
        <f>_xlfn.LET(
_xlpm.tos, _xlfn.XLOOKUP(tblPayrollMaster[[#This Row],[Employee ID]], tblEmployee[Employee ID], tblEmployee[Type of Service], ""),
IF(_xlpm.tos="Contract of Service", 8.25, 0)
)</f>
        <v>0</v>
      </c>
      <c r="V177" s="25">
        <f>tblPayrollMaster[[#This Row],[Basic Earnings]]-tblPayrollMaster[[#This Row],[Tax]]-tblPayrollMaster[[#This Row],[NIS - Employee]]-tblPayrollMaster[[#This Row],[Health Surcharge]]</f>
        <v>0</v>
      </c>
      <c r="W177" s="25">
        <f>tblPayrollMaster[[#This Row],[Net Pay]]</f>
        <v>0</v>
      </c>
      <c r="X177" s="25"/>
    </row>
    <row r="178" spans="1:24" x14ac:dyDescent="0.25">
      <c r="A178" s="24"/>
      <c r="B178" s="24" t="str">
        <f>_xlfn.XLOOKUP(tblPayrollMaster[[#This Row],[Employee ID]],tblEmployee[Employee ID],tblEmployee[Employee Name],"")</f>
        <v/>
      </c>
      <c r="C178" s="24" t="str">
        <f>_xlfn.XLOOKUP(tblPayrollMaster[[#This Row],[Employee ID]],tblEmployee[Employee ID],tblEmployee[Employee Position],"")</f>
        <v/>
      </c>
      <c r="D178" s="24" t="str">
        <f>_xlfn.XLOOKUP(tblPayrollMaster[[#This Row],[Employee ID]], tblEmployee[Employee ID], tblEmployee[Pay Status], "Pay")</f>
        <v>Pay</v>
      </c>
      <c r="E178" s="24" t="str">
        <f>_xlfn.XLOOKUP(tblPayrollMaster[[#This Row],[Employee ID]], tblEmployee[Employee ID], tblEmployee[Payable Flag], "Y")</f>
        <v>Y</v>
      </c>
      <c r="F178" s="45">
        <f>IF(tblPayrollMaster[[#This Row],[Payable Flag]]="N",0,_xlfn.XLOOKUP(tblPayrollMaster[[#This Row],[Employee ID]],tblEmployee[Employee ID],tblEmployee[Pay Factor],1))</f>
        <v>1</v>
      </c>
      <c r="G178" s="26" t="str" cm="1">
        <f t="array" ref="G178">IF(tblPayrollMaster[[#This Row],[Employee ID]]="","",_xlfn.XLOOKUP(selPayPeriodID,tblPayCalendar[PayPeriodID],tblPayCalendar[PeriodStart],""))</f>
        <v/>
      </c>
      <c r="H178" s="26" t="str" cm="1">
        <f t="array" ref="H178">IF(tblPayrollMaster[[#This Row],[Employee ID]]="","",_xlfn.XLOOKUP(selPayPeriodID,tblPayCalendar[PayPeriodID],tblPayCalendar[PeriodEnd],""))</f>
        <v/>
      </c>
      <c r="I178" s="24" t="e" cm="1" vm="1">
        <f t="array" aca="1" ref="I178" ca="1">Table18[Employer Name]</f>
        <v>#VALUE!</v>
      </c>
      <c r="J178" s="3" cm="1">
        <f t="array" ref="J17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78" s="25" t="str">
        <f>_xlfn.XLOOKUP(tblPayrollMaster[[#This Row],[Employee Position]],tblPositionandPayRate[Employee Position],tblPositionandPayRate[Overtime], " ")</f>
        <v xml:space="preserve"> </v>
      </c>
      <c r="L178" s="25">
        <f>_xlfn.XLOOKUP(tblPayrollMaster[[#This Row],[Employee Position]],tblPositionandPayRate[Employee Position],tblPositionandPayRate[Allowance 1],0)*tblPayrollMaster[[#This Row],[Pay Factor]]</f>
        <v>0</v>
      </c>
      <c r="M178" s="25">
        <f>_xlfn.XLOOKUP(tblPayrollMaster[[#This Row],[Employee Position]],tblPositionandPayRate[Employee Position],tblPositionandPayRate[Allowance 2],0)*tblPayrollMaster[[#This Row],[Pay Factor]]</f>
        <v>0</v>
      </c>
      <c r="N178" s="25">
        <f>_xlfn.XLOOKUP(tblPayrollMaster[[#This Row],[Employee Position]],tblPositionandPayRate[Employee Position],tblPositionandPayRate[Allowance 3],0)*tblPayrollMaster[[#This Row],[Pay Factor]]</f>
        <v>0</v>
      </c>
      <c r="O178" s="25">
        <f>_xlfn.XLOOKUP(tblPayrollMaster[[#This Row],[Employee Position]],tblPositionandPayRate[Employee Position],tblPositionandPayRate[Allowance 4],0)*tblPayrollMaster[[#This Row],[Pay Factor]]</f>
        <v>0</v>
      </c>
      <c r="P178" s="25">
        <f>_xlfn.XLOOKUP(tblPayrollMaster[[#This Row],[Employee Position]],tblPositionandPayRate[Employee Position],tblPositionandPayRate[Allowance 5],0)*tblPayrollMaster[[#This Row],[Pay Factor]]</f>
        <v>0</v>
      </c>
      <c r="Q178" s="25">
        <f>SUM(tblPayrollMaster[[#This Row],[Basic Pay]:[Allowance 5]])</f>
        <v>0</v>
      </c>
      <c r="R17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78" s="51" cm="1">
        <f t="array" ref="S1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78" s="3" cm="1">
        <f t="array" ref="T1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78" s="25">
        <f>_xlfn.LET(
_xlpm.tos, _xlfn.XLOOKUP(tblPayrollMaster[[#This Row],[Employee ID]], tblEmployee[Employee ID], tblEmployee[Type of Service], ""),
IF(_xlpm.tos="Contract of Service", 8.25, 0)
)</f>
        <v>0</v>
      </c>
      <c r="V178" s="25">
        <f>tblPayrollMaster[[#This Row],[Basic Earnings]]-tblPayrollMaster[[#This Row],[Tax]]-tblPayrollMaster[[#This Row],[NIS - Employee]]-tblPayrollMaster[[#This Row],[Health Surcharge]]</f>
        <v>0</v>
      </c>
      <c r="W178" s="25">
        <f>tblPayrollMaster[[#This Row],[Net Pay]]</f>
        <v>0</v>
      </c>
      <c r="X178" s="25"/>
    </row>
    <row r="179" spans="1:24" x14ac:dyDescent="0.25">
      <c r="A179" s="24"/>
      <c r="B179" s="24" t="str">
        <f>_xlfn.XLOOKUP(tblPayrollMaster[[#This Row],[Employee ID]],tblEmployee[Employee ID],tblEmployee[Employee Name],"")</f>
        <v/>
      </c>
      <c r="C179" s="24" t="str">
        <f>_xlfn.XLOOKUP(tblPayrollMaster[[#This Row],[Employee ID]],tblEmployee[Employee ID],tblEmployee[Employee Position],"")</f>
        <v/>
      </c>
      <c r="D179" s="24" t="str">
        <f>_xlfn.XLOOKUP(tblPayrollMaster[[#This Row],[Employee ID]], tblEmployee[Employee ID], tblEmployee[Pay Status], "Pay")</f>
        <v>Pay</v>
      </c>
      <c r="E179" s="24" t="str">
        <f>_xlfn.XLOOKUP(tblPayrollMaster[[#This Row],[Employee ID]], tblEmployee[Employee ID], tblEmployee[Payable Flag], "Y")</f>
        <v>Y</v>
      </c>
      <c r="F179" s="45">
        <f>IF(tblPayrollMaster[[#This Row],[Payable Flag]]="N",0,_xlfn.XLOOKUP(tblPayrollMaster[[#This Row],[Employee ID]],tblEmployee[Employee ID],tblEmployee[Pay Factor],1))</f>
        <v>1</v>
      </c>
      <c r="G179" s="26" t="str" cm="1">
        <f t="array" ref="G179">IF(tblPayrollMaster[[#This Row],[Employee ID]]="","",_xlfn.XLOOKUP(selPayPeriodID,tblPayCalendar[PayPeriodID],tblPayCalendar[PeriodStart],""))</f>
        <v/>
      </c>
      <c r="H179" s="26" t="str" cm="1">
        <f t="array" ref="H179">IF(tblPayrollMaster[[#This Row],[Employee ID]]="","",_xlfn.XLOOKUP(selPayPeriodID,tblPayCalendar[PayPeriodID],tblPayCalendar[PeriodEnd],""))</f>
        <v/>
      </c>
      <c r="I179" s="24" t="e" cm="1" vm="1">
        <f t="array" aca="1" ref="I179" ca="1">Table18[Employer Name]</f>
        <v>#VALUE!</v>
      </c>
      <c r="J179" s="3" cm="1">
        <f t="array" ref="J17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79" s="25" t="str">
        <f>_xlfn.XLOOKUP(tblPayrollMaster[[#This Row],[Employee Position]],tblPositionandPayRate[Employee Position],tblPositionandPayRate[Overtime], " ")</f>
        <v xml:space="preserve"> </v>
      </c>
      <c r="L179" s="25">
        <f>_xlfn.XLOOKUP(tblPayrollMaster[[#This Row],[Employee Position]],tblPositionandPayRate[Employee Position],tblPositionandPayRate[Allowance 1],0)*tblPayrollMaster[[#This Row],[Pay Factor]]</f>
        <v>0</v>
      </c>
      <c r="M179" s="25">
        <f>_xlfn.XLOOKUP(tblPayrollMaster[[#This Row],[Employee Position]],tblPositionandPayRate[Employee Position],tblPositionandPayRate[Allowance 2],0)*tblPayrollMaster[[#This Row],[Pay Factor]]</f>
        <v>0</v>
      </c>
      <c r="N179" s="25">
        <f>_xlfn.XLOOKUP(tblPayrollMaster[[#This Row],[Employee Position]],tblPositionandPayRate[Employee Position],tblPositionandPayRate[Allowance 3],0)*tblPayrollMaster[[#This Row],[Pay Factor]]</f>
        <v>0</v>
      </c>
      <c r="O179" s="25">
        <f>_xlfn.XLOOKUP(tblPayrollMaster[[#This Row],[Employee Position]],tblPositionandPayRate[Employee Position],tblPositionandPayRate[Allowance 4],0)*tblPayrollMaster[[#This Row],[Pay Factor]]</f>
        <v>0</v>
      </c>
      <c r="P179" s="25">
        <f>_xlfn.XLOOKUP(tblPayrollMaster[[#This Row],[Employee Position]],tblPositionandPayRate[Employee Position],tblPositionandPayRate[Allowance 5],0)*tblPayrollMaster[[#This Row],[Pay Factor]]</f>
        <v>0</v>
      </c>
      <c r="Q179" s="25">
        <f>SUM(tblPayrollMaster[[#This Row],[Basic Pay]:[Allowance 5]])</f>
        <v>0</v>
      </c>
      <c r="R17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79" s="51" cm="1">
        <f t="array" ref="S1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79" s="3" cm="1">
        <f t="array" ref="T1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79" s="25">
        <f>_xlfn.LET(
_xlpm.tos, _xlfn.XLOOKUP(tblPayrollMaster[[#This Row],[Employee ID]], tblEmployee[Employee ID], tblEmployee[Type of Service], ""),
IF(_xlpm.tos="Contract of Service", 8.25, 0)
)</f>
        <v>0</v>
      </c>
      <c r="V179" s="25">
        <f>tblPayrollMaster[[#This Row],[Basic Earnings]]-tblPayrollMaster[[#This Row],[Tax]]-tblPayrollMaster[[#This Row],[NIS - Employee]]-tblPayrollMaster[[#This Row],[Health Surcharge]]</f>
        <v>0</v>
      </c>
      <c r="W179" s="25">
        <f>tblPayrollMaster[[#This Row],[Net Pay]]</f>
        <v>0</v>
      </c>
      <c r="X179" s="25"/>
    </row>
    <row r="180" spans="1:24" x14ac:dyDescent="0.25">
      <c r="A180" s="24"/>
      <c r="B180" s="24" t="str">
        <f>_xlfn.XLOOKUP(tblPayrollMaster[[#This Row],[Employee ID]],tblEmployee[Employee ID],tblEmployee[Employee Name],"")</f>
        <v/>
      </c>
      <c r="C180" s="24" t="str">
        <f>_xlfn.XLOOKUP(tblPayrollMaster[[#This Row],[Employee ID]],tblEmployee[Employee ID],tblEmployee[Employee Position],"")</f>
        <v/>
      </c>
      <c r="D180" s="24" t="str">
        <f>_xlfn.XLOOKUP(tblPayrollMaster[[#This Row],[Employee ID]], tblEmployee[Employee ID], tblEmployee[Pay Status], "Pay")</f>
        <v>Pay</v>
      </c>
      <c r="E180" s="24" t="str">
        <f>_xlfn.XLOOKUP(tblPayrollMaster[[#This Row],[Employee ID]], tblEmployee[Employee ID], tblEmployee[Payable Flag], "Y")</f>
        <v>Y</v>
      </c>
      <c r="F180" s="45">
        <f>IF(tblPayrollMaster[[#This Row],[Payable Flag]]="N",0,_xlfn.XLOOKUP(tblPayrollMaster[[#This Row],[Employee ID]],tblEmployee[Employee ID],tblEmployee[Pay Factor],1))</f>
        <v>1</v>
      </c>
      <c r="G180" s="26" t="str" cm="1">
        <f t="array" ref="G180">IF(tblPayrollMaster[[#This Row],[Employee ID]]="","",_xlfn.XLOOKUP(selPayPeriodID,tblPayCalendar[PayPeriodID],tblPayCalendar[PeriodStart],""))</f>
        <v/>
      </c>
      <c r="H180" s="26" t="str" cm="1">
        <f t="array" ref="H180">IF(tblPayrollMaster[[#This Row],[Employee ID]]="","",_xlfn.XLOOKUP(selPayPeriodID,tblPayCalendar[PayPeriodID],tblPayCalendar[PeriodEnd],""))</f>
        <v/>
      </c>
      <c r="I180" s="24" t="e" cm="1" vm="1">
        <f t="array" aca="1" ref="I180" ca="1">Table18[Employer Name]</f>
        <v>#VALUE!</v>
      </c>
      <c r="J180" s="3" cm="1">
        <f t="array" ref="J18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80" s="25" t="str">
        <f>_xlfn.XLOOKUP(tblPayrollMaster[[#This Row],[Employee Position]],tblPositionandPayRate[Employee Position],tblPositionandPayRate[Overtime], " ")</f>
        <v xml:space="preserve"> </v>
      </c>
      <c r="L180" s="25">
        <f>_xlfn.XLOOKUP(tblPayrollMaster[[#This Row],[Employee Position]],tblPositionandPayRate[Employee Position],tblPositionandPayRate[Allowance 1],0)*tblPayrollMaster[[#This Row],[Pay Factor]]</f>
        <v>0</v>
      </c>
      <c r="M180" s="25">
        <f>_xlfn.XLOOKUP(tblPayrollMaster[[#This Row],[Employee Position]],tblPositionandPayRate[Employee Position],tblPositionandPayRate[Allowance 2],0)*tblPayrollMaster[[#This Row],[Pay Factor]]</f>
        <v>0</v>
      </c>
      <c r="N180" s="25">
        <f>_xlfn.XLOOKUP(tblPayrollMaster[[#This Row],[Employee Position]],tblPositionandPayRate[Employee Position],tblPositionandPayRate[Allowance 3],0)*tblPayrollMaster[[#This Row],[Pay Factor]]</f>
        <v>0</v>
      </c>
      <c r="O180" s="25">
        <f>_xlfn.XLOOKUP(tblPayrollMaster[[#This Row],[Employee Position]],tblPositionandPayRate[Employee Position],tblPositionandPayRate[Allowance 4],0)*tblPayrollMaster[[#This Row],[Pay Factor]]</f>
        <v>0</v>
      </c>
      <c r="P180" s="25">
        <f>_xlfn.XLOOKUP(tblPayrollMaster[[#This Row],[Employee Position]],tblPositionandPayRate[Employee Position],tblPositionandPayRate[Allowance 5],0)*tblPayrollMaster[[#This Row],[Pay Factor]]</f>
        <v>0</v>
      </c>
      <c r="Q180" s="25">
        <f>SUM(tblPayrollMaster[[#This Row],[Basic Pay]:[Allowance 5]])</f>
        <v>0</v>
      </c>
      <c r="R18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80" s="51" cm="1">
        <f t="array" ref="S1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80" s="3" cm="1">
        <f t="array" ref="T1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80" s="25">
        <f>_xlfn.LET(
_xlpm.tos, _xlfn.XLOOKUP(tblPayrollMaster[[#This Row],[Employee ID]], tblEmployee[Employee ID], tblEmployee[Type of Service], ""),
IF(_xlpm.tos="Contract of Service", 8.25, 0)
)</f>
        <v>0</v>
      </c>
      <c r="V180" s="25">
        <f>tblPayrollMaster[[#This Row],[Basic Earnings]]-tblPayrollMaster[[#This Row],[Tax]]-tblPayrollMaster[[#This Row],[NIS - Employee]]-tblPayrollMaster[[#This Row],[Health Surcharge]]</f>
        <v>0</v>
      </c>
      <c r="W180" s="25">
        <f>tblPayrollMaster[[#This Row],[Net Pay]]</f>
        <v>0</v>
      </c>
      <c r="X180" s="25"/>
    </row>
    <row r="181" spans="1:24" x14ac:dyDescent="0.25">
      <c r="A181" s="24"/>
      <c r="B181" s="24" t="str">
        <f>_xlfn.XLOOKUP(tblPayrollMaster[[#This Row],[Employee ID]],tblEmployee[Employee ID],tblEmployee[Employee Name],"")</f>
        <v/>
      </c>
      <c r="C181" s="24" t="str">
        <f>_xlfn.XLOOKUP(tblPayrollMaster[[#This Row],[Employee ID]],tblEmployee[Employee ID],tblEmployee[Employee Position],"")</f>
        <v/>
      </c>
      <c r="D181" s="24" t="str">
        <f>_xlfn.XLOOKUP(tblPayrollMaster[[#This Row],[Employee ID]], tblEmployee[Employee ID], tblEmployee[Pay Status], "Pay")</f>
        <v>Pay</v>
      </c>
      <c r="E181" s="24" t="str">
        <f>_xlfn.XLOOKUP(tblPayrollMaster[[#This Row],[Employee ID]], tblEmployee[Employee ID], tblEmployee[Payable Flag], "Y")</f>
        <v>Y</v>
      </c>
      <c r="F181" s="45">
        <f>IF(tblPayrollMaster[[#This Row],[Payable Flag]]="N",0,_xlfn.XLOOKUP(tblPayrollMaster[[#This Row],[Employee ID]],tblEmployee[Employee ID],tblEmployee[Pay Factor],1))</f>
        <v>1</v>
      </c>
      <c r="G181" s="26" t="str" cm="1">
        <f t="array" ref="G181">IF(tblPayrollMaster[[#This Row],[Employee ID]]="","",_xlfn.XLOOKUP(selPayPeriodID,tblPayCalendar[PayPeriodID],tblPayCalendar[PeriodStart],""))</f>
        <v/>
      </c>
      <c r="H181" s="26" t="str" cm="1">
        <f t="array" ref="H181">IF(tblPayrollMaster[[#This Row],[Employee ID]]="","",_xlfn.XLOOKUP(selPayPeriodID,tblPayCalendar[PayPeriodID],tblPayCalendar[PeriodEnd],""))</f>
        <v/>
      </c>
      <c r="I181" s="24" t="e" cm="1" vm="1">
        <f t="array" aca="1" ref="I181" ca="1">Table18[Employer Name]</f>
        <v>#VALUE!</v>
      </c>
      <c r="J181" s="3" cm="1">
        <f t="array" ref="J18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81" s="25" t="str">
        <f>_xlfn.XLOOKUP(tblPayrollMaster[[#This Row],[Employee Position]],tblPositionandPayRate[Employee Position],tblPositionandPayRate[Overtime], " ")</f>
        <v xml:space="preserve"> </v>
      </c>
      <c r="L181" s="25">
        <f>_xlfn.XLOOKUP(tblPayrollMaster[[#This Row],[Employee Position]],tblPositionandPayRate[Employee Position],tblPositionandPayRate[Allowance 1],0)*tblPayrollMaster[[#This Row],[Pay Factor]]</f>
        <v>0</v>
      </c>
      <c r="M181" s="25">
        <f>_xlfn.XLOOKUP(tblPayrollMaster[[#This Row],[Employee Position]],tblPositionandPayRate[Employee Position],tblPositionandPayRate[Allowance 2],0)*tblPayrollMaster[[#This Row],[Pay Factor]]</f>
        <v>0</v>
      </c>
      <c r="N181" s="25">
        <f>_xlfn.XLOOKUP(tblPayrollMaster[[#This Row],[Employee Position]],tblPositionandPayRate[Employee Position],tblPositionandPayRate[Allowance 3],0)*tblPayrollMaster[[#This Row],[Pay Factor]]</f>
        <v>0</v>
      </c>
      <c r="O181" s="25">
        <f>_xlfn.XLOOKUP(tblPayrollMaster[[#This Row],[Employee Position]],tblPositionandPayRate[Employee Position],tblPositionandPayRate[Allowance 4],0)*tblPayrollMaster[[#This Row],[Pay Factor]]</f>
        <v>0</v>
      </c>
      <c r="P181" s="25">
        <f>_xlfn.XLOOKUP(tblPayrollMaster[[#This Row],[Employee Position]],tblPositionandPayRate[Employee Position],tblPositionandPayRate[Allowance 5],0)*tblPayrollMaster[[#This Row],[Pay Factor]]</f>
        <v>0</v>
      </c>
      <c r="Q181" s="25">
        <f>SUM(tblPayrollMaster[[#This Row],[Basic Pay]:[Allowance 5]])</f>
        <v>0</v>
      </c>
      <c r="R18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81" s="51" cm="1">
        <f t="array" ref="S1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81" s="3" cm="1">
        <f t="array" ref="T1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81" s="25">
        <f>_xlfn.LET(
_xlpm.tos, _xlfn.XLOOKUP(tblPayrollMaster[[#This Row],[Employee ID]], tblEmployee[Employee ID], tblEmployee[Type of Service], ""),
IF(_xlpm.tos="Contract of Service", 8.25, 0)
)</f>
        <v>0</v>
      </c>
      <c r="V181" s="25">
        <f>tblPayrollMaster[[#This Row],[Basic Earnings]]-tblPayrollMaster[[#This Row],[Tax]]-tblPayrollMaster[[#This Row],[NIS - Employee]]-tblPayrollMaster[[#This Row],[Health Surcharge]]</f>
        <v>0</v>
      </c>
      <c r="W181" s="25">
        <f>tblPayrollMaster[[#This Row],[Net Pay]]</f>
        <v>0</v>
      </c>
      <c r="X181" s="25"/>
    </row>
    <row r="182" spans="1:24" x14ac:dyDescent="0.25">
      <c r="A182" s="24"/>
      <c r="B182" s="24" t="str">
        <f>_xlfn.XLOOKUP(tblPayrollMaster[[#This Row],[Employee ID]],tblEmployee[Employee ID],tblEmployee[Employee Name],"")</f>
        <v/>
      </c>
      <c r="C182" s="24" t="str">
        <f>_xlfn.XLOOKUP(tblPayrollMaster[[#This Row],[Employee ID]],tblEmployee[Employee ID],tblEmployee[Employee Position],"")</f>
        <v/>
      </c>
      <c r="D182" s="24" t="str">
        <f>_xlfn.XLOOKUP(tblPayrollMaster[[#This Row],[Employee ID]], tblEmployee[Employee ID], tblEmployee[Pay Status], "Pay")</f>
        <v>Pay</v>
      </c>
      <c r="E182" s="24" t="str">
        <f>_xlfn.XLOOKUP(tblPayrollMaster[[#This Row],[Employee ID]], tblEmployee[Employee ID], tblEmployee[Payable Flag], "Y")</f>
        <v>Y</v>
      </c>
      <c r="F182" s="45">
        <f>IF(tblPayrollMaster[[#This Row],[Payable Flag]]="N",0,_xlfn.XLOOKUP(tblPayrollMaster[[#This Row],[Employee ID]],tblEmployee[Employee ID],tblEmployee[Pay Factor],1))</f>
        <v>1</v>
      </c>
      <c r="G182" s="26" t="str" cm="1">
        <f t="array" ref="G182">IF(tblPayrollMaster[[#This Row],[Employee ID]]="","",_xlfn.XLOOKUP(selPayPeriodID,tblPayCalendar[PayPeriodID],tblPayCalendar[PeriodStart],""))</f>
        <v/>
      </c>
      <c r="H182" s="26" t="str" cm="1">
        <f t="array" ref="H182">IF(tblPayrollMaster[[#This Row],[Employee ID]]="","",_xlfn.XLOOKUP(selPayPeriodID,tblPayCalendar[PayPeriodID],tblPayCalendar[PeriodEnd],""))</f>
        <v/>
      </c>
      <c r="I182" s="24" t="e" cm="1" vm="1">
        <f t="array" aca="1" ref="I182" ca="1">Table18[Employer Name]</f>
        <v>#VALUE!</v>
      </c>
      <c r="J182" s="3" cm="1">
        <f t="array" ref="J18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82" s="25" t="str">
        <f>_xlfn.XLOOKUP(tblPayrollMaster[[#This Row],[Employee Position]],tblPositionandPayRate[Employee Position],tblPositionandPayRate[Overtime], " ")</f>
        <v xml:space="preserve"> </v>
      </c>
      <c r="L182" s="25">
        <f>_xlfn.XLOOKUP(tblPayrollMaster[[#This Row],[Employee Position]],tblPositionandPayRate[Employee Position],tblPositionandPayRate[Allowance 1],0)*tblPayrollMaster[[#This Row],[Pay Factor]]</f>
        <v>0</v>
      </c>
      <c r="M182" s="25">
        <f>_xlfn.XLOOKUP(tblPayrollMaster[[#This Row],[Employee Position]],tblPositionandPayRate[Employee Position],tblPositionandPayRate[Allowance 2],0)*tblPayrollMaster[[#This Row],[Pay Factor]]</f>
        <v>0</v>
      </c>
      <c r="N182" s="25">
        <f>_xlfn.XLOOKUP(tblPayrollMaster[[#This Row],[Employee Position]],tblPositionandPayRate[Employee Position],tblPositionandPayRate[Allowance 3],0)*tblPayrollMaster[[#This Row],[Pay Factor]]</f>
        <v>0</v>
      </c>
      <c r="O182" s="25">
        <f>_xlfn.XLOOKUP(tblPayrollMaster[[#This Row],[Employee Position]],tblPositionandPayRate[Employee Position],tblPositionandPayRate[Allowance 4],0)*tblPayrollMaster[[#This Row],[Pay Factor]]</f>
        <v>0</v>
      </c>
      <c r="P182" s="25">
        <f>_xlfn.XLOOKUP(tblPayrollMaster[[#This Row],[Employee Position]],tblPositionandPayRate[Employee Position],tblPositionandPayRate[Allowance 5],0)*tblPayrollMaster[[#This Row],[Pay Factor]]</f>
        <v>0</v>
      </c>
      <c r="Q182" s="25">
        <f>SUM(tblPayrollMaster[[#This Row],[Basic Pay]:[Allowance 5]])</f>
        <v>0</v>
      </c>
      <c r="R18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82" s="51" cm="1">
        <f t="array" ref="S1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82" s="3" cm="1">
        <f t="array" ref="T1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82" s="25">
        <f>_xlfn.LET(
_xlpm.tos, _xlfn.XLOOKUP(tblPayrollMaster[[#This Row],[Employee ID]], tblEmployee[Employee ID], tblEmployee[Type of Service], ""),
IF(_xlpm.tos="Contract of Service", 8.25, 0)
)</f>
        <v>0</v>
      </c>
      <c r="V182" s="25">
        <f>tblPayrollMaster[[#This Row],[Basic Earnings]]-tblPayrollMaster[[#This Row],[Tax]]-tblPayrollMaster[[#This Row],[NIS - Employee]]-tblPayrollMaster[[#This Row],[Health Surcharge]]</f>
        <v>0</v>
      </c>
      <c r="W182" s="25">
        <f>tblPayrollMaster[[#This Row],[Net Pay]]</f>
        <v>0</v>
      </c>
      <c r="X182" s="25"/>
    </row>
    <row r="183" spans="1:24" x14ac:dyDescent="0.25">
      <c r="A183" s="24"/>
      <c r="B183" s="24" t="str">
        <f>_xlfn.XLOOKUP(tblPayrollMaster[[#This Row],[Employee ID]],tblEmployee[Employee ID],tblEmployee[Employee Name],"")</f>
        <v/>
      </c>
      <c r="C183" s="24" t="str">
        <f>_xlfn.XLOOKUP(tblPayrollMaster[[#This Row],[Employee ID]],tblEmployee[Employee ID],tblEmployee[Employee Position],"")</f>
        <v/>
      </c>
      <c r="D183" s="24" t="str">
        <f>_xlfn.XLOOKUP(tblPayrollMaster[[#This Row],[Employee ID]], tblEmployee[Employee ID], tblEmployee[Pay Status], "Pay")</f>
        <v>Pay</v>
      </c>
      <c r="E183" s="24" t="str">
        <f>_xlfn.XLOOKUP(tblPayrollMaster[[#This Row],[Employee ID]], tblEmployee[Employee ID], tblEmployee[Payable Flag], "Y")</f>
        <v>Y</v>
      </c>
      <c r="F183" s="45">
        <f>IF(tblPayrollMaster[[#This Row],[Payable Flag]]="N",0,_xlfn.XLOOKUP(tblPayrollMaster[[#This Row],[Employee ID]],tblEmployee[Employee ID],tblEmployee[Pay Factor],1))</f>
        <v>1</v>
      </c>
      <c r="G183" s="26" t="str" cm="1">
        <f t="array" ref="G183">IF(tblPayrollMaster[[#This Row],[Employee ID]]="","",_xlfn.XLOOKUP(selPayPeriodID,tblPayCalendar[PayPeriodID],tblPayCalendar[PeriodStart],""))</f>
        <v/>
      </c>
      <c r="H183" s="26" t="str" cm="1">
        <f t="array" ref="H183">IF(tblPayrollMaster[[#This Row],[Employee ID]]="","",_xlfn.XLOOKUP(selPayPeriodID,tblPayCalendar[PayPeriodID],tblPayCalendar[PeriodEnd],""))</f>
        <v/>
      </c>
      <c r="I183" s="24" t="e" cm="1" vm="1">
        <f t="array" aca="1" ref="I183" ca="1">Table18[Employer Name]</f>
        <v>#VALUE!</v>
      </c>
      <c r="J183" s="3" cm="1">
        <f t="array" ref="J18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83" s="25" t="str">
        <f>_xlfn.XLOOKUP(tblPayrollMaster[[#This Row],[Employee Position]],tblPositionandPayRate[Employee Position],tblPositionandPayRate[Overtime], " ")</f>
        <v xml:space="preserve"> </v>
      </c>
      <c r="L183" s="25">
        <f>_xlfn.XLOOKUP(tblPayrollMaster[[#This Row],[Employee Position]],tblPositionandPayRate[Employee Position],tblPositionandPayRate[Allowance 1],0)*tblPayrollMaster[[#This Row],[Pay Factor]]</f>
        <v>0</v>
      </c>
      <c r="M183" s="25">
        <f>_xlfn.XLOOKUP(tblPayrollMaster[[#This Row],[Employee Position]],tblPositionandPayRate[Employee Position],tblPositionandPayRate[Allowance 2],0)*tblPayrollMaster[[#This Row],[Pay Factor]]</f>
        <v>0</v>
      </c>
      <c r="N183" s="25">
        <f>_xlfn.XLOOKUP(tblPayrollMaster[[#This Row],[Employee Position]],tblPositionandPayRate[Employee Position],tblPositionandPayRate[Allowance 3],0)*tblPayrollMaster[[#This Row],[Pay Factor]]</f>
        <v>0</v>
      </c>
      <c r="O183" s="25">
        <f>_xlfn.XLOOKUP(tblPayrollMaster[[#This Row],[Employee Position]],tblPositionandPayRate[Employee Position],tblPositionandPayRate[Allowance 4],0)*tblPayrollMaster[[#This Row],[Pay Factor]]</f>
        <v>0</v>
      </c>
      <c r="P183" s="25">
        <f>_xlfn.XLOOKUP(tblPayrollMaster[[#This Row],[Employee Position]],tblPositionandPayRate[Employee Position],tblPositionandPayRate[Allowance 5],0)*tblPayrollMaster[[#This Row],[Pay Factor]]</f>
        <v>0</v>
      </c>
      <c r="Q183" s="25">
        <f>SUM(tblPayrollMaster[[#This Row],[Basic Pay]:[Allowance 5]])</f>
        <v>0</v>
      </c>
      <c r="R18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83" s="51" cm="1">
        <f t="array" ref="S1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83" s="3" cm="1">
        <f t="array" ref="T1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83" s="25">
        <f>_xlfn.LET(
_xlpm.tos, _xlfn.XLOOKUP(tblPayrollMaster[[#This Row],[Employee ID]], tblEmployee[Employee ID], tblEmployee[Type of Service], ""),
IF(_xlpm.tos="Contract of Service", 8.25, 0)
)</f>
        <v>0</v>
      </c>
      <c r="V183" s="25">
        <f>tblPayrollMaster[[#This Row],[Basic Earnings]]-tblPayrollMaster[[#This Row],[Tax]]-tblPayrollMaster[[#This Row],[NIS - Employee]]-tblPayrollMaster[[#This Row],[Health Surcharge]]</f>
        <v>0</v>
      </c>
      <c r="W183" s="25">
        <f>tblPayrollMaster[[#This Row],[Net Pay]]</f>
        <v>0</v>
      </c>
      <c r="X183" s="25"/>
    </row>
    <row r="184" spans="1:24" x14ac:dyDescent="0.25">
      <c r="A184" s="24"/>
      <c r="B184" s="24" t="str">
        <f>_xlfn.XLOOKUP(tblPayrollMaster[[#This Row],[Employee ID]],tblEmployee[Employee ID],tblEmployee[Employee Name],"")</f>
        <v/>
      </c>
      <c r="C184" s="24" t="str">
        <f>_xlfn.XLOOKUP(tblPayrollMaster[[#This Row],[Employee ID]],tblEmployee[Employee ID],tblEmployee[Employee Position],"")</f>
        <v/>
      </c>
      <c r="D184" s="24" t="str">
        <f>_xlfn.XLOOKUP(tblPayrollMaster[[#This Row],[Employee ID]], tblEmployee[Employee ID], tblEmployee[Pay Status], "Pay")</f>
        <v>Pay</v>
      </c>
      <c r="E184" s="24" t="str">
        <f>_xlfn.XLOOKUP(tblPayrollMaster[[#This Row],[Employee ID]], tblEmployee[Employee ID], tblEmployee[Payable Flag], "Y")</f>
        <v>Y</v>
      </c>
      <c r="F184" s="45">
        <f>IF(tblPayrollMaster[[#This Row],[Payable Flag]]="N",0,_xlfn.XLOOKUP(tblPayrollMaster[[#This Row],[Employee ID]],tblEmployee[Employee ID],tblEmployee[Pay Factor],1))</f>
        <v>1</v>
      </c>
      <c r="G184" s="26" t="str" cm="1">
        <f t="array" ref="G184">IF(tblPayrollMaster[[#This Row],[Employee ID]]="","",_xlfn.XLOOKUP(selPayPeriodID,tblPayCalendar[PayPeriodID],tblPayCalendar[PeriodStart],""))</f>
        <v/>
      </c>
      <c r="H184" s="26" t="str" cm="1">
        <f t="array" ref="H184">IF(tblPayrollMaster[[#This Row],[Employee ID]]="","",_xlfn.XLOOKUP(selPayPeriodID,tblPayCalendar[PayPeriodID],tblPayCalendar[PeriodEnd],""))</f>
        <v/>
      </c>
      <c r="I184" s="24" t="e" cm="1" vm="1">
        <f t="array" aca="1" ref="I184" ca="1">Table18[Employer Name]</f>
        <v>#VALUE!</v>
      </c>
      <c r="J184" s="3" cm="1">
        <f t="array" ref="J18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84" s="25" t="str">
        <f>_xlfn.XLOOKUP(tblPayrollMaster[[#This Row],[Employee Position]],tblPositionandPayRate[Employee Position],tblPositionandPayRate[Overtime], " ")</f>
        <v xml:space="preserve"> </v>
      </c>
      <c r="L184" s="25">
        <f>_xlfn.XLOOKUP(tblPayrollMaster[[#This Row],[Employee Position]],tblPositionandPayRate[Employee Position],tblPositionandPayRate[Allowance 1],0)*tblPayrollMaster[[#This Row],[Pay Factor]]</f>
        <v>0</v>
      </c>
      <c r="M184" s="25">
        <f>_xlfn.XLOOKUP(tblPayrollMaster[[#This Row],[Employee Position]],tblPositionandPayRate[Employee Position],tblPositionandPayRate[Allowance 2],0)*tblPayrollMaster[[#This Row],[Pay Factor]]</f>
        <v>0</v>
      </c>
      <c r="N184" s="25">
        <f>_xlfn.XLOOKUP(tblPayrollMaster[[#This Row],[Employee Position]],tblPositionandPayRate[Employee Position],tblPositionandPayRate[Allowance 3],0)*tblPayrollMaster[[#This Row],[Pay Factor]]</f>
        <v>0</v>
      </c>
      <c r="O184" s="25">
        <f>_xlfn.XLOOKUP(tblPayrollMaster[[#This Row],[Employee Position]],tblPositionandPayRate[Employee Position],tblPositionandPayRate[Allowance 4],0)*tblPayrollMaster[[#This Row],[Pay Factor]]</f>
        <v>0</v>
      </c>
      <c r="P184" s="25">
        <f>_xlfn.XLOOKUP(tblPayrollMaster[[#This Row],[Employee Position]],tblPositionandPayRate[Employee Position],tblPositionandPayRate[Allowance 5],0)*tblPayrollMaster[[#This Row],[Pay Factor]]</f>
        <v>0</v>
      </c>
      <c r="Q184" s="25">
        <f>SUM(tblPayrollMaster[[#This Row],[Basic Pay]:[Allowance 5]])</f>
        <v>0</v>
      </c>
      <c r="R18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84" s="51" cm="1">
        <f t="array" ref="S1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84" s="3" cm="1">
        <f t="array" ref="T1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84" s="25">
        <f>_xlfn.LET(
_xlpm.tos, _xlfn.XLOOKUP(tblPayrollMaster[[#This Row],[Employee ID]], tblEmployee[Employee ID], tblEmployee[Type of Service], ""),
IF(_xlpm.tos="Contract of Service", 8.25, 0)
)</f>
        <v>0</v>
      </c>
      <c r="V184" s="25">
        <f>tblPayrollMaster[[#This Row],[Basic Earnings]]-tblPayrollMaster[[#This Row],[Tax]]-tblPayrollMaster[[#This Row],[NIS - Employee]]-tblPayrollMaster[[#This Row],[Health Surcharge]]</f>
        <v>0</v>
      </c>
      <c r="W184" s="25">
        <f>tblPayrollMaster[[#This Row],[Net Pay]]</f>
        <v>0</v>
      </c>
      <c r="X184" s="25"/>
    </row>
    <row r="185" spans="1:24" x14ac:dyDescent="0.25">
      <c r="A185" s="24"/>
      <c r="B185" s="24" t="str">
        <f>_xlfn.XLOOKUP(tblPayrollMaster[[#This Row],[Employee ID]],tblEmployee[Employee ID],tblEmployee[Employee Name],"")</f>
        <v/>
      </c>
      <c r="C185" s="24" t="str">
        <f>_xlfn.XLOOKUP(tblPayrollMaster[[#This Row],[Employee ID]],tblEmployee[Employee ID],tblEmployee[Employee Position],"")</f>
        <v/>
      </c>
      <c r="D185" s="24" t="str">
        <f>_xlfn.XLOOKUP(tblPayrollMaster[[#This Row],[Employee ID]], tblEmployee[Employee ID], tblEmployee[Pay Status], "Pay")</f>
        <v>Pay</v>
      </c>
      <c r="E185" s="24" t="str">
        <f>_xlfn.XLOOKUP(tblPayrollMaster[[#This Row],[Employee ID]], tblEmployee[Employee ID], tblEmployee[Payable Flag], "Y")</f>
        <v>Y</v>
      </c>
      <c r="F185" s="45">
        <f>IF(tblPayrollMaster[[#This Row],[Payable Flag]]="N",0,_xlfn.XLOOKUP(tblPayrollMaster[[#This Row],[Employee ID]],tblEmployee[Employee ID],tblEmployee[Pay Factor],1))</f>
        <v>1</v>
      </c>
      <c r="G185" s="26" t="str" cm="1">
        <f t="array" ref="G185">IF(tblPayrollMaster[[#This Row],[Employee ID]]="","",_xlfn.XLOOKUP(selPayPeriodID,tblPayCalendar[PayPeriodID],tblPayCalendar[PeriodStart],""))</f>
        <v/>
      </c>
      <c r="H185" s="26" t="str" cm="1">
        <f t="array" ref="H185">IF(tblPayrollMaster[[#This Row],[Employee ID]]="","",_xlfn.XLOOKUP(selPayPeriodID,tblPayCalendar[PayPeriodID],tblPayCalendar[PeriodEnd],""))</f>
        <v/>
      </c>
      <c r="I185" s="24" t="e" cm="1" vm="1">
        <f t="array" aca="1" ref="I185" ca="1">Table18[Employer Name]</f>
        <v>#VALUE!</v>
      </c>
      <c r="J185" s="3" cm="1">
        <f t="array" ref="J18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85" s="25" t="str">
        <f>_xlfn.XLOOKUP(tblPayrollMaster[[#This Row],[Employee Position]],tblPositionandPayRate[Employee Position],tblPositionandPayRate[Overtime], " ")</f>
        <v xml:space="preserve"> </v>
      </c>
      <c r="L185" s="25">
        <f>_xlfn.XLOOKUP(tblPayrollMaster[[#This Row],[Employee Position]],tblPositionandPayRate[Employee Position],tblPositionandPayRate[Allowance 1],0)*tblPayrollMaster[[#This Row],[Pay Factor]]</f>
        <v>0</v>
      </c>
      <c r="M185" s="25">
        <f>_xlfn.XLOOKUP(tblPayrollMaster[[#This Row],[Employee Position]],tblPositionandPayRate[Employee Position],tblPositionandPayRate[Allowance 2],0)*tblPayrollMaster[[#This Row],[Pay Factor]]</f>
        <v>0</v>
      </c>
      <c r="N185" s="25">
        <f>_xlfn.XLOOKUP(tblPayrollMaster[[#This Row],[Employee Position]],tblPositionandPayRate[Employee Position],tblPositionandPayRate[Allowance 3],0)*tblPayrollMaster[[#This Row],[Pay Factor]]</f>
        <v>0</v>
      </c>
      <c r="O185" s="25">
        <f>_xlfn.XLOOKUP(tblPayrollMaster[[#This Row],[Employee Position]],tblPositionandPayRate[Employee Position],tblPositionandPayRate[Allowance 4],0)*tblPayrollMaster[[#This Row],[Pay Factor]]</f>
        <v>0</v>
      </c>
      <c r="P185" s="25">
        <f>_xlfn.XLOOKUP(tblPayrollMaster[[#This Row],[Employee Position]],tblPositionandPayRate[Employee Position],tblPositionandPayRate[Allowance 5],0)*tblPayrollMaster[[#This Row],[Pay Factor]]</f>
        <v>0</v>
      </c>
      <c r="Q185" s="25">
        <f>SUM(tblPayrollMaster[[#This Row],[Basic Pay]:[Allowance 5]])</f>
        <v>0</v>
      </c>
      <c r="R18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85" s="51" cm="1">
        <f t="array" ref="S1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85" s="3" cm="1">
        <f t="array" ref="T1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85" s="25">
        <f>_xlfn.LET(
_xlpm.tos, _xlfn.XLOOKUP(tblPayrollMaster[[#This Row],[Employee ID]], tblEmployee[Employee ID], tblEmployee[Type of Service], ""),
IF(_xlpm.tos="Contract of Service", 8.25, 0)
)</f>
        <v>0</v>
      </c>
      <c r="V185" s="25">
        <f>tblPayrollMaster[[#This Row],[Basic Earnings]]-tblPayrollMaster[[#This Row],[Tax]]-tblPayrollMaster[[#This Row],[NIS - Employee]]-tblPayrollMaster[[#This Row],[Health Surcharge]]</f>
        <v>0</v>
      </c>
      <c r="W185" s="25">
        <f>tblPayrollMaster[[#This Row],[Net Pay]]</f>
        <v>0</v>
      </c>
      <c r="X185" s="25"/>
    </row>
    <row r="186" spans="1:24" x14ac:dyDescent="0.25">
      <c r="A186" s="24"/>
      <c r="B186" s="24" t="str">
        <f>_xlfn.XLOOKUP(tblPayrollMaster[[#This Row],[Employee ID]],tblEmployee[Employee ID],tblEmployee[Employee Name],"")</f>
        <v/>
      </c>
      <c r="C186" s="24" t="str">
        <f>_xlfn.XLOOKUP(tblPayrollMaster[[#This Row],[Employee ID]],tblEmployee[Employee ID],tblEmployee[Employee Position],"")</f>
        <v/>
      </c>
      <c r="D186" s="24" t="str">
        <f>_xlfn.XLOOKUP(tblPayrollMaster[[#This Row],[Employee ID]], tblEmployee[Employee ID], tblEmployee[Pay Status], "Pay")</f>
        <v>Pay</v>
      </c>
      <c r="E186" s="24" t="str">
        <f>_xlfn.XLOOKUP(tblPayrollMaster[[#This Row],[Employee ID]], tblEmployee[Employee ID], tblEmployee[Payable Flag], "Y")</f>
        <v>Y</v>
      </c>
      <c r="F186" s="45">
        <f>IF(tblPayrollMaster[[#This Row],[Payable Flag]]="N",0,_xlfn.XLOOKUP(tblPayrollMaster[[#This Row],[Employee ID]],tblEmployee[Employee ID],tblEmployee[Pay Factor],1))</f>
        <v>1</v>
      </c>
      <c r="G186" s="26" t="str" cm="1">
        <f t="array" ref="G186">IF(tblPayrollMaster[[#This Row],[Employee ID]]="","",_xlfn.XLOOKUP(selPayPeriodID,tblPayCalendar[PayPeriodID],tblPayCalendar[PeriodStart],""))</f>
        <v/>
      </c>
      <c r="H186" s="26" t="str" cm="1">
        <f t="array" ref="H186">IF(tblPayrollMaster[[#This Row],[Employee ID]]="","",_xlfn.XLOOKUP(selPayPeriodID,tblPayCalendar[PayPeriodID],tblPayCalendar[PeriodEnd],""))</f>
        <v/>
      </c>
      <c r="I186" s="24" t="e" cm="1" vm="1">
        <f t="array" aca="1" ref="I186" ca="1">Table18[Employer Name]</f>
        <v>#VALUE!</v>
      </c>
      <c r="J186" s="3" cm="1">
        <f t="array" ref="J18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86" s="25" t="str">
        <f>_xlfn.XLOOKUP(tblPayrollMaster[[#This Row],[Employee Position]],tblPositionandPayRate[Employee Position],tblPositionandPayRate[Overtime], " ")</f>
        <v xml:space="preserve"> </v>
      </c>
      <c r="L186" s="25">
        <f>_xlfn.XLOOKUP(tblPayrollMaster[[#This Row],[Employee Position]],tblPositionandPayRate[Employee Position],tblPositionandPayRate[Allowance 1],0)*tblPayrollMaster[[#This Row],[Pay Factor]]</f>
        <v>0</v>
      </c>
      <c r="M186" s="25">
        <f>_xlfn.XLOOKUP(tblPayrollMaster[[#This Row],[Employee Position]],tblPositionandPayRate[Employee Position],tblPositionandPayRate[Allowance 2],0)*tblPayrollMaster[[#This Row],[Pay Factor]]</f>
        <v>0</v>
      </c>
      <c r="N186" s="25">
        <f>_xlfn.XLOOKUP(tblPayrollMaster[[#This Row],[Employee Position]],tblPositionandPayRate[Employee Position],tblPositionandPayRate[Allowance 3],0)*tblPayrollMaster[[#This Row],[Pay Factor]]</f>
        <v>0</v>
      </c>
      <c r="O186" s="25">
        <f>_xlfn.XLOOKUP(tblPayrollMaster[[#This Row],[Employee Position]],tblPositionandPayRate[Employee Position],tblPositionandPayRate[Allowance 4],0)*tblPayrollMaster[[#This Row],[Pay Factor]]</f>
        <v>0</v>
      </c>
      <c r="P186" s="25">
        <f>_xlfn.XLOOKUP(tblPayrollMaster[[#This Row],[Employee Position]],tblPositionandPayRate[Employee Position],tblPositionandPayRate[Allowance 5],0)*tblPayrollMaster[[#This Row],[Pay Factor]]</f>
        <v>0</v>
      </c>
      <c r="Q186" s="25">
        <f>SUM(tblPayrollMaster[[#This Row],[Basic Pay]:[Allowance 5]])</f>
        <v>0</v>
      </c>
      <c r="R18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86" s="51" cm="1">
        <f t="array" ref="S1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86" s="3" cm="1">
        <f t="array" ref="T1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86" s="25">
        <f>_xlfn.LET(
_xlpm.tos, _xlfn.XLOOKUP(tblPayrollMaster[[#This Row],[Employee ID]], tblEmployee[Employee ID], tblEmployee[Type of Service], ""),
IF(_xlpm.tos="Contract of Service", 8.25, 0)
)</f>
        <v>0</v>
      </c>
      <c r="V186" s="25">
        <f>tblPayrollMaster[[#This Row],[Basic Earnings]]-tblPayrollMaster[[#This Row],[Tax]]-tblPayrollMaster[[#This Row],[NIS - Employee]]-tblPayrollMaster[[#This Row],[Health Surcharge]]</f>
        <v>0</v>
      </c>
      <c r="W186" s="25">
        <f>tblPayrollMaster[[#This Row],[Net Pay]]</f>
        <v>0</v>
      </c>
      <c r="X186" s="25"/>
    </row>
    <row r="187" spans="1:24" x14ac:dyDescent="0.25">
      <c r="A187" s="24"/>
      <c r="B187" s="24" t="str">
        <f>_xlfn.XLOOKUP(tblPayrollMaster[[#This Row],[Employee ID]],tblEmployee[Employee ID],tblEmployee[Employee Name],"")</f>
        <v/>
      </c>
      <c r="C187" s="24" t="str">
        <f>_xlfn.XLOOKUP(tblPayrollMaster[[#This Row],[Employee ID]],tblEmployee[Employee ID],tblEmployee[Employee Position],"")</f>
        <v/>
      </c>
      <c r="D187" s="24" t="str">
        <f>_xlfn.XLOOKUP(tblPayrollMaster[[#This Row],[Employee ID]], tblEmployee[Employee ID], tblEmployee[Pay Status], "Pay")</f>
        <v>Pay</v>
      </c>
      <c r="E187" s="24" t="str">
        <f>_xlfn.XLOOKUP(tblPayrollMaster[[#This Row],[Employee ID]], tblEmployee[Employee ID], tblEmployee[Payable Flag], "Y")</f>
        <v>Y</v>
      </c>
      <c r="F187" s="45">
        <f>IF(tblPayrollMaster[[#This Row],[Payable Flag]]="N",0,_xlfn.XLOOKUP(tblPayrollMaster[[#This Row],[Employee ID]],tblEmployee[Employee ID],tblEmployee[Pay Factor],1))</f>
        <v>1</v>
      </c>
      <c r="G187" s="26" t="str" cm="1">
        <f t="array" ref="G187">IF(tblPayrollMaster[[#This Row],[Employee ID]]="","",_xlfn.XLOOKUP(selPayPeriodID,tblPayCalendar[PayPeriodID],tblPayCalendar[PeriodStart],""))</f>
        <v/>
      </c>
      <c r="H187" s="26" t="str" cm="1">
        <f t="array" ref="H187">IF(tblPayrollMaster[[#This Row],[Employee ID]]="","",_xlfn.XLOOKUP(selPayPeriodID,tblPayCalendar[PayPeriodID],tblPayCalendar[PeriodEnd],""))</f>
        <v/>
      </c>
      <c r="I187" s="24" t="e" cm="1" vm="1">
        <f t="array" aca="1" ref="I187" ca="1">Table18[Employer Name]</f>
        <v>#VALUE!</v>
      </c>
      <c r="J187" s="3" cm="1">
        <f t="array" ref="J18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87" s="25" t="str">
        <f>_xlfn.XLOOKUP(tblPayrollMaster[[#This Row],[Employee Position]],tblPositionandPayRate[Employee Position],tblPositionandPayRate[Overtime], " ")</f>
        <v xml:space="preserve"> </v>
      </c>
      <c r="L187" s="25">
        <f>_xlfn.XLOOKUP(tblPayrollMaster[[#This Row],[Employee Position]],tblPositionandPayRate[Employee Position],tblPositionandPayRate[Allowance 1],0)*tblPayrollMaster[[#This Row],[Pay Factor]]</f>
        <v>0</v>
      </c>
      <c r="M187" s="25">
        <f>_xlfn.XLOOKUP(tblPayrollMaster[[#This Row],[Employee Position]],tblPositionandPayRate[Employee Position],tblPositionandPayRate[Allowance 2],0)*tblPayrollMaster[[#This Row],[Pay Factor]]</f>
        <v>0</v>
      </c>
      <c r="N187" s="25">
        <f>_xlfn.XLOOKUP(tblPayrollMaster[[#This Row],[Employee Position]],tblPositionandPayRate[Employee Position],tblPositionandPayRate[Allowance 3],0)*tblPayrollMaster[[#This Row],[Pay Factor]]</f>
        <v>0</v>
      </c>
      <c r="O187" s="25">
        <f>_xlfn.XLOOKUP(tblPayrollMaster[[#This Row],[Employee Position]],tblPositionandPayRate[Employee Position],tblPositionandPayRate[Allowance 4],0)*tblPayrollMaster[[#This Row],[Pay Factor]]</f>
        <v>0</v>
      </c>
      <c r="P187" s="25">
        <f>_xlfn.XLOOKUP(tblPayrollMaster[[#This Row],[Employee Position]],tblPositionandPayRate[Employee Position],tblPositionandPayRate[Allowance 5],0)*tblPayrollMaster[[#This Row],[Pay Factor]]</f>
        <v>0</v>
      </c>
      <c r="Q187" s="25">
        <f>SUM(tblPayrollMaster[[#This Row],[Basic Pay]:[Allowance 5]])</f>
        <v>0</v>
      </c>
      <c r="R18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87" s="51" cm="1">
        <f t="array" ref="S1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87" s="3" cm="1">
        <f t="array" ref="T1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87" s="25">
        <f>_xlfn.LET(
_xlpm.tos, _xlfn.XLOOKUP(tblPayrollMaster[[#This Row],[Employee ID]], tblEmployee[Employee ID], tblEmployee[Type of Service], ""),
IF(_xlpm.tos="Contract of Service", 8.25, 0)
)</f>
        <v>0</v>
      </c>
      <c r="V187" s="25">
        <f>tblPayrollMaster[[#This Row],[Basic Earnings]]-tblPayrollMaster[[#This Row],[Tax]]-tblPayrollMaster[[#This Row],[NIS - Employee]]-tblPayrollMaster[[#This Row],[Health Surcharge]]</f>
        <v>0</v>
      </c>
      <c r="W187" s="25">
        <f>tblPayrollMaster[[#This Row],[Net Pay]]</f>
        <v>0</v>
      </c>
      <c r="X187" s="25"/>
    </row>
    <row r="188" spans="1:24" x14ac:dyDescent="0.25">
      <c r="A188" s="24"/>
      <c r="B188" s="24" t="str">
        <f>_xlfn.XLOOKUP(tblPayrollMaster[[#This Row],[Employee ID]],tblEmployee[Employee ID],tblEmployee[Employee Name],"")</f>
        <v/>
      </c>
      <c r="C188" s="24" t="str">
        <f>_xlfn.XLOOKUP(tblPayrollMaster[[#This Row],[Employee ID]],tblEmployee[Employee ID],tblEmployee[Employee Position],"")</f>
        <v/>
      </c>
      <c r="D188" s="24" t="str">
        <f>_xlfn.XLOOKUP(tblPayrollMaster[[#This Row],[Employee ID]], tblEmployee[Employee ID], tblEmployee[Pay Status], "Pay")</f>
        <v>Pay</v>
      </c>
      <c r="E188" s="24" t="str">
        <f>_xlfn.XLOOKUP(tblPayrollMaster[[#This Row],[Employee ID]], tblEmployee[Employee ID], tblEmployee[Payable Flag], "Y")</f>
        <v>Y</v>
      </c>
      <c r="F188" s="45">
        <f>IF(tblPayrollMaster[[#This Row],[Payable Flag]]="N",0,_xlfn.XLOOKUP(tblPayrollMaster[[#This Row],[Employee ID]],tblEmployee[Employee ID],tblEmployee[Pay Factor],1))</f>
        <v>1</v>
      </c>
      <c r="G188" s="26" t="str" cm="1">
        <f t="array" ref="G188">IF(tblPayrollMaster[[#This Row],[Employee ID]]="","",_xlfn.XLOOKUP(selPayPeriodID,tblPayCalendar[PayPeriodID],tblPayCalendar[PeriodStart],""))</f>
        <v/>
      </c>
      <c r="H188" s="26" t="str" cm="1">
        <f t="array" ref="H188">IF(tblPayrollMaster[[#This Row],[Employee ID]]="","",_xlfn.XLOOKUP(selPayPeriodID,tblPayCalendar[PayPeriodID],tblPayCalendar[PeriodEnd],""))</f>
        <v/>
      </c>
      <c r="I188" s="24" t="e" cm="1" vm="1">
        <f t="array" aca="1" ref="I188" ca="1">Table18[Employer Name]</f>
        <v>#VALUE!</v>
      </c>
      <c r="J188" s="3" cm="1">
        <f t="array" ref="J18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88" s="25" t="str">
        <f>_xlfn.XLOOKUP(tblPayrollMaster[[#This Row],[Employee Position]],tblPositionandPayRate[Employee Position],tblPositionandPayRate[Overtime], " ")</f>
        <v xml:space="preserve"> </v>
      </c>
      <c r="L188" s="25">
        <f>_xlfn.XLOOKUP(tblPayrollMaster[[#This Row],[Employee Position]],tblPositionandPayRate[Employee Position],tblPositionandPayRate[Allowance 1],0)*tblPayrollMaster[[#This Row],[Pay Factor]]</f>
        <v>0</v>
      </c>
      <c r="M188" s="25">
        <f>_xlfn.XLOOKUP(tblPayrollMaster[[#This Row],[Employee Position]],tblPositionandPayRate[Employee Position],tblPositionandPayRate[Allowance 2],0)*tblPayrollMaster[[#This Row],[Pay Factor]]</f>
        <v>0</v>
      </c>
      <c r="N188" s="25">
        <f>_xlfn.XLOOKUP(tblPayrollMaster[[#This Row],[Employee Position]],tblPositionandPayRate[Employee Position],tblPositionandPayRate[Allowance 3],0)*tblPayrollMaster[[#This Row],[Pay Factor]]</f>
        <v>0</v>
      </c>
      <c r="O188" s="25">
        <f>_xlfn.XLOOKUP(tblPayrollMaster[[#This Row],[Employee Position]],tblPositionandPayRate[Employee Position],tblPositionandPayRate[Allowance 4],0)*tblPayrollMaster[[#This Row],[Pay Factor]]</f>
        <v>0</v>
      </c>
      <c r="P188" s="25">
        <f>_xlfn.XLOOKUP(tblPayrollMaster[[#This Row],[Employee Position]],tblPositionandPayRate[Employee Position],tblPositionandPayRate[Allowance 5],0)*tblPayrollMaster[[#This Row],[Pay Factor]]</f>
        <v>0</v>
      </c>
      <c r="Q188" s="25">
        <f>SUM(tblPayrollMaster[[#This Row],[Basic Pay]:[Allowance 5]])</f>
        <v>0</v>
      </c>
      <c r="R18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88" s="51" cm="1">
        <f t="array" ref="S1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88" s="3" cm="1">
        <f t="array" ref="T1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88" s="25">
        <f>_xlfn.LET(
_xlpm.tos, _xlfn.XLOOKUP(tblPayrollMaster[[#This Row],[Employee ID]], tblEmployee[Employee ID], tblEmployee[Type of Service], ""),
IF(_xlpm.tos="Contract of Service", 8.25, 0)
)</f>
        <v>0</v>
      </c>
      <c r="V188" s="25">
        <f>tblPayrollMaster[[#This Row],[Basic Earnings]]-tblPayrollMaster[[#This Row],[Tax]]-tblPayrollMaster[[#This Row],[NIS - Employee]]-tblPayrollMaster[[#This Row],[Health Surcharge]]</f>
        <v>0</v>
      </c>
      <c r="W188" s="25">
        <f>tblPayrollMaster[[#This Row],[Net Pay]]</f>
        <v>0</v>
      </c>
      <c r="X188" s="25"/>
    </row>
    <row r="189" spans="1:24" x14ac:dyDescent="0.25">
      <c r="A189" s="24"/>
      <c r="B189" s="24" t="str">
        <f>_xlfn.XLOOKUP(tblPayrollMaster[[#This Row],[Employee ID]],tblEmployee[Employee ID],tblEmployee[Employee Name],"")</f>
        <v/>
      </c>
      <c r="C189" s="24" t="str">
        <f>_xlfn.XLOOKUP(tblPayrollMaster[[#This Row],[Employee ID]],tblEmployee[Employee ID],tblEmployee[Employee Position],"")</f>
        <v/>
      </c>
      <c r="D189" s="24" t="str">
        <f>_xlfn.XLOOKUP(tblPayrollMaster[[#This Row],[Employee ID]], tblEmployee[Employee ID], tblEmployee[Pay Status], "Pay")</f>
        <v>Pay</v>
      </c>
      <c r="E189" s="24" t="str">
        <f>_xlfn.XLOOKUP(tblPayrollMaster[[#This Row],[Employee ID]], tblEmployee[Employee ID], tblEmployee[Payable Flag], "Y")</f>
        <v>Y</v>
      </c>
      <c r="F189" s="45">
        <f>IF(tblPayrollMaster[[#This Row],[Payable Flag]]="N",0,_xlfn.XLOOKUP(tblPayrollMaster[[#This Row],[Employee ID]],tblEmployee[Employee ID],tblEmployee[Pay Factor],1))</f>
        <v>1</v>
      </c>
      <c r="G189" s="26" t="str" cm="1">
        <f t="array" ref="G189">IF(tblPayrollMaster[[#This Row],[Employee ID]]="","",_xlfn.XLOOKUP(selPayPeriodID,tblPayCalendar[PayPeriodID],tblPayCalendar[PeriodStart],""))</f>
        <v/>
      </c>
      <c r="H189" s="26" t="str" cm="1">
        <f t="array" ref="H189">IF(tblPayrollMaster[[#This Row],[Employee ID]]="","",_xlfn.XLOOKUP(selPayPeriodID,tblPayCalendar[PayPeriodID],tblPayCalendar[PeriodEnd],""))</f>
        <v/>
      </c>
      <c r="I189" s="24" t="e" cm="1" vm="1">
        <f t="array" aca="1" ref="I189" ca="1">Table18[Employer Name]</f>
        <v>#VALUE!</v>
      </c>
      <c r="J189" s="3" cm="1">
        <f t="array" ref="J18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89" s="25" t="str">
        <f>_xlfn.XLOOKUP(tblPayrollMaster[[#This Row],[Employee Position]],tblPositionandPayRate[Employee Position],tblPositionandPayRate[Overtime], " ")</f>
        <v xml:space="preserve"> </v>
      </c>
      <c r="L189" s="25">
        <f>_xlfn.XLOOKUP(tblPayrollMaster[[#This Row],[Employee Position]],tblPositionandPayRate[Employee Position],tblPositionandPayRate[Allowance 1],0)*tblPayrollMaster[[#This Row],[Pay Factor]]</f>
        <v>0</v>
      </c>
      <c r="M189" s="25">
        <f>_xlfn.XLOOKUP(tblPayrollMaster[[#This Row],[Employee Position]],tblPositionandPayRate[Employee Position],tblPositionandPayRate[Allowance 2],0)*tblPayrollMaster[[#This Row],[Pay Factor]]</f>
        <v>0</v>
      </c>
      <c r="N189" s="25">
        <f>_xlfn.XLOOKUP(tblPayrollMaster[[#This Row],[Employee Position]],tblPositionandPayRate[Employee Position],tblPositionandPayRate[Allowance 3],0)*tblPayrollMaster[[#This Row],[Pay Factor]]</f>
        <v>0</v>
      </c>
      <c r="O189" s="25">
        <f>_xlfn.XLOOKUP(tblPayrollMaster[[#This Row],[Employee Position]],tblPositionandPayRate[Employee Position],tblPositionandPayRate[Allowance 4],0)*tblPayrollMaster[[#This Row],[Pay Factor]]</f>
        <v>0</v>
      </c>
      <c r="P189" s="25">
        <f>_xlfn.XLOOKUP(tblPayrollMaster[[#This Row],[Employee Position]],tblPositionandPayRate[Employee Position],tblPositionandPayRate[Allowance 5],0)*tblPayrollMaster[[#This Row],[Pay Factor]]</f>
        <v>0</v>
      </c>
      <c r="Q189" s="25">
        <f>SUM(tblPayrollMaster[[#This Row],[Basic Pay]:[Allowance 5]])</f>
        <v>0</v>
      </c>
      <c r="R18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89" s="51" cm="1">
        <f t="array" ref="S1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89" s="3" cm="1">
        <f t="array" ref="T1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89" s="25">
        <f>_xlfn.LET(
_xlpm.tos, _xlfn.XLOOKUP(tblPayrollMaster[[#This Row],[Employee ID]], tblEmployee[Employee ID], tblEmployee[Type of Service], ""),
IF(_xlpm.tos="Contract of Service", 8.25, 0)
)</f>
        <v>0</v>
      </c>
      <c r="V189" s="25">
        <f>tblPayrollMaster[[#This Row],[Basic Earnings]]-tblPayrollMaster[[#This Row],[Tax]]-tblPayrollMaster[[#This Row],[NIS - Employee]]-tblPayrollMaster[[#This Row],[Health Surcharge]]</f>
        <v>0</v>
      </c>
      <c r="W189" s="25">
        <f>tblPayrollMaster[[#This Row],[Net Pay]]</f>
        <v>0</v>
      </c>
      <c r="X189" s="25"/>
    </row>
    <row r="190" spans="1:24" x14ac:dyDescent="0.25">
      <c r="A190" s="24"/>
      <c r="B190" s="24" t="str">
        <f>_xlfn.XLOOKUP(tblPayrollMaster[[#This Row],[Employee ID]],tblEmployee[Employee ID],tblEmployee[Employee Name],"")</f>
        <v/>
      </c>
      <c r="C190" s="24" t="str">
        <f>_xlfn.XLOOKUP(tblPayrollMaster[[#This Row],[Employee ID]],tblEmployee[Employee ID],tblEmployee[Employee Position],"")</f>
        <v/>
      </c>
      <c r="D190" s="24" t="str">
        <f>_xlfn.XLOOKUP(tblPayrollMaster[[#This Row],[Employee ID]], tblEmployee[Employee ID], tblEmployee[Pay Status], "Pay")</f>
        <v>Pay</v>
      </c>
      <c r="E190" s="24" t="str">
        <f>_xlfn.XLOOKUP(tblPayrollMaster[[#This Row],[Employee ID]], tblEmployee[Employee ID], tblEmployee[Payable Flag], "Y")</f>
        <v>Y</v>
      </c>
      <c r="F190" s="45">
        <f>IF(tblPayrollMaster[[#This Row],[Payable Flag]]="N",0,_xlfn.XLOOKUP(tblPayrollMaster[[#This Row],[Employee ID]],tblEmployee[Employee ID],tblEmployee[Pay Factor],1))</f>
        <v>1</v>
      </c>
      <c r="G190" s="26" t="str" cm="1">
        <f t="array" ref="G190">IF(tblPayrollMaster[[#This Row],[Employee ID]]="","",_xlfn.XLOOKUP(selPayPeriodID,tblPayCalendar[PayPeriodID],tblPayCalendar[PeriodStart],""))</f>
        <v/>
      </c>
      <c r="H190" s="26" t="str" cm="1">
        <f t="array" ref="H190">IF(tblPayrollMaster[[#This Row],[Employee ID]]="","",_xlfn.XLOOKUP(selPayPeriodID,tblPayCalendar[PayPeriodID],tblPayCalendar[PeriodEnd],""))</f>
        <v/>
      </c>
      <c r="I190" s="24" t="e" cm="1" vm="1">
        <f t="array" aca="1" ref="I190" ca="1">Table18[Employer Name]</f>
        <v>#VALUE!</v>
      </c>
      <c r="J190" s="3" cm="1">
        <f t="array" ref="J19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90" s="25" t="str">
        <f>_xlfn.XLOOKUP(tblPayrollMaster[[#This Row],[Employee Position]],tblPositionandPayRate[Employee Position],tblPositionandPayRate[Overtime], " ")</f>
        <v xml:space="preserve"> </v>
      </c>
      <c r="L190" s="25">
        <f>_xlfn.XLOOKUP(tblPayrollMaster[[#This Row],[Employee Position]],tblPositionandPayRate[Employee Position],tblPositionandPayRate[Allowance 1],0)*tblPayrollMaster[[#This Row],[Pay Factor]]</f>
        <v>0</v>
      </c>
      <c r="M190" s="25">
        <f>_xlfn.XLOOKUP(tblPayrollMaster[[#This Row],[Employee Position]],tblPositionandPayRate[Employee Position],tblPositionandPayRate[Allowance 2],0)*tblPayrollMaster[[#This Row],[Pay Factor]]</f>
        <v>0</v>
      </c>
      <c r="N190" s="25">
        <f>_xlfn.XLOOKUP(tblPayrollMaster[[#This Row],[Employee Position]],tblPositionandPayRate[Employee Position],tblPositionandPayRate[Allowance 3],0)*tblPayrollMaster[[#This Row],[Pay Factor]]</f>
        <v>0</v>
      </c>
      <c r="O190" s="25">
        <f>_xlfn.XLOOKUP(tblPayrollMaster[[#This Row],[Employee Position]],tblPositionandPayRate[Employee Position],tblPositionandPayRate[Allowance 4],0)*tblPayrollMaster[[#This Row],[Pay Factor]]</f>
        <v>0</v>
      </c>
      <c r="P190" s="25">
        <f>_xlfn.XLOOKUP(tblPayrollMaster[[#This Row],[Employee Position]],tblPositionandPayRate[Employee Position],tblPositionandPayRate[Allowance 5],0)*tblPayrollMaster[[#This Row],[Pay Factor]]</f>
        <v>0</v>
      </c>
      <c r="Q190" s="25">
        <f>SUM(tblPayrollMaster[[#This Row],[Basic Pay]:[Allowance 5]])</f>
        <v>0</v>
      </c>
      <c r="R19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90" s="51" cm="1">
        <f t="array" ref="S1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90" s="3" cm="1">
        <f t="array" ref="T1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90" s="25">
        <f>_xlfn.LET(
_xlpm.tos, _xlfn.XLOOKUP(tblPayrollMaster[[#This Row],[Employee ID]], tblEmployee[Employee ID], tblEmployee[Type of Service], ""),
IF(_xlpm.tos="Contract of Service", 8.25, 0)
)</f>
        <v>0</v>
      </c>
      <c r="V190" s="25">
        <f>tblPayrollMaster[[#This Row],[Basic Earnings]]-tblPayrollMaster[[#This Row],[Tax]]-tblPayrollMaster[[#This Row],[NIS - Employee]]-tblPayrollMaster[[#This Row],[Health Surcharge]]</f>
        <v>0</v>
      </c>
      <c r="W190" s="25">
        <f>tblPayrollMaster[[#This Row],[Net Pay]]</f>
        <v>0</v>
      </c>
      <c r="X190" s="25"/>
    </row>
    <row r="191" spans="1:24" x14ac:dyDescent="0.25">
      <c r="A191" s="24"/>
      <c r="B191" s="24" t="str">
        <f>_xlfn.XLOOKUP(tblPayrollMaster[[#This Row],[Employee ID]],tblEmployee[Employee ID],tblEmployee[Employee Name],"")</f>
        <v/>
      </c>
      <c r="C191" s="24" t="str">
        <f>_xlfn.XLOOKUP(tblPayrollMaster[[#This Row],[Employee ID]],tblEmployee[Employee ID],tblEmployee[Employee Position],"")</f>
        <v/>
      </c>
      <c r="D191" s="24" t="str">
        <f>_xlfn.XLOOKUP(tblPayrollMaster[[#This Row],[Employee ID]], tblEmployee[Employee ID], tblEmployee[Pay Status], "Pay")</f>
        <v>Pay</v>
      </c>
      <c r="E191" s="24" t="str">
        <f>_xlfn.XLOOKUP(tblPayrollMaster[[#This Row],[Employee ID]], tblEmployee[Employee ID], tblEmployee[Payable Flag], "Y")</f>
        <v>Y</v>
      </c>
      <c r="F191" s="45">
        <f>IF(tblPayrollMaster[[#This Row],[Payable Flag]]="N",0,_xlfn.XLOOKUP(tblPayrollMaster[[#This Row],[Employee ID]],tblEmployee[Employee ID],tblEmployee[Pay Factor],1))</f>
        <v>1</v>
      </c>
      <c r="G191" s="26" t="str" cm="1">
        <f t="array" ref="G191">IF(tblPayrollMaster[[#This Row],[Employee ID]]="","",_xlfn.XLOOKUP(selPayPeriodID,tblPayCalendar[PayPeriodID],tblPayCalendar[PeriodStart],""))</f>
        <v/>
      </c>
      <c r="H191" s="26" t="str" cm="1">
        <f t="array" ref="H191">IF(tblPayrollMaster[[#This Row],[Employee ID]]="","",_xlfn.XLOOKUP(selPayPeriodID,tblPayCalendar[PayPeriodID],tblPayCalendar[PeriodEnd],""))</f>
        <v/>
      </c>
      <c r="I191" s="24" t="e" cm="1" vm="1">
        <f t="array" aca="1" ref="I191" ca="1">Table18[Employer Name]</f>
        <v>#VALUE!</v>
      </c>
      <c r="J191" s="3" cm="1">
        <f t="array" ref="J19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91" s="25" t="str">
        <f>_xlfn.XLOOKUP(tblPayrollMaster[[#This Row],[Employee Position]],tblPositionandPayRate[Employee Position],tblPositionandPayRate[Overtime], " ")</f>
        <v xml:space="preserve"> </v>
      </c>
      <c r="L191" s="25">
        <f>_xlfn.XLOOKUP(tblPayrollMaster[[#This Row],[Employee Position]],tblPositionandPayRate[Employee Position],tblPositionandPayRate[Allowance 1],0)*tblPayrollMaster[[#This Row],[Pay Factor]]</f>
        <v>0</v>
      </c>
      <c r="M191" s="25">
        <f>_xlfn.XLOOKUP(tblPayrollMaster[[#This Row],[Employee Position]],tblPositionandPayRate[Employee Position],tblPositionandPayRate[Allowance 2],0)*tblPayrollMaster[[#This Row],[Pay Factor]]</f>
        <v>0</v>
      </c>
      <c r="N191" s="25">
        <f>_xlfn.XLOOKUP(tblPayrollMaster[[#This Row],[Employee Position]],tblPositionandPayRate[Employee Position],tblPositionandPayRate[Allowance 3],0)*tblPayrollMaster[[#This Row],[Pay Factor]]</f>
        <v>0</v>
      </c>
      <c r="O191" s="25">
        <f>_xlfn.XLOOKUP(tblPayrollMaster[[#This Row],[Employee Position]],tblPositionandPayRate[Employee Position],tblPositionandPayRate[Allowance 4],0)*tblPayrollMaster[[#This Row],[Pay Factor]]</f>
        <v>0</v>
      </c>
      <c r="P191" s="25">
        <f>_xlfn.XLOOKUP(tblPayrollMaster[[#This Row],[Employee Position]],tblPositionandPayRate[Employee Position],tblPositionandPayRate[Allowance 5],0)*tblPayrollMaster[[#This Row],[Pay Factor]]</f>
        <v>0</v>
      </c>
      <c r="Q191" s="25">
        <f>SUM(tblPayrollMaster[[#This Row],[Basic Pay]:[Allowance 5]])</f>
        <v>0</v>
      </c>
      <c r="R19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91" s="51" cm="1">
        <f t="array" ref="S1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91" s="3" cm="1">
        <f t="array" ref="T1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91" s="25">
        <f>_xlfn.LET(
_xlpm.tos, _xlfn.XLOOKUP(tblPayrollMaster[[#This Row],[Employee ID]], tblEmployee[Employee ID], tblEmployee[Type of Service], ""),
IF(_xlpm.tos="Contract of Service", 8.25, 0)
)</f>
        <v>0</v>
      </c>
      <c r="V191" s="25">
        <f>tblPayrollMaster[[#This Row],[Basic Earnings]]-tblPayrollMaster[[#This Row],[Tax]]-tblPayrollMaster[[#This Row],[NIS - Employee]]-tblPayrollMaster[[#This Row],[Health Surcharge]]</f>
        <v>0</v>
      </c>
      <c r="W191" s="25">
        <f>tblPayrollMaster[[#This Row],[Net Pay]]</f>
        <v>0</v>
      </c>
      <c r="X191" s="25"/>
    </row>
    <row r="192" spans="1:24" x14ac:dyDescent="0.25">
      <c r="A192" s="24"/>
      <c r="B192" s="24" t="str">
        <f>_xlfn.XLOOKUP(tblPayrollMaster[[#This Row],[Employee ID]],tblEmployee[Employee ID],tblEmployee[Employee Name],"")</f>
        <v/>
      </c>
      <c r="C192" s="24" t="str">
        <f>_xlfn.XLOOKUP(tblPayrollMaster[[#This Row],[Employee ID]],tblEmployee[Employee ID],tblEmployee[Employee Position],"")</f>
        <v/>
      </c>
      <c r="D192" s="24" t="str">
        <f>_xlfn.XLOOKUP(tblPayrollMaster[[#This Row],[Employee ID]], tblEmployee[Employee ID], tblEmployee[Pay Status], "Pay")</f>
        <v>Pay</v>
      </c>
      <c r="E192" s="24" t="str">
        <f>_xlfn.XLOOKUP(tblPayrollMaster[[#This Row],[Employee ID]], tblEmployee[Employee ID], tblEmployee[Payable Flag], "Y")</f>
        <v>Y</v>
      </c>
      <c r="F192" s="45">
        <f>IF(tblPayrollMaster[[#This Row],[Payable Flag]]="N",0,_xlfn.XLOOKUP(tblPayrollMaster[[#This Row],[Employee ID]],tblEmployee[Employee ID],tblEmployee[Pay Factor],1))</f>
        <v>1</v>
      </c>
      <c r="G192" s="26" t="str" cm="1">
        <f t="array" ref="G192">IF(tblPayrollMaster[[#This Row],[Employee ID]]="","",_xlfn.XLOOKUP(selPayPeriodID,tblPayCalendar[PayPeriodID],tblPayCalendar[PeriodStart],""))</f>
        <v/>
      </c>
      <c r="H192" s="26" t="str" cm="1">
        <f t="array" ref="H192">IF(tblPayrollMaster[[#This Row],[Employee ID]]="","",_xlfn.XLOOKUP(selPayPeriodID,tblPayCalendar[PayPeriodID],tblPayCalendar[PeriodEnd],""))</f>
        <v/>
      </c>
      <c r="I192" s="24" t="e" cm="1" vm="1">
        <f t="array" aca="1" ref="I192" ca="1">Table18[Employer Name]</f>
        <v>#VALUE!</v>
      </c>
      <c r="J192" s="3" cm="1">
        <f t="array" ref="J19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92" s="25" t="str">
        <f>_xlfn.XLOOKUP(tblPayrollMaster[[#This Row],[Employee Position]],tblPositionandPayRate[Employee Position],tblPositionandPayRate[Overtime], " ")</f>
        <v xml:space="preserve"> </v>
      </c>
      <c r="L192" s="25">
        <f>_xlfn.XLOOKUP(tblPayrollMaster[[#This Row],[Employee Position]],tblPositionandPayRate[Employee Position],tblPositionandPayRate[Allowance 1],0)*tblPayrollMaster[[#This Row],[Pay Factor]]</f>
        <v>0</v>
      </c>
      <c r="M192" s="25">
        <f>_xlfn.XLOOKUP(tblPayrollMaster[[#This Row],[Employee Position]],tblPositionandPayRate[Employee Position],tblPositionandPayRate[Allowance 2],0)*tblPayrollMaster[[#This Row],[Pay Factor]]</f>
        <v>0</v>
      </c>
      <c r="N192" s="25">
        <f>_xlfn.XLOOKUP(tblPayrollMaster[[#This Row],[Employee Position]],tblPositionandPayRate[Employee Position],tblPositionandPayRate[Allowance 3],0)*tblPayrollMaster[[#This Row],[Pay Factor]]</f>
        <v>0</v>
      </c>
      <c r="O192" s="25">
        <f>_xlfn.XLOOKUP(tblPayrollMaster[[#This Row],[Employee Position]],tblPositionandPayRate[Employee Position],tblPositionandPayRate[Allowance 4],0)*tblPayrollMaster[[#This Row],[Pay Factor]]</f>
        <v>0</v>
      </c>
      <c r="P192" s="25">
        <f>_xlfn.XLOOKUP(tblPayrollMaster[[#This Row],[Employee Position]],tblPositionandPayRate[Employee Position],tblPositionandPayRate[Allowance 5],0)*tblPayrollMaster[[#This Row],[Pay Factor]]</f>
        <v>0</v>
      </c>
      <c r="Q192" s="25">
        <f>SUM(tblPayrollMaster[[#This Row],[Basic Pay]:[Allowance 5]])</f>
        <v>0</v>
      </c>
      <c r="R19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92" s="51" cm="1">
        <f t="array" ref="S1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92" s="3" cm="1">
        <f t="array" ref="T1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92" s="25">
        <f>_xlfn.LET(
_xlpm.tos, _xlfn.XLOOKUP(tblPayrollMaster[[#This Row],[Employee ID]], tblEmployee[Employee ID], tblEmployee[Type of Service], ""),
IF(_xlpm.tos="Contract of Service", 8.25, 0)
)</f>
        <v>0</v>
      </c>
      <c r="V192" s="25">
        <f>tblPayrollMaster[[#This Row],[Basic Earnings]]-tblPayrollMaster[[#This Row],[Tax]]-tblPayrollMaster[[#This Row],[NIS - Employee]]-tblPayrollMaster[[#This Row],[Health Surcharge]]</f>
        <v>0</v>
      </c>
      <c r="W192" s="25">
        <f>tblPayrollMaster[[#This Row],[Net Pay]]</f>
        <v>0</v>
      </c>
      <c r="X192" s="25"/>
    </row>
    <row r="193" spans="1:24" x14ac:dyDescent="0.25">
      <c r="A193" s="24"/>
      <c r="B193" s="24" t="str">
        <f>_xlfn.XLOOKUP(tblPayrollMaster[[#This Row],[Employee ID]],tblEmployee[Employee ID],tblEmployee[Employee Name],"")</f>
        <v/>
      </c>
      <c r="C193" s="24" t="str">
        <f>_xlfn.XLOOKUP(tblPayrollMaster[[#This Row],[Employee ID]],tblEmployee[Employee ID],tblEmployee[Employee Position],"")</f>
        <v/>
      </c>
      <c r="D193" s="24" t="str">
        <f>_xlfn.XLOOKUP(tblPayrollMaster[[#This Row],[Employee ID]], tblEmployee[Employee ID], tblEmployee[Pay Status], "Pay")</f>
        <v>Pay</v>
      </c>
      <c r="E193" s="24" t="str">
        <f>_xlfn.XLOOKUP(tblPayrollMaster[[#This Row],[Employee ID]], tblEmployee[Employee ID], tblEmployee[Payable Flag], "Y")</f>
        <v>Y</v>
      </c>
      <c r="F193" s="45">
        <f>IF(tblPayrollMaster[[#This Row],[Payable Flag]]="N",0,_xlfn.XLOOKUP(tblPayrollMaster[[#This Row],[Employee ID]],tblEmployee[Employee ID],tblEmployee[Pay Factor],1))</f>
        <v>1</v>
      </c>
      <c r="G193" s="26" t="str" cm="1">
        <f t="array" ref="G193">IF(tblPayrollMaster[[#This Row],[Employee ID]]="","",_xlfn.XLOOKUP(selPayPeriodID,tblPayCalendar[PayPeriodID],tblPayCalendar[PeriodStart],""))</f>
        <v/>
      </c>
      <c r="H193" s="26" t="str" cm="1">
        <f t="array" ref="H193">IF(tblPayrollMaster[[#This Row],[Employee ID]]="","",_xlfn.XLOOKUP(selPayPeriodID,tblPayCalendar[PayPeriodID],tblPayCalendar[PeriodEnd],""))</f>
        <v/>
      </c>
      <c r="I193" s="24" t="e" cm="1" vm="1">
        <f t="array" aca="1" ref="I193" ca="1">Table18[Employer Name]</f>
        <v>#VALUE!</v>
      </c>
      <c r="J193" s="3" cm="1">
        <f t="array" ref="J19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93" s="25" t="str">
        <f>_xlfn.XLOOKUP(tblPayrollMaster[[#This Row],[Employee Position]],tblPositionandPayRate[Employee Position],tblPositionandPayRate[Overtime], " ")</f>
        <v xml:space="preserve"> </v>
      </c>
      <c r="L193" s="25">
        <f>_xlfn.XLOOKUP(tblPayrollMaster[[#This Row],[Employee Position]],tblPositionandPayRate[Employee Position],tblPositionandPayRate[Allowance 1],0)*tblPayrollMaster[[#This Row],[Pay Factor]]</f>
        <v>0</v>
      </c>
      <c r="M193" s="25">
        <f>_xlfn.XLOOKUP(tblPayrollMaster[[#This Row],[Employee Position]],tblPositionandPayRate[Employee Position],tblPositionandPayRate[Allowance 2],0)*tblPayrollMaster[[#This Row],[Pay Factor]]</f>
        <v>0</v>
      </c>
      <c r="N193" s="25">
        <f>_xlfn.XLOOKUP(tblPayrollMaster[[#This Row],[Employee Position]],tblPositionandPayRate[Employee Position],tblPositionandPayRate[Allowance 3],0)*tblPayrollMaster[[#This Row],[Pay Factor]]</f>
        <v>0</v>
      </c>
      <c r="O193" s="25">
        <f>_xlfn.XLOOKUP(tblPayrollMaster[[#This Row],[Employee Position]],tblPositionandPayRate[Employee Position],tblPositionandPayRate[Allowance 4],0)*tblPayrollMaster[[#This Row],[Pay Factor]]</f>
        <v>0</v>
      </c>
      <c r="P193" s="25">
        <f>_xlfn.XLOOKUP(tblPayrollMaster[[#This Row],[Employee Position]],tblPositionandPayRate[Employee Position],tblPositionandPayRate[Allowance 5],0)*tblPayrollMaster[[#This Row],[Pay Factor]]</f>
        <v>0</v>
      </c>
      <c r="Q193" s="25">
        <f>SUM(tblPayrollMaster[[#This Row],[Basic Pay]:[Allowance 5]])</f>
        <v>0</v>
      </c>
      <c r="R19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93" s="51" cm="1">
        <f t="array" ref="S1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93" s="3" cm="1">
        <f t="array" ref="T1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93" s="25">
        <f>_xlfn.LET(
_xlpm.tos, _xlfn.XLOOKUP(tblPayrollMaster[[#This Row],[Employee ID]], tblEmployee[Employee ID], tblEmployee[Type of Service], ""),
IF(_xlpm.tos="Contract of Service", 8.25, 0)
)</f>
        <v>0</v>
      </c>
      <c r="V193" s="25">
        <f>tblPayrollMaster[[#This Row],[Basic Earnings]]-tblPayrollMaster[[#This Row],[Tax]]-tblPayrollMaster[[#This Row],[NIS - Employee]]-tblPayrollMaster[[#This Row],[Health Surcharge]]</f>
        <v>0</v>
      </c>
      <c r="W193" s="25">
        <f>tblPayrollMaster[[#This Row],[Net Pay]]</f>
        <v>0</v>
      </c>
      <c r="X193" s="25"/>
    </row>
    <row r="194" spans="1:24" x14ac:dyDescent="0.25">
      <c r="A194" s="24"/>
      <c r="B194" s="24" t="str">
        <f>_xlfn.XLOOKUP(tblPayrollMaster[[#This Row],[Employee ID]],tblEmployee[Employee ID],tblEmployee[Employee Name],"")</f>
        <v/>
      </c>
      <c r="C194" s="24" t="str">
        <f>_xlfn.XLOOKUP(tblPayrollMaster[[#This Row],[Employee ID]],tblEmployee[Employee ID],tblEmployee[Employee Position],"")</f>
        <v/>
      </c>
      <c r="D194" s="24" t="str">
        <f>_xlfn.XLOOKUP(tblPayrollMaster[[#This Row],[Employee ID]], tblEmployee[Employee ID], tblEmployee[Pay Status], "Pay")</f>
        <v>Pay</v>
      </c>
      <c r="E194" s="24" t="str">
        <f>_xlfn.XLOOKUP(tblPayrollMaster[[#This Row],[Employee ID]], tblEmployee[Employee ID], tblEmployee[Payable Flag], "Y")</f>
        <v>Y</v>
      </c>
      <c r="F194" s="45">
        <f>IF(tblPayrollMaster[[#This Row],[Payable Flag]]="N",0,_xlfn.XLOOKUP(tblPayrollMaster[[#This Row],[Employee ID]],tblEmployee[Employee ID],tblEmployee[Pay Factor],1))</f>
        <v>1</v>
      </c>
      <c r="G194" s="26" t="str" cm="1">
        <f t="array" ref="G194">IF(tblPayrollMaster[[#This Row],[Employee ID]]="","",_xlfn.XLOOKUP(selPayPeriodID,tblPayCalendar[PayPeriodID],tblPayCalendar[PeriodStart],""))</f>
        <v/>
      </c>
      <c r="H194" s="26" t="str" cm="1">
        <f t="array" ref="H194">IF(tblPayrollMaster[[#This Row],[Employee ID]]="","",_xlfn.XLOOKUP(selPayPeriodID,tblPayCalendar[PayPeriodID],tblPayCalendar[PeriodEnd],""))</f>
        <v/>
      </c>
      <c r="I194" s="24" t="e" cm="1" vm="1">
        <f t="array" aca="1" ref="I194" ca="1">Table18[Employer Name]</f>
        <v>#VALUE!</v>
      </c>
      <c r="J194" s="3" cm="1">
        <f t="array" ref="J19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94" s="25" t="str">
        <f>_xlfn.XLOOKUP(tblPayrollMaster[[#This Row],[Employee Position]],tblPositionandPayRate[Employee Position],tblPositionandPayRate[Overtime], " ")</f>
        <v xml:space="preserve"> </v>
      </c>
      <c r="L194" s="25">
        <f>_xlfn.XLOOKUP(tblPayrollMaster[[#This Row],[Employee Position]],tblPositionandPayRate[Employee Position],tblPositionandPayRate[Allowance 1],0)*tblPayrollMaster[[#This Row],[Pay Factor]]</f>
        <v>0</v>
      </c>
      <c r="M194" s="25">
        <f>_xlfn.XLOOKUP(tblPayrollMaster[[#This Row],[Employee Position]],tblPositionandPayRate[Employee Position],tblPositionandPayRate[Allowance 2],0)*tblPayrollMaster[[#This Row],[Pay Factor]]</f>
        <v>0</v>
      </c>
      <c r="N194" s="25">
        <f>_xlfn.XLOOKUP(tblPayrollMaster[[#This Row],[Employee Position]],tblPositionandPayRate[Employee Position],tblPositionandPayRate[Allowance 3],0)*tblPayrollMaster[[#This Row],[Pay Factor]]</f>
        <v>0</v>
      </c>
      <c r="O194" s="25">
        <f>_xlfn.XLOOKUP(tblPayrollMaster[[#This Row],[Employee Position]],tblPositionandPayRate[Employee Position],tblPositionandPayRate[Allowance 4],0)*tblPayrollMaster[[#This Row],[Pay Factor]]</f>
        <v>0</v>
      </c>
      <c r="P194" s="25">
        <f>_xlfn.XLOOKUP(tblPayrollMaster[[#This Row],[Employee Position]],tblPositionandPayRate[Employee Position],tblPositionandPayRate[Allowance 5],0)*tblPayrollMaster[[#This Row],[Pay Factor]]</f>
        <v>0</v>
      </c>
      <c r="Q194" s="25">
        <f>SUM(tblPayrollMaster[[#This Row],[Basic Pay]:[Allowance 5]])</f>
        <v>0</v>
      </c>
      <c r="R19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94" s="51" cm="1">
        <f t="array" ref="S1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94" s="3" cm="1">
        <f t="array" ref="T1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94" s="25">
        <f>_xlfn.LET(
_xlpm.tos, _xlfn.XLOOKUP(tblPayrollMaster[[#This Row],[Employee ID]], tblEmployee[Employee ID], tblEmployee[Type of Service], ""),
IF(_xlpm.tos="Contract of Service", 8.25, 0)
)</f>
        <v>0</v>
      </c>
      <c r="V194" s="25">
        <f>tblPayrollMaster[[#This Row],[Basic Earnings]]-tblPayrollMaster[[#This Row],[Tax]]-tblPayrollMaster[[#This Row],[NIS - Employee]]-tblPayrollMaster[[#This Row],[Health Surcharge]]</f>
        <v>0</v>
      </c>
      <c r="W194" s="25">
        <f>tblPayrollMaster[[#This Row],[Net Pay]]</f>
        <v>0</v>
      </c>
      <c r="X194" s="25"/>
    </row>
    <row r="195" spans="1:24" x14ac:dyDescent="0.25">
      <c r="A195" s="24"/>
      <c r="B195" s="24" t="str">
        <f>_xlfn.XLOOKUP(tblPayrollMaster[[#This Row],[Employee ID]],tblEmployee[Employee ID],tblEmployee[Employee Name],"")</f>
        <v/>
      </c>
      <c r="C195" s="24" t="str">
        <f>_xlfn.XLOOKUP(tblPayrollMaster[[#This Row],[Employee ID]],tblEmployee[Employee ID],tblEmployee[Employee Position],"")</f>
        <v/>
      </c>
      <c r="D195" s="24" t="str">
        <f>_xlfn.XLOOKUP(tblPayrollMaster[[#This Row],[Employee ID]], tblEmployee[Employee ID], tblEmployee[Pay Status], "Pay")</f>
        <v>Pay</v>
      </c>
      <c r="E195" s="24" t="str">
        <f>_xlfn.XLOOKUP(tblPayrollMaster[[#This Row],[Employee ID]], tblEmployee[Employee ID], tblEmployee[Payable Flag], "Y")</f>
        <v>Y</v>
      </c>
      <c r="F195" s="45">
        <f>IF(tblPayrollMaster[[#This Row],[Payable Flag]]="N",0,_xlfn.XLOOKUP(tblPayrollMaster[[#This Row],[Employee ID]],tblEmployee[Employee ID],tblEmployee[Pay Factor],1))</f>
        <v>1</v>
      </c>
      <c r="G195" s="26" t="str" cm="1">
        <f t="array" ref="G195">IF(tblPayrollMaster[[#This Row],[Employee ID]]="","",_xlfn.XLOOKUP(selPayPeriodID,tblPayCalendar[PayPeriodID],tblPayCalendar[PeriodStart],""))</f>
        <v/>
      </c>
      <c r="H195" s="26" t="str" cm="1">
        <f t="array" ref="H195">IF(tblPayrollMaster[[#This Row],[Employee ID]]="","",_xlfn.XLOOKUP(selPayPeriodID,tblPayCalendar[PayPeriodID],tblPayCalendar[PeriodEnd],""))</f>
        <v/>
      </c>
      <c r="I195" s="24" t="e" cm="1" vm="1">
        <f t="array" aca="1" ref="I195" ca="1">Table18[Employer Name]</f>
        <v>#VALUE!</v>
      </c>
      <c r="J195" s="3" cm="1">
        <f t="array" ref="J19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95" s="25" t="str">
        <f>_xlfn.XLOOKUP(tblPayrollMaster[[#This Row],[Employee Position]],tblPositionandPayRate[Employee Position],tblPositionandPayRate[Overtime], " ")</f>
        <v xml:space="preserve"> </v>
      </c>
      <c r="L195" s="25">
        <f>_xlfn.XLOOKUP(tblPayrollMaster[[#This Row],[Employee Position]],tblPositionandPayRate[Employee Position],tblPositionandPayRate[Allowance 1],0)*tblPayrollMaster[[#This Row],[Pay Factor]]</f>
        <v>0</v>
      </c>
      <c r="M195" s="25">
        <f>_xlfn.XLOOKUP(tblPayrollMaster[[#This Row],[Employee Position]],tblPositionandPayRate[Employee Position],tblPositionandPayRate[Allowance 2],0)*tblPayrollMaster[[#This Row],[Pay Factor]]</f>
        <v>0</v>
      </c>
      <c r="N195" s="25">
        <f>_xlfn.XLOOKUP(tblPayrollMaster[[#This Row],[Employee Position]],tblPositionandPayRate[Employee Position],tblPositionandPayRate[Allowance 3],0)*tblPayrollMaster[[#This Row],[Pay Factor]]</f>
        <v>0</v>
      </c>
      <c r="O195" s="25">
        <f>_xlfn.XLOOKUP(tblPayrollMaster[[#This Row],[Employee Position]],tblPositionandPayRate[Employee Position],tblPositionandPayRate[Allowance 4],0)*tblPayrollMaster[[#This Row],[Pay Factor]]</f>
        <v>0</v>
      </c>
      <c r="P195" s="25">
        <f>_xlfn.XLOOKUP(tblPayrollMaster[[#This Row],[Employee Position]],tblPositionandPayRate[Employee Position],tblPositionandPayRate[Allowance 5],0)*tblPayrollMaster[[#This Row],[Pay Factor]]</f>
        <v>0</v>
      </c>
      <c r="Q195" s="25">
        <f>SUM(tblPayrollMaster[[#This Row],[Basic Pay]:[Allowance 5]])</f>
        <v>0</v>
      </c>
      <c r="R19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95" s="51" cm="1">
        <f t="array" ref="S1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95" s="3" cm="1">
        <f t="array" ref="T1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95" s="25">
        <f>_xlfn.LET(
_xlpm.tos, _xlfn.XLOOKUP(tblPayrollMaster[[#This Row],[Employee ID]], tblEmployee[Employee ID], tblEmployee[Type of Service], ""),
IF(_xlpm.tos="Contract of Service", 8.25, 0)
)</f>
        <v>0</v>
      </c>
      <c r="V195" s="25">
        <f>tblPayrollMaster[[#This Row],[Basic Earnings]]-tblPayrollMaster[[#This Row],[Tax]]-tblPayrollMaster[[#This Row],[NIS - Employee]]-tblPayrollMaster[[#This Row],[Health Surcharge]]</f>
        <v>0</v>
      </c>
      <c r="W195" s="25">
        <f>tblPayrollMaster[[#This Row],[Net Pay]]</f>
        <v>0</v>
      </c>
      <c r="X195" s="25"/>
    </row>
    <row r="196" spans="1:24" x14ac:dyDescent="0.25">
      <c r="A196" s="24"/>
      <c r="B196" s="24" t="str">
        <f>_xlfn.XLOOKUP(tblPayrollMaster[[#This Row],[Employee ID]],tblEmployee[Employee ID],tblEmployee[Employee Name],"")</f>
        <v/>
      </c>
      <c r="C196" s="24" t="str">
        <f>_xlfn.XLOOKUP(tblPayrollMaster[[#This Row],[Employee ID]],tblEmployee[Employee ID],tblEmployee[Employee Position],"")</f>
        <v/>
      </c>
      <c r="D196" s="24" t="str">
        <f>_xlfn.XLOOKUP(tblPayrollMaster[[#This Row],[Employee ID]], tblEmployee[Employee ID], tblEmployee[Pay Status], "Pay")</f>
        <v>Pay</v>
      </c>
      <c r="E196" s="24" t="str">
        <f>_xlfn.XLOOKUP(tblPayrollMaster[[#This Row],[Employee ID]], tblEmployee[Employee ID], tblEmployee[Payable Flag], "Y")</f>
        <v>Y</v>
      </c>
      <c r="F196" s="45">
        <f>IF(tblPayrollMaster[[#This Row],[Payable Flag]]="N",0,_xlfn.XLOOKUP(tblPayrollMaster[[#This Row],[Employee ID]],tblEmployee[Employee ID],tblEmployee[Pay Factor],1))</f>
        <v>1</v>
      </c>
      <c r="G196" s="26" t="str" cm="1">
        <f t="array" ref="G196">IF(tblPayrollMaster[[#This Row],[Employee ID]]="","",_xlfn.XLOOKUP(selPayPeriodID,tblPayCalendar[PayPeriodID],tblPayCalendar[PeriodStart],""))</f>
        <v/>
      </c>
      <c r="H196" s="26" t="str" cm="1">
        <f t="array" ref="H196">IF(tblPayrollMaster[[#This Row],[Employee ID]]="","",_xlfn.XLOOKUP(selPayPeriodID,tblPayCalendar[PayPeriodID],tblPayCalendar[PeriodEnd],""))</f>
        <v/>
      </c>
      <c r="I196" s="24" t="e" cm="1" vm="1">
        <f t="array" aca="1" ref="I196" ca="1">Table18[Employer Name]</f>
        <v>#VALUE!</v>
      </c>
      <c r="J196" s="3" cm="1">
        <f t="array" ref="J19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96" s="25" t="str">
        <f>_xlfn.XLOOKUP(tblPayrollMaster[[#This Row],[Employee Position]],tblPositionandPayRate[Employee Position],tblPositionandPayRate[Overtime], " ")</f>
        <v xml:space="preserve"> </v>
      </c>
      <c r="L196" s="25">
        <f>_xlfn.XLOOKUP(tblPayrollMaster[[#This Row],[Employee Position]],tblPositionandPayRate[Employee Position],tblPositionandPayRate[Allowance 1],0)*tblPayrollMaster[[#This Row],[Pay Factor]]</f>
        <v>0</v>
      </c>
      <c r="M196" s="25">
        <f>_xlfn.XLOOKUP(tblPayrollMaster[[#This Row],[Employee Position]],tblPositionandPayRate[Employee Position],tblPositionandPayRate[Allowance 2],0)*tblPayrollMaster[[#This Row],[Pay Factor]]</f>
        <v>0</v>
      </c>
      <c r="N196" s="25">
        <f>_xlfn.XLOOKUP(tblPayrollMaster[[#This Row],[Employee Position]],tblPositionandPayRate[Employee Position],tblPositionandPayRate[Allowance 3],0)*tblPayrollMaster[[#This Row],[Pay Factor]]</f>
        <v>0</v>
      </c>
      <c r="O196" s="25">
        <f>_xlfn.XLOOKUP(tblPayrollMaster[[#This Row],[Employee Position]],tblPositionandPayRate[Employee Position],tblPositionandPayRate[Allowance 4],0)*tblPayrollMaster[[#This Row],[Pay Factor]]</f>
        <v>0</v>
      </c>
      <c r="P196" s="25">
        <f>_xlfn.XLOOKUP(tblPayrollMaster[[#This Row],[Employee Position]],tblPositionandPayRate[Employee Position],tblPositionandPayRate[Allowance 5],0)*tblPayrollMaster[[#This Row],[Pay Factor]]</f>
        <v>0</v>
      </c>
      <c r="Q196" s="25">
        <f>SUM(tblPayrollMaster[[#This Row],[Basic Pay]:[Allowance 5]])</f>
        <v>0</v>
      </c>
      <c r="R19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96" s="51" cm="1">
        <f t="array" ref="S1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96" s="3" cm="1">
        <f t="array" ref="T1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96" s="25">
        <f>_xlfn.LET(
_xlpm.tos, _xlfn.XLOOKUP(tblPayrollMaster[[#This Row],[Employee ID]], tblEmployee[Employee ID], tblEmployee[Type of Service], ""),
IF(_xlpm.tos="Contract of Service", 8.25, 0)
)</f>
        <v>0</v>
      </c>
      <c r="V196" s="25">
        <f>tblPayrollMaster[[#This Row],[Basic Earnings]]-tblPayrollMaster[[#This Row],[Tax]]-tblPayrollMaster[[#This Row],[NIS - Employee]]-tblPayrollMaster[[#This Row],[Health Surcharge]]</f>
        <v>0</v>
      </c>
      <c r="W196" s="25">
        <f>tblPayrollMaster[[#This Row],[Net Pay]]</f>
        <v>0</v>
      </c>
      <c r="X196" s="25"/>
    </row>
    <row r="197" spans="1:24" x14ac:dyDescent="0.25">
      <c r="A197" s="24"/>
      <c r="B197" s="24" t="str">
        <f>_xlfn.XLOOKUP(tblPayrollMaster[[#This Row],[Employee ID]],tblEmployee[Employee ID],tblEmployee[Employee Name],"")</f>
        <v/>
      </c>
      <c r="C197" s="24" t="str">
        <f>_xlfn.XLOOKUP(tblPayrollMaster[[#This Row],[Employee ID]],tblEmployee[Employee ID],tblEmployee[Employee Position],"")</f>
        <v/>
      </c>
      <c r="D197" s="24" t="str">
        <f>_xlfn.XLOOKUP(tblPayrollMaster[[#This Row],[Employee ID]], tblEmployee[Employee ID], tblEmployee[Pay Status], "Pay")</f>
        <v>Pay</v>
      </c>
      <c r="E197" s="24" t="str">
        <f>_xlfn.XLOOKUP(tblPayrollMaster[[#This Row],[Employee ID]], tblEmployee[Employee ID], tblEmployee[Payable Flag], "Y")</f>
        <v>Y</v>
      </c>
      <c r="F197" s="45">
        <f>IF(tblPayrollMaster[[#This Row],[Payable Flag]]="N",0,_xlfn.XLOOKUP(tblPayrollMaster[[#This Row],[Employee ID]],tblEmployee[Employee ID],tblEmployee[Pay Factor],1))</f>
        <v>1</v>
      </c>
      <c r="G197" s="26" t="str" cm="1">
        <f t="array" ref="G197">IF(tblPayrollMaster[[#This Row],[Employee ID]]="","",_xlfn.XLOOKUP(selPayPeriodID,tblPayCalendar[PayPeriodID],tblPayCalendar[PeriodStart],""))</f>
        <v/>
      </c>
      <c r="H197" s="26" t="str" cm="1">
        <f t="array" ref="H197">IF(tblPayrollMaster[[#This Row],[Employee ID]]="","",_xlfn.XLOOKUP(selPayPeriodID,tblPayCalendar[PayPeriodID],tblPayCalendar[PeriodEnd],""))</f>
        <v/>
      </c>
      <c r="I197" s="24" t="e" cm="1" vm="1">
        <f t="array" aca="1" ref="I197" ca="1">Table18[Employer Name]</f>
        <v>#VALUE!</v>
      </c>
      <c r="J197" s="3" cm="1">
        <f t="array" ref="J19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97" s="25" t="str">
        <f>_xlfn.XLOOKUP(tblPayrollMaster[[#This Row],[Employee Position]],tblPositionandPayRate[Employee Position],tblPositionandPayRate[Overtime], " ")</f>
        <v xml:space="preserve"> </v>
      </c>
      <c r="L197" s="25">
        <f>_xlfn.XLOOKUP(tblPayrollMaster[[#This Row],[Employee Position]],tblPositionandPayRate[Employee Position],tblPositionandPayRate[Allowance 1],0)*tblPayrollMaster[[#This Row],[Pay Factor]]</f>
        <v>0</v>
      </c>
      <c r="M197" s="25">
        <f>_xlfn.XLOOKUP(tblPayrollMaster[[#This Row],[Employee Position]],tblPositionandPayRate[Employee Position],tblPositionandPayRate[Allowance 2],0)*tblPayrollMaster[[#This Row],[Pay Factor]]</f>
        <v>0</v>
      </c>
      <c r="N197" s="25">
        <f>_xlfn.XLOOKUP(tblPayrollMaster[[#This Row],[Employee Position]],tblPositionandPayRate[Employee Position],tblPositionandPayRate[Allowance 3],0)*tblPayrollMaster[[#This Row],[Pay Factor]]</f>
        <v>0</v>
      </c>
      <c r="O197" s="25">
        <f>_xlfn.XLOOKUP(tblPayrollMaster[[#This Row],[Employee Position]],tblPositionandPayRate[Employee Position],tblPositionandPayRate[Allowance 4],0)*tblPayrollMaster[[#This Row],[Pay Factor]]</f>
        <v>0</v>
      </c>
      <c r="P197" s="25">
        <f>_xlfn.XLOOKUP(tblPayrollMaster[[#This Row],[Employee Position]],tblPositionandPayRate[Employee Position],tblPositionandPayRate[Allowance 5],0)*tblPayrollMaster[[#This Row],[Pay Factor]]</f>
        <v>0</v>
      </c>
      <c r="Q197" s="25">
        <f>SUM(tblPayrollMaster[[#This Row],[Basic Pay]:[Allowance 5]])</f>
        <v>0</v>
      </c>
      <c r="R19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97" s="51" cm="1">
        <f t="array" ref="S1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97" s="3" cm="1">
        <f t="array" ref="T1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97" s="25">
        <f>_xlfn.LET(
_xlpm.tos, _xlfn.XLOOKUP(tblPayrollMaster[[#This Row],[Employee ID]], tblEmployee[Employee ID], tblEmployee[Type of Service], ""),
IF(_xlpm.tos="Contract of Service", 8.25, 0)
)</f>
        <v>0</v>
      </c>
      <c r="V197" s="25">
        <f>tblPayrollMaster[[#This Row],[Basic Earnings]]-tblPayrollMaster[[#This Row],[Tax]]-tblPayrollMaster[[#This Row],[NIS - Employee]]-tblPayrollMaster[[#This Row],[Health Surcharge]]</f>
        <v>0</v>
      </c>
      <c r="W197" s="25">
        <f>tblPayrollMaster[[#This Row],[Net Pay]]</f>
        <v>0</v>
      </c>
      <c r="X197" s="25"/>
    </row>
    <row r="198" spans="1:24" x14ac:dyDescent="0.25">
      <c r="A198" s="24"/>
      <c r="B198" s="24" t="str">
        <f>_xlfn.XLOOKUP(tblPayrollMaster[[#This Row],[Employee ID]],tblEmployee[Employee ID],tblEmployee[Employee Name],"")</f>
        <v/>
      </c>
      <c r="C198" s="24" t="str">
        <f>_xlfn.XLOOKUP(tblPayrollMaster[[#This Row],[Employee ID]],tblEmployee[Employee ID],tblEmployee[Employee Position],"")</f>
        <v/>
      </c>
      <c r="D198" s="24" t="str">
        <f>_xlfn.XLOOKUP(tblPayrollMaster[[#This Row],[Employee ID]], tblEmployee[Employee ID], tblEmployee[Pay Status], "Pay")</f>
        <v>Pay</v>
      </c>
      <c r="E198" s="24" t="str">
        <f>_xlfn.XLOOKUP(tblPayrollMaster[[#This Row],[Employee ID]], tblEmployee[Employee ID], tblEmployee[Payable Flag], "Y")</f>
        <v>Y</v>
      </c>
      <c r="F198" s="45">
        <f>IF(tblPayrollMaster[[#This Row],[Payable Flag]]="N",0,_xlfn.XLOOKUP(tblPayrollMaster[[#This Row],[Employee ID]],tblEmployee[Employee ID],tblEmployee[Pay Factor],1))</f>
        <v>1</v>
      </c>
      <c r="G198" s="26" t="str" cm="1">
        <f t="array" ref="G198">IF(tblPayrollMaster[[#This Row],[Employee ID]]="","",_xlfn.XLOOKUP(selPayPeriodID,tblPayCalendar[PayPeriodID],tblPayCalendar[PeriodStart],""))</f>
        <v/>
      </c>
      <c r="H198" s="26" t="str" cm="1">
        <f t="array" ref="H198">IF(tblPayrollMaster[[#This Row],[Employee ID]]="","",_xlfn.XLOOKUP(selPayPeriodID,tblPayCalendar[PayPeriodID],tblPayCalendar[PeriodEnd],""))</f>
        <v/>
      </c>
      <c r="I198" s="24" t="e" cm="1" vm="1">
        <f t="array" aca="1" ref="I198" ca="1">Table18[Employer Name]</f>
        <v>#VALUE!</v>
      </c>
      <c r="J198" s="3" cm="1">
        <f t="array" ref="J19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98" s="25" t="str">
        <f>_xlfn.XLOOKUP(tblPayrollMaster[[#This Row],[Employee Position]],tblPositionandPayRate[Employee Position],tblPositionandPayRate[Overtime], " ")</f>
        <v xml:space="preserve"> </v>
      </c>
      <c r="L198" s="25">
        <f>_xlfn.XLOOKUP(tblPayrollMaster[[#This Row],[Employee Position]],tblPositionandPayRate[Employee Position],tblPositionandPayRate[Allowance 1],0)*tblPayrollMaster[[#This Row],[Pay Factor]]</f>
        <v>0</v>
      </c>
      <c r="M198" s="25">
        <f>_xlfn.XLOOKUP(tblPayrollMaster[[#This Row],[Employee Position]],tblPositionandPayRate[Employee Position],tblPositionandPayRate[Allowance 2],0)*tblPayrollMaster[[#This Row],[Pay Factor]]</f>
        <v>0</v>
      </c>
      <c r="N198" s="25">
        <f>_xlfn.XLOOKUP(tblPayrollMaster[[#This Row],[Employee Position]],tblPositionandPayRate[Employee Position],tblPositionandPayRate[Allowance 3],0)*tblPayrollMaster[[#This Row],[Pay Factor]]</f>
        <v>0</v>
      </c>
      <c r="O198" s="25">
        <f>_xlfn.XLOOKUP(tblPayrollMaster[[#This Row],[Employee Position]],tblPositionandPayRate[Employee Position],tblPositionandPayRate[Allowance 4],0)*tblPayrollMaster[[#This Row],[Pay Factor]]</f>
        <v>0</v>
      </c>
      <c r="P198" s="25">
        <f>_xlfn.XLOOKUP(tblPayrollMaster[[#This Row],[Employee Position]],tblPositionandPayRate[Employee Position],tblPositionandPayRate[Allowance 5],0)*tblPayrollMaster[[#This Row],[Pay Factor]]</f>
        <v>0</v>
      </c>
      <c r="Q198" s="25">
        <f>SUM(tblPayrollMaster[[#This Row],[Basic Pay]:[Allowance 5]])</f>
        <v>0</v>
      </c>
      <c r="R19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98" s="51" cm="1">
        <f t="array" ref="S1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98" s="3" cm="1">
        <f t="array" ref="T1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98" s="25">
        <f>_xlfn.LET(
_xlpm.tos, _xlfn.XLOOKUP(tblPayrollMaster[[#This Row],[Employee ID]], tblEmployee[Employee ID], tblEmployee[Type of Service], ""),
IF(_xlpm.tos="Contract of Service", 8.25, 0)
)</f>
        <v>0</v>
      </c>
      <c r="V198" s="25">
        <f>tblPayrollMaster[[#This Row],[Basic Earnings]]-tblPayrollMaster[[#This Row],[Tax]]-tblPayrollMaster[[#This Row],[NIS - Employee]]-tblPayrollMaster[[#This Row],[Health Surcharge]]</f>
        <v>0</v>
      </c>
      <c r="W198" s="25">
        <f>tblPayrollMaster[[#This Row],[Net Pay]]</f>
        <v>0</v>
      </c>
      <c r="X198" s="25"/>
    </row>
    <row r="199" spans="1:24" x14ac:dyDescent="0.25">
      <c r="A199" s="24"/>
      <c r="B199" s="24" t="str">
        <f>_xlfn.XLOOKUP(tblPayrollMaster[[#This Row],[Employee ID]],tblEmployee[Employee ID],tblEmployee[Employee Name],"")</f>
        <v/>
      </c>
      <c r="C199" s="24" t="str">
        <f>_xlfn.XLOOKUP(tblPayrollMaster[[#This Row],[Employee ID]],tblEmployee[Employee ID],tblEmployee[Employee Position],"")</f>
        <v/>
      </c>
      <c r="D199" s="24" t="str">
        <f>_xlfn.XLOOKUP(tblPayrollMaster[[#This Row],[Employee ID]], tblEmployee[Employee ID], tblEmployee[Pay Status], "Pay")</f>
        <v>Pay</v>
      </c>
      <c r="E199" s="24" t="str">
        <f>_xlfn.XLOOKUP(tblPayrollMaster[[#This Row],[Employee ID]], tblEmployee[Employee ID], tblEmployee[Payable Flag], "Y")</f>
        <v>Y</v>
      </c>
      <c r="F199" s="45">
        <f>IF(tblPayrollMaster[[#This Row],[Payable Flag]]="N",0,_xlfn.XLOOKUP(tblPayrollMaster[[#This Row],[Employee ID]],tblEmployee[Employee ID],tblEmployee[Pay Factor],1))</f>
        <v>1</v>
      </c>
      <c r="G199" s="26" t="str" cm="1">
        <f t="array" ref="G199">IF(tblPayrollMaster[[#This Row],[Employee ID]]="","",_xlfn.XLOOKUP(selPayPeriodID,tblPayCalendar[PayPeriodID],tblPayCalendar[PeriodStart],""))</f>
        <v/>
      </c>
      <c r="H199" s="26" t="str" cm="1">
        <f t="array" ref="H199">IF(tblPayrollMaster[[#This Row],[Employee ID]]="","",_xlfn.XLOOKUP(selPayPeriodID,tblPayCalendar[PayPeriodID],tblPayCalendar[PeriodEnd],""))</f>
        <v/>
      </c>
      <c r="I199" s="24" t="e" cm="1" vm="1">
        <f t="array" aca="1" ref="I199" ca="1">Table18[Employer Name]</f>
        <v>#VALUE!</v>
      </c>
      <c r="J199" s="3" cm="1">
        <f t="array" ref="J19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199" s="25" t="str">
        <f>_xlfn.XLOOKUP(tblPayrollMaster[[#This Row],[Employee Position]],tblPositionandPayRate[Employee Position],tblPositionandPayRate[Overtime], " ")</f>
        <v xml:space="preserve"> </v>
      </c>
      <c r="L199" s="25">
        <f>_xlfn.XLOOKUP(tblPayrollMaster[[#This Row],[Employee Position]],tblPositionandPayRate[Employee Position],tblPositionandPayRate[Allowance 1],0)*tblPayrollMaster[[#This Row],[Pay Factor]]</f>
        <v>0</v>
      </c>
      <c r="M199" s="25">
        <f>_xlfn.XLOOKUP(tblPayrollMaster[[#This Row],[Employee Position]],tblPositionandPayRate[Employee Position],tblPositionandPayRate[Allowance 2],0)*tblPayrollMaster[[#This Row],[Pay Factor]]</f>
        <v>0</v>
      </c>
      <c r="N199" s="25">
        <f>_xlfn.XLOOKUP(tblPayrollMaster[[#This Row],[Employee Position]],tblPositionandPayRate[Employee Position],tblPositionandPayRate[Allowance 3],0)*tblPayrollMaster[[#This Row],[Pay Factor]]</f>
        <v>0</v>
      </c>
      <c r="O199" s="25">
        <f>_xlfn.XLOOKUP(tblPayrollMaster[[#This Row],[Employee Position]],tblPositionandPayRate[Employee Position],tblPositionandPayRate[Allowance 4],0)*tblPayrollMaster[[#This Row],[Pay Factor]]</f>
        <v>0</v>
      </c>
      <c r="P199" s="25">
        <f>_xlfn.XLOOKUP(tblPayrollMaster[[#This Row],[Employee Position]],tblPositionandPayRate[Employee Position],tblPositionandPayRate[Allowance 5],0)*tblPayrollMaster[[#This Row],[Pay Factor]]</f>
        <v>0</v>
      </c>
      <c r="Q199" s="25">
        <f>SUM(tblPayrollMaster[[#This Row],[Basic Pay]:[Allowance 5]])</f>
        <v>0</v>
      </c>
      <c r="R19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199" s="51" cm="1">
        <f t="array" ref="S1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199" s="3" cm="1">
        <f t="array" ref="T1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199" s="25">
        <f>_xlfn.LET(
_xlpm.tos, _xlfn.XLOOKUP(tblPayrollMaster[[#This Row],[Employee ID]], tblEmployee[Employee ID], tblEmployee[Type of Service], ""),
IF(_xlpm.tos="Contract of Service", 8.25, 0)
)</f>
        <v>0</v>
      </c>
      <c r="V199" s="25">
        <f>tblPayrollMaster[[#This Row],[Basic Earnings]]-tblPayrollMaster[[#This Row],[Tax]]-tblPayrollMaster[[#This Row],[NIS - Employee]]-tblPayrollMaster[[#This Row],[Health Surcharge]]</f>
        <v>0</v>
      </c>
      <c r="W199" s="25">
        <f>tblPayrollMaster[[#This Row],[Net Pay]]</f>
        <v>0</v>
      </c>
      <c r="X199" s="25"/>
    </row>
    <row r="200" spans="1:24" x14ac:dyDescent="0.25">
      <c r="A200" s="24"/>
      <c r="B200" s="24" t="str">
        <f>_xlfn.XLOOKUP(tblPayrollMaster[[#This Row],[Employee ID]],tblEmployee[Employee ID],tblEmployee[Employee Name],"")</f>
        <v/>
      </c>
      <c r="C200" s="24" t="str">
        <f>_xlfn.XLOOKUP(tblPayrollMaster[[#This Row],[Employee ID]],tblEmployee[Employee ID],tblEmployee[Employee Position],"")</f>
        <v/>
      </c>
      <c r="D200" s="24" t="str">
        <f>_xlfn.XLOOKUP(tblPayrollMaster[[#This Row],[Employee ID]], tblEmployee[Employee ID], tblEmployee[Pay Status], "Pay")</f>
        <v>Pay</v>
      </c>
      <c r="E200" s="24" t="str">
        <f>_xlfn.XLOOKUP(tblPayrollMaster[[#This Row],[Employee ID]], tblEmployee[Employee ID], tblEmployee[Payable Flag], "Y")</f>
        <v>Y</v>
      </c>
      <c r="F200" s="45">
        <f>IF(tblPayrollMaster[[#This Row],[Payable Flag]]="N",0,_xlfn.XLOOKUP(tblPayrollMaster[[#This Row],[Employee ID]],tblEmployee[Employee ID],tblEmployee[Pay Factor],1))</f>
        <v>1</v>
      </c>
      <c r="G200" s="26" t="str" cm="1">
        <f t="array" ref="G200">IF(tblPayrollMaster[[#This Row],[Employee ID]]="","",_xlfn.XLOOKUP(selPayPeriodID,tblPayCalendar[PayPeriodID],tblPayCalendar[PeriodStart],""))</f>
        <v/>
      </c>
      <c r="H200" s="26" t="str" cm="1">
        <f t="array" ref="H200">IF(tblPayrollMaster[[#This Row],[Employee ID]]="","",_xlfn.XLOOKUP(selPayPeriodID,tblPayCalendar[PayPeriodID],tblPayCalendar[PeriodEnd],""))</f>
        <v/>
      </c>
      <c r="I200" s="24" t="e" cm="1" vm="1">
        <f t="array" aca="1" ref="I200" ca="1">Table18[Employer Name]</f>
        <v>#VALUE!</v>
      </c>
      <c r="J200" s="3" cm="1">
        <f t="array" ref="J20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00" s="25" t="str">
        <f>_xlfn.XLOOKUP(tblPayrollMaster[[#This Row],[Employee Position]],tblPositionandPayRate[Employee Position],tblPositionandPayRate[Overtime], " ")</f>
        <v xml:space="preserve"> </v>
      </c>
      <c r="L200" s="25">
        <f>_xlfn.XLOOKUP(tblPayrollMaster[[#This Row],[Employee Position]],tblPositionandPayRate[Employee Position],tblPositionandPayRate[Allowance 1],0)*tblPayrollMaster[[#This Row],[Pay Factor]]</f>
        <v>0</v>
      </c>
      <c r="M200" s="25">
        <f>_xlfn.XLOOKUP(tblPayrollMaster[[#This Row],[Employee Position]],tblPositionandPayRate[Employee Position],tblPositionandPayRate[Allowance 2],0)*tblPayrollMaster[[#This Row],[Pay Factor]]</f>
        <v>0</v>
      </c>
      <c r="N200" s="25">
        <f>_xlfn.XLOOKUP(tblPayrollMaster[[#This Row],[Employee Position]],tblPositionandPayRate[Employee Position],tblPositionandPayRate[Allowance 3],0)*tblPayrollMaster[[#This Row],[Pay Factor]]</f>
        <v>0</v>
      </c>
      <c r="O200" s="25">
        <f>_xlfn.XLOOKUP(tblPayrollMaster[[#This Row],[Employee Position]],tblPositionandPayRate[Employee Position],tblPositionandPayRate[Allowance 4],0)*tblPayrollMaster[[#This Row],[Pay Factor]]</f>
        <v>0</v>
      </c>
      <c r="P200" s="25">
        <f>_xlfn.XLOOKUP(tblPayrollMaster[[#This Row],[Employee Position]],tblPositionandPayRate[Employee Position],tblPositionandPayRate[Allowance 5],0)*tblPayrollMaster[[#This Row],[Pay Factor]]</f>
        <v>0</v>
      </c>
      <c r="Q200" s="25">
        <f>SUM(tblPayrollMaster[[#This Row],[Basic Pay]:[Allowance 5]])</f>
        <v>0</v>
      </c>
      <c r="R20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00" s="51" cm="1">
        <f t="array" ref="S2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00" s="3" cm="1">
        <f t="array" ref="T2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00" s="25">
        <f>_xlfn.LET(
_xlpm.tos, _xlfn.XLOOKUP(tblPayrollMaster[[#This Row],[Employee ID]], tblEmployee[Employee ID], tblEmployee[Type of Service], ""),
IF(_xlpm.tos="Contract of Service", 8.25, 0)
)</f>
        <v>0</v>
      </c>
      <c r="V200" s="25">
        <f>tblPayrollMaster[[#This Row],[Basic Earnings]]-tblPayrollMaster[[#This Row],[Tax]]-tblPayrollMaster[[#This Row],[NIS - Employee]]-tblPayrollMaster[[#This Row],[Health Surcharge]]</f>
        <v>0</v>
      </c>
      <c r="W200" s="25">
        <f>tblPayrollMaster[[#This Row],[Net Pay]]</f>
        <v>0</v>
      </c>
      <c r="X200" s="25"/>
    </row>
    <row r="201" spans="1:24" x14ac:dyDescent="0.25">
      <c r="A201" s="24"/>
      <c r="B201" s="24" t="str">
        <f>_xlfn.XLOOKUP(tblPayrollMaster[[#This Row],[Employee ID]],tblEmployee[Employee ID],tblEmployee[Employee Name],"")</f>
        <v/>
      </c>
      <c r="C201" s="24" t="str">
        <f>_xlfn.XLOOKUP(tblPayrollMaster[[#This Row],[Employee ID]],tblEmployee[Employee ID],tblEmployee[Employee Position],"")</f>
        <v/>
      </c>
      <c r="D201" s="24" t="str">
        <f>_xlfn.XLOOKUP(tblPayrollMaster[[#This Row],[Employee ID]], tblEmployee[Employee ID], tblEmployee[Pay Status], "Pay")</f>
        <v>Pay</v>
      </c>
      <c r="E201" s="24" t="str">
        <f>_xlfn.XLOOKUP(tblPayrollMaster[[#This Row],[Employee ID]], tblEmployee[Employee ID], tblEmployee[Payable Flag], "Y")</f>
        <v>Y</v>
      </c>
      <c r="F201" s="45">
        <f>IF(tblPayrollMaster[[#This Row],[Payable Flag]]="N",0,_xlfn.XLOOKUP(tblPayrollMaster[[#This Row],[Employee ID]],tblEmployee[Employee ID],tblEmployee[Pay Factor],1))</f>
        <v>1</v>
      </c>
      <c r="G201" s="26" t="str" cm="1">
        <f t="array" ref="G201">IF(tblPayrollMaster[[#This Row],[Employee ID]]="","",_xlfn.XLOOKUP(selPayPeriodID,tblPayCalendar[PayPeriodID],tblPayCalendar[PeriodStart],""))</f>
        <v/>
      </c>
      <c r="H201" s="26" t="str" cm="1">
        <f t="array" ref="H201">IF(tblPayrollMaster[[#This Row],[Employee ID]]="","",_xlfn.XLOOKUP(selPayPeriodID,tblPayCalendar[PayPeriodID],tblPayCalendar[PeriodEnd],""))</f>
        <v/>
      </c>
      <c r="I201" s="24" t="e" cm="1" vm="1">
        <f t="array" aca="1" ref="I201" ca="1">Table18[Employer Name]</f>
        <v>#VALUE!</v>
      </c>
      <c r="J201" s="3" cm="1">
        <f t="array" ref="J20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01" s="25" t="str">
        <f>_xlfn.XLOOKUP(tblPayrollMaster[[#This Row],[Employee Position]],tblPositionandPayRate[Employee Position],tblPositionandPayRate[Overtime], " ")</f>
        <v xml:space="preserve"> </v>
      </c>
      <c r="L201" s="25">
        <f>_xlfn.XLOOKUP(tblPayrollMaster[[#This Row],[Employee Position]],tblPositionandPayRate[Employee Position],tblPositionandPayRate[Allowance 1],0)*tblPayrollMaster[[#This Row],[Pay Factor]]</f>
        <v>0</v>
      </c>
      <c r="M201" s="25">
        <f>_xlfn.XLOOKUP(tblPayrollMaster[[#This Row],[Employee Position]],tblPositionandPayRate[Employee Position],tblPositionandPayRate[Allowance 2],0)*tblPayrollMaster[[#This Row],[Pay Factor]]</f>
        <v>0</v>
      </c>
      <c r="N201" s="25">
        <f>_xlfn.XLOOKUP(tblPayrollMaster[[#This Row],[Employee Position]],tblPositionandPayRate[Employee Position],tblPositionandPayRate[Allowance 3],0)*tblPayrollMaster[[#This Row],[Pay Factor]]</f>
        <v>0</v>
      </c>
      <c r="O201" s="25">
        <f>_xlfn.XLOOKUP(tblPayrollMaster[[#This Row],[Employee Position]],tblPositionandPayRate[Employee Position],tblPositionandPayRate[Allowance 4],0)*tblPayrollMaster[[#This Row],[Pay Factor]]</f>
        <v>0</v>
      </c>
      <c r="P201" s="25">
        <f>_xlfn.XLOOKUP(tblPayrollMaster[[#This Row],[Employee Position]],tblPositionandPayRate[Employee Position],tblPositionandPayRate[Allowance 5],0)*tblPayrollMaster[[#This Row],[Pay Factor]]</f>
        <v>0</v>
      </c>
      <c r="Q201" s="25">
        <f>SUM(tblPayrollMaster[[#This Row],[Basic Pay]:[Allowance 5]])</f>
        <v>0</v>
      </c>
      <c r="R20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01" s="51" cm="1">
        <f t="array" ref="S2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01" s="3" cm="1">
        <f t="array" ref="T2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01" s="25">
        <f>_xlfn.LET(
_xlpm.tos, _xlfn.XLOOKUP(tblPayrollMaster[[#This Row],[Employee ID]], tblEmployee[Employee ID], tblEmployee[Type of Service], ""),
IF(_xlpm.tos="Contract of Service", 8.25, 0)
)</f>
        <v>0</v>
      </c>
      <c r="V201" s="25">
        <f>tblPayrollMaster[[#This Row],[Basic Earnings]]-tblPayrollMaster[[#This Row],[Tax]]-tblPayrollMaster[[#This Row],[NIS - Employee]]-tblPayrollMaster[[#This Row],[Health Surcharge]]</f>
        <v>0</v>
      </c>
      <c r="W201" s="25">
        <f>tblPayrollMaster[[#This Row],[Net Pay]]</f>
        <v>0</v>
      </c>
      <c r="X201" s="25"/>
    </row>
    <row r="202" spans="1:24" x14ac:dyDescent="0.25">
      <c r="A202" s="24"/>
      <c r="B202" s="24" t="str">
        <f>_xlfn.XLOOKUP(tblPayrollMaster[[#This Row],[Employee ID]],tblEmployee[Employee ID],tblEmployee[Employee Name],"")</f>
        <v/>
      </c>
      <c r="C202" s="24" t="str">
        <f>_xlfn.XLOOKUP(tblPayrollMaster[[#This Row],[Employee ID]],tblEmployee[Employee ID],tblEmployee[Employee Position],"")</f>
        <v/>
      </c>
      <c r="D202" s="24" t="str">
        <f>_xlfn.XLOOKUP(tblPayrollMaster[[#This Row],[Employee ID]], tblEmployee[Employee ID], tblEmployee[Pay Status], "Pay")</f>
        <v>Pay</v>
      </c>
      <c r="E202" s="24" t="str">
        <f>_xlfn.XLOOKUP(tblPayrollMaster[[#This Row],[Employee ID]], tblEmployee[Employee ID], tblEmployee[Payable Flag], "Y")</f>
        <v>Y</v>
      </c>
      <c r="F202" s="45">
        <f>IF(tblPayrollMaster[[#This Row],[Payable Flag]]="N",0,_xlfn.XLOOKUP(tblPayrollMaster[[#This Row],[Employee ID]],tblEmployee[Employee ID],tblEmployee[Pay Factor],1))</f>
        <v>1</v>
      </c>
      <c r="G202" s="26" t="str" cm="1">
        <f t="array" ref="G202">IF(tblPayrollMaster[[#This Row],[Employee ID]]="","",_xlfn.XLOOKUP(selPayPeriodID,tblPayCalendar[PayPeriodID],tblPayCalendar[PeriodStart],""))</f>
        <v/>
      </c>
      <c r="H202" s="26" t="str" cm="1">
        <f t="array" ref="H202">IF(tblPayrollMaster[[#This Row],[Employee ID]]="","",_xlfn.XLOOKUP(selPayPeriodID,tblPayCalendar[PayPeriodID],tblPayCalendar[PeriodEnd],""))</f>
        <v/>
      </c>
      <c r="I202" s="24" t="e" cm="1" vm="1">
        <f t="array" aca="1" ref="I202" ca="1">Table18[Employer Name]</f>
        <v>#VALUE!</v>
      </c>
      <c r="J202" s="3" cm="1">
        <f t="array" ref="J20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02" s="25" t="str">
        <f>_xlfn.XLOOKUP(tblPayrollMaster[[#This Row],[Employee Position]],tblPositionandPayRate[Employee Position],tblPositionandPayRate[Overtime], " ")</f>
        <v xml:space="preserve"> </v>
      </c>
      <c r="L202" s="25">
        <f>_xlfn.XLOOKUP(tblPayrollMaster[[#This Row],[Employee Position]],tblPositionandPayRate[Employee Position],tblPositionandPayRate[Allowance 1],0)*tblPayrollMaster[[#This Row],[Pay Factor]]</f>
        <v>0</v>
      </c>
      <c r="M202" s="25">
        <f>_xlfn.XLOOKUP(tblPayrollMaster[[#This Row],[Employee Position]],tblPositionandPayRate[Employee Position],tblPositionandPayRate[Allowance 2],0)*tblPayrollMaster[[#This Row],[Pay Factor]]</f>
        <v>0</v>
      </c>
      <c r="N202" s="25">
        <f>_xlfn.XLOOKUP(tblPayrollMaster[[#This Row],[Employee Position]],tblPositionandPayRate[Employee Position],tblPositionandPayRate[Allowance 3],0)*tblPayrollMaster[[#This Row],[Pay Factor]]</f>
        <v>0</v>
      </c>
      <c r="O202" s="25">
        <f>_xlfn.XLOOKUP(tblPayrollMaster[[#This Row],[Employee Position]],tblPositionandPayRate[Employee Position],tblPositionandPayRate[Allowance 4],0)*tblPayrollMaster[[#This Row],[Pay Factor]]</f>
        <v>0</v>
      </c>
      <c r="P202" s="25">
        <f>_xlfn.XLOOKUP(tblPayrollMaster[[#This Row],[Employee Position]],tblPositionandPayRate[Employee Position],tblPositionandPayRate[Allowance 5],0)*tblPayrollMaster[[#This Row],[Pay Factor]]</f>
        <v>0</v>
      </c>
      <c r="Q202" s="25">
        <f>SUM(tblPayrollMaster[[#This Row],[Basic Pay]:[Allowance 5]])</f>
        <v>0</v>
      </c>
      <c r="R20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02" s="51" cm="1">
        <f t="array" ref="S2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02" s="3" cm="1">
        <f t="array" ref="T2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02" s="25">
        <f>_xlfn.LET(
_xlpm.tos, _xlfn.XLOOKUP(tblPayrollMaster[[#This Row],[Employee ID]], tblEmployee[Employee ID], tblEmployee[Type of Service], ""),
IF(_xlpm.tos="Contract of Service", 8.25, 0)
)</f>
        <v>0</v>
      </c>
      <c r="V202" s="25">
        <f>tblPayrollMaster[[#This Row],[Basic Earnings]]-tblPayrollMaster[[#This Row],[Tax]]-tblPayrollMaster[[#This Row],[NIS - Employee]]-tblPayrollMaster[[#This Row],[Health Surcharge]]</f>
        <v>0</v>
      </c>
      <c r="W202" s="25">
        <f>tblPayrollMaster[[#This Row],[Net Pay]]</f>
        <v>0</v>
      </c>
      <c r="X202" s="25"/>
    </row>
    <row r="203" spans="1:24" x14ac:dyDescent="0.25">
      <c r="A203" s="24"/>
      <c r="B203" s="24" t="str">
        <f>_xlfn.XLOOKUP(tblPayrollMaster[[#This Row],[Employee ID]],tblEmployee[Employee ID],tblEmployee[Employee Name],"")</f>
        <v/>
      </c>
      <c r="C203" s="24" t="str">
        <f>_xlfn.XLOOKUP(tblPayrollMaster[[#This Row],[Employee ID]],tblEmployee[Employee ID],tblEmployee[Employee Position],"")</f>
        <v/>
      </c>
      <c r="D203" s="24" t="str">
        <f>_xlfn.XLOOKUP(tblPayrollMaster[[#This Row],[Employee ID]], tblEmployee[Employee ID], tblEmployee[Pay Status], "Pay")</f>
        <v>Pay</v>
      </c>
      <c r="E203" s="24" t="str">
        <f>_xlfn.XLOOKUP(tblPayrollMaster[[#This Row],[Employee ID]], tblEmployee[Employee ID], tblEmployee[Payable Flag], "Y")</f>
        <v>Y</v>
      </c>
      <c r="F203" s="45">
        <f>IF(tblPayrollMaster[[#This Row],[Payable Flag]]="N",0,_xlfn.XLOOKUP(tblPayrollMaster[[#This Row],[Employee ID]],tblEmployee[Employee ID],tblEmployee[Pay Factor],1))</f>
        <v>1</v>
      </c>
      <c r="G203" s="26" t="str" cm="1">
        <f t="array" ref="G203">IF(tblPayrollMaster[[#This Row],[Employee ID]]="","",_xlfn.XLOOKUP(selPayPeriodID,tblPayCalendar[PayPeriodID],tblPayCalendar[PeriodStart],""))</f>
        <v/>
      </c>
      <c r="H203" s="26" t="str" cm="1">
        <f t="array" ref="H203">IF(tblPayrollMaster[[#This Row],[Employee ID]]="","",_xlfn.XLOOKUP(selPayPeriodID,tblPayCalendar[PayPeriodID],tblPayCalendar[PeriodEnd],""))</f>
        <v/>
      </c>
      <c r="I203" s="24" t="e" cm="1" vm="1">
        <f t="array" aca="1" ref="I203" ca="1">Table18[Employer Name]</f>
        <v>#VALUE!</v>
      </c>
      <c r="J203" s="3" cm="1">
        <f t="array" ref="J20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03" s="25" t="str">
        <f>_xlfn.XLOOKUP(tblPayrollMaster[[#This Row],[Employee Position]],tblPositionandPayRate[Employee Position],tblPositionandPayRate[Overtime], " ")</f>
        <v xml:space="preserve"> </v>
      </c>
      <c r="L203" s="25">
        <f>_xlfn.XLOOKUP(tblPayrollMaster[[#This Row],[Employee Position]],tblPositionandPayRate[Employee Position],tblPositionandPayRate[Allowance 1],0)*tblPayrollMaster[[#This Row],[Pay Factor]]</f>
        <v>0</v>
      </c>
      <c r="M203" s="25">
        <f>_xlfn.XLOOKUP(tblPayrollMaster[[#This Row],[Employee Position]],tblPositionandPayRate[Employee Position],tblPositionandPayRate[Allowance 2],0)*tblPayrollMaster[[#This Row],[Pay Factor]]</f>
        <v>0</v>
      </c>
      <c r="N203" s="25">
        <f>_xlfn.XLOOKUP(tblPayrollMaster[[#This Row],[Employee Position]],tblPositionandPayRate[Employee Position],tblPositionandPayRate[Allowance 3],0)*tblPayrollMaster[[#This Row],[Pay Factor]]</f>
        <v>0</v>
      </c>
      <c r="O203" s="25">
        <f>_xlfn.XLOOKUP(tblPayrollMaster[[#This Row],[Employee Position]],tblPositionandPayRate[Employee Position],tblPositionandPayRate[Allowance 4],0)*tblPayrollMaster[[#This Row],[Pay Factor]]</f>
        <v>0</v>
      </c>
      <c r="P203" s="25">
        <f>_xlfn.XLOOKUP(tblPayrollMaster[[#This Row],[Employee Position]],tblPositionandPayRate[Employee Position],tblPositionandPayRate[Allowance 5],0)*tblPayrollMaster[[#This Row],[Pay Factor]]</f>
        <v>0</v>
      </c>
      <c r="Q203" s="25">
        <f>SUM(tblPayrollMaster[[#This Row],[Basic Pay]:[Allowance 5]])</f>
        <v>0</v>
      </c>
      <c r="R20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03" s="51" cm="1">
        <f t="array" ref="S2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03" s="3" cm="1">
        <f t="array" ref="T2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03" s="25">
        <f>_xlfn.LET(
_xlpm.tos, _xlfn.XLOOKUP(tblPayrollMaster[[#This Row],[Employee ID]], tblEmployee[Employee ID], tblEmployee[Type of Service], ""),
IF(_xlpm.tos="Contract of Service", 8.25, 0)
)</f>
        <v>0</v>
      </c>
      <c r="V203" s="25">
        <f>tblPayrollMaster[[#This Row],[Basic Earnings]]-tblPayrollMaster[[#This Row],[Tax]]-tblPayrollMaster[[#This Row],[NIS - Employee]]-tblPayrollMaster[[#This Row],[Health Surcharge]]</f>
        <v>0</v>
      </c>
      <c r="W203" s="25">
        <f>tblPayrollMaster[[#This Row],[Net Pay]]</f>
        <v>0</v>
      </c>
      <c r="X203" s="25"/>
    </row>
    <row r="204" spans="1:24" x14ac:dyDescent="0.25">
      <c r="A204" s="24"/>
      <c r="B204" s="24" t="str">
        <f>_xlfn.XLOOKUP(tblPayrollMaster[[#This Row],[Employee ID]],tblEmployee[Employee ID],tblEmployee[Employee Name],"")</f>
        <v/>
      </c>
      <c r="C204" s="24" t="str">
        <f>_xlfn.XLOOKUP(tblPayrollMaster[[#This Row],[Employee ID]],tblEmployee[Employee ID],tblEmployee[Employee Position],"")</f>
        <v/>
      </c>
      <c r="D204" s="24" t="str">
        <f>_xlfn.XLOOKUP(tblPayrollMaster[[#This Row],[Employee ID]], tblEmployee[Employee ID], tblEmployee[Pay Status], "Pay")</f>
        <v>Pay</v>
      </c>
      <c r="E204" s="24" t="str">
        <f>_xlfn.XLOOKUP(tblPayrollMaster[[#This Row],[Employee ID]], tblEmployee[Employee ID], tblEmployee[Payable Flag], "Y")</f>
        <v>Y</v>
      </c>
      <c r="F204" s="45">
        <f>IF(tblPayrollMaster[[#This Row],[Payable Flag]]="N",0,_xlfn.XLOOKUP(tblPayrollMaster[[#This Row],[Employee ID]],tblEmployee[Employee ID],tblEmployee[Pay Factor],1))</f>
        <v>1</v>
      </c>
      <c r="G204" s="26" t="str" cm="1">
        <f t="array" ref="G204">IF(tblPayrollMaster[[#This Row],[Employee ID]]="","",_xlfn.XLOOKUP(selPayPeriodID,tblPayCalendar[PayPeriodID],tblPayCalendar[PeriodStart],""))</f>
        <v/>
      </c>
      <c r="H204" s="26" t="str" cm="1">
        <f t="array" ref="H204">IF(tblPayrollMaster[[#This Row],[Employee ID]]="","",_xlfn.XLOOKUP(selPayPeriodID,tblPayCalendar[PayPeriodID],tblPayCalendar[PeriodEnd],""))</f>
        <v/>
      </c>
      <c r="I204" s="24" t="e" cm="1" vm="1">
        <f t="array" aca="1" ref="I204" ca="1">Table18[Employer Name]</f>
        <v>#VALUE!</v>
      </c>
      <c r="J204" s="3" cm="1">
        <f t="array" ref="J20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04" s="25" t="str">
        <f>_xlfn.XLOOKUP(tblPayrollMaster[[#This Row],[Employee Position]],tblPositionandPayRate[Employee Position],tblPositionandPayRate[Overtime], " ")</f>
        <v xml:space="preserve"> </v>
      </c>
      <c r="L204" s="25">
        <f>_xlfn.XLOOKUP(tblPayrollMaster[[#This Row],[Employee Position]],tblPositionandPayRate[Employee Position],tblPositionandPayRate[Allowance 1],0)*tblPayrollMaster[[#This Row],[Pay Factor]]</f>
        <v>0</v>
      </c>
      <c r="M204" s="25">
        <f>_xlfn.XLOOKUP(tblPayrollMaster[[#This Row],[Employee Position]],tblPositionandPayRate[Employee Position],tblPositionandPayRate[Allowance 2],0)*tblPayrollMaster[[#This Row],[Pay Factor]]</f>
        <v>0</v>
      </c>
      <c r="N204" s="25">
        <f>_xlfn.XLOOKUP(tblPayrollMaster[[#This Row],[Employee Position]],tblPositionandPayRate[Employee Position],tblPositionandPayRate[Allowance 3],0)*tblPayrollMaster[[#This Row],[Pay Factor]]</f>
        <v>0</v>
      </c>
      <c r="O204" s="25">
        <f>_xlfn.XLOOKUP(tblPayrollMaster[[#This Row],[Employee Position]],tblPositionandPayRate[Employee Position],tblPositionandPayRate[Allowance 4],0)*tblPayrollMaster[[#This Row],[Pay Factor]]</f>
        <v>0</v>
      </c>
      <c r="P204" s="25">
        <f>_xlfn.XLOOKUP(tblPayrollMaster[[#This Row],[Employee Position]],tblPositionandPayRate[Employee Position],tblPositionandPayRate[Allowance 5],0)*tblPayrollMaster[[#This Row],[Pay Factor]]</f>
        <v>0</v>
      </c>
      <c r="Q204" s="25">
        <f>SUM(tblPayrollMaster[[#This Row],[Basic Pay]:[Allowance 5]])</f>
        <v>0</v>
      </c>
      <c r="R20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04" s="51" cm="1">
        <f t="array" ref="S2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04" s="3" cm="1">
        <f t="array" ref="T2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04" s="25">
        <f>_xlfn.LET(
_xlpm.tos, _xlfn.XLOOKUP(tblPayrollMaster[[#This Row],[Employee ID]], tblEmployee[Employee ID], tblEmployee[Type of Service], ""),
IF(_xlpm.tos="Contract of Service", 8.25, 0)
)</f>
        <v>0</v>
      </c>
      <c r="V204" s="25">
        <f>tblPayrollMaster[[#This Row],[Basic Earnings]]-tblPayrollMaster[[#This Row],[Tax]]-tblPayrollMaster[[#This Row],[NIS - Employee]]-tblPayrollMaster[[#This Row],[Health Surcharge]]</f>
        <v>0</v>
      </c>
      <c r="W204" s="25">
        <f>tblPayrollMaster[[#This Row],[Net Pay]]</f>
        <v>0</v>
      </c>
      <c r="X204" s="25"/>
    </row>
    <row r="205" spans="1:24" x14ac:dyDescent="0.25">
      <c r="A205" s="24"/>
      <c r="B205" s="24" t="str">
        <f>_xlfn.XLOOKUP(tblPayrollMaster[[#This Row],[Employee ID]],tblEmployee[Employee ID],tblEmployee[Employee Name],"")</f>
        <v/>
      </c>
      <c r="C205" s="24" t="str">
        <f>_xlfn.XLOOKUP(tblPayrollMaster[[#This Row],[Employee ID]],tblEmployee[Employee ID],tblEmployee[Employee Position],"")</f>
        <v/>
      </c>
      <c r="D205" s="24" t="str">
        <f>_xlfn.XLOOKUP(tblPayrollMaster[[#This Row],[Employee ID]], tblEmployee[Employee ID], tblEmployee[Pay Status], "Pay")</f>
        <v>Pay</v>
      </c>
      <c r="E205" s="24" t="str">
        <f>_xlfn.XLOOKUP(tblPayrollMaster[[#This Row],[Employee ID]], tblEmployee[Employee ID], tblEmployee[Payable Flag], "Y")</f>
        <v>Y</v>
      </c>
      <c r="F205" s="45">
        <f>IF(tblPayrollMaster[[#This Row],[Payable Flag]]="N",0,_xlfn.XLOOKUP(tblPayrollMaster[[#This Row],[Employee ID]],tblEmployee[Employee ID],tblEmployee[Pay Factor],1))</f>
        <v>1</v>
      </c>
      <c r="G205" s="26" t="str" cm="1">
        <f t="array" ref="G205">IF(tblPayrollMaster[[#This Row],[Employee ID]]="","",_xlfn.XLOOKUP(selPayPeriodID,tblPayCalendar[PayPeriodID],tblPayCalendar[PeriodStart],""))</f>
        <v/>
      </c>
      <c r="H205" s="26" t="str" cm="1">
        <f t="array" ref="H205">IF(tblPayrollMaster[[#This Row],[Employee ID]]="","",_xlfn.XLOOKUP(selPayPeriodID,tblPayCalendar[PayPeriodID],tblPayCalendar[PeriodEnd],""))</f>
        <v/>
      </c>
      <c r="I205" s="24" t="e" cm="1" vm="1">
        <f t="array" aca="1" ref="I205" ca="1">Table18[Employer Name]</f>
        <v>#VALUE!</v>
      </c>
      <c r="J205" s="3" cm="1">
        <f t="array" ref="J20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05" s="25" t="str">
        <f>_xlfn.XLOOKUP(tblPayrollMaster[[#This Row],[Employee Position]],tblPositionandPayRate[Employee Position],tblPositionandPayRate[Overtime], " ")</f>
        <v xml:space="preserve"> </v>
      </c>
      <c r="L205" s="25">
        <f>_xlfn.XLOOKUP(tblPayrollMaster[[#This Row],[Employee Position]],tblPositionandPayRate[Employee Position],tblPositionandPayRate[Allowance 1],0)*tblPayrollMaster[[#This Row],[Pay Factor]]</f>
        <v>0</v>
      </c>
      <c r="M205" s="25">
        <f>_xlfn.XLOOKUP(tblPayrollMaster[[#This Row],[Employee Position]],tblPositionandPayRate[Employee Position],tblPositionandPayRate[Allowance 2],0)*tblPayrollMaster[[#This Row],[Pay Factor]]</f>
        <v>0</v>
      </c>
      <c r="N205" s="25">
        <f>_xlfn.XLOOKUP(tblPayrollMaster[[#This Row],[Employee Position]],tblPositionandPayRate[Employee Position],tblPositionandPayRate[Allowance 3],0)*tblPayrollMaster[[#This Row],[Pay Factor]]</f>
        <v>0</v>
      </c>
      <c r="O205" s="25">
        <f>_xlfn.XLOOKUP(tblPayrollMaster[[#This Row],[Employee Position]],tblPositionandPayRate[Employee Position],tblPositionandPayRate[Allowance 4],0)*tblPayrollMaster[[#This Row],[Pay Factor]]</f>
        <v>0</v>
      </c>
      <c r="P205" s="25">
        <f>_xlfn.XLOOKUP(tblPayrollMaster[[#This Row],[Employee Position]],tblPositionandPayRate[Employee Position],tblPositionandPayRate[Allowance 5],0)*tblPayrollMaster[[#This Row],[Pay Factor]]</f>
        <v>0</v>
      </c>
      <c r="Q205" s="25">
        <f>SUM(tblPayrollMaster[[#This Row],[Basic Pay]:[Allowance 5]])</f>
        <v>0</v>
      </c>
      <c r="R20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05" s="51" cm="1">
        <f t="array" ref="S2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05" s="3" cm="1">
        <f t="array" ref="T2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05" s="25">
        <f>_xlfn.LET(
_xlpm.tos, _xlfn.XLOOKUP(tblPayrollMaster[[#This Row],[Employee ID]], tblEmployee[Employee ID], tblEmployee[Type of Service], ""),
IF(_xlpm.tos="Contract of Service", 8.25, 0)
)</f>
        <v>0</v>
      </c>
      <c r="V205" s="25">
        <f>tblPayrollMaster[[#This Row],[Basic Earnings]]-tblPayrollMaster[[#This Row],[Tax]]-tblPayrollMaster[[#This Row],[NIS - Employee]]-tblPayrollMaster[[#This Row],[Health Surcharge]]</f>
        <v>0</v>
      </c>
      <c r="W205" s="25">
        <f>tblPayrollMaster[[#This Row],[Net Pay]]</f>
        <v>0</v>
      </c>
      <c r="X205" s="25"/>
    </row>
    <row r="206" spans="1:24" x14ac:dyDescent="0.25">
      <c r="A206" s="24"/>
      <c r="B206" s="24" t="str">
        <f>_xlfn.XLOOKUP(tblPayrollMaster[[#This Row],[Employee ID]],tblEmployee[Employee ID],tblEmployee[Employee Name],"")</f>
        <v/>
      </c>
      <c r="C206" s="24" t="str">
        <f>_xlfn.XLOOKUP(tblPayrollMaster[[#This Row],[Employee ID]],tblEmployee[Employee ID],tblEmployee[Employee Position],"")</f>
        <v/>
      </c>
      <c r="D206" s="24" t="str">
        <f>_xlfn.XLOOKUP(tblPayrollMaster[[#This Row],[Employee ID]], tblEmployee[Employee ID], tblEmployee[Pay Status], "Pay")</f>
        <v>Pay</v>
      </c>
      <c r="E206" s="24" t="str">
        <f>_xlfn.XLOOKUP(tblPayrollMaster[[#This Row],[Employee ID]], tblEmployee[Employee ID], tblEmployee[Payable Flag], "Y")</f>
        <v>Y</v>
      </c>
      <c r="F206" s="45">
        <f>IF(tblPayrollMaster[[#This Row],[Payable Flag]]="N",0,_xlfn.XLOOKUP(tblPayrollMaster[[#This Row],[Employee ID]],tblEmployee[Employee ID],tblEmployee[Pay Factor],1))</f>
        <v>1</v>
      </c>
      <c r="G206" s="26" t="str" cm="1">
        <f t="array" ref="G206">IF(tblPayrollMaster[[#This Row],[Employee ID]]="","",_xlfn.XLOOKUP(selPayPeriodID,tblPayCalendar[PayPeriodID],tblPayCalendar[PeriodStart],""))</f>
        <v/>
      </c>
      <c r="H206" s="26" t="str" cm="1">
        <f t="array" ref="H206">IF(tblPayrollMaster[[#This Row],[Employee ID]]="","",_xlfn.XLOOKUP(selPayPeriodID,tblPayCalendar[PayPeriodID],tblPayCalendar[PeriodEnd],""))</f>
        <v/>
      </c>
      <c r="I206" s="24" t="e" cm="1" vm="1">
        <f t="array" aca="1" ref="I206" ca="1">Table18[Employer Name]</f>
        <v>#VALUE!</v>
      </c>
      <c r="J206" s="3" cm="1">
        <f t="array" ref="J20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06" s="25" t="str">
        <f>_xlfn.XLOOKUP(tblPayrollMaster[[#This Row],[Employee Position]],tblPositionandPayRate[Employee Position],tblPositionandPayRate[Overtime], " ")</f>
        <v xml:space="preserve"> </v>
      </c>
      <c r="L206" s="25">
        <f>_xlfn.XLOOKUP(tblPayrollMaster[[#This Row],[Employee Position]],tblPositionandPayRate[Employee Position],tblPositionandPayRate[Allowance 1],0)*tblPayrollMaster[[#This Row],[Pay Factor]]</f>
        <v>0</v>
      </c>
      <c r="M206" s="25">
        <f>_xlfn.XLOOKUP(tblPayrollMaster[[#This Row],[Employee Position]],tblPositionandPayRate[Employee Position],tblPositionandPayRate[Allowance 2],0)*tblPayrollMaster[[#This Row],[Pay Factor]]</f>
        <v>0</v>
      </c>
      <c r="N206" s="25">
        <f>_xlfn.XLOOKUP(tblPayrollMaster[[#This Row],[Employee Position]],tblPositionandPayRate[Employee Position],tblPositionandPayRate[Allowance 3],0)*tblPayrollMaster[[#This Row],[Pay Factor]]</f>
        <v>0</v>
      </c>
      <c r="O206" s="25">
        <f>_xlfn.XLOOKUP(tblPayrollMaster[[#This Row],[Employee Position]],tblPositionandPayRate[Employee Position],tblPositionandPayRate[Allowance 4],0)*tblPayrollMaster[[#This Row],[Pay Factor]]</f>
        <v>0</v>
      </c>
      <c r="P206" s="25">
        <f>_xlfn.XLOOKUP(tblPayrollMaster[[#This Row],[Employee Position]],tblPositionandPayRate[Employee Position],tblPositionandPayRate[Allowance 5],0)*tblPayrollMaster[[#This Row],[Pay Factor]]</f>
        <v>0</v>
      </c>
      <c r="Q206" s="25">
        <f>SUM(tblPayrollMaster[[#This Row],[Basic Pay]:[Allowance 5]])</f>
        <v>0</v>
      </c>
      <c r="R20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06" s="51" cm="1">
        <f t="array" ref="S2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06" s="3" cm="1">
        <f t="array" ref="T2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06" s="25">
        <f>_xlfn.LET(
_xlpm.tos, _xlfn.XLOOKUP(tblPayrollMaster[[#This Row],[Employee ID]], tblEmployee[Employee ID], tblEmployee[Type of Service], ""),
IF(_xlpm.tos="Contract of Service", 8.25, 0)
)</f>
        <v>0</v>
      </c>
      <c r="V206" s="25">
        <f>tblPayrollMaster[[#This Row],[Basic Earnings]]-tblPayrollMaster[[#This Row],[Tax]]-tblPayrollMaster[[#This Row],[NIS - Employee]]-tblPayrollMaster[[#This Row],[Health Surcharge]]</f>
        <v>0</v>
      </c>
      <c r="W206" s="25">
        <f>tblPayrollMaster[[#This Row],[Net Pay]]</f>
        <v>0</v>
      </c>
      <c r="X206" s="25"/>
    </row>
    <row r="207" spans="1:24" x14ac:dyDescent="0.25">
      <c r="A207" s="24"/>
      <c r="B207" s="24" t="str">
        <f>_xlfn.XLOOKUP(tblPayrollMaster[[#This Row],[Employee ID]],tblEmployee[Employee ID],tblEmployee[Employee Name],"")</f>
        <v/>
      </c>
      <c r="C207" s="24" t="str">
        <f>_xlfn.XLOOKUP(tblPayrollMaster[[#This Row],[Employee ID]],tblEmployee[Employee ID],tblEmployee[Employee Position],"")</f>
        <v/>
      </c>
      <c r="D207" s="24" t="str">
        <f>_xlfn.XLOOKUP(tblPayrollMaster[[#This Row],[Employee ID]], tblEmployee[Employee ID], tblEmployee[Pay Status], "Pay")</f>
        <v>Pay</v>
      </c>
      <c r="E207" s="24" t="str">
        <f>_xlfn.XLOOKUP(tblPayrollMaster[[#This Row],[Employee ID]], tblEmployee[Employee ID], tblEmployee[Payable Flag], "Y")</f>
        <v>Y</v>
      </c>
      <c r="F207" s="45">
        <f>IF(tblPayrollMaster[[#This Row],[Payable Flag]]="N",0,_xlfn.XLOOKUP(tblPayrollMaster[[#This Row],[Employee ID]],tblEmployee[Employee ID],tblEmployee[Pay Factor],1))</f>
        <v>1</v>
      </c>
      <c r="G207" s="26" t="str" cm="1">
        <f t="array" ref="G207">IF(tblPayrollMaster[[#This Row],[Employee ID]]="","",_xlfn.XLOOKUP(selPayPeriodID,tblPayCalendar[PayPeriodID],tblPayCalendar[PeriodStart],""))</f>
        <v/>
      </c>
      <c r="H207" s="26" t="str" cm="1">
        <f t="array" ref="H207">IF(tblPayrollMaster[[#This Row],[Employee ID]]="","",_xlfn.XLOOKUP(selPayPeriodID,tblPayCalendar[PayPeriodID],tblPayCalendar[PeriodEnd],""))</f>
        <v/>
      </c>
      <c r="I207" s="24" t="e" cm="1" vm="1">
        <f t="array" aca="1" ref="I207" ca="1">Table18[Employer Name]</f>
        <v>#VALUE!</v>
      </c>
      <c r="J207" s="3" cm="1">
        <f t="array" ref="J20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07" s="25" t="str">
        <f>_xlfn.XLOOKUP(tblPayrollMaster[[#This Row],[Employee Position]],tblPositionandPayRate[Employee Position],tblPositionandPayRate[Overtime], " ")</f>
        <v xml:space="preserve"> </v>
      </c>
      <c r="L207" s="25">
        <f>_xlfn.XLOOKUP(tblPayrollMaster[[#This Row],[Employee Position]],tblPositionandPayRate[Employee Position],tblPositionandPayRate[Allowance 1],0)*tblPayrollMaster[[#This Row],[Pay Factor]]</f>
        <v>0</v>
      </c>
      <c r="M207" s="25">
        <f>_xlfn.XLOOKUP(tblPayrollMaster[[#This Row],[Employee Position]],tblPositionandPayRate[Employee Position],tblPositionandPayRate[Allowance 2],0)*tblPayrollMaster[[#This Row],[Pay Factor]]</f>
        <v>0</v>
      </c>
      <c r="N207" s="25">
        <f>_xlfn.XLOOKUP(tblPayrollMaster[[#This Row],[Employee Position]],tblPositionandPayRate[Employee Position],tblPositionandPayRate[Allowance 3],0)*tblPayrollMaster[[#This Row],[Pay Factor]]</f>
        <v>0</v>
      </c>
      <c r="O207" s="25">
        <f>_xlfn.XLOOKUP(tblPayrollMaster[[#This Row],[Employee Position]],tblPositionandPayRate[Employee Position],tblPositionandPayRate[Allowance 4],0)*tblPayrollMaster[[#This Row],[Pay Factor]]</f>
        <v>0</v>
      </c>
      <c r="P207" s="25">
        <f>_xlfn.XLOOKUP(tblPayrollMaster[[#This Row],[Employee Position]],tblPositionandPayRate[Employee Position],tblPositionandPayRate[Allowance 5],0)*tblPayrollMaster[[#This Row],[Pay Factor]]</f>
        <v>0</v>
      </c>
      <c r="Q207" s="25">
        <f>SUM(tblPayrollMaster[[#This Row],[Basic Pay]:[Allowance 5]])</f>
        <v>0</v>
      </c>
      <c r="R20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07" s="51" cm="1">
        <f t="array" ref="S2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07" s="3" cm="1">
        <f t="array" ref="T2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07" s="25">
        <f>_xlfn.LET(
_xlpm.tos, _xlfn.XLOOKUP(tblPayrollMaster[[#This Row],[Employee ID]], tblEmployee[Employee ID], tblEmployee[Type of Service], ""),
IF(_xlpm.tos="Contract of Service", 8.25, 0)
)</f>
        <v>0</v>
      </c>
      <c r="V207" s="25">
        <f>tblPayrollMaster[[#This Row],[Basic Earnings]]-tblPayrollMaster[[#This Row],[Tax]]-tblPayrollMaster[[#This Row],[NIS - Employee]]-tblPayrollMaster[[#This Row],[Health Surcharge]]</f>
        <v>0</v>
      </c>
      <c r="W207" s="25">
        <f>tblPayrollMaster[[#This Row],[Net Pay]]</f>
        <v>0</v>
      </c>
      <c r="X207" s="25"/>
    </row>
    <row r="208" spans="1:24" x14ac:dyDescent="0.25">
      <c r="A208" s="24"/>
      <c r="B208" s="24" t="str">
        <f>_xlfn.XLOOKUP(tblPayrollMaster[[#This Row],[Employee ID]],tblEmployee[Employee ID],tblEmployee[Employee Name],"")</f>
        <v/>
      </c>
      <c r="C208" s="24" t="str">
        <f>_xlfn.XLOOKUP(tblPayrollMaster[[#This Row],[Employee ID]],tblEmployee[Employee ID],tblEmployee[Employee Position],"")</f>
        <v/>
      </c>
      <c r="D208" s="24" t="str">
        <f>_xlfn.XLOOKUP(tblPayrollMaster[[#This Row],[Employee ID]], tblEmployee[Employee ID], tblEmployee[Pay Status], "Pay")</f>
        <v>Pay</v>
      </c>
      <c r="E208" s="24" t="str">
        <f>_xlfn.XLOOKUP(tblPayrollMaster[[#This Row],[Employee ID]], tblEmployee[Employee ID], tblEmployee[Payable Flag], "Y")</f>
        <v>Y</v>
      </c>
      <c r="F208" s="45">
        <f>IF(tblPayrollMaster[[#This Row],[Payable Flag]]="N",0,_xlfn.XLOOKUP(tblPayrollMaster[[#This Row],[Employee ID]],tblEmployee[Employee ID],tblEmployee[Pay Factor],1))</f>
        <v>1</v>
      </c>
      <c r="G208" s="26" t="str" cm="1">
        <f t="array" ref="G208">IF(tblPayrollMaster[[#This Row],[Employee ID]]="","",_xlfn.XLOOKUP(selPayPeriodID,tblPayCalendar[PayPeriodID],tblPayCalendar[PeriodStart],""))</f>
        <v/>
      </c>
      <c r="H208" s="26" t="str" cm="1">
        <f t="array" ref="H208">IF(tblPayrollMaster[[#This Row],[Employee ID]]="","",_xlfn.XLOOKUP(selPayPeriodID,tblPayCalendar[PayPeriodID],tblPayCalendar[PeriodEnd],""))</f>
        <v/>
      </c>
      <c r="I208" s="24" t="e" cm="1" vm="1">
        <f t="array" aca="1" ref="I208" ca="1">Table18[Employer Name]</f>
        <v>#VALUE!</v>
      </c>
      <c r="J208" s="3" cm="1">
        <f t="array" ref="J20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08" s="25" t="str">
        <f>_xlfn.XLOOKUP(tblPayrollMaster[[#This Row],[Employee Position]],tblPositionandPayRate[Employee Position],tblPositionandPayRate[Overtime], " ")</f>
        <v xml:space="preserve"> </v>
      </c>
      <c r="L208" s="25">
        <f>_xlfn.XLOOKUP(tblPayrollMaster[[#This Row],[Employee Position]],tblPositionandPayRate[Employee Position],tblPositionandPayRate[Allowance 1],0)*tblPayrollMaster[[#This Row],[Pay Factor]]</f>
        <v>0</v>
      </c>
      <c r="M208" s="25">
        <f>_xlfn.XLOOKUP(tblPayrollMaster[[#This Row],[Employee Position]],tblPositionandPayRate[Employee Position],tblPositionandPayRate[Allowance 2],0)*tblPayrollMaster[[#This Row],[Pay Factor]]</f>
        <v>0</v>
      </c>
      <c r="N208" s="25">
        <f>_xlfn.XLOOKUP(tblPayrollMaster[[#This Row],[Employee Position]],tblPositionandPayRate[Employee Position],tblPositionandPayRate[Allowance 3],0)*tblPayrollMaster[[#This Row],[Pay Factor]]</f>
        <v>0</v>
      </c>
      <c r="O208" s="25">
        <f>_xlfn.XLOOKUP(tblPayrollMaster[[#This Row],[Employee Position]],tblPositionandPayRate[Employee Position],tblPositionandPayRate[Allowance 4],0)*tblPayrollMaster[[#This Row],[Pay Factor]]</f>
        <v>0</v>
      </c>
      <c r="P208" s="25">
        <f>_xlfn.XLOOKUP(tblPayrollMaster[[#This Row],[Employee Position]],tblPositionandPayRate[Employee Position],tblPositionandPayRate[Allowance 5],0)*tblPayrollMaster[[#This Row],[Pay Factor]]</f>
        <v>0</v>
      </c>
      <c r="Q208" s="25">
        <f>SUM(tblPayrollMaster[[#This Row],[Basic Pay]:[Allowance 5]])</f>
        <v>0</v>
      </c>
      <c r="R20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08" s="51" cm="1">
        <f t="array" ref="S2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08" s="3" cm="1">
        <f t="array" ref="T2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08" s="25">
        <f>_xlfn.LET(
_xlpm.tos, _xlfn.XLOOKUP(tblPayrollMaster[[#This Row],[Employee ID]], tblEmployee[Employee ID], tblEmployee[Type of Service], ""),
IF(_xlpm.tos="Contract of Service", 8.25, 0)
)</f>
        <v>0</v>
      </c>
      <c r="V208" s="25">
        <f>tblPayrollMaster[[#This Row],[Basic Earnings]]-tblPayrollMaster[[#This Row],[Tax]]-tblPayrollMaster[[#This Row],[NIS - Employee]]-tblPayrollMaster[[#This Row],[Health Surcharge]]</f>
        <v>0</v>
      </c>
      <c r="W208" s="25">
        <f>tblPayrollMaster[[#This Row],[Net Pay]]</f>
        <v>0</v>
      </c>
      <c r="X208" s="25"/>
    </row>
    <row r="209" spans="1:24" x14ac:dyDescent="0.25">
      <c r="A209" s="24"/>
      <c r="B209" s="24" t="str">
        <f>_xlfn.XLOOKUP(tblPayrollMaster[[#This Row],[Employee ID]],tblEmployee[Employee ID],tblEmployee[Employee Name],"")</f>
        <v/>
      </c>
      <c r="C209" s="24" t="str">
        <f>_xlfn.XLOOKUP(tblPayrollMaster[[#This Row],[Employee ID]],tblEmployee[Employee ID],tblEmployee[Employee Position],"")</f>
        <v/>
      </c>
      <c r="D209" s="24" t="str">
        <f>_xlfn.XLOOKUP(tblPayrollMaster[[#This Row],[Employee ID]], tblEmployee[Employee ID], tblEmployee[Pay Status], "Pay")</f>
        <v>Pay</v>
      </c>
      <c r="E209" s="24" t="str">
        <f>_xlfn.XLOOKUP(tblPayrollMaster[[#This Row],[Employee ID]], tblEmployee[Employee ID], tblEmployee[Payable Flag], "Y")</f>
        <v>Y</v>
      </c>
      <c r="F209" s="45">
        <f>IF(tblPayrollMaster[[#This Row],[Payable Flag]]="N",0,_xlfn.XLOOKUP(tblPayrollMaster[[#This Row],[Employee ID]],tblEmployee[Employee ID],tblEmployee[Pay Factor],1))</f>
        <v>1</v>
      </c>
      <c r="G209" s="26" t="str" cm="1">
        <f t="array" ref="G209">IF(tblPayrollMaster[[#This Row],[Employee ID]]="","",_xlfn.XLOOKUP(selPayPeriodID,tblPayCalendar[PayPeriodID],tblPayCalendar[PeriodStart],""))</f>
        <v/>
      </c>
      <c r="H209" s="26" t="str" cm="1">
        <f t="array" ref="H209">IF(tblPayrollMaster[[#This Row],[Employee ID]]="","",_xlfn.XLOOKUP(selPayPeriodID,tblPayCalendar[PayPeriodID],tblPayCalendar[PeriodEnd],""))</f>
        <v/>
      </c>
      <c r="I209" s="24" t="e" cm="1" vm="1">
        <f t="array" aca="1" ref="I209" ca="1">Table18[Employer Name]</f>
        <v>#VALUE!</v>
      </c>
      <c r="J209" s="3" cm="1">
        <f t="array" ref="J20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09" s="25" t="str">
        <f>_xlfn.XLOOKUP(tblPayrollMaster[[#This Row],[Employee Position]],tblPositionandPayRate[Employee Position],tblPositionandPayRate[Overtime], " ")</f>
        <v xml:space="preserve"> </v>
      </c>
      <c r="L209" s="25">
        <f>_xlfn.XLOOKUP(tblPayrollMaster[[#This Row],[Employee Position]],tblPositionandPayRate[Employee Position],tblPositionandPayRate[Allowance 1],0)*tblPayrollMaster[[#This Row],[Pay Factor]]</f>
        <v>0</v>
      </c>
      <c r="M209" s="25">
        <f>_xlfn.XLOOKUP(tblPayrollMaster[[#This Row],[Employee Position]],tblPositionandPayRate[Employee Position],tblPositionandPayRate[Allowance 2],0)*tblPayrollMaster[[#This Row],[Pay Factor]]</f>
        <v>0</v>
      </c>
      <c r="N209" s="25">
        <f>_xlfn.XLOOKUP(tblPayrollMaster[[#This Row],[Employee Position]],tblPositionandPayRate[Employee Position],tblPositionandPayRate[Allowance 3],0)*tblPayrollMaster[[#This Row],[Pay Factor]]</f>
        <v>0</v>
      </c>
      <c r="O209" s="25">
        <f>_xlfn.XLOOKUP(tblPayrollMaster[[#This Row],[Employee Position]],tblPositionandPayRate[Employee Position],tblPositionandPayRate[Allowance 4],0)*tblPayrollMaster[[#This Row],[Pay Factor]]</f>
        <v>0</v>
      </c>
      <c r="P209" s="25">
        <f>_xlfn.XLOOKUP(tblPayrollMaster[[#This Row],[Employee Position]],tblPositionandPayRate[Employee Position],tblPositionandPayRate[Allowance 5],0)*tblPayrollMaster[[#This Row],[Pay Factor]]</f>
        <v>0</v>
      </c>
      <c r="Q209" s="25">
        <f>SUM(tblPayrollMaster[[#This Row],[Basic Pay]:[Allowance 5]])</f>
        <v>0</v>
      </c>
      <c r="R20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09" s="51" cm="1">
        <f t="array" ref="S2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09" s="3" cm="1">
        <f t="array" ref="T2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09" s="25">
        <f>_xlfn.LET(
_xlpm.tos, _xlfn.XLOOKUP(tblPayrollMaster[[#This Row],[Employee ID]], tblEmployee[Employee ID], tblEmployee[Type of Service], ""),
IF(_xlpm.tos="Contract of Service", 8.25, 0)
)</f>
        <v>0</v>
      </c>
      <c r="V209" s="25">
        <f>tblPayrollMaster[[#This Row],[Basic Earnings]]-tblPayrollMaster[[#This Row],[Tax]]-tblPayrollMaster[[#This Row],[NIS - Employee]]-tblPayrollMaster[[#This Row],[Health Surcharge]]</f>
        <v>0</v>
      </c>
      <c r="W209" s="25">
        <f>tblPayrollMaster[[#This Row],[Net Pay]]</f>
        <v>0</v>
      </c>
      <c r="X209" s="25"/>
    </row>
    <row r="210" spans="1:24" x14ac:dyDescent="0.25">
      <c r="A210" s="24"/>
      <c r="B210" s="24" t="str">
        <f>_xlfn.XLOOKUP(tblPayrollMaster[[#This Row],[Employee ID]],tblEmployee[Employee ID],tblEmployee[Employee Name],"")</f>
        <v/>
      </c>
      <c r="C210" s="24" t="str">
        <f>_xlfn.XLOOKUP(tblPayrollMaster[[#This Row],[Employee ID]],tblEmployee[Employee ID],tblEmployee[Employee Position],"")</f>
        <v/>
      </c>
      <c r="D210" s="24" t="str">
        <f>_xlfn.XLOOKUP(tblPayrollMaster[[#This Row],[Employee ID]], tblEmployee[Employee ID], tblEmployee[Pay Status], "Pay")</f>
        <v>Pay</v>
      </c>
      <c r="E210" s="24" t="str">
        <f>_xlfn.XLOOKUP(tblPayrollMaster[[#This Row],[Employee ID]], tblEmployee[Employee ID], tblEmployee[Payable Flag], "Y")</f>
        <v>Y</v>
      </c>
      <c r="F210" s="45">
        <f>IF(tblPayrollMaster[[#This Row],[Payable Flag]]="N",0,_xlfn.XLOOKUP(tblPayrollMaster[[#This Row],[Employee ID]],tblEmployee[Employee ID],tblEmployee[Pay Factor],1))</f>
        <v>1</v>
      </c>
      <c r="G210" s="26" t="str" cm="1">
        <f t="array" ref="G210">IF(tblPayrollMaster[[#This Row],[Employee ID]]="","",_xlfn.XLOOKUP(selPayPeriodID,tblPayCalendar[PayPeriodID],tblPayCalendar[PeriodStart],""))</f>
        <v/>
      </c>
      <c r="H210" s="26" t="str" cm="1">
        <f t="array" ref="H210">IF(tblPayrollMaster[[#This Row],[Employee ID]]="","",_xlfn.XLOOKUP(selPayPeriodID,tblPayCalendar[PayPeriodID],tblPayCalendar[PeriodEnd],""))</f>
        <v/>
      </c>
      <c r="I210" s="24" t="e" cm="1" vm="1">
        <f t="array" aca="1" ref="I210" ca="1">Table18[Employer Name]</f>
        <v>#VALUE!</v>
      </c>
      <c r="J210" s="3" cm="1">
        <f t="array" ref="J21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10" s="25" t="str">
        <f>_xlfn.XLOOKUP(tblPayrollMaster[[#This Row],[Employee Position]],tblPositionandPayRate[Employee Position],tblPositionandPayRate[Overtime], " ")</f>
        <v xml:space="preserve"> </v>
      </c>
      <c r="L210" s="25">
        <f>_xlfn.XLOOKUP(tblPayrollMaster[[#This Row],[Employee Position]],tblPositionandPayRate[Employee Position],tblPositionandPayRate[Allowance 1],0)*tblPayrollMaster[[#This Row],[Pay Factor]]</f>
        <v>0</v>
      </c>
      <c r="M210" s="25">
        <f>_xlfn.XLOOKUP(tblPayrollMaster[[#This Row],[Employee Position]],tblPositionandPayRate[Employee Position],tblPositionandPayRate[Allowance 2],0)*tblPayrollMaster[[#This Row],[Pay Factor]]</f>
        <v>0</v>
      </c>
      <c r="N210" s="25">
        <f>_xlfn.XLOOKUP(tblPayrollMaster[[#This Row],[Employee Position]],tblPositionandPayRate[Employee Position],tblPositionandPayRate[Allowance 3],0)*tblPayrollMaster[[#This Row],[Pay Factor]]</f>
        <v>0</v>
      </c>
      <c r="O210" s="25">
        <f>_xlfn.XLOOKUP(tblPayrollMaster[[#This Row],[Employee Position]],tblPositionandPayRate[Employee Position],tblPositionandPayRate[Allowance 4],0)*tblPayrollMaster[[#This Row],[Pay Factor]]</f>
        <v>0</v>
      </c>
      <c r="P210" s="25">
        <f>_xlfn.XLOOKUP(tblPayrollMaster[[#This Row],[Employee Position]],tblPositionandPayRate[Employee Position],tblPositionandPayRate[Allowance 5],0)*tblPayrollMaster[[#This Row],[Pay Factor]]</f>
        <v>0</v>
      </c>
      <c r="Q210" s="25">
        <f>SUM(tblPayrollMaster[[#This Row],[Basic Pay]:[Allowance 5]])</f>
        <v>0</v>
      </c>
      <c r="R21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10" s="51" cm="1">
        <f t="array" ref="S2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10" s="3" cm="1">
        <f t="array" ref="T2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10" s="25">
        <f>_xlfn.LET(
_xlpm.tos, _xlfn.XLOOKUP(tblPayrollMaster[[#This Row],[Employee ID]], tblEmployee[Employee ID], tblEmployee[Type of Service], ""),
IF(_xlpm.tos="Contract of Service", 8.25, 0)
)</f>
        <v>0</v>
      </c>
      <c r="V210" s="25">
        <f>tblPayrollMaster[[#This Row],[Basic Earnings]]-tblPayrollMaster[[#This Row],[Tax]]-tblPayrollMaster[[#This Row],[NIS - Employee]]-tblPayrollMaster[[#This Row],[Health Surcharge]]</f>
        <v>0</v>
      </c>
      <c r="W210" s="25">
        <f>tblPayrollMaster[[#This Row],[Net Pay]]</f>
        <v>0</v>
      </c>
      <c r="X210" s="25"/>
    </row>
    <row r="211" spans="1:24" x14ac:dyDescent="0.25">
      <c r="A211" s="24"/>
      <c r="B211" s="24" t="str">
        <f>_xlfn.XLOOKUP(tblPayrollMaster[[#This Row],[Employee ID]],tblEmployee[Employee ID],tblEmployee[Employee Name],"")</f>
        <v/>
      </c>
      <c r="C211" s="24" t="str">
        <f>_xlfn.XLOOKUP(tblPayrollMaster[[#This Row],[Employee ID]],tblEmployee[Employee ID],tblEmployee[Employee Position],"")</f>
        <v/>
      </c>
      <c r="D211" s="24" t="str">
        <f>_xlfn.XLOOKUP(tblPayrollMaster[[#This Row],[Employee ID]], tblEmployee[Employee ID], tblEmployee[Pay Status], "Pay")</f>
        <v>Pay</v>
      </c>
      <c r="E211" s="24" t="str">
        <f>_xlfn.XLOOKUP(tblPayrollMaster[[#This Row],[Employee ID]], tblEmployee[Employee ID], tblEmployee[Payable Flag], "Y")</f>
        <v>Y</v>
      </c>
      <c r="F211" s="45">
        <f>IF(tblPayrollMaster[[#This Row],[Payable Flag]]="N",0,_xlfn.XLOOKUP(tblPayrollMaster[[#This Row],[Employee ID]],tblEmployee[Employee ID],tblEmployee[Pay Factor],1))</f>
        <v>1</v>
      </c>
      <c r="G211" s="26" t="str" cm="1">
        <f t="array" ref="G211">IF(tblPayrollMaster[[#This Row],[Employee ID]]="","",_xlfn.XLOOKUP(selPayPeriodID,tblPayCalendar[PayPeriodID],tblPayCalendar[PeriodStart],""))</f>
        <v/>
      </c>
      <c r="H211" s="26" t="str" cm="1">
        <f t="array" ref="H211">IF(tblPayrollMaster[[#This Row],[Employee ID]]="","",_xlfn.XLOOKUP(selPayPeriodID,tblPayCalendar[PayPeriodID],tblPayCalendar[PeriodEnd],""))</f>
        <v/>
      </c>
      <c r="I211" s="24" t="e" cm="1" vm="1">
        <f t="array" aca="1" ref="I211" ca="1">Table18[Employer Name]</f>
        <v>#VALUE!</v>
      </c>
      <c r="J211" s="3" cm="1">
        <f t="array" ref="J21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11" s="25" t="str">
        <f>_xlfn.XLOOKUP(tblPayrollMaster[[#This Row],[Employee Position]],tblPositionandPayRate[Employee Position],tblPositionandPayRate[Overtime], " ")</f>
        <v xml:space="preserve"> </v>
      </c>
      <c r="L211" s="25">
        <f>_xlfn.XLOOKUP(tblPayrollMaster[[#This Row],[Employee Position]],tblPositionandPayRate[Employee Position],tblPositionandPayRate[Allowance 1],0)*tblPayrollMaster[[#This Row],[Pay Factor]]</f>
        <v>0</v>
      </c>
      <c r="M211" s="25">
        <f>_xlfn.XLOOKUP(tblPayrollMaster[[#This Row],[Employee Position]],tblPositionandPayRate[Employee Position],tblPositionandPayRate[Allowance 2],0)*tblPayrollMaster[[#This Row],[Pay Factor]]</f>
        <v>0</v>
      </c>
      <c r="N211" s="25">
        <f>_xlfn.XLOOKUP(tblPayrollMaster[[#This Row],[Employee Position]],tblPositionandPayRate[Employee Position],tblPositionandPayRate[Allowance 3],0)*tblPayrollMaster[[#This Row],[Pay Factor]]</f>
        <v>0</v>
      </c>
      <c r="O211" s="25">
        <f>_xlfn.XLOOKUP(tblPayrollMaster[[#This Row],[Employee Position]],tblPositionandPayRate[Employee Position],tblPositionandPayRate[Allowance 4],0)*tblPayrollMaster[[#This Row],[Pay Factor]]</f>
        <v>0</v>
      </c>
      <c r="P211" s="25">
        <f>_xlfn.XLOOKUP(tblPayrollMaster[[#This Row],[Employee Position]],tblPositionandPayRate[Employee Position],tblPositionandPayRate[Allowance 5],0)*tblPayrollMaster[[#This Row],[Pay Factor]]</f>
        <v>0</v>
      </c>
      <c r="Q211" s="25">
        <f>SUM(tblPayrollMaster[[#This Row],[Basic Pay]:[Allowance 5]])</f>
        <v>0</v>
      </c>
      <c r="R21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11" s="51" cm="1">
        <f t="array" ref="S2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11" s="3" cm="1">
        <f t="array" ref="T2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11" s="25">
        <f>_xlfn.LET(
_xlpm.tos, _xlfn.XLOOKUP(tblPayrollMaster[[#This Row],[Employee ID]], tblEmployee[Employee ID], tblEmployee[Type of Service], ""),
IF(_xlpm.tos="Contract of Service", 8.25, 0)
)</f>
        <v>0</v>
      </c>
      <c r="V211" s="25">
        <f>tblPayrollMaster[[#This Row],[Basic Earnings]]-tblPayrollMaster[[#This Row],[Tax]]-tblPayrollMaster[[#This Row],[NIS - Employee]]-tblPayrollMaster[[#This Row],[Health Surcharge]]</f>
        <v>0</v>
      </c>
      <c r="W211" s="25">
        <f>tblPayrollMaster[[#This Row],[Net Pay]]</f>
        <v>0</v>
      </c>
      <c r="X211" s="25"/>
    </row>
    <row r="212" spans="1:24" x14ac:dyDescent="0.25">
      <c r="A212" s="24"/>
      <c r="B212" s="24" t="str">
        <f>_xlfn.XLOOKUP(tblPayrollMaster[[#This Row],[Employee ID]],tblEmployee[Employee ID],tblEmployee[Employee Name],"")</f>
        <v/>
      </c>
      <c r="C212" s="24" t="str">
        <f>_xlfn.XLOOKUP(tblPayrollMaster[[#This Row],[Employee ID]],tblEmployee[Employee ID],tblEmployee[Employee Position],"")</f>
        <v/>
      </c>
      <c r="D212" s="24" t="str">
        <f>_xlfn.XLOOKUP(tblPayrollMaster[[#This Row],[Employee ID]], tblEmployee[Employee ID], tblEmployee[Pay Status], "Pay")</f>
        <v>Pay</v>
      </c>
      <c r="E212" s="24" t="str">
        <f>_xlfn.XLOOKUP(tblPayrollMaster[[#This Row],[Employee ID]], tblEmployee[Employee ID], tblEmployee[Payable Flag], "Y")</f>
        <v>Y</v>
      </c>
      <c r="F212" s="45">
        <f>IF(tblPayrollMaster[[#This Row],[Payable Flag]]="N",0,_xlfn.XLOOKUP(tblPayrollMaster[[#This Row],[Employee ID]],tblEmployee[Employee ID],tblEmployee[Pay Factor],1))</f>
        <v>1</v>
      </c>
      <c r="G212" s="26" t="str" cm="1">
        <f t="array" ref="G212">IF(tblPayrollMaster[[#This Row],[Employee ID]]="","",_xlfn.XLOOKUP(selPayPeriodID,tblPayCalendar[PayPeriodID],tblPayCalendar[PeriodStart],""))</f>
        <v/>
      </c>
      <c r="H212" s="26" t="str" cm="1">
        <f t="array" ref="H212">IF(tblPayrollMaster[[#This Row],[Employee ID]]="","",_xlfn.XLOOKUP(selPayPeriodID,tblPayCalendar[PayPeriodID],tblPayCalendar[PeriodEnd],""))</f>
        <v/>
      </c>
      <c r="I212" s="24" t="e" cm="1" vm="1">
        <f t="array" aca="1" ref="I212" ca="1">Table18[Employer Name]</f>
        <v>#VALUE!</v>
      </c>
      <c r="J212" s="3" cm="1">
        <f t="array" ref="J21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12" s="25" t="str">
        <f>_xlfn.XLOOKUP(tblPayrollMaster[[#This Row],[Employee Position]],tblPositionandPayRate[Employee Position],tblPositionandPayRate[Overtime], " ")</f>
        <v xml:space="preserve"> </v>
      </c>
      <c r="L212" s="25">
        <f>_xlfn.XLOOKUP(tblPayrollMaster[[#This Row],[Employee Position]],tblPositionandPayRate[Employee Position],tblPositionandPayRate[Allowance 1],0)*tblPayrollMaster[[#This Row],[Pay Factor]]</f>
        <v>0</v>
      </c>
      <c r="M212" s="25">
        <f>_xlfn.XLOOKUP(tblPayrollMaster[[#This Row],[Employee Position]],tblPositionandPayRate[Employee Position],tblPositionandPayRate[Allowance 2],0)*tblPayrollMaster[[#This Row],[Pay Factor]]</f>
        <v>0</v>
      </c>
      <c r="N212" s="25">
        <f>_xlfn.XLOOKUP(tblPayrollMaster[[#This Row],[Employee Position]],tblPositionandPayRate[Employee Position],tblPositionandPayRate[Allowance 3],0)*tblPayrollMaster[[#This Row],[Pay Factor]]</f>
        <v>0</v>
      </c>
      <c r="O212" s="25">
        <f>_xlfn.XLOOKUP(tblPayrollMaster[[#This Row],[Employee Position]],tblPositionandPayRate[Employee Position],tblPositionandPayRate[Allowance 4],0)*tblPayrollMaster[[#This Row],[Pay Factor]]</f>
        <v>0</v>
      </c>
      <c r="P212" s="25">
        <f>_xlfn.XLOOKUP(tblPayrollMaster[[#This Row],[Employee Position]],tblPositionandPayRate[Employee Position],tblPositionandPayRate[Allowance 5],0)*tblPayrollMaster[[#This Row],[Pay Factor]]</f>
        <v>0</v>
      </c>
      <c r="Q212" s="25">
        <f>SUM(tblPayrollMaster[[#This Row],[Basic Pay]:[Allowance 5]])</f>
        <v>0</v>
      </c>
      <c r="R21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12" s="51" cm="1">
        <f t="array" ref="S2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12" s="3" cm="1">
        <f t="array" ref="T2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12" s="25">
        <f>_xlfn.LET(
_xlpm.tos, _xlfn.XLOOKUP(tblPayrollMaster[[#This Row],[Employee ID]], tblEmployee[Employee ID], tblEmployee[Type of Service], ""),
IF(_xlpm.tos="Contract of Service", 8.25, 0)
)</f>
        <v>0</v>
      </c>
      <c r="V212" s="25">
        <f>tblPayrollMaster[[#This Row],[Basic Earnings]]-tblPayrollMaster[[#This Row],[Tax]]-tblPayrollMaster[[#This Row],[NIS - Employee]]-tblPayrollMaster[[#This Row],[Health Surcharge]]</f>
        <v>0</v>
      </c>
      <c r="W212" s="25">
        <f>tblPayrollMaster[[#This Row],[Net Pay]]</f>
        <v>0</v>
      </c>
      <c r="X212" s="25"/>
    </row>
    <row r="213" spans="1:24" x14ac:dyDescent="0.25">
      <c r="A213" s="24"/>
      <c r="B213" s="24" t="str">
        <f>_xlfn.XLOOKUP(tblPayrollMaster[[#This Row],[Employee ID]],tblEmployee[Employee ID],tblEmployee[Employee Name],"")</f>
        <v/>
      </c>
      <c r="C213" s="24" t="str">
        <f>_xlfn.XLOOKUP(tblPayrollMaster[[#This Row],[Employee ID]],tblEmployee[Employee ID],tblEmployee[Employee Position],"")</f>
        <v/>
      </c>
      <c r="D213" s="24" t="str">
        <f>_xlfn.XLOOKUP(tblPayrollMaster[[#This Row],[Employee ID]], tblEmployee[Employee ID], tblEmployee[Pay Status], "Pay")</f>
        <v>Pay</v>
      </c>
      <c r="E213" s="24" t="str">
        <f>_xlfn.XLOOKUP(tblPayrollMaster[[#This Row],[Employee ID]], tblEmployee[Employee ID], tblEmployee[Payable Flag], "Y")</f>
        <v>Y</v>
      </c>
      <c r="F213" s="45">
        <f>IF(tblPayrollMaster[[#This Row],[Payable Flag]]="N",0,_xlfn.XLOOKUP(tblPayrollMaster[[#This Row],[Employee ID]],tblEmployee[Employee ID],tblEmployee[Pay Factor],1))</f>
        <v>1</v>
      </c>
      <c r="G213" s="26" t="str" cm="1">
        <f t="array" ref="G213">IF(tblPayrollMaster[[#This Row],[Employee ID]]="","",_xlfn.XLOOKUP(selPayPeriodID,tblPayCalendar[PayPeriodID],tblPayCalendar[PeriodStart],""))</f>
        <v/>
      </c>
      <c r="H213" s="26" t="str" cm="1">
        <f t="array" ref="H213">IF(tblPayrollMaster[[#This Row],[Employee ID]]="","",_xlfn.XLOOKUP(selPayPeriodID,tblPayCalendar[PayPeriodID],tblPayCalendar[PeriodEnd],""))</f>
        <v/>
      </c>
      <c r="I213" s="24" t="e" cm="1" vm="1">
        <f t="array" aca="1" ref="I213" ca="1">Table18[Employer Name]</f>
        <v>#VALUE!</v>
      </c>
      <c r="J213" s="3" cm="1">
        <f t="array" ref="J21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13" s="25" t="str">
        <f>_xlfn.XLOOKUP(tblPayrollMaster[[#This Row],[Employee Position]],tblPositionandPayRate[Employee Position],tblPositionandPayRate[Overtime], " ")</f>
        <v xml:space="preserve"> </v>
      </c>
      <c r="L213" s="25">
        <f>_xlfn.XLOOKUP(tblPayrollMaster[[#This Row],[Employee Position]],tblPositionandPayRate[Employee Position],tblPositionandPayRate[Allowance 1],0)*tblPayrollMaster[[#This Row],[Pay Factor]]</f>
        <v>0</v>
      </c>
      <c r="M213" s="25">
        <f>_xlfn.XLOOKUP(tblPayrollMaster[[#This Row],[Employee Position]],tblPositionandPayRate[Employee Position],tblPositionandPayRate[Allowance 2],0)*tblPayrollMaster[[#This Row],[Pay Factor]]</f>
        <v>0</v>
      </c>
      <c r="N213" s="25">
        <f>_xlfn.XLOOKUP(tblPayrollMaster[[#This Row],[Employee Position]],tblPositionandPayRate[Employee Position],tblPositionandPayRate[Allowance 3],0)*tblPayrollMaster[[#This Row],[Pay Factor]]</f>
        <v>0</v>
      </c>
      <c r="O213" s="25">
        <f>_xlfn.XLOOKUP(tblPayrollMaster[[#This Row],[Employee Position]],tblPositionandPayRate[Employee Position],tblPositionandPayRate[Allowance 4],0)*tblPayrollMaster[[#This Row],[Pay Factor]]</f>
        <v>0</v>
      </c>
      <c r="P213" s="25">
        <f>_xlfn.XLOOKUP(tblPayrollMaster[[#This Row],[Employee Position]],tblPositionandPayRate[Employee Position],tblPositionandPayRate[Allowance 5],0)*tblPayrollMaster[[#This Row],[Pay Factor]]</f>
        <v>0</v>
      </c>
      <c r="Q213" s="25">
        <f>SUM(tblPayrollMaster[[#This Row],[Basic Pay]:[Allowance 5]])</f>
        <v>0</v>
      </c>
      <c r="R21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13" s="51" cm="1">
        <f t="array" ref="S2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13" s="3" cm="1">
        <f t="array" ref="T2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13" s="25">
        <f>_xlfn.LET(
_xlpm.tos, _xlfn.XLOOKUP(tblPayrollMaster[[#This Row],[Employee ID]], tblEmployee[Employee ID], tblEmployee[Type of Service], ""),
IF(_xlpm.tos="Contract of Service", 8.25, 0)
)</f>
        <v>0</v>
      </c>
      <c r="V213" s="25">
        <f>tblPayrollMaster[[#This Row],[Basic Earnings]]-tblPayrollMaster[[#This Row],[Tax]]-tblPayrollMaster[[#This Row],[NIS - Employee]]-tblPayrollMaster[[#This Row],[Health Surcharge]]</f>
        <v>0</v>
      </c>
      <c r="W213" s="25">
        <f>tblPayrollMaster[[#This Row],[Net Pay]]</f>
        <v>0</v>
      </c>
      <c r="X213" s="25"/>
    </row>
    <row r="214" spans="1:24" x14ac:dyDescent="0.25">
      <c r="A214" s="24"/>
      <c r="B214" s="24" t="str">
        <f>_xlfn.XLOOKUP(tblPayrollMaster[[#This Row],[Employee ID]],tblEmployee[Employee ID],tblEmployee[Employee Name],"")</f>
        <v/>
      </c>
      <c r="C214" s="24" t="str">
        <f>_xlfn.XLOOKUP(tblPayrollMaster[[#This Row],[Employee ID]],tblEmployee[Employee ID],tblEmployee[Employee Position],"")</f>
        <v/>
      </c>
      <c r="D214" s="24" t="str">
        <f>_xlfn.XLOOKUP(tblPayrollMaster[[#This Row],[Employee ID]], tblEmployee[Employee ID], tblEmployee[Pay Status], "Pay")</f>
        <v>Pay</v>
      </c>
      <c r="E214" s="24" t="str">
        <f>_xlfn.XLOOKUP(tblPayrollMaster[[#This Row],[Employee ID]], tblEmployee[Employee ID], tblEmployee[Payable Flag], "Y")</f>
        <v>Y</v>
      </c>
      <c r="F214" s="45">
        <f>IF(tblPayrollMaster[[#This Row],[Payable Flag]]="N",0,_xlfn.XLOOKUP(tblPayrollMaster[[#This Row],[Employee ID]],tblEmployee[Employee ID],tblEmployee[Pay Factor],1))</f>
        <v>1</v>
      </c>
      <c r="G214" s="26" t="str" cm="1">
        <f t="array" ref="G214">IF(tblPayrollMaster[[#This Row],[Employee ID]]="","",_xlfn.XLOOKUP(selPayPeriodID,tblPayCalendar[PayPeriodID],tblPayCalendar[PeriodStart],""))</f>
        <v/>
      </c>
      <c r="H214" s="26" t="str" cm="1">
        <f t="array" ref="H214">IF(tblPayrollMaster[[#This Row],[Employee ID]]="","",_xlfn.XLOOKUP(selPayPeriodID,tblPayCalendar[PayPeriodID],tblPayCalendar[PeriodEnd],""))</f>
        <v/>
      </c>
      <c r="I214" s="24" t="e" cm="1" vm="1">
        <f t="array" aca="1" ref="I214" ca="1">Table18[Employer Name]</f>
        <v>#VALUE!</v>
      </c>
      <c r="J214" s="3" cm="1">
        <f t="array" ref="J21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14" s="25" t="str">
        <f>_xlfn.XLOOKUP(tblPayrollMaster[[#This Row],[Employee Position]],tblPositionandPayRate[Employee Position],tblPositionandPayRate[Overtime], " ")</f>
        <v xml:space="preserve"> </v>
      </c>
      <c r="L214" s="25">
        <f>_xlfn.XLOOKUP(tblPayrollMaster[[#This Row],[Employee Position]],tblPositionandPayRate[Employee Position],tblPositionandPayRate[Allowance 1],0)*tblPayrollMaster[[#This Row],[Pay Factor]]</f>
        <v>0</v>
      </c>
      <c r="M214" s="25">
        <f>_xlfn.XLOOKUP(tblPayrollMaster[[#This Row],[Employee Position]],tblPositionandPayRate[Employee Position],tblPositionandPayRate[Allowance 2],0)*tblPayrollMaster[[#This Row],[Pay Factor]]</f>
        <v>0</v>
      </c>
      <c r="N214" s="25">
        <f>_xlfn.XLOOKUP(tblPayrollMaster[[#This Row],[Employee Position]],tblPositionandPayRate[Employee Position],tblPositionandPayRate[Allowance 3],0)*tblPayrollMaster[[#This Row],[Pay Factor]]</f>
        <v>0</v>
      </c>
      <c r="O214" s="25">
        <f>_xlfn.XLOOKUP(tblPayrollMaster[[#This Row],[Employee Position]],tblPositionandPayRate[Employee Position],tblPositionandPayRate[Allowance 4],0)*tblPayrollMaster[[#This Row],[Pay Factor]]</f>
        <v>0</v>
      </c>
      <c r="P214" s="25">
        <f>_xlfn.XLOOKUP(tblPayrollMaster[[#This Row],[Employee Position]],tblPositionandPayRate[Employee Position],tblPositionandPayRate[Allowance 5],0)*tblPayrollMaster[[#This Row],[Pay Factor]]</f>
        <v>0</v>
      </c>
      <c r="Q214" s="25">
        <f>SUM(tblPayrollMaster[[#This Row],[Basic Pay]:[Allowance 5]])</f>
        <v>0</v>
      </c>
      <c r="R21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14" s="51" cm="1">
        <f t="array" ref="S2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14" s="3" cm="1">
        <f t="array" ref="T2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14" s="25">
        <f>_xlfn.LET(
_xlpm.tos, _xlfn.XLOOKUP(tblPayrollMaster[[#This Row],[Employee ID]], tblEmployee[Employee ID], tblEmployee[Type of Service], ""),
IF(_xlpm.tos="Contract of Service", 8.25, 0)
)</f>
        <v>0</v>
      </c>
      <c r="V214" s="25">
        <f>tblPayrollMaster[[#This Row],[Basic Earnings]]-tblPayrollMaster[[#This Row],[Tax]]-tblPayrollMaster[[#This Row],[NIS - Employee]]-tblPayrollMaster[[#This Row],[Health Surcharge]]</f>
        <v>0</v>
      </c>
      <c r="W214" s="25">
        <f>tblPayrollMaster[[#This Row],[Net Pay]]</f>
        <v>0</v>
      </c>
      <c r="X214" s="25"/>
    </row>
    <row r="215" spans="1:24" x14ac:dyDescent="0.25">
      <c r="A215" s="24"/>
      <c r="B215" s="24" t="str">
        <f>_xlfn.XLOOKUP(tblPayrollMaster[[#This Row],[Employee ID]],tblEmployee[Employee ID],tblEmployee[Employee Name],"")</f>
        <v/>
      </c>
      <c r="C215" s="24" t="str">
        <f>_xlfn.XLOOKUP(tblPayrollMaster[[#This Row],[Employee ID]],tblEmployee[Employee ID],tblEmployee[Employee Position],"")</f>
        <v/>
      </c>
      <c r="D215" s="24" t="str">
        <f>_xlfn.XLOOKUP(tblPayrollMaster[[#This Row],[Employee ID]], tblEmployee[Employee ID], tblEmployee[Pay Status], "Pay")</f>
        <v>Pay</v>
      </c>
      <c r="E215" s="24" t="str">
        <f>_xlfn.XLOOKUP(tblPayrollMaster[[#This Row],[Employee ID]], tblEmployee[Employee ID], tblEmployee[Payable Flag], "Y")</f>
        <v>Y</v>
      </c>
      <c r="F215" s="45">
        <f>IF(tblPayrollMaster[[#This Row],[Payable Flag]]="N",0,_xlfn.XLOOKUP(tblPayrollMaster[[#This Row],[Employee ID]],tblEmployee[Employee ID],tblEmployee[Pay Factor],1))</f>
        <v>1</v>
      </c>
      <c r="G215" s="26" t="str" cm="1">
        <f t="array" ref="G215">IF(tblPayrollMaster[[#This Row],[Employee ID]]="","",_xlfn.XLOOKUP(selPayPeriodID,tblPayCalendar[PayPeriodID],tblPayCalendar[PeriodStart],""))</f>
        <v/>
      </c>
      <c r="H215" s="26" t="str" cm="1">
        <f t="array" ref="H215">IF(tblPayrollMaster[[#This Row],[Employee ID]]="","",_xlfn.XLOOKUP(selPayPeriodID,tblPayCalendar[PayPeriodID],tblPayCalendar[PeriodEnd],""))</f>
        <v/>
      </c>
      <c r="I215" s="24" t="e" cm="1" vm="1">
        <f t="array" aca="1" ref="I215" ca="1">Table18[Employer Name]</f>
        <v>#VALUE!</v>
      </c>
      <c r="J215" s="3" cm="1">
        <f t="array" ref="J21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15" s="25" t="str">
        <f>_xlfn.XLOOKUP(tblPayrollMaster[[#This Row],[Employee Position]],tblPositionandPayRate[Employee Position],tblPositionandPayRate[Overtime], " ")</f>
        <v xml:space="preserve"> </v>
      </c>
      <c r="L215" s="25">
        <f>_xlfn.XLOOKUP(tblPayrollMaster[[#This Row],[Employee Position]],tblPositionandPayRate[Employee Position],tblPositionandPayRate[Allowance 1],0)*tblPayrollMaster[[#This Row],[Pay Factor]]</f>
        <v>0</v>
      </c>
      <c r="M215" s="25">
        <f>_xlfn.XLOOKUP(tblPayrollMaster[[#This Row],[Employee Position]],tblPositionandPayRate[Employee Position],tblPositionandPayRate[Allowance 2],0)*tblPayrollMaster[[#This Row],[Pay Factor]]</f>
        <v>0</v>
      </c>
      <c r="N215" s="25">
        <f>_xlfn.XLOOKUP(tblPayrollMaster[[#This Row],[Employee Position]],tblPositionandPayRate[Employee Position],tblPositionandPayRate[Allowance 3],0)*tblPayrollMaster[[#This Row],[Pay Factor]]</f>
        <v>0</v>
      </c>
      <c r="O215" s="25">
        <f>_xlfn.XLOOKUP(tblPayrollMaster[[#This Row],[Employee Position]],tblPositionandPayRate[Employee Position],tblPositionandPayRate[Allowance 4],0)*tblPayrollMaster[[#This Row],[Pay Factor]]</f>
        <v>0</v>
      </c>
      <c r="P215" s="25">
        <f>_xlfn.XLOOKUP(tblPayrollMaster[[#This Row],[Employee Position]],tblPositionandPayRate[Employee Position],tblPositionandPayRate[Allowance 5],0)*tblPayrollMaster[[#This Row],[Pay Factor]]</f>
        <v>0</v>
      </c>
      <c r="Q215" s="25">
        <f>SUM(tblPayrollMaster[[#This Row],[Basic Pay]:[Allowance 5]])</f>
        <v>0</v>
      </c>
      <c r="R21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15" s="51" cm="1">
        <f t="array" ref="S2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15" s="3" cm="1">
        <f t="array" ref="T2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15" s="25">
        <f>_xlfn.LET(
_xlpm.tos, _xlfn.XLOOKUP(tblPayrollMaster[[#This Row],[Employee ID]], tblEmployee[Employee ID], tblEmployee[Type of Service], ""),
IF(_xlpm.tos="Contract of Service", 8.25, 0)
)</f>
        <v>0</v>
      </c>
      <c r="V215" s="25">
        <f>tblPayrollMaster[[#This Row],[Basic Earnings]]-tblPayrollMaster[[#This Row],[Tax]]-tblPayrollMaster[[#This Row],[NIS - Employee]]-tblPayrollMaster[[#This Row],[Health Surcharge]]</f>
        <v>0</v>
      </c>
      <c r="W215" s="25">
        <f>tblPayrollMaster[[#This Row],[Net Pay]]</f>
        <v>0</v>
      </c>
      <c r="X215" s="25"/>
    </row>
    <row r="216" spans="1:24" x14ac:dyDescent="0.25">
      <c r="A216" s="24"/>
      <c r="B216" s="24" t="str">
        <f>_xlfn.XLOOKUP(tblPayrollMaster[[#This Row],[Employee ID]],tblEmployee[Employee ID],tblEmployee[Employee Name],"")</f>
        <v/>
      </c>
      <c r="C216" s="24" t="str">
        <f>_xlfn.XLOOKUP(tblPayrollMaster[[#This Row],[Employee ID]],tblEmployee[Employee ID],tblEmployee[Employee Position],"")</f>
        <v/>
      </c>
      <c r="D216" s="24" t="str">
        <f>_xlfn.XLOOKUP(tblPayrollMaster[[#This Row],[Employee ID]], tblEmployee[Employee ID], tblEmployee[Pay Status], "Pay")</f>
        <v>Pay</v>
      </c>
      <c r="E216" s="24" t="str">
        <f>_xlfn.XLOOKUP(tblPayrollMaster[[#This Row],[Employee ID]], tblEmployee[Employee ID], tblEmployee[Payable Flag], "Y")</f>
        <v>Y</v>
      </c>
      <c r="F216" s="45">
        <f>IF(tblPayrollMaster[[#This Row],[Payable Flag]]="N",0,_xlfn.XLOOKUP(tblPayrollMaster[[#This Row],[Employee ID]],tblEmployee[Employee ID],tblEmployee[Pay Factor],1))</f>
        <v>1</v>
      </c>
      <c r="G216" s="26" t="str" cm="1">
        <f t="array" ref="G216">IF(tblPayrollMaster[[#This Row],[Employee ID]]="","",_xlfn.XLOOKUP(selPayPeriodID,tblPayCalendar[PayPeriodID],tblPayCalendar[PeriodStart],""))</f>
        <v/>
      </c>
      <c r="H216" s="26" t="str" cm="1">
        <f t="array" ref="H216">IF(tblPayrollMaster[[#This Row],[Employee ID]]="","",_xlfn.XLOOKUP(selPayPeriodID,tblPayCalendar[PayPeriodID],tblPayCalendar[PeriodEnd],""))</f>
        <v/>
      </c>
      <c r="I216" s="24" t="e" cm="1" vm="1">
        <f t="array" aca="1" ref="I216" ca="1">Table18[Employer Name]</f>
        <v>#VALUE!</v>
      </c>
      <c r="J216" s="3" cm="1">
        <f t="array" ref="J21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16" s="25" t="str">
        <f>_xlfn.XLOOKUP(tblPayrollMaster[[#This Row],[Employee Position]],tblPositionandPayRate[Employee Position],tblPositionandPayRate[Overtime], " ")</f>
        <v xml:space="preserve"> </v>
      </c>
      <c r="L216" s="25">
        <f>_xlfn.XLOOKUP(tblPayrollMaster[[#This Row],[Employee Position]],tblPositionandPayRate[Employee Position],tblPositionandPayRate[Allowance 1],0)*tblPayrollMaster[[#This Row],[Pay Factor]]</f>
        <v>0</v>
      </c>
      <c r="M216" s="25">
        <f>_xlfn.XLOOKUP(tblPayrollMaster[[#This Row],[Employee Position]],tblPositionandPayRate[Employee Position],tblPositionandPayRate[Allowance 2],0)*tblPayrollMaster[[#This Row],[Pay Factor]]</f>
        <v>0</v>
      </c>
      <c r="N216" s="25">
        <f>_xlfn.XLOOKUP(tblPayrollMaster[[#This Row],[Employee Position]],tblPositionandPayRate[Employee Position],tblPositionandPayRate[Allowance 3],0)*tblPayrollMaster[[#This Row],[Pay Factor]]</f>
        <v>0</v>
      </c>
      <c r="O216" s="25">
        <f>_xlfn.XLOOKUP(tblPayrollMaster[[#This Row],[Employee Position]],tblPositionandPayRate[Employee Position],tblPositionandPayRate[Allowance 4],0)*tblPayrollMaster[[#This Row],[Pay Factor]]</f>
        <v>0</v>
      </c>
      <c r="P216" s="25">
        <f>_xlfn.XLOOKUP(tblPayrollMaster[[#This Row],[Employee Position]],tblPositionandPayRate[Employee Position],tblPositionandPayRate[Allowance 5],0)*tblPayrollMaster[[#This Row],[Pay Factor]]</f>
        <v>0</v>
      </c>
      <c r="Q216" s="25">
        <f>SUM(tblPayrollMaster[[#This Row],[Basic Pay]:[Allowance 5]])</f>
        <v>0</v>
      </c>
      <c r="R21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16" s="51" cm="1">
        <f t="array" ref="S2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16" s="3" cm="1">
        <f t="array" ref="T2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16" s="25">
        <f>_xlfn.LET(
_xlpm.tos, _xlfn.XLOOKUP(tblPayrollMaster[[#This Row],[Employee ID]], tblEmployee[Employee ID], tblEmployee[Type of Service], ""),
IF(_xlpm.tos="Contract of Service", 8.25, 0)
)</f>
        <v>0</v>
      </c>
      <c r="V216" s="25">
        <f>tblPayrollMaster[[#This Row],[Basic Earnings]]-tblPayrollMaster[[#This Row],[Tax]]-tblPayrollMaster[[#This Row],[NIS - Employee]]-tblPayrollMaster[[#This Row],[Health Surcharge]]</f>
        <v>0</v>
      </c>
      <c r="W216" s="25">
        <f>tblPayrollMaster[[#This Row],[Net Pay]]</f>
        <v>0</v>
      </c>
      <c r="X216" s="25"/>
    </row>
    <row r="217" spans="1:24" x14ac:dyDescent="0.25">
      <c r="A217" s="24"/>
      <c r="B217" s="24" t="str">
        <f>_xlfn.XLOOKUP(tblPayrollMaster[[#This Row],[Employee ID]],tblEmployee[Employee ID],tblEmployee[Employee Name],"")</f>
        <v/>
      </c>
      <c r="C217" s="24" t="str">
        <f>_xlfn.XLOOKUP(tblPayrollMaster[[#This Row],[Employee ID]],tblEmployee[Employee ID],tblEmployee[Employee Position],"")</f>
        <v/>
      </c>
      <c r="D217" s="24" t="str">
        <f>_xlfn.XLOOKUP(tblPayrollMaster[[#This Row],[Employee ID]], tblEmployee[Employee ID], tblEmployee[Pay Status], "Pay")</f>
        <v>Pay</v>
      </c>
      <c r="E217" s="24" t="str">
        <f>_xlfn.XLOOKUP(tblPayrollMaster[[#This Row],[Employee ID]], tblEmployee[Employee ID], tblEmployee[Payable Flag], "Y")</f>
        <v>Y</v>
      </c>
      <c r="F217" s="45">
        <f>IF(tblPayrollMaster[[#This Row],[Payable Flag]]="N",0,_xlfn.XLOOKUP(tblPayrollMaster[[#This Row],[Employee ID]],tblEmployee[Employee ID],tblEmployee[Pay Factor],1))</f>
        <v>1</v>
      </c>
      <c r="G217" s="26" t="str" cm="1">
        <f t="array" ref="G217">IF(tblPayrollMaster[[#This Row],[Employee ID]]="","",_xlfn.XLOOKUP(selPayPeriodID,tblPayCalendar[PayPeriodID],tblPayCalendar[PeriodStart],""))</f>
        <v/>
      </c>
      <c r="H217" s="26" t="str" cm="1">
        <f t="array" ref="H217">IF(tblPayrollMaster[[#This Row],[Employee ID]]="","",_xlfn.XLOOKUP(selPayPeriodID,tblPayCalendar[PayPeriodID],tblPayCalendar[PeriodEnd],""))</f>
        <v/>
      </c>
      <c r="I217" s="24" t="e" cm="1" vm="1">
        <f t="array" aca="1" ref="I217" ca="1">Table18[Employer Name]</f>
        <v>#VALUE!</v>
      </c>
      <c r="J217" s="3" cm="1">
        <f t="array" ref="J21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17" s="25" t="str">
        <f>_xlfn.XLOOKUP(tblPayrollMaster[[#This Row],[Employee Position]],tblPositionandPayRate[Employee Position],tblPositionandPayRate[Overtime], " ")</f>
        <v xml:space="preserve"> </v>
      </c>
      <c r="L217" s="25">
        <f>_xlfn.XLOOKUP(tblPayrollMaster[[#This Row],[Employee Position]],tblPositionandPayRate[Employee Position],tblPositionandPayRate[Allowance 1],0)*tblPayrollMaster[[#This Row],[Pay Factor]]</f>
        <v>0</v>
      </c>
      <c r="M217" s="25">
        <f>_xlfn.XLOOKUP(tblPayrollMaster[[#This Row],[Employee Position]],tblPositionandPayRate[Employee Position],tblPositionandPayRate[Allowance 2],0)*tblPayrollMaster[[#This Row],[Pay Factor]]</f>
        <v>0</v>
      </c>
      <c r="N217" s="25">
        <f>_xlfn.XLOOKUP(tblPayrollMaster[[#This Row],[Employee Position]],tblPositionandPayRate[Employee Position],tblPositionandPayRate[Allowance 3],0)*tblPayrollMaster[[#This Row],[Pay Factor]]</f>
        <v>0</v>
      </c>
      <c r="O217" s="25">
        <f>_xlfn.XLOOKUP(tblPayrollMaster[[#This Row],[Employee Position]],tblPositionandPayRate[Employee Position],tblPositionandPayRate[Allowance 4],0)*tblPayrollMaster[[#This Row],[Pay Factor]]</f>
        <v>0</v>
      </c>
      <c r="P217" s="25">
        <f>_xlfn.XLOOKUP(tblPayrollMaster[[#This Row],[Employee Position]],tblPositionandPayRate[Employee Position],tblPositionandPayRate[Allowance 5],0)*tblPayrollMaster[[#This Row],[Pay Factor]]</f>
        <v>0</v>
      </c>
      <c r="Q217" s="25">
        <f>SUM(tblPayrollMaster[[#This Row],[Basic Pay]:[Allowance 5]])</f>
        <v>0</v>
      </c>
      <c r="R21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17" s="51" cm="1">
        <f t="array" ref="S2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17" s="3" cm="1">
        <f t="array" ref="T2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17" s="25">
        <f>_xlfn.LET(
_xlpm.tos, _xlfn.XLOOKUP(tblPayrollMaster[[#This Row],[Employee ID]], tblEmployee[Employee ID], tblEmployee[Type of Service], ""),
IF(_xlpm.tos="Contract of Service", 8.25, 0)
)</f>
        <v>0</v>
      </c>
      <c r="V217" s="25">
        <f>tblPayrollMaster[[#This Row],[Basic Earnings]]-tblPayrollMaster[[#This Row],[Tax]]-tblPayrollMaster[[#This Row],[NIS - Employee]]-tblPayrollMaster[[#This Row],[Health Surcharge]]</f>
        <v>0</v>
      </c>
      <c r="W217" s="25">
        <f>tblPayrollMaster[[#This Row],[Net Pay]]</f>
        <v>0</v>
      </c>
      <c r="X217" s="25"/>
    </row>
    <row r="218" spans="1:24" x14ac:dyDescent="0.25">
      <c r="A218" s="24"/>
      <c r="B218" s="24" t="str">
        <f>_xlfn.XLOOKUP(tblPayrollMaster[[#This Row],[Employee ID]],tblEmployee[Employee ID],tblEmployee[Employee Name],"")</f>
        <v/>
      </c>
      <c r="C218" s="24" t="str">
        <f>_xlfn.XLOOKUP(tblPayrollMaster[[#This Row],[Employee ID]],tblEmployee[Employee ID],tblEmployee[Employee Position],"")</f>
        <v/>
      </c>
      <c r="D218" s="24" t="str">
        <f>_xlfn.XLOOKUP(tblPayrollMaster[[#This Row],[Employee ID]], tblEmployee[Employee ID], tblEmployee[Pay Status], "Pay")</f>
        <v>Pay</v>
      </c>
      <c r="E218" s="24" t="str">
        <f>_xlfn.XLOOKUP(tblPayrollMaster[[#This Row],[Employee ID]], tblEmployee[Employee ID], tblEmployee[Payable Flag], "Y")</f>
        <v>Y</v>
      </c>
      <c r="F218" s="45">
        <f>IF(tblPayrollMaster[[#This Row],[Payable Flag]]="N",0,_xlfn.XLOOKUP(tblPayrollMaster[[#This Row],[Employee ID]],tblEmployee[Employee ID],tblEmployee[Pay Factor],1))</f>
        <v>1</v>
      </c>
      <c r="G218" s="26" t="str" cm="1">
        <f t="array" ref="G218">IF(tblPayrollMaster[[#This Row],[Employee ID]]="","",_xlfn.XLOOKUP(selPayPeriodID,tblPayCalendar[PayPeriodID],tblPayCalendar[PeriodStart],""))</f>
        <v/>
      </c>
      <c r="H218" s="26" t="str" cm="1">
        <f t="array" ref="H218">IF(tblPayrollMaster[[#This Row],[Employee ID]]="","",_xlfn.XLOOKUP(selPayPeriodID,tblPayCalendar[PayPeriodID],tblPayCalendar[PeriodEnd],""))</f>
        <v/>
      </c>
      <c r="I218" s="24" t="e" cm="1" vm="1">
        <f t="array" aca="1" ref="I218" ca="1">Table18[Employer Name]</f>
        <v>#VALUE!</v>
      </c>
      <c r="J218" s="3" cm="1">
        <f t="array" ref="J21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18" s="25" t="str">
        <f>_xlfn.XLOOKUP(tblPayrollMaster[[#This Row],[Employee Position]],tblPositionandPayRate[Employee Position],tblPositionandPayRate[Overtime], " ")</f>
        <v xml:space="preserve"> </v>
      </c>
      <c r="L218" s="25">
        <f>_xlfn.XLOOKUP(tblPayrollMaster[[#This Row],[Employee Position]],tblPositionandPayRate[Employee Position],tblPositionandPayRate[Allowance 1],0)*tblPayrollMaster[[#This Row],[Pay Factor]]</f>
        <v>0</v>
      </c>
      <c r="M218" s="25">
        <f>_xlfn.XLOOKUP(tblPayrollMaster[[#This Row],[Employee Position]],tblPositionandPayRate[Employee Position],tblPositionandPayRate[Allowance 2],0)*tblPayrollMaster[[#This Row],[Pay Factor]]</f>
        <v>0</v>
      </c>
      <c r="N218" s="25">
        <f>_xlfn.XLOOKUP(tblPayrollMaster[[#This Row],[Employee Position]],tblPositionandPayRate[Employee Position],tblPositionandPayRate[Allowance 3],0)*tblPayrollMaster[[#This Row],[Pay Factor]]</f>
        <v>0</v>
      </c>
      <c r="O218" s="25">
        <f>_xlfn.XLOOKUP(tblPayrollMaster[[#This Row],[Employee Position]],tblPositionandPayRate[Employee Position],tblPositionandPayRate[Allowance 4],0)*tblPayrollMaster[[#This Row],[Pay Factor]]</f>
        <v>0</v>
      </c>
      <c r="P218" s="25">
        <f>_xlfn.XLOOKUP(tblPayrollMaster[[#This Row],[Employee Position]],tblPositionandPayRate[Employee Position],tblPositionandPayRate[Allowance 5],0)*tblPayrollMaster[[#This Row],[Pay Factor]]</f>
        <v>0</v>
      </c>
      <c r="Q218" s="25">
        <f>SUM(tblPayrollMaster[[#This Row],[Basic Pay]:[Allowance 5]])</f>
        <v>0</v>
      </c>
      <c r="R21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18" s="51" cm="1">
        <f t="array" ref="S2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18" s="3" cm="1">
        <f t="array" ref="T2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18" s="25">
        <f>_xlfn.LET(
_xlpm.tos, _xlfn.XLOOKUP(tblPayrollMaster[[#This Row],[Employee ID]], tblEmployee[Employee ID], tblEmployee[Type of Service], ""),
IF(_xlpm.tos="Contract of Service", 8.25, 0)
)</f>
        <v>0</v>
      </c>
      <c r="V218" s="25">
        <f>tblPayrollMaster[[#This Row],[Basic Earnings]]-tblPayrollMaster[[#This Row],[Tax]]-tblPayrollMaster[[#This Row],[NIS - Employee]]-tblPayrollMaster[[#This Row],[Health Surcharge]]</f>
        <v>0</v>
      </c>
      <c r="W218" s="25">
        <f>tblPayrollMaster[[#This Row],[Net Pay]]</f>
        <v>0</v>
      </c>
      <c r="X218" s="25"/>
    </row>
    <row r="219" spans="1:24" x14ac:dyDescent="0.25">
      <c r="A219" s="24"/>
      <c r="B219" s="24" t="str">
        <f>_xlfn.XLOOKUP(tblPayrollMaster[[#This Row],[Employee ID]],tblEmployee[Employee ID],tblEmployee[Employee Name],"")</f>
        <v/>
      </c>
      <c r="C219" s="24" t="str">
        <f>_xlfn.XLOOKUP(tblPayrollMaster[[#This Row],[Employee ID]],tblEmployee[Employee ID],tblEmployee[Employee Position],"")</f>
        <v/>
      </c>
      <c r="D219" s="24" t="str">
        <f>_xlfn.XLOOKUP(tblPayrollMaster[[#This Row],[Employee ID]], tblEmployee[Employee ID], tblEmployee[Pay Status], "Pay")</f>
        <v>Pay</v>
      </c>
      <c r="E219" s="24" t="str">
        <f>_xlfn.XLOOKUP(tblPayrollMaster[[#This Row],[Employee ID]], tblEmployee[Employee ID], tblEmployee[Payable Flag], "Y")</f>
        <v>Y</v>
      </c>
      <c r="F219" s="45">
        <f>IF(tblPayrollMaster[[#This Row],[Payable Flag]]="N",0,_xlfn.XLOOKUP(tblPayrollMaster[[#This Row],[Employee ID]],tblEmployee[Employee ID],tblEmployee[Pay Factor],1))</f>
        <v>1</v>
      </c>
      <c r="G219" s="26" t="str" cm="1">
        <f t="array" ref="G219">IF(tblPayrollMaster[[#This Row],[Employee ID]]="","",_xlfn.XLOOKUP(selPayPeriodID,tblPayCalendar[PayPeriodID],tblPayCalendar[PeriodStart],""))</f>
        <v/>
      </c>
      <c r="H219" s="26" t="str" cm="1">
        <f t="array" ref="H219">IF(tblPayrollMaster[[#This Row],[Employee ID]]="","",_xlfn.XLOOKUP(selPayPeriodID,tblPayCalendar[PayPeriodID],tblPayCalendar[PeriodEnd],""))</f>
        <v/>
      </c>
      <c r="I219" s="24" t="e" cm="1" vm="1">
        <f t="array" aca="1" ref="I219" ca="1">Table18[Employer Name]</f>
        <v>#VALUE!</v>
      </c>
      <c r="J219" s="3" cm="1">
        <f t="array" ref="J21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19" s="25" t="str">
        <f>_xlfn.XLOOKUP(tblPayrollMaster[[#This Row],[Employee Position]],tblPositionandPayRate[Employee Position],tblPositionandPayRate[Overtime], " ")</f>
        <v xml:space="preserve"> </v>
      </c>
      <c r="L219" s="25">
        <f>_xlfn.XLOOKUP(tblPayrollMaster[[#This Row],[Employee Position]],tblPositionandPayRate[Employee Position],tblPositionandPayRate[Allowance 1],0)*tblPayrollMaster[[#This Row],[Pay Factor]]</f>
        <v>0</v>
      </c>
      <c r="M219" s="25">
        <f>_xlfn.XLOOKUP(tblPayrollMaster[[#This Row],[Employee Position]],tblPositionandPayRate[Employee Position],tblPositionandPayRate[Allowance 2],0)*tblPayrollMaster[[#This Row],[Pay Factor]]</f>
        <v>0</v>
      </c>
      <c r="N219" s="25">
        <f>_xlfn.XLOOKUP(tblPayrollMaster[[#This Row],[Employee Position]],tblPositionandPayRate[Employee Position],tblPositionandPayRate[Allowance 3],0)*tblPayrollMaster[[#This Row],[Pay Factor]]</f>
        <v>0</v>
      </c>
      <c r="O219" s="25">
        <f>_xlfn.XLOOKUP(tblPayrollMaster[[#This Row],[Employee Position]],tblPositionandPayRate[Employee Position],tblPositionandPayRate[Allowance 4],0)*tblPayrollMaster[[#This Row],[Pay Factor]]</f>
        <v>0</v>
      </c>
      <c r="P219" s="25">
        <f>_xlfn.XLOOKUP(tblPayrollMaster[[#This Row],[Employee Position]],tblPositionandPayRate[Employee Position],tblPositionandPayRate[Allowance 5],0)*tblPayrollMaster[[#This Row],[Pay Factor]]</f>
        <v>0</v>
      </c>
      <c r="Q219" s="25">
        <f>SUM(tblPayrollMaster[[#This Row],[Basic Pay]:[Allowance 5]])</f>
        <v>0</v>
      </c>
      <c r="R21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19" s="51" cm="1">
        <f t="array" ref="S2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19" s="3" cm="1">
        <f t="array" ref="T2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19" s="25">
        <f>_xlfn.LET(
_xlpm.tos, _xlfn.XLOOKUP(tblPayrollMaster[[#This Row],[Employee ID]], tblEmployee[Employee ID], tblEmployee[Type of Service], ""),
IF(_xlpm.tos="Contract of Service", 8.25, 0)
)</f>
        <v>0</v>
      </c>
      <c r="V219" s="25">
        <f>tblPayrollMaster[[#This Row],[Basic Earnings]]-tblPayrollMaster[[#This Row],[Tax]]-tblPayrollMaster[[#This Row],[NIS - Employee]]-tblPayrollMaster[[#This Row],[Health Surcharge]]</f>
        <v>0</v>
      </c>
      <c r="W219" s="25">
        <f>tblPayrollMaster[[#This Row],[Net Pay]]</f>
        <v>0</v>
      </c>
      <c r="X219" s="25"/>
    </row>
    <row r="220" spans="1:24" x14ac:dyDescent="0.25">
      <c r="A220" s="24"/>
      <c r="B220" s="24" t="str">
        <f>_xlfn.XLOOKUP(tblPayrollMaster[[#This Row],[Employee ID]],tblEmployee[Employee ID],tblEmployee[Employee Name],"")</f>
        <v/>
      </c>
      <c r="C220" s="24" t="str">
        <f>_xlfn.XLOOKUP(tblPayrollMaster[[#This Row],[Employee ID]],tblEmployee[Employee ID],tblEmployee[Employee Position],"")</f>
        <v/>
      </c>
      <c r="D220" s="24" t="str">
        <f>_xlfn.XLOOKUP(tblPayrollMaster[[#This Row],[Employee ID]], tblEmployee[Employee ID], tblEmployee[Pay Status], "Pay")</f>
        <v>Pay</v>
      </c>
      <c r="E220" s="24" t="str">
        <f>_xlfn.XLOOKUP(tblPayrollMaster[[#This Row],[Employee ID]], tblEmployee[Employee ID], tblEmployee[Payable Flag], "Y")</f>
        <v>Y</v>
      </c>
      <c r="F220" s="45">
        <f>IF(tblPayrollMaster[[#This Row],[Payable Flag]]="N",0,_xlfn.XLOOKUP(tblPayrollMaster[[#This Row],[Employee ID]],tblEmployee[Employee ID],tblEmployee[Pay Factor],1))</f>
        <v>1</v>
      </c>
      <c r="G220" s="26" t="str" cm="1">
        <f t="array" ref="G220">IF(tblPayrollMaster[[#This Row],[Employee ID]]="","",_xlfn.XLOOKUP(selPayPeriodID,tblPayCalendar[PayPeriodID],tblPayCalendar[PeriodStart],""))</f>
        <v/>
      </c>
      <c r="H220" s="26" t="str" cm="1">
        <f t="array" ref="H220">IF(tblPayrollMaster[[#This Row],[Employee ID]]="","",_xlfn.XLOOKUP(selPayPeriodID,tblPayCalendar[PayPeriodID],tblPayCalendar[PeriodEnd],""))</f>
        <v/>
      </c>
      <c r="I220" s="24" t="e" cm="1" vm="1">
        <f t="array" aca="1" ref="I220" ca="1">Table18[Employer Name]</f>
        <v>#VALUE!</v>
      </c>
      <c r="J220" s="3" cm="1">
        <f t="array" ref="J22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20" s="25" t="str">
        <f>_xlfn.XLOOKUP(tblPayrollMaster[[#This Row],[Employee Position]],tblPositionandPayRate[Employee Position],tblPositionandPayRate[Overtime], " ")</f>
        <v xml:space="preserve"> </v>
      </c>
      <c r="L220" s="25">
        <f>_xlfn.XLOOKUP(tblPayrollMaster[[#This Row],[Employee Position]],tblPositionandPayRate[Employee Position],tblPositionandPayRate[Allowance 1],0)*tblPayrollMaster[[#This Row],[Pay Factor]]</f>
        <v>0</v>
      </c>
      <c r="M220" s="25">
        <f>_xlfn.XLOOKUP(tblPayrollMaster[[#This Row],[Employee Position]],tblPositionandPayRate[Employee Position],tblPositionandPayRate[Allowance 2],0)*tblPayrollMaster[[#This Row],[Pay Factor]]</f>
        <v>0</v>
      </c>
      <c r="N220" s="25">
        <f>_xlfn.XLOOKUP(tblPayrollMaster[[#This Row],[Employee Position]],tblPositionandPayRate[Employee Position],tblPositionandPayRate[Allowance 3],0)*tblPayrollMaster[[#This Row],[Pay Factor]]</f>
        <v>0</v>
      </c>
      <c r="O220" s="25">
        <f>_xlfn.XLOOKUP(tblPayrollMaster[[#This Row],[Employee Position]],tblPositionandPayRate[Employee Position],tblPositionandPayRate[Allowance 4],0)*tblPayrollMaster[[#This Row],[Pay Factor]]</f>
        <v>0</v>
      </c>
      <c r="P220" s="25">
        <f>_xlfn.XLOOKUP(tblPayrollMaster[[#This Row],[Employee Position]],tblPositionandPayRate[Employee Position],tblPositionandPayRate[Allowance 5],0)*tblPayrollMaster[[#This Row],[Pay Factor]]</f>
        <v>0</v>
      </c>
      <c r="Q220" s="25">
        <f>SUM(tblPayrollMaster[[#This Row],[Basic Pay]:[Allowance 5]])</f>
        <v>0</v>
      </c>
      <c r="R22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20" s="51" cm="1">
        <f t="array" ref="S2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20" s="3" cm="1">
        <f t="array" ref="T2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20" s="25">
        <f>_xlfn.LET(
_xlpm.tos, _xlfn.XLOOKUP(tblPayrollMaster[[#This Row],[Employee ID]], tblEmployee[Employee ID], tblEmployee[Type of Service], ""),
IF(_xlpm.tos="Contract of Service", 8.25, 0)
)</f>
        <v>0</v>
      </c>
      <c r="V220" s="25">
        <f>tblPayrollMaster[[#This Row],[Basic Earnings]]-tblPayrollMaster[[#This Row],[Tax]]-tblPayrollMaster[[#This Row],[NIS - Employee]]-tblPayrollMaster[[#This Row],[Health Surcharge]]</f>
        <v>0</v>
      </c>
      <c r="W220" s="25">
        <f>tblPayrollMaster[[#This Row],[Net Pay]]</f>
        <v>0</v>
      </c>
      <c r="X220" s="25"/>
    </row>
    <row r="221" spans="1:24" x14ac:dyDescent="0.25">
      <c r="A221" s="24"/>
      <c r="B221" s="24" t="str">
        <f>_xlfn.XLOOKUP(tblPayrollMaster[[#This Row],[Employee ID]],tblEmployee[Employee ID],tblEmployee[Employee Name],"")</f>
        <v/>
      </c>
      <c r="C221" s="24" t="str">
        <f>_xlfn.XLOOKUP(tblPayrollMaster[[#This Row],[Employee ID]],tblEmployee[Employee ID],tblEmployee[Employee Position],"")</f>
        <v/>
      </c>
      <c r="D221" s="24" t="str">
        <f>_xlfn.XLOOKUP(tblPayrollMaster[[#This Row],[Employee ID]], tblEmployee[Employee ID], tblEmployee[Pay Status], "Pay")</f>
        <v>Pay</v>
      </c>
      <c r="E221" s="24" t="str">
        <f>_xlfn.XLOOKUP(tblPayrollMaster[[#This Row],[Employee ID]], tblEmployee[Employee ID], tblEmployee[Payable Flag], "Y")</f>
        <v>Y</v>
      </c>
      <c r="F221" s="45">
        <f>IF(tblPayrollMaster[[#This Row],[Payable Flag]]="N",0,_xlfn.XLOOKUP(tblPayrollMaster[[#This Row],[Employee ID]],tblEmployee[Employee ID],tblEmployee[Pay Factor],1))</f>
        <v>1</v>
      </c>
      <c r="G221" s="26" t="str" cm="1">
        <f t="array" ref="G221">IF(tblPayrollMaster[[#This Row],[Employee ID]]="","",_xlfn.XLOOKUP(selPayPeriodID,tblPayCalendar[PayPeriodID],tblPayCalendar[PeriodStart],""))</f>
        <v/>
      </c>
      <c r="H221" s="26" t="str" cm="1">
        <f t="array" ref="H221">IF(tblPayrollMaster[[#This Row],[Employee ID]]="","",_xlfn.XLOOKUP(selPayPeriodID,tblPayCalendar[PayPeriodID],tblPayCalendar[PeriodEnd],""))</f>
        <v/>
      </c>
      <c r="I221" s="24" t="e" cm="1" vm="1">
        <f t="array" aca="1" ref="I221" ca="1">Table18[Employer Name]</f>
        <v>#VALUE!</v>
      </c>
      <c r="J221" s="3" cm="1">
        <f t="array" ref="J22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21" s="25" t="str">
        <f>_xlfn.XLOOKUP(tblPayrollMaster[[#This Row],[Employee Position]],tblPositionandPayRate[Employee Position],tblPositionandPayRate[Overtime], " ")</f>
        <v xml:space="preserve"> </v>
      </c>
      <c r="L221" s="25">
        <f>_xlfn.XLOOKUP(tblPayrollMaster[[#This Row],[Employee Position]],tblPositionandPayRate[Employee Position],tblPositionandPayRate[Allowance 1],0)*tblPayrollMaster[[#This Row],[Pay Factor]]</f>
        <v>0</v>
      </c>
      <c r="M221" s="25">
        <f>_xlfn.XLOOKUP(tblPayrollMaster[[#This Row],[Employee Position]],tblPositionandPayRate[Employee Position],tblPositionandPayRate[Allowance 2],0)*tblPayrollMaster[[#This Row],[Pay Factor]]</f>
        <v>0</v>
      </c>
      <c r="N221" s="25">
        <f>_xlfn.XLOOKUP(tblPayrollMaster[[#This Row],[Employee Position]],tblPositionandPayRate[Employee Position],tblPositionandPayRate[Allowance 3],0)*tblPayrollMaster[[#This Row],[Pay Factor]]</f>
        <v>0</v>
      </c>
      <c r="O221" s="25">
        <f>_xlfn.XLOOKUP(tblPayrollMaster[[#This Row],[Employee Position]],tblPositionandPayRate[Employee Position],tblPositionandPayRate[Allowance 4],0)*tblPayrollMaster[[#This Row],[Pay Factor]]</f>
        <v>0</v>
      </c>
      <c r="P221" s="25">
        <f>_xlfn.XLOOKUP(tblPayrollMaster[[#This Row],[Employee Position]],tblPositionandPayRate[Employee Position],tblPositionandPayRate[Allowance 5],0)*tblPayrollMaster[[#This Row],[Pay Factor]]</f>
        <v>0</v>
      </c>
      <c r="Q221" s="25">
        <f>SUM(tblPayrollMaster[[#This Row],[Basic Pay]:[Allowance 5]])</f>
        <v>0</v>
      </c>
      <c r="R22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21" s="51" cm="1">
        <f t="array" ref="S2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21" s="3" cm="1">
        <f t="array" ref="T2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21" s="25">
        <f>_xlfn.LET(
_xlpm.tos, _xlfn.XLOOKUP(tblPayrollMaster[[#This Row],[Employee ID]], tblEmployee[Employee ID], tblEmployee[Type of Service], ""),
IF(_xlpm.tos="Contract of Service", 8.25, 0)
)</f>
        <v>0</v>
      </c>
      <c r="V221" s="25">
        <f>tblPayrollMaster[[#This Row],[Basic Earnings]]-tblPayrollMaster[[#This Row],[Tax]]-tblPayrollMaster[[#This Row],[NIS - Employee]]-tblPayrollMaster[[#This Row],[Health Surcharge]]</f>
        <v>0</v>
      </c>
      <c r="W221" s="25">
        <f>tblPayrollMaster[[#This Row],[Net Pay]]</f>
        <v>0</v>
      </c>
      <c r="X221" s="25"/>
    </row>
    <row r="222" spans="1:24" x14ac:dyDescent="0.25">
      <c r="A222" s="24"/>
      <c r="B222" s="24" t="str">
        <f>_xlfn.XLOOKUP(tblPayrollMaster[[#This Row],[Employee ID]],tblEmployee[Employee ID],tblEmployee[Employee Name],"")</f>
        <v/>
      </c>
      <c r="C222" s="24" t="str">
        <f>_xlfn.XLOOKUP(tblPayrollMaster[[#This Row],[Employee ID]],tblEmployee[Employee ID],tblEmployee[Employee Position],"")</f>
        <v/>
      </c>
      <c r="D222" s="24" t="str">
        <f>_xlfn.XLOOKUP(tblPayrollMaster[[#This Row],[Employee ID]], tblEmployee[Employee ID], tblEmployee[Pay Status], "Pay")</f>
        <v>Pay</v>
      </c>
      <c r="E222" s="24" t="str">
        <f>_xlfn.XLOOKUP(tblPayrollMaster[[#This Row],[Employee ID]], tblEmployee[Employee ID], tblEmployee[Payable Flag], "Y")</f>
        <v>Y</v>
      </c>
      <c r="F222" s="45">
        <f>IF(tblPayrollMaster[[#This Row],[Payable Flag]]="N",0,_xlfn.XLOOKUP(tblPayrollMaster[[#This Row],[Employee ID]],tblEmployee[Employee ID],tblEmployee[Pay Factor],1))</f>
        <v>1</v>
      </c>
      <c r="G222" s="26" t="str" cm="1">
        <f t="array" ref="G222">IF(tblPayrollMaster[[#This Row],[Employee ID]]="","",_xlfn.XLOOKUP(selPayPeriodID,tblPayCalendar[PayPeriodID],tblPayCalendar[PeriodStart],""))</f>
        <v/>
      </c>
      <c r="H222" s="26" t="str" cm="1">
        <f t="array" ref="H222">IF(tblPayrollMaster[[#This Row],[Employee ID]]="","",_xlfn.XLOOKUP(selPayPeriodID,tblPayCalendar[PayPeriodID],tblPayCalendar[PeriodEnd],""))</f>
        <v/>
      </c>
      <c r="I222" s="24" t="e" cm="1" vm="1">
        <f t="array" aca="1" ref="I222" ca="1">Table18[Employer Name]</f>
        <v>#VALUE!</v>
      </c>
      <c r="J222" s="3" cm="1">
        <f t="array" ref="J22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22" s="25" t="str">
        <f>_xlfn.XLOOKUP(tblPayrollMaster[[#This Row],[Employee Position]],tblPositionandPayRate[Employee Position],tblPositionandPayRate[Overtime], " ")</f>
        <v xml:space="preserve"> </v>
      </c>
      <c r="L222" s="25">
        <f>_xlfn.XLOOKUP(tblPayrollMaster[[#This Row],[Employee Position]],tblPositionandPayRate[Employee Position],tblPositionandPayRate[Allowance 1],0)*tblPayrollMaster[[#This Row],[Pay Factor]]</f>
        <v>0</v>
      </c>
      <c r="M222" s="25">
        <f>_xlfn.XLOOKUP(tblPayrollMaster[[#This Row],[Employee Position]],tblPositionandPayRate[Employee Position],tblPositionandPayRate[Allowance 2],0)*tblPayrollMaster[[#This Row],[Pay Factor]]</f>
        <v>0</v>
      </c>
      <c r="N222" s="25">
        <f>_xlfn.XLOOKUP(tblPayrollMaster[[#This Row],[Employee Position]],tblPositionandPayRate[Employee Position],tblPositionandPayRate[Allowance 3],0)*tblPayrollMaster[[#This Row],[Pay Factor]]</f>
        <v>0</v>
      </c>
      <c r="O222" s="25">
        <f>_xlfn.XLOOKUP(tblPayrollMaster[[#This Row],[Employee Position]],tblPositionandPayRate[Employee Position],tblPositionandPayRate[Allowance 4],0)*tblPayrollMaster[[#This Row],[Pay Factor]]</f>
        <v>0</v>
      </c>
      <c r="P222" s="25">
        <f>_xlfn.XLOOKUP(tblPayrollMaster[[#This Row],[Employee Position]],tblPositionandPayRate[Employee Position],tblPositionandPayRate[Allowance 5],0)*tblPayrollMaster[[#This Row],[Pay Factor]]</f>
        <v>0</v>
      </c>
      <c r="Q222" s="25">
        <f>SUM(tblPayrollMaster[[#This Row],[Basic Pay]:[Allowance 5]])</f>
        <v>0</v>
      </c>
      <c r="R22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22" s="51" cm="1">
        <f t="array" ref="S2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22" s="3" cm="1">
        <f t="array" ref="T2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22" s="25">
        <f>_xlfn.LET(
_xlpm.tos, _xlfn.XLOOKUP(tblPayrollMaster[[#This Row],[Employee ID]], tblEmployee[Employee ID], tblEmployee[Type of Service], ""),
IF(_xlpm.tos="Contract of Service", 8.25, 0)
)</f>
        <v>0</v>
      </c>
      <c r="V222" s="25">
        <f>tblPayrollMaster[[#This Row],[Basic Earnings]]-tblPayrollMaster[[#This Row],[Tax]]-tblPayrollMaster[[#This Row],[NIS - Employee]]-tblPayrollMaster[[#This Row],[Health Surcharge]]</f>
        <v>0</v>
      </c>
      <c r="W222" s="25">
        <f>tblPayrollMaster[[#This Row],[Net Pay]]</f>
        <v>0</v>
      </c>
      <c r="X222" s="25"/>
    </row>
    <row r="223" spans="1:24" x14ac:dyDescent="0.25">
      <c r="A223" s="24"/>
      <c r="B223" s="24" t="str">
        <f>_xlfn.XLOOKUP(tblPayrollMaster[[#This Row],[Employee ID]],tblEmployee[Employee ID],tblEmployee[Employee Name],"")</f>
        <v/>
      </c>
      <c r="C223" s="24" t="str">
        <f>_xlfn.XLOOKUP(tblPayrollMaster[[#This Row],[Employee ID]],tblEmployee[Employee ID],tblEmployee[Employee Position],"")</f>
        <v/>
      </c>
      <c r="D223" s="24" t="str">
        <f>_xlfn.XLOOKUP(tblPayrollMaster[[#This Row],[Employee ID]], tblEmployee[Employee ID], tblEmployee[Pay Status], "Pay")</f>
        <v>Pay</v>
      </c>
      <c r="E223" s="24" t="str">
        <f>_xlfn.XLOOKUP(tblPayrollMaster[[#This Row],[Employee ID]], tblEmployee[Employee ID], tblEmployee[Payable Flag], "Y")</f>
        <v>Y</v>
      </c>
      <c r="F223" s="45">
        <f>IF(tblPayrollMaster[[#This Row],[Payable Flag]]="N",0,_xlfn.XLOOKUP(tblPayrollMaster[[#This Row],[Employee ID]],tblEmployee[Employee ID],tblEmployee[Pay Factor],1))</f>
        <v>1</v>
      </c>
      <c r="G223" s="26" t="str" cm="1">
        <f t="array" ref="G223">IF(tblPayrollMaster[[#This Row],[Employee ID]]="","",_xlfn.XLOOKUP(selPayPeriodID,tblPayCalendar[PayPeriodID],tblPayCalendar[PeriodStart],""))</f>
        <v/>
      </c>
      <c r="H223" s="26" t="str" cm="1">
        <f t="array" ref="H223">IF(tblPayrollMaster[[#This Row],[Employee ID]]="","",_xlfn.XLOOKUP(selPayPeriodID,tblPayCalendar[PayPeriodID],tblPayCalendar[PeriodEnd],""))</f>
        <v/>
      </c>
      <c r="I223" s="24" t="e" cm="1" vm="1">
        <f t="array" aca="1" ref="I223" ca="1">Table18[Employer Name]</f>
        <v>#VALUE!</v>
      </c>
      <c r="J223" s="3" cm="1">
        <f t="array" ref="J22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23" s="25" t="str">
        <f>_xlfn.XLOOKUP(tblPayrollMaster[[#This Row],[Employee Position]],tblPositionandPayRate[Employee Position],tblPositionandPayRate[Overtime], " ")</f>
        <v xml:space="preserve"> </v>
      </c>
      <c r="L223" s="25">
        <f>_xlfn.XLOOKUP(tblPayrollMaster[[#This Row],[Employee Position]],tblPositionandPayRate[Employee Position],tblPositionandPayRate[Allowance 1],0)*tblPayrollMaster[[#This Row],[Pay Factor]]</f>
        <v>0</v>
      </c>
      <c r="M223" s="25">
        <f>_xlfn.XLOOKUP(tblPayrollMaster[[#This Row],[Employee Position]],tblPositionandPayRate[Employee Position],tblPositionandPayRate[Allowance 2],0)*tblPayrollMaster[[#This Row],[Pay Factor]]</f>
        <v>0</v>
      </c>
      <c r="N223" s="25">
        <f>_xlfn.XLOOKUP(tblPayrollMaster[[#This Row],[Employee Position]],tblPositionandPayRate[Employee Position],tblPositionandPayRate[Allowance 3],0)*tblPayrollMaster[[#This Row],[Pay Factor]]</f>
        <v>0</v>
      </c>
      <c r="O223" s="25">
        <f>_xlfn.XLOOKUP(tblPayrollMaster[[#This Row],[Employee Position]],tblPositionandPayRate[Employee Position],tblPositionandPayRate[Allowance 4],0)*tblPayrollMaster[[#This Row],[Pay Factor]]</f>
        <v>0</v>
      </c>
      <c r="P223" s="25">
        <f>_xlfn.XLOOKUP(tblPayrollMaster[[#This Row],[Employee Position]],tblPositionandPayRate[Employee Position],tblPositionandPayRate[Allowance 5],0)*tblPayrollMaster[[#This Row],[Pay Factor]]</f>
        <v>0</v>
      </c>
      <c r="Q223" s="25">
        <f>SUM(tblPayrollMaster[[#This Row],[Basic Pay]:[Allowance 5]])</f>
        <v>0</v>
      </c>
      <c r="R22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23" s="51" cm="1">
        <f t="array" ref="S2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23" s="3" cm="1">
        <f t="array" ref="T2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23" s="25">
        <f>_xlfn.LET(
_xlpm.tos, _xlfn.XLOOKUP(tblPayrollMaster[[#This Row],[Employee ID]], tblEmployee[Employee ID], tblEmployee[Type of Service], ""),
IF(_xlpm.tos="Contract of Service", 8.25, 0)
)</f>
        <v>0</v>
      </c>
      <c r="V223" s="25">
        <f>tblPayrollMaster[[#This Row],[Basic Earnings]]-tblPayrollMaster[[#This Row],[Tax]]-tblPayrollMaster[[#This Row],[NIS - Employee]]-tblPayrollMaster[[#This Row],[Health Surcharge]]</f>
        <v>0</v>
      </c>
      <c r="W223" s="25">
        <f>tblPayrollMaster[[#This Row],[Net Pay]]</f>
        <v>0</v>
      </c>
      <c r="X223" s="25"/>
    </row>
    <row r="224" spans="1:24" x14ac:dyDescent="0.25">
      <c r="A224" s="24"/>
      <c r="B224" s="24" t="str">
        <f>_xlfn.XLOOKUP(tblPayrollMaster[[#This Row],[Employee ID]],tblEmployee[Employee ID],tblEmployee[Employee Name],"")</f>
        <v/>
      </c>
      <c r="C224" s="24" t="str">
        <f>_xlfn.XLOOKUP(tblPayrollMaster[[#This Row],[Employee ID]],tblEmployee[Employee ID],tblEmployee[Employee Position],"")</f>
        <v/>
      </c>
      <c r="D224" s="24" t="str">
        <f>_xlfn.XLOOKUP(tblPayrollMaster[[#This Row],[Employee ID]], tblEmployee[Employee ID], tblEmployee[Pay Status], "Pay")</f>
        <v>Pay</v>
      </c>
      <c r="E224" s="24" t="str">
        <f>_xlfn.XLOOKUP(tblPayrollMaster[[#This Row],[Employee ID]], tblEmployee[Employee ID], tblEmployee[Payable Flag], "Y")</f>
        <v>Y</v>
      </c>
      <c r="F224" s="45">
        <f>IF(tblPayrollMaster[[#This Row],[Payable Flag]]="N",0,_xlfn.XLOOKUP(tblPayrollMaster[[#This Row],[Employee ID]],tblEmployee[Employee ID],tblEmployee[Pay Factor],1))</f>
        <v>1</v>
      </c>
      <c r="G224" s="26" t="str" cm="1">
        <f t="array" ref="G224">IF(tblPayrollMaster[[#This Row],[Employee ID]]="","",_xlfn.XLOOKUP(selPayPeriodID,tblPayCalendar[PayPeriodID],tblPayCalendar[PeriodStart],""))</f>
        <v/>
      </c>
      <c r="H224" s="26" t="str" cm="1">
        <f t="array" ref="H224">IF(tblPayrollMaster[[#This Row],[Employee ID]]="","",_xlfn.XLOOKUP(selPayPeriodID,tblPayCalendar[PayPeriodID],tblPayCalendar[PeriodEnd],""))</f>
        <v/>
      </c>
      <c r="I224" s="24" t="e" cm="1" vm="1">
        <f t="array" aca="1" ref="I224" ca="1">Table18[Employer Name]</f>
        <v>#VALUE!</v>
      </c>
      <c r="J224" s="3" cm="1">
        <f t="array" ref="J22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24" s="25" t="str">
        <f>_xlfn.XLOOKUP(tblPayrollMaster[[#This Row],[Employee Position]],tblPositionandPayRate[Employee Position],tblPositionandPayRate[Overtime], " ")</f>
        <v xml:space="preserve"> </v>
      </c>
      <c r="L224" s="25">
        <f>_xlfn.XLOOKUP(tblPayrollMaster[[#This Row],[Employee Position]],tblPositionandPayRate[Employee Position],tblPositionandPayRate[Allowance 1],0)*tblPayrollMaster[[#This Row],[Pay Factor]]</f>
        <v>0</v>
      </c>
      <c r="M224" s="25">
        <f>_xlfn.XLOOKUP(tblPayrollMaster[[#This Row],[Employee Position]],tblPositionandPayRate[Employee Position],tblPositionandPayRate[Allowance 2],0)*tblPayrollMaster[[#This Row],[Pay Factor]]</f>
        <v>0</v>
      </c>
      <c r="N224" s="25">
        <f>_xlfn.XLOOKUP(tblPayrollMaster[[#This Row],[Employee Position]],tblPositionandPayRate[Employee Position],tblPositionandPayRate[Allowance 3],0)*tblPayrollMaster[[#This Row],[Pay Factor]]</f>
        <v>0</v>
      </c>
      <c r="O224" s="25">
        <f>_xlfn.XLOOKUP(tblPayrollMaster[[#This Row],[Employee Position]],tblPositionandPayRate[Employee Position],tblPositionandPayRate[Allowance 4],0)*tblPayrollMaster[[#This Row],[Pay Factor]]</f>
        <v>0</v>
      </c>
      <c r="P224" s="25">
        <f>_xlfn.XLOOKUP(tblPayrollMaster[[#This Row],[Employee Position]],tblPositionandPayRate[Employee Position],tblPositionandPayRate[Allowance 5],0)*tblPayrollMaster[[#This Row],[Pay Factor]]</f>
        <v>0</v>
      </c>
      <c r="Q224" s="25">
        <f>SUM(tblPayrollMaster[[#This Row],[Basic Pay]:[Allowance 5]])</f>
        <v>0</v>
      </c>
      <c r="R22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24" s="51" cm="1">
        <f t="array" ref="S2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24" s="3" cm="1">
        <f t="array" ref="T2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24" s="25">
        <f>_xlfn.LET(
_xlpm.tos, _xlfn.XLOOKUP(tblPayrollMaster[[#This Row],[Employee ID]], tblEmployee[Employee ID], tblEmployee[Type of Service], ""),
IF(_xlpm.tos="Contract of Service", 8.25, 0)
)</f>
        <v>0</v>
      </c>
      <c r="V224" s="25">
        <f>tblPayrollMaster[[#This Row],[Basic Earnings]]-tblPayrollMaster[[#This Row],[Tax]]-tblPayrollMaster[[#This Row],[NIS - Employee]]-tblPayrollMaster[[#This Row],[Health Surcharge]]</f>
        <v>0</v>
      </c>
      <c r="W224" s="25">
        <f>tblPayrollMaster[[#This Row],[Net Pay]]</f>
        <v>0</v>
      </c>
      <c r="X224" s="25"/>
    </row>
    <row r="225" spans="1:24" x14ac:dyDescent="0.25">
      <c r="A225" s="24"/>
      <c r="B225" s="24" t="str">
        <f>_xlfn.XLOOKUP(tblPayrollMaster[[#This Row],[Employee ID]],tblEmployee[Employee ID],tblEmployee[Employee Name],"")</f>
        <v/>
      </c>
      <c r="C225" s="24" t="str">
        <f>_xlfn.XLOOKUP(tblPayrollMaster[[#This Row],[Employee ID]],tblEmployee[Employee ID],tblEmployee[Employee Position],"")</f>
        <v/>
      </c>
      <c r="D225" s="24" t="str">
        <f>_xlfn.XLOOKUP(tblPayrollMaster[[#This Row],[Employee ID]], tblEmployee[Employee ID], tblEmployee[Pay Status], "Pay")</f>
        <v>Pay</v>
      </c>
      <c r="E225" s="24" t="str">
        <f>_xlfn.XLOOKUP(tblPayrollMaster[[#This Row],[Employee ID]], tblEmployee[Employee ID], tblEmployee[Payable Flag], "Y")</f>
        <v>Y</v>
      </c>
      <c r="F225" s="45">
        <f>IF(tblPayrollMaster[[#This Row],[Payable Flag]]="N",0,_xlfn.XLOOKUP(tblPayrollMaster[[#This Row],[Employee ID]],tblEmployee[Employee ID],tblEmployee[Pay Factor],1))</f>
        <v>1</v>
      </c>
      <c r="G225" s="26" t="str" cm="1">
        <f t="array" ref="G225">IF(tblPayrollMaster[[#This Row],[Employee ID]]="","",_xlfn.XLOOKUP(selPayPeriodID,tblPayCalendar[PayPeriodID],tblPayCalendar[PeriodStart],""))</f>
        <v/>
      </c>
      <c r="H225" s="26" t="str" cm="1">
        <f t="array" ref="H225">IF(tblPayrollMaster[[#This Row],[Employee ID]]="","",_xlfn.XLOOKUP(selPayPeriodID,tblPayCalendar[PayPeriodID],tblPayCalendar[PeriodEnd],""))</f>
        <v/>
      </c>
      <c r="I225" s="24" t="e" cm="1" vm="1">
        <f t="array" aca="1" ref="I225" ca="1">Table18[Employer Name]</f>
        <v>#VALUE!</v>
      </c>
      <c r="J225" s="3" cm="1">
        <f t="array" ref="J22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25" s="25" t="str">
        <f>_xlfn.XLOOKUP(tblPayrollMaster[[#This Row],[Employee Position]],tblPositionandPayRate[Employee Position],tblPositionandPayRate[Overtime], " ")</f>
        <v xml:space="preserve"> </v>
      </c>
      <c r="L225" s="25">
        <f>_xlfn.XLOOKUP(tblPayrollMaster[[#This Row],[Employee Position]],tblPositionandPayRate[Employee Position],tblPositionandPayRate[Allowance 1],0)*tblPayrollMaster[[#This Row],[Pay Factor]]</f>
        <v>0</v>
      </c>
      <c r="M225" s="25">
        <f>_xlfn.XLOOKUP(tblPayrollMaster[[#This Row],[Employee Position]],tblPositionandPayRate[Employee Position],tblPositionandPayRate[Allowance 2],0)*tblPayrollMaster[[#This Row],[Pay Factor]]</f>
        <v>0</v>
      </c>
      <c r="N225" s="25">
        <f>_xlfn.XLOOKUP(tblPayrollMaster[[#This Row],[Employee Position]],tblPositionandPayRate[Employee Position],tblPositionandPayRate[Allowance 3],0)*tblPayrollMaster[[#This Row],[Pay Factor]]</f>
        <v>0</v>
      </c>
      <c r="O225" s="25">
        <f>_xlfn.XLOOKUP(tblPayrollMaster[[#This Row],[Employee Position]],tblPositionandPayRate[Employee Position],tblPositionandPayRate[Allowance 4],0)*tblPayrollMaster[[#This Row],[Pay Factor]]</f>
        <v>0</v>
      </c>
      <c r="P225" s="25">
        <f>_xlfn.XLOOKUP(tblPayrollMaster[[#This Row],[Employee Position]],tblPositionandPayRate[Employee Position],tblPositionandPayRate[Allowance 5],0)*tblPayrollMaster[[#This Row],[Pay Factor]]</f>
        <v>0</v>
      </c>
      <c r="Q225" s="25">
        <f>SUM(tblPayrollMaster[[#This Row],[Basic Pay]:[Allowance 5]])</f>
        <v>0</v>
      </c>
      <c r="R22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25" s="51" cm="1">
        <f t="array" ref="S2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25" s="3" cm="1">
        <f t="array" ref="T2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25" s="25">
        <f>_xlfn.LET(
_xlpm.tos, _xlfn.XLOOKUP(tblPayrollMaster[[#This Row],[Employee ID]], tblEmployee[Employee ID], tblEmployee[Type of Service], ""),
IF(_xlpm.tos="Contract of Service", 8.25, 0)
)</f>
        <v>0</v>
      </c>
      <c r="V225" s="25">
        <f>tblPayrollMaster[[#This Row],[Basic Earnings]]-tblPayrollMaster[[#This Row],[Tax]]-tblPayrollMaster[[#This Row],[NIS - Employee]]-tblPayrollMaster[[#This Row],[Health Surcharge]]</f>
        <v>0</v>
      </c>
      <c r="W225" s="25">
        <f>tblPayrollMaster[[#This Row],[Net Pay]]</f>
        <v>0</v>
      </c>
      <c r="X225" s="25"/>
    </row>
    <row r="226" spans="1:24" x14ac:dyDescent="0.25">
      <c r="A226" s="24"/>
      <c r="B226" s="24" t="str">
        <f>_xlfn.XLOOKUP(tblPayrollMaster[[#This Row],[Employee ID]],tblEmployee[Employee ID],tblEmployee[Employee Name],"")</f>
        <v/>
      </c>
      <c r="C226" s="24" t="str">
        <f>_xlfn.XLOOKUP(tblPayrollMaster[[#This Row],[Employee ID]],tblEmployee[Employee ID],tblEmployee[Employee Position],"")</f>
        <v/>
      </c>
      <c r="D226" s="24" t="str">
        <f>_xlfn.XLOOKUP(tblPayrollMaster[[#This Row],[Employee ID]], tblEmployee[Employee ID], tblEmployee[Pay Status], "Pay")</f>
        <v>Pay</v>
      </c>
      <c r="E226" s="24" t="str">
        <f>_xlfn.XLOOKUP(tblPayrollMaster[[#This Row],[Employee ID]], tblEmployee[Employee ID], tblEmployee[Payable Flag], "Y")</f>
        <v>Y</v>
      </c>
      <c r="F226" s="45">
        <f>IF(tblPayrollMaster[[#This Row],[Payable Flag]]="N",0,_xlfn.XLOOKUP(tblPayrollMaster[[#This Row],[Employee ID]],tblEmployee[Employee ID],tblEmployee[Pay Factor],1))</f>
        <v>1</v>
      </c>
      <c r="G226" s="26" t="str" cm="1">
        <f t="array" ref="G226">IF(tblPayrollMaster[[#This Row],[Employee ID]]="","",_xlfn.XLOOKUP(selPayPeriodID,tblPayCalendar[PayPeriodID],tblPayCalendar[PeriodStart],""))</f>
        <v/>
      </c>
      <c r="H226" s="26" t="str" cm="1">
        <f t="array" ref="H226">IF(tblPayrollMaster[[#This Row],[Employee ID]]="","",_xlfn.XLOOKUP(selPayPeriodID,tblPayCalendar[PayPeriodID],tblPayCalendar[PeriodEnd],""))</f>
        <v/>
      </c>
      <c r="I226" s="24" t="e" cm="1" vm="1">
        <f t="array" aca="1" ref="I226" ca="1">Table18[Employer Name]</f>
        <v>#VALUE!</v>
      </c>
      <c r="J226" s="3" cm="1">
        <f t="array" ref="J22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26" s="25" t="str">
        <f>_xlfn.XLOOKUP(tblPayrollMaster[[#This Row],[Employee Position]],tblPositionandPayRate[Employee Position],tblPositionandPayRate[Overtime], " ")</f>
        <v xml:space="preserve"> </v>
      </c>
      <c r="L226" s="25">
        <f>_xlfn.XLOOKUP(tblPayrollMaster[[#This Row],[Employee Position]],tblPositionandPayRate[Employee Position],tblPositionandPayRate[Allowance 1],0)*tblPayrollMaster[[#This Row],[Pay Factor]]</f>
        <v>0</v>
      </c>
      <c r="M226" s="25">
        <f>_xlfn.XLOOKUP(tblPayrollMaster[[#This Row],[Employee Position]],tblPositionandPayRate[Employee Position],tblPositionandPayRate[Allowance 2],0)*tblPayrollMaster[[#This Row],[Pay Factor]]</f>
        <v>0</v>
      </c>
      <c r="N226" s="25">
        <f>_xlfn.XLOOKUP(tblPayrollMaster[[#This Row],[Employee Position]],tblPositionandPayRate[Employee Position],tblPositionandPayRate[Allowance 3],0)*tblPayrollMaster[[#This Row],[Pay Factor]]</f>
        <v>0</v>
      </c>
      <c r="O226" s="25">
        <f>_xlfn.XLOOKUP(tblPayrollMaster[[#This Row],[Employee Position]],tblPositionandPayRate[Employee Position],tblPositionandPayRate[Allowance 4],0)*tblPayrollMaster[[#This Row],[Pay Factor]]</f>
        <v>0</v>
      </c>
      <c r="P226" s="25">
        <f>_xlfn.XLOOKUP(tblPayrollMaster[[#This Row],[Employee Position]],tblPositionandPayRate[Employee Position],tblPositionandPayRate[Allowance 5],0)*tblPayrollMaster[[#This Row],[Pay Factor]]</f>
        <v>0</v>
      </c>
      <c r="Q226" s="25">
        <f>SUM(tblPayrollMaster[[#This Row],[Basic Pay]:[Allowance 5]])</f>
        <v>0</v>
      </c>
      <c r="R22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26" s="51" cm="1">
        <f t="array" ref="S2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26" s="3" cm="1">
        <f t="array" ref="T2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26" s="25">
        <f>_xlfn.LET(
_xlpm.tos, _xlfn.XLOOKUP(tblPayrollMaster[[#This Row],[Employee ID]], tblEmployee[Employee ID], tblEmployee[Type of Service], ""),
IF(_xlpm.tos="Contract of Service", 8.25, 0)
)</f>
        <v>0</v>
      </c>
      <c r="V226" s="25">
        <f>tblPayrollMaster[[#This Row],[Basic Earnings]]-tblPayrollMaster[[#This Row],[Tax]]-tblPayrollMaster[[#This Row],[NIS - Employee]]-tblPayrollMaster[[#This Row],[Health Surcharge]]</f>
        <v>0</v>
      </c>
      <c r="W226" s="25">
        <f>tblPayrollMaster[[#This Row],[Net Pay]]</f>
        <v>0</v>
      </c>
      <c r="X226" s="25"/>
    </row>
    <row r="227" spans="1:24" x14ac:dyDescent="0.25">
      <c r="A227" s="24"/>
      <c r="B227" s="24" t="str">
        <f>_xlfn.XLOOKUP(tblPayrollMaster[[#This Row],[Employee ID]],tblEmployee[Employee ID],tblEmployee[Employee Name],"")</f>
        <v/>
      </c>
      <c r="C227" s="24" t="str">
        <f>_xlfn.XLOOKUP(tblPayrollMaster[[#This Row],[Employee ID]],tblEmployee[Employee ID],tblEmployee[Employee Position],"")</f>
        <v/>
      </c>
      <c r="D227" s="24" t="str">
        <f>_xlfn.XLOOKUP(tblPayrollMaster[[#This Row],[Employee ID]], tblEmployee[Employee ID], tblEmployee[Pay Status], "Pay")</f>
        <v>Pay</v>
      </c>
      <c r="E227" s="24" t="str">
        <f>_xlfn.XLOOKUP(tblPayrollMaster[[#This Row],[Employee ID]], tblEmployee[Employee ID], tblEmployee[Payable Flag], "Y")</f>
        <v>Y</v>
      </c>
      <c r="F227" s="45">
        <f>IF(tblPayrollMaster[[#This Row],[Payable Flag]]="N",0,_xlfn.XLOOKUP(tblPayrollMaster[[#This Row],[Employee ID]],tblEmployee[Employee ID],tblEmployee[Pay Factor],1))</f>
        <v>1</v>
      </c>
      <c r="G227" s="26" t="str" cm="1">
        <f t="array" ref="G227">IF(tblPayrollMaster[[#This Row],[Employee ID]]="","",_xlfn.XLOOKUP(selPayPeriodID,tblPayCalendar[PayPeriodID],tblPayCalendar[PeriodStart],""))</f>
        <v/>
      </c>
      <c r="H227" s="26" t="str" cm="1">
        <f t="array" ref="H227">IF(tblPayrollMaster[[#This Row],[Employee ID]]="","",_xlfn.XLOOKUP(selPayPeriodID,tblPayCalendar[PayPeriodID],tblPayCalendar[PeriodEnd],""))</f>
        <v/>
      </c>
      <c r="I227" s="24" t="e" cm="1" vm="1">
        <f t="array" aca="1" ref="I227" ca="1">Table18[Employer Name]</f>
        <v>#VALUE!</v>
      </c>
      <c r="J227" s="3" cm="1">
        <f t="array" ref="J22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27" s="25" t="str">
        <f>_xlfn.XLOOKUP(tblPayrollMaster[[#This Row],[Employee Position]],tblPositionandPayRate[Employee Position],tblPositionandPayRate[Overtime], " ")</f>
        <v xml:space="preserve"> </v>
      </c>
      <c r="L227" s="25">
        <f>_xlfn.XLOOKUP(tblPayrollMaster[[#This Row],[Employee Position]],tblPositionandPayRate[Employee Position],tblPositionandPayRate[Allowance 1],0)*tblPayrollMaster[[#This Row],[Pay Factor]]</f>
        <v>0</v>
      </c>
      <c r="M227" s="25">
        <f>_xlfn.XLOOKUP(tblPayrollMaster[[#This Row],[Employee Position]],tblPositionandPayRate[Employee Position],tblPositionandPayRate[Allowance 2],0)*tblPayrollMaster[[#This Row],[Pay Factor]]</f>
        <v>0</v>
      </c>
      <c r="N227" s="25">
        <f>_xlfn.XLOOKUP(tblPayrollMaster[[#This Row],[Employee Position]],tblPositionandPayRate[Employee Position],tblPositionandPayRate[Allowance 3],0)*tblPayrollMaster[[#This Row],[Pay Factor]]</f>
        <v>0</v>
      </c>
      <c r="O227" s="25">
        <f>_xlfn.XLOOKUP(tblPayrollMaster[[#This Row],[Employee Position]],tblPositionandPayRate[Employee Position],tblPositionandPayRate[Allowance 4],0)*tblPayrollMaster[[#This Row],[Pay Factor]]</f>
        <v>0</v>
      </c>
      <c r="P227" s="25">
        <f>_xlfn.XLOOKUP(tblPayrollMaster[[#This Row],[Employee Position]],tblPositionandPayRate[Employee Position],tblPositionandPayRate[Allowance 5],0)*tblPayrollMaster[[#This Row],[Pay Factor]]</f>
        <v>0</v>
      </c>
      <c r="Q227" s="25">
        <f>SUM(tblPayrollMaster[[#This Row],[Basic Pay]:[Allowance 5]])</f>
        <v>0</v>
      </c>
      <c r="R22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27" s="51" cm="1">
        <f t="array" ref="S2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27" s="3" cm="1">
        <f t="array" ref="T2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27" s="25">
        <f>_xlfn.LET(
_xlpm.tos, _xlfn.XLOOKUP(tblPayrollMaster[[#This Row],[Employee ID]], tblEmployee[Employee ID], tblEmployee[Type of Service], ""),
IF(_xlpm.tos="Contract of Service", 8.25, 0)
)</f>
        <v>0</v>
      </c>
      <c r="V227" s="25">
        <f>tblPayrollMaster[[#This Row],[Basic Earnings]]-tblPayrollMaster[[#This Row],[Tax]]-tblPayrollMaster[[#This Row],[NIS - Employee]]-tblPayrollMaster[[#This Row],[Health Surcharge]]</f>
        <v>0</v>
      </c>
      <c r="W227" s="25">
        <f>tblPayrollMaster[[#This Row],[Net Pay]]</f>
        <v>0</v>
      </c>
      <c r="X227" s="25"/>
    </row>
    <row r="228" spans="1:24" x14ac:dyDescent="0.25">
      <c r="A228" s="24"/>
      <c r="B228" s="24" t="str">
        <f>_xlfn.XLOOKUP(tblPayrollMaster[[#This Row],[Employee ID]],tblEmployee[Employee ID],tblEmployee[Employee Name],"")</f>
        <v/>
      </c>
      <c r="C228" s="24" t="str">
        <f>_xlfn.XLOOKUP(tblPayrollMaster[[#This Row],[Employee ID]],tblEmployee[Employee ID],tblEmployee[Employee Position],"")</f>
        <v/>
      </c>
      <c r="D228" s="24" t="str">
        <f>_xlfn.XLOOKUP(tblPayrollMaster[[#This Row],[Employee ID]], tblEmployee[Employee ID], tblEmployee[Pay Status], "Pay")</f>
        <v>Pay</v>
      </c>
      <c r="E228" s="24" t="str">
        <f>_xlfn.XLOOKUP(tblPayrollMaster[[#This Row],[Employee ID]], tblEmployee[Employee ID], tblEmployee[Payable Flag], "Y")</f>
        <v>Y</v>
      </c>
      <c r="F228" s="45">
        <f>IF(tblPayrollMaster[[#This Row],[Payable Flag]]="N",0,_xlfn.XLOOKUP(tblPayrollMaster[[#This Row],[Employee ID]],tblEmployee[Employee ID],tblEmployee[Pay Factor],1))</f>
        <v>1</v>
      </c>
      <c r="G228" s="26" t="str" cm="1">
        <f t="array" ref="G228">IF(tblPayrollMaster[[#This Row],[Employee ID]]="","",_xlfn.XLOOKUP(selPayPeriodID,tblPayCalendar[PayPeriodID],tblPayCalendar[PeriodStart],""))</f>
        <v/>
      </c>
      <c r="H228" s="26" t="str" cm="1">
        <f t="array" ref="H228">IF(tblPayrollMaster[[#This Row],[Employee ID]]="","",_xlfn.XLOOKUP(selPayPeriodID,tblPayCalendar[PayPeriodID],tblPayCalendar[PeriodEnd],""))</f>
        <v/>
      </c>
      <c r="I228" s="24" t="e" cm="1" vm="1">
        <f t="array" aca="1" ref="I228" ca="1">Table18[Employer Name]</f>
        <v>#VALUE!</v>
      </c>
      <c r="J228" s="3" cm="1">
        <f t="array" ref="J22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28" s="25" t="str">
        <f>_xlfn.XLOOKUP(tblPayrollMaster[[#This Row],[Employee Position]],tblPositionandPayRate[Employee Position],tblPositionandPayRate[Overtime], " ")</f>
        <v xml:space="preserve"> </v>
      </c>
      <c r="L228" s="25">
        <f>_xlfn.XLOOKUP(tblPayrollMaster[[#This Row],[Employee Position]],tblPositionandPayRate[Employee Position],tblPositionandPayRate[Allowance 1],0)*tblPayrollMaster[[#This Row],[Pay Factor]]</f>
        <v>0</v>
      </c>
      <c r="M228" s="25">
        <f>_xlfn.XLOOKUP(tblPayrollMaster[[#This Row],[Employee Position]],tblPositionandPayRate[Employee Position],tblPositionandPayRate[Allowance 2],0)*tblPayrollMaster[[#This Row],[Pay Factor]]</f>
        <v>0</v>
      </c>
      <c r="N228" s="25">
        <f>_xlfn.XLOOKUP(tblPayrollMaster[[#This Row],[Employee Position]],tblPositionandPayRate[Employee Position],tblPositionandPayRate[Allowance 3],0)*tblPayrollMaster[[#This Row],[Pay Factor]]</f>
        <v>0</v>
      </c>
      <c r="O228" s="25">
        <f>_xlfn.XLOOKUP(tblPayrollMaster[[#This Row],[Employee Position]],tblPositionandPayRate[Employee Position],tblPositionandPayRate[Allowance 4],0)*tblPayrollMaster[[#This Row],[Pay Factor]]</f>
        <v>0</v>
      </c>
      <c r="P228" s="25">
        <f>_xlfn.XLOOKUP(tblPayrollMaster[[#This Row],[Employee Position]],tblPositionandPayRate[Employee Position],tblPositionandPayRate[Allowance 5],0)*tblPayrollMaster[[#This Row],[Pay Factor]]</f>
        <v>0</v>
      </c>
      <c r="Q228" s="25">
        <f>SUM(tblPayrollMaster[[#This Row],[Basic Pay]:[Allowance 5]])</f>
        <v>0</v>
      </c>
      <c r="R22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28" s="51" cm="1">
        <f t="array" ref="S2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28" s="3" cm="1">
        <f t="array" ref="T2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28" s="25">
        <f>_xlfn.LET(
_xlpm.tos, _xlfn.XLOOKUP(tblPayrollMaster[[#This Row],[Employee ID]], tblEmployee[Employee ID], tblEmployee[Type of Service], ""),
IF(_xlpm.tos="Contract of Service", 8.25, 0)
)</f>
        <v>0</v>
      </c>
      <c r="V228" s="25">
        <f>tblPayrollMaster[[#This Row],[Basic Earnings]]-tblPayrollMaster[[#This Row],[Tax]]-tblPayrollMaster[[#This Row],[NIS - Employee]]-tblPayrollMaster[[#This Row],[Health Surcharge]]</f>
        <v>0</v>
      </c>
      <c r="W228" s="25">
        <f>tblPayrollMaster[[#This Row],[Net Pay]]</f>
        <v>0</v>
      </c>
      <c r="X228" s="25"/>
    </row>
    <row r="229" spans="1:24" x14ac:dyDescent="0.25">
      <c r="A229" s="24"/>
      <c r="B229" s="24" t="str">
        <f>_xlfn.XLOOKUP(tblPayrollMaster[[#This Row],[Employee ID]],tblEmployee[Employee ID],tblEmployee[Employee Name],"")</f>
        <v/>
      </c>
      <c r="C229" s="24" t="str">
        <f>_xlfn.XLOOKUP(tblPayrollMaster[[#This Row],[Employee ID]],tblEmployee[Employee ID],tblEmployee[Employee Position],"")</f>
        <v/>
      </c>
      <c r="D229" s="24" t="str">
        <f>_xlfn.XLOOKUP(tblPayrollMaster[[#This Row],[Employee ID]], tblEmployee[Employee ID], tblEmployee[Pay Status], "Pay")</f>
        <v>Pay</v>
      </c>
      <c r="E229" s="24" t="str">
        <f>_xlfn.XLOOKUP(tblPayrollMaster[[#This Row],[Employee ID]], tblEmployee[Employee ID], tblEmployee[Payable Flag], "Y")</f>
        <v>Y</v>
      </c>
      <c r="F229" s="45">
        <f>IF(tblPayrollMaster[[#This Row],[Payable Flag]]="N",0,_xlfn.XLOOKUP(tblPayrollMaster[[#This Row],[Employee ID]],tblEmployee[Employee ID],tblEmployee[Pay Factor],1))</f>
        <v>1</v>
      </c>
      <c r="G229" s="26" t="str" cm="1">
        <f t="array" ref="G229">IF(tblPayrollMaster[[#This Row],[Employee ID]]="","",_xlfn.XLOOKUP(selPayPeriodID,tblPayCalendar[PayPeriodID],tblPayCalendar[PeriodStart],""))</f>
        <v/>
      </c>
      <c r="H229" s="26" t="str" cm="1">
        <f t="array" ref="H229">IF(tblPayrollMaster[[#This Row],[Employee ID]]="","",_xlfn.XLOOKUP(selPayPeriodID,tblPayCalendar[PayPeriodID],tblPayCalendar[PeriodEnd],""))</f>
        <v/>
      </c>
      <c r="I229" s="24" t="e" cm="1" vm="1">
        <f t="array" aca="1" ref="I229" ca="1">Table18[Employer Name]</f>
        <v>#VALUE!</v>
      </c>
      <c r="J229" s="3" cm="1">
        <f t="array" ref="J22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29" s="25" t="str">
        <f>_xlfn.XLOOKUP(tblPayrollMaster[[#This Row],[Employee Position]],tblPositionandPayRate[Employee Position],tblPositionandPayRate[Overtime], " ")</f>
        <v xml:space="preserve"> </v>
      </c>
      <c r="L229" s="25">
        <f>_xlfn.XLOOKUP(tblPayrollMaster[[#This Row],[Employee Position]],tblPositionandPayRate[Employee Position],tblPositionandPayRate[Allowance 1],0)*tblPayrollMaster[[#This Row],[Pay Factor]]</f>
        <v>0</v>
      </c>
      <c r="M229" s="25">
        <f>_xlfn.XLOOKUP(tblPayrollMaster[[#This Row],[Employee Position]],tblPositionandPayRate[Employee Position],tblPositionandPayRate[Allowance 2],0)*tblPayrollMaster[[#This Row],[Pay Factor]]</f>
        <v>0</v>
      </c>
      <c r="N229" s="25">
        <f>_xlfn.XLOOKUP(tblPayrollMaster[[#This Row],[Employee Position]],tblPositionandPayRate[Employee Position],tblPositionandPayRate[Allowance 3],0)*tblPayrollMaster[[#This Row],[Pay Factor]]</f>
        <v>0</v>
      </c>
      <c r="O229" s="25">
        <f>_xlfn.XLOOKUP(tblPayrollMaster[[#This Row],[Employee Position]],tblPositionandPayRate[Employee Position],tblPositionandPayRate[Allowance 4],0)*tblPayrollMaster[[#This Row],[Pay Factor]]</f>
        <v>0</v>
      </c>
      <c r="P229" s="25">
        <f>_xlfn.XLOOKUP(tblPayrollMaster[[#This Row],[Employee Position]],tblPositionandPayRate[Employee Position],tblPositionandPayRate[Allowance 5],0)*tblPayrollMaster[[#This Row],[Pay Factor]]</f>
        <v>0</v>
      </c>
      <c r="Q229" s="25">
        <f>SUM(tblPayrollMaster[[#This Row],[Basic Pay]:[Allowance 5]])</f>
        <v>0</v>
      </c>
      <c r="R22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29" s="51" cm="1">
        <f t="array" ref="S2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29" s="3" cm="1">
        <f t="array" ref="T2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29" s="25">
        <f>_xlfn.LET(
_xlpm.tos, _xlfn.XLOOKUP(tblPayrollMaster[[#This Row],[Employee ID]], tblEmployee[Employee ID], tblEmployee[Type of Service], ""),
IF(_xlpm.tos="Contract of Service", 8.25, 0)
)</f>
        <v>0</v>
      </c>
      <c r="V229" s="25">
        <f>tblPayrollMaster[[#This Row],[Basic Earnings]]-tblPayrollMaster[[#This Row],[Tax]]-tblPayrollMaster[[#This Row],[NIS - Employee]]-tblPayrollMaster[[#This Row],[Health Surcharge]]</f>
        <v>0</v>
      </c>
      <c r="W229" s="25">
        <f>tblPayrollMaster[[#This Row],[Net Pay]]</f>
        <v>0</v>
      </c>
      <c r="X229" s="25"/>
    </row>
    <row r="230" spans="1:24" x14ac:dyDescent="0.25">
      <c r="A230" s="24"/>
      <c r="B230" s="24" t="str">
        <f>_xlfn.XLOOKUP(tblPayrollMaster[[#This Row],[Employee ID]],tblEmployee[Employee ID],tblEmployee[Employee Name],"")</f>
        <v/>
      </c>
      <c r="C230" s="24" t="str">
        <f>_xlfn.XLOOKUP(tblPayrollMaster[[#This Row],[Employee ID]],tblEmployee[Employee ID],tblEmployee[Employee Position],"")</f>
        <v/>
      </c>
      <c r="D230" s="24" t="str">
        <f>_xlfn.XLOOKUP(tblPayrollMaster[[#This Row],[Employee ID]], tblEmployee[Employee ID], tblEmployee[Pay Status], "Pay")</f>
        <v>Pay</v>
      </c>
      <c r="E230" s="24" t="str">
        <f>_xlfn.XLOOKUP(tblPayrollMaster[[#This Row],[Employee ID]], tblEmployee[Employee ID], tblEmployee[Payable Flag], "Y")</f>
        <v>Y</v>
      </c>
      <c r="F230" s="45">
        <f>IF(tblPayrollMaster[[#This Row],[Payable Flag]]="N",0,_xlfn.XLOOKUP(tblPayrollMaster[[#This Row],[Employee ID]],tblEmployee[Employee ID],tblEmployee[Pay Factor],1))</f>
        <v>1</v>
      </c>
      <c r="G230" s="26" t="str" cm="1">
        <f t="array" ref="G230">IF(tblPayrollMaster[[#This Row],[Employee ID]]="","",_xlfn.XLOOKUP(selPayPeriodID,tblPayCalendar[PayPeriodID],tblPayCalendar[PeriodStart],""))</f>
        <v/>
      </c>
      <c r="H230" s="26" t="str" cm="1">
        <f t="array" ref="H230">IF(tblPayrollMaster[[#This Row],[Employee ID]]="","",_xlfn.XLOOKUP(selPayPeriodID,tblPayCalendar[PayPeriodID],tblPayCalendar[PeriodEnd],""))</f>
        <v/>
      </c>
      <c r="I230" s="24" t="e" cm="1" vm="1">
        <f t="array" aca="1" ref="I230" ca="1">Table18[Employer Name]</f>
        <v>#VALUE!</v>
      </c>
      <c r="J230" s="3" cm="1">
        <f t="array" ref="J23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30" s="25" t="str">
        <f>_xlfn.XLOOKUP(tblPayrollMaster[[#This Row],[Employee Position]],tblPositionandPayRate[Employee Position],tblPositionandPayRate[Overtime], " ")</f>
        <v xml:space="preserve"> </v>
      </c>
      <c r="L230" s="25">
        <f>_xlfn.XLOOKUP(tblPayrollMaster[[#This Row],[Employee Position]],tblPositionandPayRate[Employee Position],tblPositionandPayRate[Allowance 1],0)*tblPayrollMaster[[#This Row],[Pay Factor]]</f>
        <v>0</v>
      </c>
      <c r="M230" s="25">
        <f>_xlfn.XLOOKUP(tblPayrollMaster[[#This Row],[Employee Position]],tblPositionandPayRate[Employee Position],tblPositionandPayRate[Allowance 2],0)*tblPayrollMaster[[#This Row],[Pay Factor]]</f>
        <v>0</v>
      </c>
      <c r="N230" s="25">
        <f>_xlfn.XLOOKUP(tblPayrollMaster[[#This Row],[Employee Position]],tblPositionandPayRate[Employee Position],tblPositionandPayRate[Allowance 3],0)*tblPayrollMaster[[#This Row],[Pay Factor]]</f>
        <v>0</v>
      </c>
      <c r="O230" s="25">
        <f>_xlfn.XLOOKUP(tblPayrollMaster[[#This Row],[Employee Position]],tblPositionandPayRate[Employee Position],tblPositionandPayRate[Allowance 4],0)*tblPayrollMaster[[#This Row],[Pay Factor]]</f>
        <v>0</v>
      </c>
      <c r="P230" s="25">
        <f>_xlfn.XLOOKUP(tblPayrollMaster[[#This Row],[Employee Position]],tblPositionandPayRate[Employee Position],tblPositionandPayRate[Allowance 5],0)*tblPayrollMaster[[#This Row],[Pay Factor]]</f>
        <v>0</v>
      </c>
      <c r="Q230" s="25">
        <f>SUM(tblPayrollMaster[[#This Row],[Basic Pay]:[Allowance 5]])</f>
        <v>0</v>
      </c>
      <c r="R23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30" s="51" cm="1">
        <f t="array" ref="S2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30" s="3" cm="1">
        <f t="array" ref="T2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30" s="25">
        <f>_xlfn.LET(
_xlpm.tos, _xlfn.XLOOKUP(tblPayrollMaster[[#This Row],[Employee ID]], tblEmployee[Employee ID], tblEmployee[Type of Service], ""),
IF(_xlpm.tos="Contract of Service", 8.25, 0)
)</f>
        <v>0</v>
      </c>
      <c r="V230" s="25">
        <f>tblPayrollMaster[[#This Row],[Basic Earnings]]-tblPayrollMaster[[#This Row],[Tax]]-tblPayrollMaster[[#This Row],[NIS - Employee]]-tblPayrollMaster[[#This Row],[Health Surcharge]]</f>
        <v>0</v>
      </c>
      <c r="W230" s="25">
        <f>tblPayrollMaster[[#This Row],[Net Pay]]</f>
        <v>0</v>
      </c>
      <c r="X230" s="25"/>
    </row>
    <row r="231" spans="1:24" x14ac:dyDescent="0.25">
      <c r="A231" s="24"/>
      <c r="B231" s="24" t="str">
        <f>_xlfn.XLOOKUP(tblPayrollMaster[[#This Row],[Employee ID]],tblEmployee[Employee ID],tblEmployee[Employee Name],"")</f>
        <v/>
      </c>
      <c r="C231" s="24" t="str">
        <f>_xlfn.XLOOKUP(tblPayrollMaster[[#This Row],[Employee ID]],tblEmployee[Employee ID],tblEmployee[Employee Position],"")</f>
        <v/>
      </c>
      <c r="D231" s="24" t="str">
        <f>_xlfn.XLOOKUP(tblPayrollMaster[[#This Row],[Employee ID]], tblEmployee[Employee ID], tblEmployee[Pay Status], "Pay")</f>
        <v>Pay</v>
      </c>
      <c r="E231" s="24" t="str">
        <f>_xlfn.XLOOKUP(tblPayrollMaster[[#This Row],[Employee ID]], tblEmployee[Employee ID], tblEmployee[Payable Flag], "Y")</f>
        <v>Y</v>
      </c>
      <c r="F231" s="45">
        <f>IF(tblPayrollMaster[[#This Row],[Payable Flag]]="N",0,_xlfn.XLOOKUP(tblPayrollMaster[[#This Row],[Employee ID]],tblEmployee[Employee ID],tblEmployee[Pay Factor],1))</f>
        <v>1</v>
      </c>
      <c r="G231" s="26" t="str" cm="1">
        <f t="array" ref="G231">IF(tblPayrollMaster[[#This Row],[Employee ID]]="","",_xlfn.XLOOKUP(selPayPeriodID,tblPayCalendar[PayPeriodID],tblPayCalendar[PeriodStart],""))</f>
        <v/>
      </c>
      <c r="H231" s="26" t="str" cm="1">
        <f t="array" ref="H231">IF(tblPayrollMaster[[#This Row],[Employee ID]]="","",_xlfn.XLOOKUP(selPayPeriodID,tblPayCalendar[PayPeriodID],tblPayCalendar[PeriodEnd],""))</f>
        <v/>
      </c>
      <c r="I231" s="24" t="e" cm="1" vm="1">
        <f t="array" aca="1" ref="I231" ca="1">Table18[Employer Name]</f>
        <v>#VALUE!</v>
      </c>
      <c r="J231" s="3" cm="1">
        <f t="array" ref="J23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31" s="25" t="str">
        <f>_xlfn.XLOOKUP(tblPayrollMaster[[#This Row],[Employee Position]],tblPositionandPayRate[Employee Position],tblPositionandPayRate[Overtime], " ")</f>
        <v xml:space="preserve"> </v>
      </c>
      <c r="L231" s="25">
        <f>_xlfn.XLOOKUP(tblPayrollMaster[[#This Row],[Employee Position]],tblPositionandPayRate[Employee Position],tblPositionandPayRate[Allowance 1],0)*tblPayrollMaster[[#This Row],[Pay Factor]]</f>
        <v>0</v>
      </c>
      <c r="M231" s="25">
        <f>_xlfn.XLOOKUP(tblPayrollMaster[[#This Row],[Employee Position]],tblPositionandPayRate[Employee Position],tblPositionandPayRate[Allowance 2],0)*tblPayrollMaster[[#This Row],[Pay Factor]]</f>
        <v>0</v>
      </c>
      <c r="N231" s="25">
        <f>_xlfn.XLOOKUP(tblPayrollMaster[[#This Row],[Employee Position]],tblPositionandPayRate[Employee Position],tblPositionandPayRate[Allowance 3],0)*tblPayrollMaster[[#This Row],[Pay Factor]]</f>
        <v>0</v>
      </c>
      <c r="O231" s="25">
        <f>_xlfn.XLOOKUP(tblPayrollMaster[[#This Row],[Employee Position]],tblPositionandPayRate[Employee Position],tblPositionandPayRate[Allowance 4],0)*tblPayrollMaster[[#This Row],[Pay Factor]]</f>
        <v>0</v>
      </c>
      <c r="P231" s="25">
        <f>_xlfn.XLOOKUP(tblPayrollMaster[[#This Row],[Employee Position]],tblPositionandPayRate[Employee Position],tblPositionandPayRate[Allowance 5],0)*tblPayrollMaster[[#This Row],[Pay Factor]]</f>
        <v>0</v>
      </c>
      <c r="Q231" s="25">
        <f>SUM(tblPayrollMaster[[#This Row],[Basic Pay]:[Allowance 5]])</f>
        <v>0</v>
      </c>
      <c r="R23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31" s="51" cm="1">
        <f t="array" ref="S2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31" s="3" cm="1">
        <f t="array" ref="T2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31" s="25">
        <f>_xlfn.LET(
_xlpm.tos, _xlfn.XLOOKUP(tblPayrollMaster[[#This Row],[Employee ID]], tblEmployee[Employee ID], tblEmployee[Type of Service], ""),
IF(_xlpm.tos="Contract of Service", 8.25, 0)
)</f>
        <v>0</v>
      </c>
      <c r="V231" s="25">
        <f>tblPayrollMaster[[#This Row],[Basic Earnings]]-tblPayrollMaster[[#This Row],[Tax]]-tblPayrollMaster[[#This Row],[NIS - Employee]]-tblPayrollMaster[[#This Row],[Health Surcharge]]</f>
        <v>0</v>
      </c>
      <c r="W231" s="25">
        <f>tblPayrollMaster[[#This Row],[Net Pay]]</f>
        <v>0</v>
      </c>
      <c r="X231" s="25"/>
    </row>
    <row r="232" spans="1:24" x14ac:dyDescent="0.25">
      <c r="A232" s="24"/>
      <c r="B232" s="24" t="str">
        <f>_xlfn.XLOOKUP(tblPayrollMaster[[#This Row],[Employee ID]],tblEmployee[Employee ID],tblEmployee[Employee Name],"")</f>
        <v/>
      </c>
      <c r="C232" s="24" t="str">
        <f>_xlfn.XLOOKUP(tblPayrollMaster[[#This Row],[Employee ID]],tblEmployee[Employee ID],tblEmployee[Employee Position],"")</f>
        <v/>
      </c>
      <c r="D232" s="24" t="str">
        <f>_xlfn.XLOOKUP(tblPayrollMaster[[#This Row],[Employee ID]], tblEmployee[Employee ID], tblEmployee[Pay Status], "Pay")</f>
        <v>Pay</v>
      </c>
      <c r="E232" s="24" t="str">
        <f>_xlfn.XLOOKUP(tblPayrollMaster[[#This Row],[Employee ID]], tblEmployee[Employee ID], tblEmployee[Payable Flag], "Y")</f>
        <v>Y</v>
      </c>
      <c r="F232" s="45">
        <f>IF(tblPayrollMaster[[#This Row],[Payable Flag]]="N",0,_xlfn.XLOOKUP(tblPayrollMaster[[#This Row],[Employee ID]],tblEmployee[Employee ID],tblEmployee[Pay Factor],1))</f>
        <v>1</v>
      </c>
      <c r="G232" s="26" t="str" cm="1">
        <f t="array" ref="G232">IF(tblPayrollMaster[[#This Row],[Employee ID]]="","",_xlfn.XLOOKUP(selPayPeriodID,tblPayCalendar[PayPeriodID],tblPayCalendar[PeriodStart],""))</f>
        <v/>
      </c>
      <c r="H232" s="26" t="str" cm="1">
        <f t="array" ref="H232">IF(tblPayrollMaster[[#This Row],[Employee ID]]="","",_xlfn.XLOOKUP(selPayPeriodID,tblPayCalendar[PayPeriodID],tblPayCalendar[PeriodEnd],""))</f>
        <v/>
      </c>
      <c r="I232" s="24" t="e" cm="1" vm="1">
        <f t="array" aca="1" ref="I232" ca="1">Table18[Employer Name]</f>
        <v>#VALUE!</v>
      </c>
      <c r="J232" s="3" cm="1">
        <f t="array" ref="J23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32" s="25" t="str">
        <f>_xlfn.XLOOKUP(tblPayrollMaster[[#This Row],[Employee Position]],tblPositionandPayRate[Employee Position],tblPositionandPayRate[Overtime], " ")</f>
        <v xml:space="preserve"> </v>
      </c>
      <c r="L232" s="25">
        <f>_xlfn.XLOOKUP(tblPayrollMaster[[#This Row],[Employee Position]],tblPositionandPayRate[Employee Position],tblPositionandPayRate[Allowance 1],0)*tblPayrollMaster[[#This Row],[Pay Factor]]</f>
        <v>0</v>
      </c>
      <c r="M232" s="25">
        <f>_xlfn.XLOOKUP(tblPayrollMaster[[#This Row],[Employee Position]],tblPositionandPayRate[Employee Position],tblPositionandPayRate[Allowance 2],0)*tblPayrollMaster[[#This Row],[Pay Factor]]</f>
        <v>0</v>
      </c>
      <c r="N232" s="25">
        <f>_xlfn.XLOOKUP(tblPayrollMaster[[#This Row],[Employee Position]],tblPositionandPayRate[Employee Position],tblPositionandPayRate[Allowance 3],0)*tblPayrollMaster[[#This Row],[Pay Factor]]</f>
        <v>0</v>
      </c>
      <c r="O232" s="25">
        <f>_xlfn.XLOOKUP(tblPayrollMaster[[#This Row],[Employee Position]],tblPositionandPayRate[Employee Position],tblPositionandPayRate[Allowance 4],0)*tblPayrollMaster[[#This Row],[Pay Factor]]</f>
        <v>0</v>
      </c>
      <c r="P232" s="25">
        <f>_xlfn.XLOOKUP(tblPayrollMaster[[#This Row],[Employee Position]],tblPositionandPayRate[Employee Position],tblPositionandPayRate[Allowance 5],0)*tblPayrollMaster[[#This Row],[Pay Factor]]</f>
        <v>0</v>
      </c>
      <c r="Q232" s="25">
        <f>SUM(tblPayrollMaster[[#This Row],[Basic Pay]:[Allowance 5]])</f>
        <v>0</v>
      </c>
      <c r="R23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32" s="51" cm="1">
        <f t="array" ref="S2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32" s="3" cm="1">
        <f t="array" ref="T2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32" s="25">
        <f>_xlfn.LET(
_xlpm.tos, _xlfn.XLOOKUP(tblPayrollMaster[[#This Row],[Employee ID]], tblEmployee[Employee ID], tblEmployee[Type of Service], ""),
IF(_xlpm.tos="Contract of Service", 8.25, 0)
)</f>
        <v>0</v>
      </c>
      <c r="V232" s="25">
        <f>tblPayrollMaster[[#This Row],[Basic Earnings]]-tblPayrollMaster[[#This Row],[Tax]]-tblPayrollMaster[[#This Row],[NIS - Employee]]-tblPayrollMaster[[#This Row],[Health Surcharge]]</f>
        <v>0</v>
      </c>
      <c r="W232" s="25">
        <f>tblPayrollMaster[[#This Row],[Net Pay]]</f>
        <v>0</v>
      </c>
      <c r="X232" s="25"/>
    </row>
    <row r="233" spans="1:24" x14ac:dyDescent="0.25">
      <c r="A233" s="24"/>
      <c r="B233" s="24" t="str">
        <f>_xlfn.XLOOKUP(tblPayrollMaster[[#This Row],[Employee ID]],tblEmployee[Employee ID],tblEmployee[Employee Name],"")</f>
        <v/>
      </c>
      <c r="C233" s="24" t="str">
        <f>_xlfn.XLOOKUP(tblPayrollMaster[[#This Row],[Employee ID]],tblEmployee[Employee ID],tblEmployee[Employee Position],"")</f>
        <v/>
      </c>
      <c r="D233" s="24" t="str">
        <f>_xlfn.XLOOKUP(tblPayrollMaster[[#This Row],[Employee ID]], tblEmployee[Employee ID], tblEmployee[Pay Status], "Pay")</f>
        <v>Pay</v>
      </c>
      <c r="E233" s="24" t="str">
        <f>_xlfn.XLOOKUP(tblPayrollMaster[[#This Row],[Employee ID]], tblEmployee[Employee ID], tblEmployee[Payable Flag], "Y")</f>
        <v>Y</v>
      </c>
      <c r="F233" s="45">
        <f>IF(tblPayrollMaster[[#This Row],[Payable Flag]]="N",0,_xlfn.XLOOKUP(tblPayrollMaster[[#This Row],[Employee ID]],tblEmployee[Employee ID],tblEmployee[Pay Factor],1))</f>
        <v>1</v>
      </c>
      <c r="G233" s="26" t="str" cm="1">
        <f t="array" ref="G233">IF(tblPayrollMaster[[#This Row],[Employee ID]]="","",_xlfn.XLOOKUP(selPayPeriodID,tblPayCalendar[PayPeriodID],tblPayCalendar[PeriodStart],""))</f>
        <v/>
      </c>
      <c r="H233" s="26" t="str" cm="1">
        <f t="array" ref="H233">IF(tblPayrollMaster[[#This Row],[Employee ID]]="","",_xlfn.XLOOKUP(selPayPeriodID,tblPayCalendar[PayPeriodID],tblPayCalendar[PeriodEnd],""))</f>
        <v/>
      </c>
      <c r="I233" s="24" t="e" cm="1" vm="1">
        <f t="array" aca="1" ref="I233" ca="1">Table18[Employer Name]</f>
        <v>#VALUE!</v>
      </c>
      <c r="J233" s="3" cm="1">
        <f t="array" ref="J23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33" s="25" t="str">
        <f>_xlfn.XLOOKUP(tblPayrollMaster[[#This Row],[Employee Position]],tblPositionandPayRate[Employee Position],tblPositionandPayRate[Overtime], " ")</f>
        <v xml:space="preserve"> </v>
      </c>
      <c r="L233" s="25">
        <f>_xlfn.XLOOKUP(tblPayrollMaster[[#This Row],[Employee Position]],tblPositionandPayRate[Employee Position],tblPositionandPayRate[Allowance 1],0)*tblPayrollMaster[[#This Row],[Pay Factor]]</f>
        <v>0</v>
      </c>
      <c r="M233" s="25">
        <f>_xlfn.XLOOKUP(tblPayrollMaster[[#This Row],[Employee Position]],tblPositionandPayRate[Employee Position],tblPositionandPayRate[Allowance 2],0)*tblPayrollMaster[[#This Row],[Pay Factor]]</f>
        <v>0</v>
      </c>
      <c r="N233" s="25">
        <f>_xlfn.XLOOKUP(tblPayrollMaster[[#This Row],[Employee Position]],tblPositionandPayRate[Employee Position],tblPositionandPayRate[Allowance 3],0)*tblPayrollMaster[[#This Row],[Pay Factor]]</f>
        <v>0</v>
      </c>
      <c r="O233" s="25">
        <f>_xlfn.XLOOKUP(tblPayrollMaster[[#This Row],[Employee Position]],tblPositionandPayRate[Employee Position],tblPositionandPayRate[Allowance 4],0)*tblPayrollMaster[[#This Row],[Pay Factor]]</f>
        <v>0</v>
      </c>
      <c r="P233" s="25">
        <f>_xlfn.XLOOKUP(tblPayrollMaster[[#This Row],[Employee Position]],tblPositionandPayRate[Employee Position],tblPositionandPayRate[Allowance 5],0)*tblPayrollMaster[[#This Row],[Pay Factor]]</f>
        <v>0</v>
      </c>
      <c r="Q233" s="25">
        <f>SUM(tblPayrollMaster[[#This Row],[Basic Pay]:[Allowance 5]])</f>
        <v>0</v>
      </c>
      <c r="R23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33" s="51" cm="1">
        <f t="array" ref="S2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33" s="3" cm="1">
        <f t="array" ref="T2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33" s="25">
        <f>_xlfn.LET(
_xlpm.tos, _xlfn.XLOOKUP(tblPayrollMaster[[#This Row],[Employee ID]], tblEmployee[Employee ID], tblEmployee[Type of Service], ""),
IF(_xlpm.tos="Contract of Service", 8.25, 0)
)</f>
        <v>0</v>
      </c>
      <c r="V233" s="25">
        <f>tblPayrollMaster[[#This Row],[Basic Earnings]]-tblPayrollMaster[[#This Row],[Tax]]-tblPayrollMaster[[#This Row],[NIS - Employee]]-tblPayrollMaster[[#This Row],[Health Surcharge]]</f>
        <v>0</v>
      </c>
      <c r="W233" s="25">
        <f>tblPayrollMaster[[#This Row],[Net Pay]]</f>
        <v>0</v>
      </c>
      <c r="X233" s="25"/>
    </row>
    <row r="234" spans="1:24" x14ac:dyDescent="0.25">
      <c r="A234" s="24"/>
      <c r="B234" s="24" t="str">
        <f>_xlfn.XLOOKUP(tblPayrollMaster[[#This Row],[Employee ID]],tblEmployee[Employee ID],tblEmployee[Employee Name],"")</f>
        <v/>
      </c>
      <c r="C234" s="24" t="str">
        <f>_xlfn.XLOOKUP(tblPayrollMaster[[#This Row],[Employee ID]],tblEmployee[Employee ID],tblEmployee[Employee Position],"")</f>
        <v/>
      </c>
      <c r="D234" s="24" t="str">
        <f>_xlfn.XLOOKUP(tblPayrollMaster[[#This Row],[Employee ID]], tblEmployee[Employee ID], tblEmployee[Pay Status], "Pay")</f>
        <v>Pay</v>
      </c>
      <c r="E234" s="24" t="str">
        <f>_xlfn.XLOOKUP(tblPayrollMaster[[#This Row],[Employee ID]], tblEmployee[Employee ID], tblEmployee[Payable Flag], "Y")</f>
        <v>Y</v>
      </c>
      <c r="F234" s="45">
        <f>IF(tblPayrollMaster[[#This Row],[Payable Flag]]="N",0,_xlfn.XLOOKUP(tblPayrollMaster[[#This Row],[Employee ID]],tblEmployee[Employee ID],tblEmployee[Pay Factor],1))</f>
        <v>1</v>
      </c>
      <c r="G234" s="26" t="str" cm="1">
        <f t="array" ref="G234">IF(tblPayrollMaster[[#This Row],[Employee ID]]="","",_xlfn.XLOOKUP(selPayPeriodID,tblPayCalendar[PayPeriodID],tblPayCalendar[PeriodStart],""))</f>
        <v/>
      </c>
      <c r="H234" s="26" t="str" cm="1">
        <f t="array" ref="H234">IF(tblPayrollMaster[[#This Row],[Employee ID]]="","",_xlfn.XLOOKUP(selPayPeriodID,tblPayCalendar[PayPeriodID],tblPayCalendar[PeriodEnd],""))</f>
        <v/>
      </c>
      <c r="I234" s="24" t="e" cm="1" vm="1">
        <f t="array" aca="1" ref="I234" ca="1">Table18[Employer Name]</f>
        <v>#VALUE!</v>
      </c>
      <c r="J234" s="3" cm="1">
        <f t="array" ref="J23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34" s="25" t="str">
        <f>_xlfn.XLOOKUP(tblPayrollMaster[[#This Row],[Employee Position]],tblPositionandPayRate[Employee Position],tblPositionandPayRate[Overtime], " ")</f>
        <v xml:space="preserve"> </v>
      </c>
      <c r="L234" s="25">
        <f>_xlfn.XLOOKUP(tblPayrollMaster[[#This Row],[Employee Position]],tblPositionandPayRate[Employee Position],tblPositionandPayRate[Allowance 1],0)*tblPayrollMaster[[#This Row],[Pay Factor]]</f>
        <v>0</v>
      </c>
      <c r="M234" s="25">
        <f>_xlfn.XLOOKUP(tblPayrollMaster[[#This Row],[Employee Position]],tblPositionandPayRate[Employee Position],tblPositionandPayRate[Allowance 2],0)*tblPayrollMaster[[#This Row],[Pay Factor]]</f>
        <v>0</v>
      </c>
      <c r="N234" s="25">
        <f>_xlfn.XLOOKUP(tblPayrollMaster[[#This Row],[Employee Position]],tblPositionandPayRate[Employee Position],tblPositionandPayRate[Allowance 3],0)*tblPayrollMaster[[#This Row],[Pay Factor]]</f>
        <v>0</v>
      </c>
      <c r="O234" s="25">
        <f>_xlfn.XLOOKUP(tblPayrollMaster[[#This Row],[Employee Position]],tblPositionandPayRate[Employee Position],tblPositionandPayRate[Allowance 4],0)*tblPayrollMaster[[#This Row],[Pay Factor]]</f>
        <v>0</v>
      </c>
      <c r="P234" s="25">
        <f>_xlfn.XLOOKUP(tblPayrollMaster[[#This Row],[Employee Position]],tblPositionandPayRate[Employee Position],tblPositionandPayRate[Allowance 5],0)*tblPayrollMaster[[#This Row],[Pay Factor]]</f>
        <v>0</v>
      </c>
      <c r="Q234" s="25">
        <f>SUM(tblPayrollMaster[[#This Row],[Basic Pay]:[Allowance 5]])</f>
        <v>0</v>
      </c>
      <c r="R23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34" s="51" cm="1">
        <f t="array" ref="S2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34" s="3" cm="1">
        <f t="array" ref="T2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34" s="25">
        <f>_xlfn.LET(
_xlpm.tos, _xlfn.XLOOKUP(tblPayrollMaster[[#This Row],[Employee ID]], tblEmployee[Employee ID], tblEmployee[Type of Service], ""),
IF(_xlpm.tos="Contract of Service", 8.25, 0)
)</f>
        <v>0</v>
      </c>
      <c r="V234" s="25">
        <f>tblPayrollMaster[[#This Row],[Basic Earnings]]-tblPayrollMaster[[#This Row],[Tax]]-tblPayrollMaster[[#This Row],[NIS - Employee]]-tblPayrollMaster[[#This Row],[Health Surcharge]]</f>
        <v>0</v>
      </c>
      <c r="W234" s="25">
        <f>tblPayrollMaster[[#This Row],[Net Pay]]</f>
        <v>0</v>
      </c>
      <c r="X234" s="25"/>
    </row>
    <row r="235" spans="1:24" x14ac:dyDescent="0.25">
      <c r="A235" s="24"/>
      <c r="B235" s="24" t="str">
        <f>_xlfn.XLOOKUP(tblPayrollMaster[[#This Row],[Employee ID]],tblEmployee[Employee ID],tblEmployee[Employee Name],"")</f>
        <v/>
      </c>
      <c r="C235" s="24" t="str">
        <f>_xlfn.XLOOKUP(tblPayrollMaster[[#This Row],[Employee ID]],tblEmployee[Employee ID],tblEmployee[Employee Position],"")</f>
        <v/>
      </c>
      <c r="D235" s="24" t="str">
        <f>_xlfn.XLOOKUP(tblPayrollMaster[[#This Row],[Employee ID]], tblEmployee[Employee ID], tblEmployee[Pay Status], "Pay")</f>
        <v>Pay</v>
      </c>
      <c r="E235" s="24" t="str">
        <f>_xlfn.XLOOKUP(tblPayrollMaster[[#This Row],[Employee ID]], tblEmployee[Employee ID], tblEmployee[Payable Flag], "Y")</f>
        <v>Y</v>
      </c>
      <c r="F235" s="45">
        <f>IF(tblPayrollMaster[[#This Row],[Payable Flag]]="N",0,_xlfn.XLOOKUP(tblPayrollMaster[[#This Row],[Employee ID]],tblEmployee[Employee ID],tblEmployee[Pay Factor],1))</f>
        <v>1</v>
      </c>
      <c r="G235" s="26" t="str" cm="1">
        <f t="array" ref="G235">IF(tblPayrollMaster[[#This Row],[Employee ID]]="","",_xlfn.XLOOKUP(selPayPeriodID,tblPayCalendar[PayPeriodID],tblPayCalendar[PeriodStart],""))</f>
        <v/>
      </c>
      <c r="H235" s="26" t="str" cm="1">
        <f t="array" ref="H235">IF(tblPayrollMaster[[#This Row],[Employee ID]]="","",_xlfn.XLOOKUP(selPayPeriodID,tblPayCalendar[PayPeriodID],tblPayCalendar[PeriodEnd],""))</f>
        <v/>
      </c>
      <c r="I235" s="24" t="e" cm="1" vm="1">
        <f t="array" aca="1" ref="I235" ca="1">Table18[Employer Name]</f>
        <v>#VALUE!</v>
      </c>
      <c r="J235" s="3" cm="1">
        <f t="array" ref="J23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35" s="25" t="str">
        <f>_xlfn.XLOOKUP(tblPayrollMaster[[#This Row],[Employee Position]],tblPositionandPayRate[Employee Position],tblPositionandPayRate[Overtime], " ")</f>
        <v xml:space="preserve"> </v>
      </c>
      <c r="L235" s="25">
        <f>_xlfn.XLOOKUP(tblPayrollMaster[[#This Row],[Employee Position]],tblPositionandPayRate[Employee Position],tblPositionandPayRate[Allowance 1],0)*tblPayrollMaster[[#This Row],[Pay Factor]]</f>
        <v>0</v>
      </c>
      <c r="M235" s="25">
        <f>_xlfn.XLOOKUP(tblPayrollMaster[[#This Row],[Employee Position]],tblPositionandPayRate[Employee Position],tblPositionandPayRate[Allowance 2],0)*tblPayrollMaster[[#This Row],[Pay Factor]]</f>
        <v>0</v>
      </c>
      <c r="N235" s="25">
        <f>_xlfn.XLOOKUP(tblPayrollMaster[[#This Row],[Employee Position]],tblPositionandPayRate[Employee Position],tblPositionandPayRate[Allowance 3],0)*tblPayrollMaster[[#This Row],[Pay Factor]]</f>
        <v>0</v>
      </c>
      <c r="O235" s="25">
        <f>_xlfn.XLOOKUP(tblPayrollMaster[[#This Row],[Employee Position]],tblPositionandPayRate[Employee Position],tblPositionandPayRate[Allowance 4],0)*tblPayrollMaster[[#This Row],[Pay Factor]]</f>
        <v>0</v>
      </c>
      <c r="P235" s="25">
        <f>_xlfn.XLOOKUP(tblPayrollMaster[[#This Row],[Employee Position]],tblPositionandPayRate[Employee Position],tblPositionandPayRate[Allowance 5],0)*tblPayrollMaster[[#This Row],[Pay Factor]]</f>
        <v>0</v>
      </c>
      <c r="Q235" s="25">
        <f>SUM(tblPayrollMaster[[#This Row],[Basic Pay]:[Allowance 5]])</f>
        <v>0</v>
      </c>
      <c r="R23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35" s="51" cm="1">
        <f t="array" ref="S2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35" s="3" cm="1">
        <f t="array" ref="T2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35" s="25">
        <f>_xlfn.LET(
_xlpm.tos, _xlfn.XLOOKUP(tblPayrollMaster[[#This Row],[Employee ID]], tblEmployee[Employee ID], tblEmployee[Type of Service], ""),
IF(_xlpm.tos="Contract of Service", 8.25, 0)
)</f>
        <v>0</v>
      </c>
      <c r="V235" s="25">
        <f>tblPayrollMaster[[#This Row],[Basic Earnings]]-tblPayrollMaster[[#This Row],[Tax]]-tblPayrollMaster[[#This Row],[NIS - Employee]]-tblPayrollMaster[[#This Row],[Health Surcharge]]</f>
        <v>0</v>
      </c>
      <c r="W235" s="25">
        <f>tblPayrollMaster[[#This Row],[Net Pay]]</f>
        <v>0</v>
      </c>
      <c r="X235" s="25"/>
    </row>
    <row r="236" spans="1:24" x14ac:dyDescent="0.25">
      <c r="A236" s="24"/>
      <c r="B236" s="24" t="str">
        <f>_xlfn.XLOOKUP(tblPayrollMaster[[#This Row],[Employee ID]],tblEmployee[Employee ID],tblEmployee[Employee Name],"")</f>
        <v/>
      </c>
      <c r="C236" s="24" t="str">
        <f>_xlfn.XLOOKUP(tblPayrollMaster[[#This Row],[Employee ID]],tblEmployee[Employee ID],tblEmployee[Employee Position],"")</f>
        <v/>
      </c>
      <c r="D236" s="24" t="str">
        <f>_xlfn.XLOOKUP(tblPayrollMaster[[#This Row],[Employee ID]], tblEmployee[Employee ID], tblEmployee[Pay Status], "Pay")</f>
        <v>Pay</v>
      </c>
      <c r="E236" s="24" t="str">
        <f>_xlfn.XLOOKUP(tblPayrollMaster[[#This Row],[Employee ID]], tblEmployee[Employee ID], tblEmployee[Payable Flag], "Y")</f>
        <v>Y</v>
      </c>
      <c r="F236" s="45">
        <f>IF(tblPayrollMaster[[#This Row],[Payable Flag]]="N",0,_xlfn.XLOOKUP(tblPayrollMaster[[#This Row],[Employee ID]],tblEmployee[Employee ID],tblEmployee[Pay Factor],1))</f>
        <v>1</v>
      </c>
      <c r="G236" s="26" t="str" cm="1">
        <f t="array" ref="G236">IF(tblPayrollMaster[[#This Row],[Employee ID]]="","",_xlfn.XLOOKUP(selPayPeriodID,tblPayCalendar[PayPeriodID],tblPayCalendar[PeriodStart],""))</f>
        <v/>
      </c>
      <c r="H236" s="26" t="str" cm="1">
        <f t="array" ref="H236">IF(tblPayrollMaster[[#This Row],[Employee ID]]="","",_xlfn.XLOOKUP(selPayPeriodID,tblPayCalendar[PayPeriodID],tblPayCalendar[PeriodEnd],""))</f>
        <v/>
      </c>
      <c r="I236" s="24" t="e" cm="1" vm="1">
        <f t="array" aca="1" ref="I236" ca="1">Table18[Employer Name]</f>
        <v>#VALUE!</v>
      </c>
      <c r="J236" s="3" cm="1">
        <f t="array" ref="J23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36" s="25" t="str">
        <f>_xlfn.XLOOKUP(tblPayrollMaster[[#This Row],[Employee Position]],tblPositionandPayRate[Employee Position],tblPositionandPayRate[Overtime], " ")</f>
        <v xml:space="preserve"> </v>
      </c>
      <c r="L236" s="25">
        <f>_xlfn.XLOOKUP(tblPayrollMaster[[#This Row],[Employee Position]],tblPositionandPayRate[Employee Position],tblPositionandPayRate[Allowance 1],0)*tblPayrollMaster[[#This Row],[Pay Factor]]</f>
        <v>0</v>
      </c>
      <c r="M236" s="25">
        <f>_xlfn.XLOOKUP(tblPayrollMaster[[#This Row],[Employee Position]],tblPositionandPayRate[Employee Position],tblPositionandPayRate[Allowance 2],0)*tblPayrollMaster[[#This Row],[Pay Factor]]</f>
        <v>0</v>
      </c>
      <c r="N236" s="25">
        <f>_xlfn.XLOOKUP(tblPayrollMaster[[#This Row],[Employee Position]],tblPositionandPayRate[Employee Position],tblPositionandPayRate[Allowance 3],0)*tblPayrollMaster[[#This Row],[Pay Factor]]</f>
        <v>0</v>
      </c>
      <c r="O236" s="25">
        <f>_xlfn.XLOOKUP(tblPayrollMaster[[#This Row],[Employee Position]],tblPositionandPayRate[Employee Position],tblPositionandPayRate[Allowance 4],0)*tblPayrollMaster[[#This Row],[Pay Factor]]</f>
        <v>0</v>
      </c>
      <c r="P236" s="25">
        <f>_xlfn.XLOOKUP(tblPayrollMaster[[#This Row],[Employee Position]],tblPositionandPayRate[Employee Position],tblPositionandPayRate[Allowance 5],0)*tblPayrollMaster[[#This Row],[Pay Factor]]</f>
        <v>0</v>
      </c>
      <c r="Q236" s="25">
        <f>SUM(tblPayrollMaster[[#This Row],[Basic Pay]:[Allowance 5]])</f>
        <v>0</v>
      </c>
      <c r="R23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36" s="51" cm="1">
        <f t="array" ref="S2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36" s="3" cm="1">
        <f t="array" ref="T2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36" s="25">
        <f>_xlfn.LET(
_xlpm.tos, _xlfn.XLOOKUP(tblPayrollMaster[[#This Row],[Employee ID]], tblEmployee[Employee ID], tblEmployee[Type of Service], ""),
IF(_xlpm.tos="Contract of Service", 8.25, 0)
)</f>
        <v>0</v>
      </c>
      <c r="V236" s="25">
        <f>tblPayrollMaster[[#This Row],[Basic Earnings]]-tblPayrollMaster[[#This Row],[Tax]]-tblPayrollMaster[[#This Row],[NIS - Employee]]-tblPayrollMaster[[#This Row],[Health Surcharge]]</f>
        <v>0</v>
      </c>
      <c r="W236" s="25">
        <f>tblPayrollMaster[[#This Row],[Net Pay]]</f>
        <v>0</v>
      </c>
      <c r="X236" s="25"/>
    </row>
    <row r="237" spans="1:24" x14ac:dyDescent="0.25">
      <c r="A237" s="24"/>
      <c r="B237" s="24" t="str">
        <f>_xlfn.XLOOKUP(tblPayrollMaster[[#This Row],[Employee ID]],tblEmployee[Employee ID],tblEmployee[Employee Name],"")</f>
        <v/>
      </c>
      <c r="C237" s="24" t="str">
        <f>_xlfn.XLOOKUP(tblPayrollMaster[[#This Row],[Employee ID]],tblEmployee[Employee ID],tblEmployee[Employee Position],"")</f>
        <v/>
      </c>
      <c r="D237" s="24" t="str">
        <f>_xlfn.XLOOKUP(tblPayrollMaster[[#This Row],[Employee ID]], tblEmployee[Employee ID], tblEmployee[Pay Status], "Pay")</f>
        <v>Pay</v>
      </c>
      <c r="E237" s="24" t="str">
        <f>_xlfn.XLOOKUP(tblPayrollMaster[[#This Row],[Employee ID]], tblEmployee[Employee ID], tblEmployee[Payable Flag], "Y")</f>
        <v>Y</v>
      </c>
      <c r="F237" s="45">
        <f>IF(tblPayrollMaster[[#This Row],[Payable Flag]]="N",0,_xlfn.XLOOKUP(tblPayrollMaster[[#This Row],[Employee ID]],tblEmployee[Employee ID],tblEmployee[Pay Factor],1))</f>
        <v>1</v>
      </c>
      <c r="G237" s="26" t="str" cm="1">
        <f t="array" ref="G237">IF(tblPayrollMaster[[#This Row],[Employee ID]]="","",_xlfn.XLOOKUP(selPayPeriodID,tblPayCalendar[PayPeriodID],tblPayCalendar[PeriodStart],""))</f>
        <v/>
      </c>
      <c r="H237" s="26" t="str" cm="1">
        <f t="array" ref="H237">IF(tblPayrollMaster[[#This Row],[Employee ID]]="","",_xlfn.XLOOKUP(selPayPeriodID,tblPayCalendar[PayPeriodID],tblPayCalendar[PeriodEnd],""))</f>
        <v/>
      </c>
      <c r="I237" s="24" t="e" cm="1" vm="1">
        <f t="array" aca="1" ref="I237" ca="1">Table18[Employer Name]</f>
        <v>#VALUE!</v>
      </c>
      <c r="J237" s="3" cm="1">
        <f t="array" ref="J23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37" s="25" t="str">
        <f>_xlfn.XLOOKUP(tblPayrollMaster[[#This Row],[Employee Position]],tblPositionandPayRate[Employee Position],tblPositionandPayRate[Overtime], " ")</f>
        <v xml:space="preserve"> </v>
      </c>
      <c r="L237" s="25">
        <f>_xlfn.XLOOKUP(tblPayrollMaster[[#This Row],[Employee Position]],tblPositionandPayRate[Employee Position],tblPositionandPayRate[Allowance 1],0)*tblPayrollMaster[[#This Row],[Pay Factor]]</f>
        <v>0</v>
      </c>
      <c r="M237" s="25">
        <f>_xlfn.XLOOKUP(tblPayrollMaster[[#This Row],[Employee Position]],tblPositionandPayRate[Employee Position],tblPositionandPayRate[Allowance 2],0)*tblPayrollMaster[[#This Row],[Pay Factor]]</f>
        <v>0</v>
      </c>
      <c r="N237" s="25">
        <f>_xlfn.XLOOKUP(tblPayrollMaster[[#This Row],[Employee Position]],tblPositionandPayRate[Employee Position],tblPositionandPayRate[Allowance 3],0)*tblPayrollMaster[[#This Row],[Pay Factor]]</f>
        <v>0</v>
      </c>
      <c r="O237" s="25">
        <f>_xlfn.XLOOKUP(tblPayrollMaster[[#This Row],[Employee Position]],tblPositionandPayRate[Employee Position],tblPositionandPayRate[Allowance 4],0)*tblPayrollMaster[[#This Row],[Pay Factor]]</f>
        <v>0</v>
      </c>
      <c r="P237" s="25">
        <f>_xlfn.XLOOKUP(tblPayrollMaster[[#This Row],[Employee Position]],tblPositionandPayRate[Employee Position],tblPositionandPayRate[Allowance 5],0)*tblPayrollMaster[[#This Row],[Pay Factor]]</f>
        <v>0</v>
      </c>
      <c r="Q237" s="25">
        <f>SUM(tblPayrollMaster[[#This Row],[Basic Pay]:[Allowance 5]])</f>
        <v>0</v>
      </c>
      <c r="R23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37" s="51" cm="1">
        <f t="array" ref="S2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37" s="3" cm="1">
        <f t="array" ref="T2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37" s="25">
        <f>_xlfn.LET(
_xlpm.tos, _xlfn.XLOOKUP(tblPayrollMaster[[#This Row],[Employee ID]], tblEmployee[Employee ID], tblEmployee[Type of Service], ""),
IF(_xlpm.tos="Contract of Service", 8.25, 0)
)</f>
        <v>0</v>
      </c>
      <c r="V237" s="25">
        <f>tblPayrollMaster[[#This Row],[Basic Earnings]]-tblPayrollMaster[[#This Row],[Tax]]-tblPayrollMaster[[#This Row],[NIS - Employee]]-tblPayrollMaster[[#This Row],[Health Surcharge]]</f>
        <v>0</v>
      </c>
      <c r="W237" s="25">
        <f>tblPayrollMaster[[#This Row],[Net Pay]]</f>
        <v>0</v>
      </c>
      <c r="X237" s="25"/>
    </row>
    <row r="238" spans="1:24" x14ac:dyDescent="0.25">
      <c r="A238" s="24"/>
      <c r="B238" s="24" t="str">
        <f>_xlfn.XLOOKUP(tblPayrollMaster[[#This Row],[Employee ID]],tblEmployee[Employee ID],tblEmployee[Employee Name],"")</f>
        <v/>
      </c>
      <c r="C238" s="24" t="str">
        <f>_xlfn.XLOOKUP(tblPayrollMaster[[#This Row],[Employee ID]],tblEmployee[Employee ID],tblEmployee[Employee Position],"")</f>
        <v/>
      </c>
      <c r="D238" s="24" t="str">
        <f>_xlfn.XLOOKUP(tblPayrollMaster[[#This Row],[Employee ID]], tblEmployee[Employee ID], tblEmployee[Pay Status], "Pay")</f>
        <v>Pay</v>
      </c>
      <c r="E238" s="24" t="str">
        <f>_xlfn.XLOOKUP(tblPayrollMaster[[#This Row],[Employee ID]], tblEmployee[Employee ID], tblEmployee[Payable Flag], "Y")</f>
        <v>Y</v>
      </c>
      <c r="F238" s="45">
        <f>IF(tblPayrollMaster[[#This Row],[Payable Flag]]="N",0,_xlfn.XLOOKUP(tblPayrollMaster[[#This Row],[Employee ID]],tblEmployee[Employee ID],tblEmployee[Pay Factor],1))</f>
        <v>1</v>
      </c>
      <c r="G238" s="26" t="str" cm="1">
        <f t="array" ref="G238">IF(tblPayrollMaster[[#This Row],[Employee ID]]="","",_xlfn.XLOOKUP(selPayPeriodID,tblPayCalendar[PayPeriodID],tblPayCalendar[PeriodStart],""))</f>
        <v/>
      </c>
      <c r="H238" s="26" t="str" cm="1">
        <f t="array" ref="H238">IF(tblPayrollMaster[[#This Row],[Employee ID]]="","",_xlfn.XLOOKUP(selPayPeriodID,tblPayCalendar[PayPeriodID],tblPayCalendar[PeriodEnd],""))</f>
        <v/>
      </c>
      <c r="I238" s="24" t="e" cm="1" vm="1">
        <f t="array" aca="1" ref="I238" ca="1">Table18[Employer Name]</f>
        <v>#VALUE!</v>
      </c>
      <c r="J238" s="3" cm="1">
        <f t="array" ref="J23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38" s="25" t="str">
        <f>_xlfn.XLOOKUP(tblPayrollMaster[[#This Row],[Employee Position]],tblPositionandPayRate[Employee Position],tblPositionandPayRate[Overtime], " ")</f>
        <v xml:space="preserve"> </v>
      </c>
      <c r="L238" s="25">
        <f>_xlfn.XLOOKUP(tblPayrollMaster[[#This Row],[Employee Position]],tblPositionandPayRate[Employee Position],tblPositionandPayRate[Allowance 1],0)*tblPayrollMaster[[#This Row],[Pay Factor]]</f>
        <v>0</v>
      </c>
      <c r="M238" s="25">
        <f>_xlfn.XLOOKUP(tblPayrollMaster[[#This Row],[Employee Position]],tblPositionandPayRate[Employee Position],tblPositionandPayRate[Allowance 2],0)*tblPayrollMaster[[#This Row],[Pay Factor]]</f>
        <v>0</v>
      </c>
      <c r="N238" s="25">
        <f>_xlfn.XLOOKUP(tblPayrollMaster[[#This Row],[Employee Position]],tblPositionandPayRate[Employee Position],tblPositionandPayRate[Allowance 3],0)*tblPayrollMaster[[#This Row],[Pay Factor]]</f>
        <v>0</v>
      </c>
      <c r="O238" s="25">
        <f>_xlfn.XLOOKUP(tblPayrollMaster[[#This Row],[Employee Position]],tblPositionandPayRate[Employee Position],tblPositionandPayRate[Allowance 4],0)*tblPayrollMaster[[#This Row],[Pay Factor]]</f>
        <v>0</v>
      </c>
      <c r="P238" s="25">
        <f>_xlfn.XLOOKUP(tblPayrollMaster[[#This Row],[Employee Position]],tblPositionandPayRate[Employee Position],tblPositionandPayRate[Allowance 5],0)*tblPayrollMaster[[#This Row],[Pay Factor]]</f>
        <v>0</v>
      </c>
      <c r="Q238" s="25">
        <f>SUM(tblPayrollMaster[[#This Row],[Basic Pay]:[Allowance 5]])</f>
        <v>0</v>
      </c>
      <c r="R23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38" s="51" cm="1">
        <f t="array" ref="S2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38" s="3" cm="1">
        <f t="array" ref="T2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38" s="25">
        <f>_xlfn.LET(
_xlpm.tos, _xlfn.XLOOKUP(tblPayrollMaster[[#This Row],[Employee ID]], tblEmployee[Employee ID], tblEmployee[Type of Service], ""),
IF(_xlpm.tos="Contract of Service", 8.25, 0)
)</f>
        <v>0</v>
      </c>
      <c r="V238" s="25">
        <f>tblPayrollMaster[[#This Row],[Basic Earnings]]-tblPayrollMaster[[#This Row],[Tax]]-tblPayrollMaster[[#This Row],[NIS - Employee]]-tblPayrollMaster[[#This Row],[Health Surcharge]]</f>
        <v>0</v>
      </c>
      <c r="W238" s="25">
        <f>tblPayrollMaster[[#This Row],[Net Pay]]</f>
        <v>0</v>
      </c>
      <c r="X238" s="25"/>
    </row>
    <row r="239" spans="1:24" x14ac:dyDescent="0.25">
      <c r="A239" s="24"/>
      <c r="B239" s="24" t="str">
        <f>_xlfn.XLOOKUP(tblPayrollMaster[[#This Row],[Employee ID]],tblEmployee[Employee ID],tblEmployee[Employee Name],"")</f>
        <v/>
      </c>
      <c r="C239" s="24" t="str">
        <f>_xlfn.XLOOKUP(tblPayrollMaster[[#This Row],[Employee ID]],tblEmployee[Employee ID],tblEmployee[Employee Position],"")</f>
        <v/>
      </c>
      <c r="D239" s="24" t="str">
        <f>_xlfn.XLOOKUP(tblPayrollMaster[[#This Row],[Employee ID]], tblEmployee[Employee ID], tblEmployee[Pay Status], "Pay")</f>
        <v>Pay</v>
      </c>
      <c r="E239" s="24" t="str">
        <f>_xlfn.XLOOKUP(tblPayrollMaster[[#This Row],[Employee ID]], tblEmployee[Employee ID], tblEmployee[Payable Flag], "Y")</f>
        <v>Y</v>
      </c>
      <c r="F239" s="45">
        <f>IF(tblPayrollMaster[[#This Row],[Payable Flag]]="N",0,_xlfn.XLOOKUP(tblPayrollMaster[[#This Row],[Employee ID]],tblEmployee[Employee ID],tblEmployee[Pay Factor],1))</f>
        <v>1</v>
      </c>
      <c r="G239" s="26" t="str" cm="1">
        <f t="array" ref="G239">IF(tblPayrollMaster[[#This Row],[Employee ID]]="","",_xlfn.XLOOKUP(selPayPeriodID,tblPayCalendar[PayPeriodID],tblPayCalendar[PeriodStart],""))</f>
        <v/>
      </c>
      <c r="H239" s="26" t="str" cm="1">
        <f t="array" ref="H239">IF(tblPayrollMaster[[#This Row],[Employee ID]]="","",_xlfn.XLOOKUP(selPayPeriodID,tblPayCalendar[PayPeriodID],tblPayCalendar[PeriodEnd],""))</f>
        <v/>
      </c>
      <c r="I239" s="24" t="e" cm="1" vm="1">
        <f t="array" aca="1" ref="I239" ca="1">Table18[Employer Name]</f>
        <v>#VALUE!</v>
      </c>
      <c r="J239" s="3" cm="1">
        <f t="array" ref="J23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39" s="25" t="str">
        <f>_xlfn.XLOOKUP(tblPayrollMaster[[#This Row],[Employee Position]],tblPositionandPayRate[Employee Position],tblPositionandPayRate[Overtime], " ")</f>
        <v xml:space="preserve"> </v>
      </c>
      <c r="L239" s="25">
        <f>_xlfn.XLOOKUP(tblPayrollMaster[[#This Row],[Employee Position]],tblPositionandPayRate[Employee Position],tblPositionandPayRate[Allowance 1],0)*tblPayrollMaster[[#This Row],[Pay Factor]]</f>
        <v>0</v>
      </c>
      <c r="M239" s="25">
        <f>_xlfn.XLOOKUP(tblPayrollMaster[[#This Row],[Employee Position]],tblPositionandPayRate[Employee Position],tblPositionandPayRate[Allowance 2],0)*tblPayrollMaster[[#This Row],[Pay Factor]]</f>
        <v>0</v>
      </c>
      <c r="N239" s="25">
        <f>_xlfn.XLOOKUP(tblPayrollMaster[[#This Row],[Employee Position]],tblPositionandPayRate[Employee Position],tblPositionandPayRate[Allowance 3],0)*tblPayrollMaster[[#This Row],[Pay Factor]]</f>
        <v>0</v>
      </c>
      <c r="O239" s="25">
        <f>_xlfn.XLOOKUP(tblPayrollMaster[[#This Row],[Employee Position]],tblPositionandPayRate[Employee Position],tblPositionandPayRate[Allowance 4],0)*tblPayrollMaster[[#This Row],[Pay Factor]]</f>
        <v>0</v>
      </c>
      <c r="P239" s="25">
        <f>_xlfn.XLOOKUP(tblPayrollMaster[[#This Row],[Employee Position]],tblPositionandPayRate[Employee Position],tblPositionandPayRate[Allowance 5],0)*tblPayrollMaster[[#This Row],[Pay Factor]]</f>
        <v>0</v>
      </c>
      <c r="Q239" s="25">
        <f>SUM(tblPayrollMaster[[#This Row],[Basic Pay]:[Allowance 5]])</f>
        <v>0</v>
      </c>
      <c r="R23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39" s="51" cm="1">
        <f t="array" ref="S2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39" s="3" cm="1">
        <f t="array" ref="T2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39" s="25">
        <f>_xlfn.LET(
_xlpm.tos, _xlfn.XLOOKUP(tblPayrollMaster[[#This Row],[Employee ID]], tblEmployee[Employee ID], tblEmployee[Type of Service], ""),
IF(_xlpm.tos="Contract of Service", 8.25, 0)
)</f>
        <v>0</v>
      </c>
      <c r="V239" s="25">
        <f>tblPayrollMaster[[#This Row],[Basic Earnings]]-tblPayrollMaster[[#This Row],[Tax]]-tblPayrollMaster[[#This Row],[NIS - Employee]]-tblPayrollMaster[[#This Row],[Health Surcharge]]</f>
        <v>0</v>
      </c>
      <c r="W239" s="25">
        <f>tblPayrollMaster[[#This Row],[Net Pay]]</f>
        <v>0</v>
      </c>
      <c r="X239" s="25"/>
    </row>
    <row r="240" spans="1:24" x14ac:dyDescent="0.25">
      <c r="A240" s="24"/>
      <c r="B240" s="24" t="str">
        <f>_xlfn.XLOOKUP(tblPayrollMaster[[#This Row],[Employee ID]],tblEmployee[Employee ID],tblEmployee[Employee Name],"")</f>
        <v/>
      </c>
      <c r="C240" s="24" t="str">
        <f>_xlfn.XLOOKUP(tblPayrollMaster[[#This Row],[Employee ID]],tblEmployee[Employee ID],tblEmployee[Employee Position],"")</f>
        <v/>
      </c>
      <c r="D240" s="24" t="str">
        <f>_xlfn.XLOOKUP(tblPayrollMaster[[#This Row],[Employee ID]], tblEmployee[Employee ID], tblEmployee[Pay Status], "Pay")</f>
        <v>Pay</v>
      </c>
      <c r="E240" s="24" t="str">
        <f>_xlfn.XLOOKUP(tblPayrollMaster[[#This Row],[Employee ID]], tblEmployee[Employee ID], tblEmployee[Payable Flag], "Y")</f>
        <v>Y</v>
      </c>
      <c r="F240" s="45">
        <f>IF(tblPayrollMaster[[#This Row],[Payable Flag]]="N",0,_xlfn.XLOOKUP(tblPayrollMaster[[#This Row],[Employee ID]],tblEmployee[Employee ID],tblEmployee[Pay Factor],1))</f>
        <v>1</v>
      </c>
      <c r="G240" s="26" t="str" cm="1">
        <f t="array" ref="G240">IF(tblPayrollMaster[[#This Row],[Employee ID]]="","",_xlfn.XLOOKUP(selPayPeriodID,tblPayCalendar[PayPeriodID],tblPayCalendar[PeriodStart],""))</f>
        <v/>
      </c>
      <c r="H240" s="26" t="str" cm="1">
        <f t="array" ref="H240">IF(tblPayrollMaster[[#This Row],[Employee ID]]="","",_xlfn.XLOOKUP(selPayPeriodID,tblPayCalendar[PayPeriodID],tblPayCalendar[PeriodEnd],""))</f>
        <v/>
      </c>
      <c r="I240" s="24" t="e" cm="1" vm="1">
        <f t="array" aca="1" ref="I240" ca="1">Table18[Employer Name]</f>
        <v>#VALUE!</v>
      </c>
      <c r="J240" s="3" cm="1">
        <f t="array" ref="J24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40" s="25" t="str">
        <f>_xlfn.XLOOKUP(tblPayrollMaster[[#This Row],[Employee Position]],tblPositionandPayRate[Employee Position],tblPositionandPayRate[Overtime], " ")</f>
        <v xml:space="preserve"> </v>
      </c>
      <c r="L240" s="25">
        <f>_xlfn.XLOOKUP(tblPayrollMaster[[#This Row],[Employee Position]],tblPositionandPayRate[Employee Position],tblPositionandPayRate[Allowance 1],0)*tblPayrollMaster[[#This Row],[Pay Factor]]</f>
        <v>0</v>
      </c>
      <c r="M240" s="25">
        <f>_xlfn.XLOOKUP(tblPayrollMaster[[#This Row],[Employee Position]],tblPositionandPayRate[Employee Position],tblPositionandPayRate[Allowance 2],0)*tblPayrollMaster[[#This Row],[Pay Factor]]</f>
        <v>0</v>
      </c>
      <c r="N240" s="25">
        <f>_xlfn.XLOOKUP(tblPayrollMaster[[#This Row],[Employee Position]],tblPositionandPayRate[Employee Position],tblPositionandPayRate[Allowance 3],0)*tblPayrollMaster[[#This Row],[Pay Factor]]</f>
        <v>0</v>
      </c>
      <c r="O240" s="25">
        <f>_xlfn.XLOOKUP(tblPayrollMaster[[#This Row],[Employee Position]],tblPositionandPayRate[Employee Position],tblPositionandPayRate[Allowance 4],0)*tblPayrollMaster[[#This Row],[Pay Factor]]</f>
        <v>0</v>
      </c>
      <c r="P240" s="25">
        <f>_xlfn.XLOOKUP(tblPayrollMaster[[#This Row],[Employee Position]],tblPositionandPayRate[Employee Position],tblPositionandPayRate[Allowance 5],0)*tblPayrollMaster[[#This Row],[Pay Factor]]</f>
        <v>0</v>
      </c>
      <c r="Q240" s="25">
        <f>SUM(tblPayrollMaster[[#This Row],[Basic Pay]:[Allowance 5]])</f>
        <v>0</v>
      </c>
      <c r="R24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40" s="51" cm="1">
        <f t="array" ref="S2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40" s="3" cm="1">
        <f t="array" ref="T2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40" s="25">
        <f>_xlfn.LET(
_xlpm.tos, _xlfn.XLOOKUP(tblPayrollMaster[[#This Row],[Employee ID]], tblEmployee[Employee ID], tblEmployee[Type of Service], ""),
IF(_xlpm.tos="Contract of Service", 8.25, 0)
)</f>
        <v>0</v>
      </c>
      <c r="V240" s="25">
        <f>tblPayrollMaster[[#This Row],[Basic Earnings]]-tblPayrollMaster[[#This Row],[Tax]]-tblPayrollMaster[[#This Row],[NIS - Employee]]-tblPayrollMaster[[#This Row],[Health Surcharge]]</f>
        <v>0</v>
      </c>
      <c r="W240" s="25">
        <f>tblPayrollMaster[[#This Row],[Net Pay]]</f>
        <v>0</v>
      </c>
      <c r="X240" s="25"/>
    </row>
    <row r="241" spans="1:24" x14ac:dyDescent="0.25">
      <c r="A241" s="24"/>
      <c r="B241" s="24" t="str">
        <f>_xlfn.XLOOKUP(tblPayrollMaster[[#This Row],[Employee ID]],tblEmployee[Employee ID],tblEmployee[Employee Name],"")</f>
        <v/>
      </c>
      <c r="C241" s="24" t="str">
        <f>_xlfn.XLOOKUP(tblPayrollMaster[[#This Row],[Employee ID]],tblEmployee[Employee ID],tblEmployee[Employee Position],"")</f>
        <v/>
      </c>
      <c r="D241" s="24" t="str">
        <f>_xlfn.XLOOKUP(tblPayrollMaster[[#This Row],[Employee ID]], tblEmployee[Employee ID], tblEmployee[Pay Status], "Pay")</f>
        <v>Pay</v>
      </c>
      <c r="E241" s="24" t="str">
        <f>_xlfn.XLOOKUP(tblPayrollMaster[[#This Row],[Employee ID]], tblEmployee[Employee ID], tblEmployee[Payable Flag], "Y")</f>
        <v>Y</v>
      </c>
      <c r="F241" s="45">
        <f>IF(tblPayrollMaster[[#This Row],[Payable Flag]]="N",0,_xlfn.XLOOKUP(tblPayrollMaster[[#This Row],[Employee ID]],tblEmployee[Employee ID],tblEmployee[Pay Factor],1))</f>
        <v>1</v>
      </c>
      <c r="G241" s="26" t="str" cm="1">
        <f t="array" ref="G241">IF(tblPayrollMaster[[#This Row],[Employee ID]]="","",_xlfn.XLOOKUP(selPayPeriodID,tblPayCalendar[PayPeriodID],tblPayCalendar[PeriodStart],""))</f>
        <v/>
      </c>
      <c r="H241" s="26" t="str" cm="1">
        <f t="array" ref="H241">IF(tblPayrollMaster[[#This Row],[Employee ID]]="","",_xlfn.XLOOKUP(selPayPeriodID,tblPayCalendar[PayPeriodID],tblPayCalendar[PeriodEnd],""))</f>
        <v/>
      </c>
      <c r="I241" s="24" t="e" cm="1" vm="1">
        <f t="array" aca="1" ref="I241" ca="1">Table18[Employer Name]</f>
        <v>#VALUE!</v>
      </c>
      <c r="J241" s="3" cm="1">
        <f t="array" ref="J24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41" s="25" t="str">
        <f>_xlfn.XLOOKUP(tblPayrollMaster[[#This Row],[Employee Position]],tblPositionandPayRate[Employee Position],tblPositionandPayRate[Overtime], " ")</f>
        <v xml:space="preserve"> </v>
      </c>
      <c r="L241" s="25">
        <f>_xlfn.XLOOKUP(tblPayrollMaster[[#This Row],[Employee Position]],tblPositionandPayRate[Employee Position],tblPositionandPayRate[Allowance 1],0)*tblPayrollMaster[[#This Row],[Pay Factor]]</f>
        <v>0</v>
      </c>
      <c r="M241" s="25">
        <f>_xlfn.XLOOKUP(tblPayrollMaster[[#This Row],[Employee Position]],tblPositionandPayRate[Employee Position],tblPositionandPayRate[Allowance 2],0)*tblPayrollMaster[[#This Row],[Pay Factor]]</f>
        <v>0</v>
      </c>
      <c r="N241" s="25">
        <f>_xlfn.XLOOKUP(tblPayrollMaster[[#This Row],[Employee Position]],tblPositionandPayRate[Employee Position],tblPositionandPayRate[Allowance 3],0)*tblPayrollMaster[[#This Row],[Pay Factor]]</f>
        <v>0</v>
      </c>
      <c r="O241" s="25">
        <f>_xlfn.XLOOKUP(tblPayrollMaster[[#This Row],[Employee Position]],tblPositionandPayRate[Employee Position],tblPositionandPayRate[Allowance 4],0)*tblPayrollMaster[[#This Row],[Pay Factor]]</f>
        <v>0</v>
      </c>
      <c r="P241" s="25">
        <f>_xlfn.XLOOKUP(tblPayrollMaster[[#This Row],[Employee Position]],tblPositionandPayRate[Employee Position],tblPositionandPayRate[Allowance 5],0)*tblPayrollMaster[[#This Row],[Pay Factor]]</f>
        <v>0</v>
      </c>
      <c r="Q241" s="25">
        <f>SUM(tblPayrollMaster[[#This Row],[Basic Pay]:[Allowance 5]])</f>
        <v>0</v>
      </c>
      <c r="R24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41" s="51" cm="1">
        <f t="array" ref="S2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41" s="3" cm="1">
        <f t="array" ref="T2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41" s="25">
        <f>_xlfn.LET(
_xlpm.tos, _xlfn.XLOOKUP(tblPayrollMaster[[#This Row],[Employee ID]], tblEmployee[Employee ID], tblEmployee[Type of Service], ""),
IF(_xlpm.tos="Contract of Service", 8.25, 0)
)</f>
        <v>0</v>
      </c>
      <c r="V241" s="25">
        <f>tblPayrollMaster[[#This Row],[Basic Earnings]]-tblPayrollMaster[[#This Row],[Tax]]-tblPayrollMaster[[#This Row],[NIS - Employee]]-tblPayrollMaster[[#This Row],[Health Surcharge]]</f>
        <v>0</v>
      </c>
      <c r="W241" s="25">
        <f>tblPayrollMaster[[#This Row],[Net Pay]]</f>
        <v>0</v>
      </c>
      <c r="X241" s="25"/>
    </row>
    <row r="242" spans="1:24" x14ac:dyDescent="0.25">
      <c r="A242" s="24"/>
      <c r="B242" s="24" t="str">
        <f>_xlfn.XLOOKUP(tblPayrollMaster[[#This Row],[Employee ID]],tblEmployee[Employee ID],tblEmployee[Employee Name],"")</f>
        <v/>
      </c>
      <c r="C242" s="24" t="str">
        <f>_xlfn.XLOOKUP(tblPayrollMaster[[#This Row],[Employee ID]],tblEmployee[Employee ID],tblEmployee[Employee Position],"")</f>
        <v/>
      </c>
      <c r="D242" s="24" t="str">
        <f>_xlfn.XLOOKUP(tblPayrollMaster[[#This Row],[Employee ID]], tblEmployee[Employee ID], tblEmployee[Pay Status], "Pay")</f>
        <v>Pay</v>
      </c>
      <c r="E242" s="24" t="str">
        <f>_xlfn.XLOOKUP(tblPayrollMaster[[#This Row],[Employee ID]], tblEmployee[Employee ID], tblEmployee[Payable Flag], "Y")</f>
        <v>Y</v>
      </c>
      <c r="F242" s="45">
        <f>IF(tblPayrollMaster[[#This Row],[Payable Flag]]="N",0,_xlfn.XLOOKUP(tblPayrollMaster[[#This Row],[Employee ID]],tblEmployee[Employee ID],tblEmployee[Pay Factor],1))</f>
        <v>1</v>
      </c>
      <c r="G242" s="26" t="str" cm="1">
        <f t="array" ref="G242">IF(tblPayrollMaster[[#This Row],[Employee ID]]="","",_xlfn.XLOOKUP(selPayPeriodID,tblPayCalendar[PayPeriodID],tblPayCalendar[PeriodStart],""))</f>
        <v/>
      </c>
      <c r="H242" s="26" t="str" cm="1">
        <f t="array" ref="H242">IF(tblPayrollMaster[[#This Row],[Employee ID]]="","",_xlfn.XLOOKUP(selPayPeriodID,tblPayCalendar[PayPeriodID],tblPayCalendar[PeriodEnd],""))</f>
        <v/>
      </c>
      <c r="I242" s="24" t="e" cm="1" vm="1">
        <f t="array" aca="1" ref="I242" ca="1">Table18[Employer Name]</f>
        <v>#VALUE!</v>
      </c>
      <c r="J242" s="3" cm="1">
        <f t="array" ref="J24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42" s="25" t="str">
        <f>_xlfn.XLOOKUP(tblPayrollMaster[[#This Row],[Employee Position]],tblPositionandPayRate[Employee Position],tblPositionandPayRate[Overtime], " ")</f>
        <v xml:space="preserve"> </v>
      </c>
      <c r="L242" s="25">
        <f>_xlfn.XLOOKUP(tblPayrollMaster[[#This Row],[Employee Position]],tblPositionandPayRate[Employee Position],tblPositionandPayRate[Allowance 1],0)*tblPayrollMaster[[#This Row],[Pay Factor]]</f>
        <v>0</v>
      </c>
      <c r="M242" s="25">
        <f>_xlfn.XLOOKUP(tblPayrollMaster[[#This Row],[Employee Position]],tblPositionandPayRate[Employee Position],tblPositionandPayRate[Allowance 2],0)*tblPayrollMaster[[#This Row],[Pay Factor]]</f>
        <v>0</v>
      </c>
      <c r="N242" s="25">
        <f>_xlfn.XLOOKUP(tblPayrollMaster[[#This Row],[Employee Position]],tblPositionandPayRate[Employee Position],tblPositionandPayRate[Allowance 3],0)*tblPayrollMaster[[#This Row],[Pay Factor]]</f>
        <v>0</v>
      </c>
      <c r="O242" s="25">
        <f>_xlfn.XLOOKUP(tblPayrollMaster[[#This Row],[Employee Position]],tblPositionandPayRate[Employee Position],tblPositionandPayRate[Allowance 4],0)*tblPayrollMaster[[#This Row],[Pay Factor]]</f>
        <v>0</v>
      </c>
      <c r="P242" s="25">
        <f>_xlfn.XLOOKUP(tblPayrollMaster[[#This Row],[Employee Position]],tblPositionandPayRate[Employee Position],tblPositionandPayRate[Allowance 5],0)*tblPayrollMaster[[#This Row],[Pay Factor]]</f>
        <v>0</v>
      </c>
      <c r="Q242" s="25">
        <f>SUM(tblPayrollMaster[[#This Row],[Basic Pay]:[Allowance 5]])</f>
        <v>0</v>
      </c>
      <c r="R24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42" s="51" cm="1">
        <f t="array" ref="S2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42" s="3" cm="1">
        <f t="array" ref="T2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42" s="25">
        <f>_xlfn.LET(
_xlpm.tos, _xlfn.XLOOKUP(tblPayrollMaster[[#This Row],[Employee ID]], tblEmployee[Employee ID], tblEmployee[Type of Service], ""),
IF(_xlpm.tos="Contract of Service", 8.25, 0)
)</f>
        <v>0</v>
      </c>
      <c r="V242" s="25">
        <f>tblPayrollMaster[[#This Row],[Basic Earnings]]-tblPayrollMaster[[#This Row],[Tax]]-tblPayrollMaster[[#This Row],[NIS - Employee]]-tblPayrollMaster[[#This Row],[Health Surcharge]]</f>
        <v>0</v>
      </c>
      <c r="W242" s="25">
        <f>tblPayrollMaster[[#This Row],[Net Pay]]</f>
        <v>0</v>
      </c>
      <c r="X242" s="25"/>
    </row>
    <row r="243" spans="1:24" x14ac:dyDescent="0.25">
      <c r="A243" s="24"/>
      <c r="B243" s="24" t="str">
        <f>_xlfn.XLOOKUP(tblPayrollMaster[[#This Row],[Employee ID]],tblEmployee[Employee ID],tblEmployee[Employee Name],"")</f>
        <v/>
      </c>
      <c r="C243" s="24" t="str">
        <f>_xlfn.XLOOKUP(tblPayrollMaster[[#This Row],[Employee ID]],tblEmployee[Employee ID],tblEmployee[Employee Position],"")</f>
        <v/>
      </c>
      <c r="D243" s="24" t="str">
        <f>_xlfn.XLOOKUP(tblPayrollMaster[[#This Row],[Employee ID]], tblEmployee[Employee ID], tblEmployee[Pay Status], "Pay")</f>
        <v>Pay</v>
      </c>
      <c r="E243" s="24" t="str">
        <f>_xlfn.XLOOKUP(tblPayrollMaster[[#This Row],[Employee ID]], tblEmployee[Employee ID], tblEmployee[Payable Flag], "Y")</f>
        <v>Y</v>
      </c>
      <c r="F243" s="45">
        <f>IF(tblPayrollMaster[[#This Row],[Payable Flag]]="N",0,_xlfn.XLOOKUP(tblPayrollMaster[[#This Row],[Employee ID]],tblEmployee[Employee ID],tblEmployee[Pay Factor],1))</f>
        <v>1</v>
      </c>
      <c r="G243" s="26" t="str" cm="1">
        <f t="array" ref="G243">IF(tblPayrollMaster[[#This Row],[Employee ID]]="","",_xlfn.XLOOKUP(selPayPeriodID,tblPayCalendar[PayPeriodID],tblPayCalendar[PeriodStart],""))</f>
        <v/>
      </c>
      <c r="H243" s="26" t="str" cm="1">
        <f t="array" ref="H243">IF(tblPayrollMaster[[#This Row],[Employee ID]]="","",_xlfn.XLOOKUP(selPayPeriodID,tblPayCalendar[PayPeriodID],tblPayCalendar[PeriodEnd],""))</f>
        <v/>
      </c>
      <c r="I243" s="24" t="e" cm="1" vm="1">
        <f t="array" aca="1" ref="I243" ca="1">Table18[Employer Name]</f>
        <v>#VALUE!</v>
      </c>
      <c r="J243" s="3" cm="1">
        <f t="array" ref="J24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43" s="25" t="str">
        <f>_xlfn.XLOOKUP(tblPayrollMaster[[#This Row],[Employee Position]],tblPositionandPayRate[Employee Position],tblPositionandPayRate[Overtime], " ")</f>
        <v xml:space="preserve"> </v>
      </c>
      <c r="L243" s="25">
        <f>_xlfn.XLOOKUP(tblPayrollMaster[[#This Row],[Employee Position]],tblPositionandPayRate[Employee Position],tblPositionandPayRate[Allowance 1],0)*tblPayrollMaster[[#This Row],[Pay Factor]]</f>
        <v>0</v>
      </c>
      <c r="M243" s="25">
        <f>_xlfn.XLOOKUP(tblPayrollMaster[[#This Row],[Employee Position]],tblPositionandPayRate[Employee Position],tblPositionandPayRate[Allowance 2],0)*tblPayrollMaster[[#This Row],[Pay Factor]]</f>
        <v>0</v>
      </c>
      <c r="N243" s="25">
        <f>_xlfn.XLOOKUP(tblPayrollMaster[[#This Row],[Employee Position]],tblPositionandPayRate[Employee Position],tblPositionandPayRate[Allowance 3],0)*tblPayrollMaster[[#This Row],[Pay Factor]]</f>
        <v>0</v>
      </c>
      <c r="O243" s="25">
        <f>_xlfn.XLOOKUP(tblPayrollMaster[[#This Row],[Employee Position]],tblPositionandPayRate[Employee Position],tblPositionandPayRate[Allowance 4],0)*tblPayrollMaster[[#This Row],[Pay Factor]]</f>
        <v>0</v>
      </c>
      <c r="P243" s="25">
        <f>_xlfn.XLOOKUP(tblPayrollMaster[[#This Row],[Employee Position]],tblPositionandPayRate[Employee Position],tblPositionandPayRate[Allowance 5],0)*tblPayrollMaster[[#This Row],[Pay Factor]]</f>
        <v>0</v>
      </c>
      <c r="Q243" s="25">
        <f>SUM(tblPayrollMaster[[#This Row],[Basic Pay]:[Allowance 5]])</f>
        <v>0</v>
      </c>
      <c r="R24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43" s="51" cm="1">
        <f t="array" ref="S2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43" s="3" cm="1">
        <f t="array" ref="T2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43" s="25">
        <f>_xlfn.LET(
_xlpm.tos, _xlfn.XLOOKUP(tblPayrollMaster[[#This Row],[Employee ID]], tblEmployee[Employee ID], tblEmployee[Type of Service], ""),
IF(_xlpm.tos="Contract of Service", 8.25, 0)
)</f>
        <v>0</v>
      </c>
      <c r="V243" s="25">
        <f>tblPayrollMaster[[#This Row],[Basic Earnings]]-tblPayrollMaster[[#This Row],[Tax]]-tblPayrollMaster[[#This Row],[NIS - Employee]]-tblPayrollMaster[[#This Row],[Health Surcharge]]</f>
        <v>0</v>
      </c>
      <c r="W243" s="25">
        <f>tblPayrollMaster[[#This Row],[Net Pay]]</f>
        <v>0</v>
      </c>
      <c r="X243" s="25"/>
    </row>
    <row r="244" spans="1:24" x14ac:dyDescent="0.25">
      <c r="A244" s="24"/>
      <c r="B244" s="24" t="str">
        <f>_xlfn.XLOOKUP(tblPayrollMaster[[#This Row],[Employee ID]],tblEmployee[Employee ID],tblEmployee[Employee Name],"")</f>
        <v/>
      </c>
      <c r="C244" s="24" t="str">
        <f>_xlfn.XLOOKUP(tblPayrollMaster[[#This Row],[Employee ID]],tblEmployee[Employee ID],tblEmployee[Employee Position],"")</f>
        <v/>
      </c>
      <c r="D244" s="24" t="str">
        <f>_xlfn.XLOOKUP(tblPayrollMaster[[#This Row],[Employee ID]], tblEmployee[Employee ID], tblEmployee[Pay Status], "Pay")</f>
        <v>Pay</v>
      </c>
      <c r="E244" s="24" t="str">
        <f>_xlfn.XLOOKUP(tblPayrollMaster[[#This Row],[Employee ID]], tblEmployee[Employee ID], tblEmployee[Payable Flag], "Y")</f>
        <v>Y</v>
      </c>
      <c r="F244" s="45">
        <f>IF(tblPayrollMaster[[#This Row],[Payable Flag]]="N",0,_xlfn.XLOOKUP(tblPayrollMaster[[#This Row],[Employee ID]],tblEmployee[Employee ID],tblEmployee[Pay Factor],1))</f>
        <v>1</v>
      </c>
      <c r="G244" s="26" t="str" cm="1">
        <f t="array" ref="G244">IF(tblPayrollMaster[[#This Row],[Employee ID]]="","",_xlfn.XLOOKUP(selPayPeriodID,tblPayCalendar[PayPeriodID],tblPayCalendar[PeriodStart],""))</f>
        <v/>
      </c>
      <c r="H244" s="26" t="str" cm="1">
        <f t="array" ref="H244">IF(tblPayrollMaster[[#This Row],[Employee ID]]="","",_xlfn.XLOOKUP(selPayPeriodID,tblPayCalendar[PayPeriodID],tblPayCalendar[PeriodEnd],""))</f>
        <v/>
      </c>
      <c r="I244" s="24" t="e" cm="1" vm="1">
        <f t="array" aca="1" ref="I244" ca="1">Table18[Employer Name]</f>
        <v>#VALUE!</v>
      </c>
      <c r="J244" s="3" cm="1">
        <f t="array" ref="J24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44" s="25" t="str">
        <f>_xlfn.XLOOKUP(tblPayrollMaster[[#This Row],[Employee Position]],tblPositionandPayRate[Employee Position],tblPositionandPayRate[Overtime], " ")</f>
        <v xml:space="preserve"> </v>
      </c>
      <c r="L244" s="25">
        <f>_xlfn.XLOOKUP(tblPayrollMaster[[#This Row],[Employee Position]],tblPositionandPayRate[Employee Position],tblPositionandPayRate[Allowance 1],0)*tblPayrollMaster[[#This Row],[Pay Factor]]</f>
        <v>0</v>
      </c>
      <c r="M244" s="25">
        <f>_xlfn.XLOOKUP(tblPayrollMaster[[#This Row],[Employee Position]],tblPositionandPayRate[Employee Position],tblPositionandPayRate[Allowance 2],0)*tblPayrollMaster[[#This Row],[Pay Factor]]</f>
        <v>0</v>
      </c>
      <c r="N244" s="25">
        <f>_xlfn.XLOOKUP(tblPayrollMaster[[#This Row],[Employee Position]],tblPositionandPayRate[Employee Position],tblPositionandPayRate[Allowance 3],0)*tblPayrollMaster[[#This Row],[Pay Factor]]</f>
        <v>0</v>
      </c>
      <c r="O244" s="25">
        <f>_xlfn.XLOOKUP(tblPayrollMaster[[#This Row],[Employee Position]],tblPositionandPayRate[Employee Position],tblPositionandPayRate[Allowance 4],0)*tblPayrollMaster[[#This Row],[Pay Factor]]</f>
        <v>0</v>
      </c>
      <c r="P244" s="25">
        <f>_xlfn.XLOOKUP(tblPayrollMaster[[#This Row],[Employee Position]],tblPositionandPayRate[Employee Position],tblPositionandPayRate[Allowance 5],0)*tblPayrollMaster[[#This Row],[Pay Factor]]</f>
        <v>0</v>
      </c>
      <c r="Q244" s="25">
        <f>SUM(tblPayrollMaster[[#This Row],[Basic Pay]:[Allowance 5]])</f>
        <v>0</v>
      </c>
      <c r="R24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44" s="51" cm="1">
        <f t="array" ref="S2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44" s="3" cm="1">
        <f t="array" ref="T2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44" s="25">
        <f>_xlfn.LET(
_xlpm.tos, _xlfn.XLOOKUP(tblPayrollMaster[[#This Row],[Employee ID]], tblEmployee[Employee ID], tblEmployee[Type of Service], ""),
IF(_xlpm.tos="Contract of Service", 8.25, 0)
)</f>
        <v>0</v>
      </c>
      <c r="V244" s="25">
        <f>tblPayrollMaster[[#This Row],[Basic Earnings]]-tblPayrollMaster[[#This Row],[Tax]]-tblPayrollMaster[[#This Row],[NIS - Employee]]-tblPayrollMaster[[#This Row],[Health Surcharge]]</f>
        <v>0</v>
      </c>
      <c r="W244" s="25">
        <f>tblPayrollMaster[[#This Row],[Net Pay]]</f>
        <v>0</v>
      </c>
      <c r="X244" s="25"/>
    </row>
    <row r="245" spans="1:24" x14ac:dyDescent="0.25">
      <c r="A245" s="24"/>
      <c r="B245" s="24" t="str">
        <f>_xlfn.XLOOKUP(tblPayrollMaster[[#This Row],[Employee ID]],tblEmployee[Employee ID],tblEmployee[Employee Name],"")</f>
        <v/>
      </c>
      <c r="C245" s="24" t="str">
        <f>_xlfn.XLOOKUP(tblPayrollMaster[[#This Row],[Employee ID]],tblEmployee[Employee ID],tblEmployee[Employee Position],"")</f>
        <v/>
      </c>
      <c r="D245" s="24" t="str">
        <f>_xlfn.XLOOKUP(tblPayrollMaster[[#This Row],[Employee ID]], tblEmployee[Employee ID], tblEmployee[Pay Status], "Pay")</f>
        <v>Pay</v>
      </c>
      <c r="E245" s="24" t="str">
        <f>_xlfn.XLOOKUP(tblPayrollMaster[[#This Row],[Employee ID]], tblEmployee[Employee ID], tblEmployee[Payable Flag], "Y")</f>
        <v>Y</v>
      </c>
      <c r="F245" s="45">
        <f>IF(tblPayrollMaster[[#This Row],[Payable Flag]]="N",0,_xlfn.XLOOKUP(tblPayrollMaster[[#This Row],[Employee ID]],tblEmployee[Employee ID],tblEmployee[Pay Factor],1))</f>
        <v>1</v>
      </c>
      <c r="G245" s="26" t="str" cm="1">
        <f t="array" ref="G245">IF(tblPayrollMaster[[#This Row],[Employee ID]]="","",_xlfn.XLOOKUP(selPayPeriodID,tblPayCalendar[PayPeriodID],tblPayCalendar[PeriodStart],""))</f>
        <v/>
      </c>
      <c r="H245" s="26" t="str" cm="1">
        <f t="array" ref="H245">IF(tblPayrollMaster[[#This Row],[Employee ID]]="","",_xlfn.XLOOKUP(selPayPeriodID,tblPayCalendar[PayPeriodID],tblPayCalendar[PeriodEnd],""))</f>
        <v/>
      </c>
      <c r="I245" s="24" t="e" cm="1" vm="1">
        <f t="array" aca="1" ref="I245" ca="1">Table18[Employer Name]</f>
        <v>#VALUE!</v>
      </c>
      <c r="J245" s="3" cm="1">
        <f t="array" ref="J24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45" s="25" t="str">
        <f>_xlfn.XLOOKUP(tblPayrollMaster[[#This Row],[Employee Position]],tblPositionandPayRate[Employee Position],tblPositionandPayRate[Overtime], " ")</f>
        <v xml:space="preserve"> </v>
      </c>
      <c r="L245" s="25">
        <f>_xlfn.XLOOKUP(tblPayrollMaster[[#This Row],[Employee Position]],tblPositionandPayRate[Employee Position],tblPositionandPayRate[Allowance 1],0)*tblPayrollMaster[[#This Row],[Pay Factor]]</f>
        <v>0</v>
      </c>
      <c r="M245" s="25">
        <f>_xlfn.XLOOKUP(tblPayrollMaster[[#This Row],[Employee Position]],tblPositionandPayRate[Employee Position],tblPositionandPayRate[Allowance 2],0)*tblPayrollMaster[[#This Row],[Pay Factor]]</f>
        <v>0</v>
      </c>
      <c r="N245" s="25">
        <f>_xlfn.XLOOKUP(tblPayrollMaster[[#This Row],[Employee Position]],tblPositionandPayRate[Employee Position],tblPositionandPayRate[Allowance 3],0)*tblPayrollMaster[[#This Row],[Pay Factor]]</f>
        <v>0</v>
      </c>
      <c r="O245" s="25">
        <f>_xlfn.XLOOKUP(tblPayrollMaster[[#This Row],[Employee Position]],tblPositionandPayRate[Employee Position],tblPositionandPayRate[Allowance 4],0)*tblPayrollMaster[[#This Row],[Pay Factor]]</f>
        <v>0</v>
      </c>
      <c r="P245" s="25">
        <f>_xlfn.XLOOKUP(tblPayrollMaster[[#This Row],[Employee Position]],tblPositionandPayRate[Employee Position],tblPositionandPayRate[Allowance 5],0)*tblPayrollMaster[[#This Row],[Pay Factor]]</f>
        <v>0</v>
      </c>
      <c r="Q245" s="25">
        <f>SUM(tblPayrollMaster[[#This Row],[Basic Pay]:[Allowance 5]])</f>
        <v>0</v>
      </c>
      <c r="R24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45" s="51" cm="1">
        <f t="array" ref="S2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45" s="3" cm="1">
        <f t="array" ref="T2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45" s="25">
        <f>_xlfn.LET(
_xlpm.tos, _xlfn.XLOOKUP(tblPayrollMaster[[#This Row],[Employee ID]], tblEmployee[Employee ID], tblEmployee[Type of Service], ""),
IF(_xlpm.tos="Contract of Service", 8.25, 0)
)</f>
        <v>0</v>
      </c>
      <c r="V245" s="25">
        <f>tblPayrollMaster[[#This Row],[Basic Earnings]]-tblPayrollMaster[[#This Row],[Tax]]-tblPayrollMaster[[#This Row],[NIS - Employee]]-tblPayrollMaster[[#This Row],[Health Surcharge]]</f>
        <v>0</v>
      </c>
      <c r="W245" s="25">
        <f>tblPayrollMaster[[#This Row],[Net Pay]]</f>
        <v>0</v>
      </c>
      <c r="X245" s="25"/>
    </row>
    <row r="246" spans="1:24" x14ac:dyDescent="0.25">
      <c r="A246" s="24"/>
      <c r="B246" s="24" t="str">
        <f>_xlfn.XLOOKUP(tblPayrollMaster[[#This Row],[Employee ID]],tblEmployee[Employee ID],tblEmployee[Employee Name],"")</f>
        <v/>
      </c>
      <c r="C246" s="24" t="str">
        <f>_xlfn.XLOOKUP(tblPayrollMaster[[#This Row],[Employee ID]],tblEmployee[Employee ID],tblEmployee[Employee Position],"")</f>
        <v/>
      </c>
      <c r="D246" s="24" t="str">
        <f>_xlfn.XLOOKUP(tblPayrollMaster[[#This Row],[Employee ID]], tblEmployee[Employee ID], tblEmployee[Pay Status], "Pay")</f>
        <v>Pay</v>
      </c>
      <c r="E246" s="24" t="str">
        <f>_xlfn.XLOOKUP(tblPayrollMaster[[#This Row],[Employee ID]], tblEmployee[Employee ID], tblEmployee[Payable Flag], "Y")</f>
        <v>Y</v>
      </c>
      <c r="F246" s="45">
        <f>IF(tblPayrollMaster[[#This Row],[Payable Flag]]="N",0,_xlfn.XLOOKUP(tblPayrollMaster[[#This Row],[Employee ID]],tblEmployee[Employee ID],tblEmployee[Pay Factor],1))</f>
        <v>1</v>
      </c>
      <c r="G246" s="26" t="str" cm="1">
        <f t="array" ref="G246">IF(tblPayrollMaster[[#This Row],[Employee ID]]="","",_xlfn.XLOOKUP(selPayPeriodID,tblPayCalendar[PayPeriodID],tblPayCalendar[PeriodStart],""))</f>
        <v/>
      </c>
      <c r="H246" s="26" t="str" cm="1">
        <f t="array" ref="H246">IF(tblPayrollMaster[[#This Row],[Employee ID]]="","",_xlfn.XLOOKUP(selPayPeriodID,tblPayCalendar[PayPeriodID],tblPayCalendar[PeriodEnd],""))</f>
        <v/>
      </c>
      <c r="I246" s="24" t="e" cm="1" vm="1">
        <f t="array" aca="1" ref="I246" ca="1">Table18[Employer Name]</f>
        <v>#VALUE!</v>
      </c>
      <c r="J246" s="3" cm="1">
        <f t="array" ref="J24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46" s="25" t="str">
        <f>_xlfn.XLOOKUP(tblPayrollMaster[[#This Row],[Employee Position]],tblPositionandPayRate[Employee Position],tblPositionandPayRate[Overtime], " ")</f>
        <v xml:space="preserve"> </v>
      </c>
      <c r="L246" s="25">
        <f>_xlfn.XLOOKUP(tblPayrollMaster[[#This Row],[Employee Position]],tblPositionandPayRate[Employee Position],tblPositionandPayRate[Allowance 1],0)*tblPayrollMaster[[#This Row],[Pay Factor]]</f>
        <v>0</v>
      </c>
      <c r="M246" s="25">
        <f>_xlfn.XLOOKUP(tblPayrollMaster[[#This Row],[Employee Position]],tblPositionandPayRate[Employee Position],tblPositionandPayRate[Allowance 2],0)*tblPayrollMaster[[#This Row],[Pay Factor]]</f>
        <v>0</v>
      </c>
      <c r="N246" s="25">
        <f>_xlfn.XLOOKUP(tblPayrollMaster[[#This Row],[Employee Position]],tblPositionandPayRate[Employee Position],tblPositionandPayRate[Allowance 3],0)*tblPayrollMaster[[#This Row],[Pay Factor]]</f>
        <v>0</v>
      </c>
      <c r="O246" s="25">
        <f>_xlfn.XLOOKUP(tblPayrollMaster[[#This Row],[Employee Position]],tblPositionandPayRate[Employee Position],tblPositionandPayRate[Allowance 4],0)*tblPayrollMaster[[#This Row],[Pay Factor]]</f>
        <v>0</v>
      </c>
      <c r="P246" s="25">
        <f>_xlfn.XLOOKUP(tblPayrollMaster[[#This Row],[Employee Position]],tblPositionandPayRate[Employee Position],tblPositionandPayRate[Allowance 5],0)*tblPayrollMaster[[#This Row],[Pay Factor]]</f>
        <v>0</v>
      </c>
      <c r="Q246" s="25">
        <f>SUM(tblPayrollMaster[[#This Row],[Basic Pay]:[Allowance 5]])</f>
        <v>0</v>
      </c>
      <c r="R24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46" s="51" cm="1">
        <f t="array" ref="S2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46" s="3" cm="1">
        <f t="array" ref="T2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46" s="25">
        <f>_xlfn.LET(
_xlpm.tos, _xlfn.XLOOKUP(tblPayrollMaster[[#This Row],[Employee ID]], tblEmployee[Employee ID], tblEmployee[Type of Service], ""),
IF(_xlpm.tos="Contract of Service", 8.25, 0)
)</f>
        <v>0</v>
      </c>
      <c r="V246" s="25">
        <f>tblPayrollMaster[[#This Row],[Basic Earnings]]-tblPayrollMaster[[#This Row],[Tax]]-tblPayrollMaster[[#This Row],[NIS - Employee]]-tblPayrollMaster[[#This Row],[Health Surcharge]]</f>
        <v>0</v>
      </c>
      <c r="W246" s="25">
        <f>tblPayrollMaster[[#This Row],[Net Pay]]</f>
        <v>0</v>
      </c>
      <c r="X246" s="25"/>
    </row>
    <row r="247" spans="1:24" x14ac:dyDescent="0.25">
      <c r="A247" s="24"/>
      <c r="B247" s="24" t="str">
        <f>_xlfn.XLOOKUP(tblPayrollMaster[[#This Row],[Employee ID]],tblEmployee[Employee ID],tblEmployee[Employee Name],"")</f>
        <v/>
      </c>
      <c r="C247" s="24" t="str">
        <f>_xlfn.XLOOKUP(tblPayrollMaster[[#This Row],[Employee ID]],tblEmployee[Employee ID],tblEmployee[Employee Position],"")</f>
        <v/>
      </c>
      <c r="D247" s="24" t="str">
        <f>_xlfn.XLOOKUP(tblPayrollMaster[[#This Row],[Employee ID]], tblEmployee[Employee ID], tblEmployee[Pay Status], "Pay")</f>
        <v>Pay</v>
      </c>
      <c r="E247" s="24" t="str">
        <f>_xlfn.XLOOKUP(tblPayrollMaster[[#This Row],[Employee ID]], tblEmployee[Employee ID], tblEmployee[Payable Flag], "Y")</f>
        <v>Y</v>
      </c>
      <c r="F247" s="45">
        <f>IF(tblPayrollMaster[[#This Row],[Payable Flag]]="N",0,_xlfn.XLOOKUP(tblPayrollMaster[[#This Row],[Employee ID]],tblEmployee[Employee ID],tblEmployee[Pay Factor],1))</f>
        <v>1</v>
      </c>
      <c r="G247" s="26" t="str" cm="1">
        <f t="array" ref="G247">IF(tblPayrollMaster[[#This Row],[Employee ID]]="","",_xlfn.XLOOKUP(selPayPeriodID,tblPayCalendar[PayPeriodID],tblPayCalendar[PeriodStart],""))</f>
        <v/>
      </c>
      <c r="H247" s="26" t="str" cm="1">
        <f t="array" ref="H247">IF(tblPayrollMaster[[#This Row],[Employee ID]]="","",_xlfn.XLOOKUP(selPayPeriodID,tblPayCalendar[PayPeriodID],tblPayCalendar[PeriodEnd],""))</f>
        <v/>
      </c>
      <c r="I247" s="24" t="e" cm="1" vm="1">
        <f t="array" aca="1" ref="I247" ca="1">Table18[Employer Name]</f>
        <v>#VALUE!</v>
      </c>
      <c r="J247" s="3" cm="1">
        <f t="array" ref="J24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47" s="25" t="str">
        <f>_xlfn.XLOOKUP(tblPayrollMaster[[#This Row],[Employee Position]],tblPositionandPayRate[Employee Position],tblPositionandPayRate[Overtime], " ")</f>
        <v xml:space="preserve"> </v>
      </c>
      <c r="L247" s="25">
        <f>_xlfn.XLOOKUP(tblPayrollMaster[[#This Row],[Employee Position]],tblPositionandPayRate[Employee Position],tblPositionandPayRate[Allowance 1],0)*tblPayrollMaster[[#This Row],[Pay Factor]]</f>
        <v>0</v>
      </c>
      <c r="M247" s="25">
        <f>_xlfn.XLOOKUP(tblPayrollMaster[[#This Row],[Employee Position]],tblPositionandPayRate[Employee Position],tblPositionandPayRate[Allowance 2],0)*tblPayrollMaster[[#This Row],[Pay Factor]]</f>
        <v>0</v>
      </c>
      <c r="N247" s="25">
        <f>_xlfn.XLOOKUP(tblPayrollMaster[[#This Row],[Employee Position]],tblPositionandPayRate[Employee Position],tblPositionandPayRate[Allowance 3],0)*tblPayrollMaster[[#This Row],[Pay Factor]]</f>
        <v>0</v>
      </c>
      <c r="O247" s="25">
        <f>_xlfn.XLOOKUP(tblPayrollMaster[[#This Row],[Employee Position]],tblPositionandPayRate[Employee Position],tblPositionandPayRate[Allowance 4],0)*tblPayrollMaster[[#This Row],[Pay Factor]]</f>
        <v>0</v>
      </c>
      <c r="P247" s="25">
        <f>_xlfn.XLOOKUP(tblPayrollMaster[[#This Row],[Employee Position]],tblPositionandPayRate[Employee Position],tblPositionandPayRate[Allowance 5],0)*tblPayrollMaster[[#This Row],[Pay Factor]]</f>
        <v>0</v>
      </c>
      <c r="Q247" s="25">
        <f>SUM(tblPayrollMaster[[#This Row],[Basic Pay]:[Allowance 5]])</f>
        <v>0</v>
      </c>
      <c r="R24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47" s="51" cm="1">
        <f t="array" ref="S2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47" s="3" cm="1">
        <f t="array" ref="T2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47" s="25">
        <f>_xlfn.LET(
_xlpm.tos, _xlfn.XLOOKUP(tblPayrollMaster[[#This Row],[Employee ID]], tblEmployee[Employee ID], tblEmployee[Type of Service], ""),
IF(_xlpm.tos="Contract of Service", 8.25, 0)
)</f>
        <v>0</v>
      </c>
      <c r="V247" s="25">
        <f>tblPayrollMaster[[#This Row],[Basic Earnings]]-tblPayrollMaster[[#This Row],[Tax]]-tblPayrollMaster[[#This Row],[NIS - Employee]]-tblPayrollMaster[[#This Row],[Health Surcharge]]</f>
        <v>0</v>
      </c>
      <c r="W247" s="25">
        <f>tblPayrollMaster[[#This Row],[Net Pay]]</f>
        <v>0</v>
      </c>
      <c r="X247" s="25"/>
    </row>
    <row r="248" spans="1:24" x14ac:dyDescent="0.25">
      <c r="A248" s="24"/>
      <c r="B248" s="24" t="str">
        <f>_xlfn.XLOOKUP(tblPayrollMaster[[#This Row],[Employee ID]],tblEmployee[Employee ID],tblEmployee[Employee Name],"")</f>
        <v/>
      </c>
      <c r="C248" s="24" t="str">
        <f>_xlfn.XLOOKUP(tblPayrollMaster[[#This Row],[Employee ID]],tblEmployee[Employee ID],tblEmployee[Employee Position],"")</f>
        <v/>
      </c>
      <c r="D248" s="24" t="str">
        <f>_xlfn.XLOOKUP(tblPayrollMaster[[#This Row],[Employee ID]], tblEmployee[Employee ID], tblEmployee[Pay Status], "Pay")</f>
        <v>Pay</v>
      </c>
      <c r="E248" s="24" t="str">
        <f>_xlfn.XLOOKUP(tblPayrollMaster[[#This Row],[Employee ID]], tblEmployee[Employee ID], tblEmployee[Payable Flag], "Y")</f>
        <v>Y</v>
      </c>
      <c r="F248" s="45">
        <f>IF(tblPayrollMaster[[#This Row],[Payable Flag]]="N",0,_xlfn.XLOOKUP(tblPayrollMaster[[#This Row],[Employee ID]],tblEmployee[Employee ID],tblEmployee[Pay Factor],1))</f>
        <v>1</v>
      </c>
      <c r="G248" s="26" t="str" cm="1">
        <f t="array" ref="G248">IF(tblPayrollMaster[[#This Row],[Employee ID]]="","",_xlfn.XLOOKUP(selPayPeriodID,tblPayCalendar[PayPeriodID],tblPayCalendar[PeriodStart],""))</f>
        <v/>
      </c>
      <c r="H248" s="26" t="str" cm="1">
        <f t="array" ref="H248">IF(tblPayrollMaster[[#This Row],[Employee ID]]="","",_xlfn.XLOOKUP(selPayPeriodID,tblPayCalendar[PayPeriodID],tblPayCalendar[PeriodEnd],""))</f>
        <v/>
      </c>
      <c r="I248" s="24" t="e" cm="1" vm="1">
        <f t="array" aca="1" ref="I248" ca="1">Table18[Employer Name]</f>
        <v>#VALUE!</v>
      </c>
      <c r="J248" s="3" cm="1">
        <f t="array" ref="J24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48" s="25" t="str">
        <f>_xlfn.XLOOKUP(tblPayrollMaster[[#This Row],[Employee Position]],tblPositionandPayRate[Employee Position],tblPositionandPayRate[Overtime], " ")</f>
        <v xml:space="preserve"> </v>
      </c>
      <c r="L248" s="25">
        <f>_xlfn.XLOOKUP(tblPayrollMaster[[#This Row],[Employee Position]],tblPositionandPayRate[Employee Position],tblPositionandPayRate[Allowance 1],0)*tblPayrollMaster[[#This Row],[Pay Factor]]</f>
        <v>0</v>
      </c>
      <c r="M248" s="25">
        <f>_xlfn.XLOOKUP(tblPayrollMaster[[#This Row],[Employee Position]],tblPositionandPayRate[Employee Position],tblPositionandPayRate[Allowance 2],0)*tblPayrollMaster[[#This Row],[Pay Factor]]</f>
        <v>0</v>
      </c>
      <c r="N248" s="25">
        <f>_xlfn.XLOOKUP(tblPayrollMaster[[#This Row],[Employee Position]],tblPositionandPayRate[Employee Position],tblPositionandPayRate[Allowance 3],0)*tblPayrollMaster[[#This Row],[Pay Factor]]</f>
        <v>0</v>
      </c>
      <c r="O248" s="25">
        <f>_xlfn.XLOOKUP(tblPayrollMaster[[#This Row],[Employee Position]],tblPositionandPayRate[Employee Position],tblPositionandPayRate[Allowance 4],0)*tblPayrollMaster[[#This Row],[Pay Factor]]</f>
        <v>0</v>
      </c>
      <c r="P248" s="25">
        <f>_xlfn.XLOOKUP(tblPayrollMaster[[#This Row],[Employee Position]],tblPositionandPayRate[Employee Position],tblPositionandPayRate[Allowance 5],0)*tblPayrollMaster[[#This Row],[Pay Factor]]</f>
        <v>0</v>
      </c>
      <c r="Q248" s="25">
        <f>SUM(tblPayrollMaster[[#This Row],[Basic Pay]:[Allowance 5]])</f>
        <v>0</v>
      </c>
      <c r="R24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48" s="51" cm="1">
        <f t="array" ref="S2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48" s="3" cm="1">
        <f t="array" ref="T2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48" s="25">
        <f>_xlfn.LET(
_xlpm.tos, _xlfn.XLOOKUP(tblPayrollMaster[[#This Row],[Employee ID]], tblEmployee[Employee ID], tblEmployee[Type of Service], ""),
IF(_xlpm.tos="Contract of Service", 8.25, 0)
)</f>
        <v>0</v>
      </c>
      <c r="V248" s="25">
        <f>tblPayrollMaster[[#This Row],[Basic Earnings]]-tblPayrollMaster[[#This Row],[Tax]]-tblPayrollMaster[[#This Row],[NIS - Employee]]-tblPayrollMaster[[#This Row],[Health Surcharge]]</f>
        <v>0</v>
      </c>
      <c r="W248" s="25">
        <f>tblPayrollMaster[[#This Row],[Net Pay]]</f>
        <v>0</v>
      </c>
      <c r="X248" s="25"/>
    </row>
    <row r="249" spans="1:24" x14ac:dyDescent="0.25">
      <c r="A249" s="24"/>
      <c r="B249" s="24" t="str">
        <f>_xlfn.XLOOKUP(tblPayrollMaster[[#This Row],[Employee ID]],tblEmployee[Employee ID],tblEmployee[Employee Name],"")</f>
        <v/>
      </c>
      <c r="C249" s="24" t="str">
        <f>_xlfn.XLOOKUP(tblPayrollMaster[[#This Row],[Employee ID]],tblEmployee[Employee ID],tblEmployee[Employee Position],"")</f>
        <v/>
      </c>
      <c r="D249" s="24" t="str">
        <f>_xlfn.XLOOKUP(tblPayrollMaster[[#This Row],[Employee ID]], tblEmployee[Employee ID], tblEmployee[Pay Status], "Pay")</f>
        <v>Pay</v>
      </c>
      <c r="E249" s="24" t="str">
        <f>_xlfn.XLOOKUP(tblPayrollMaster[[#This Row],[Employee ID]], tblEmployee[Employee ID], tblEmployee[Payable Flag], "Y")</f>
        <v>Y</v>
      </c>
      <c r="F249" s="45">
        <f>IF(tblPayrollMaster[[#This Row],[Payable Flag]]="N",0,_xlfn.XLOOKUP(tblPayrollMaster[[#This Row],[Employee ID]],tblEmployee[Employee ID],tblEmployee[Pay Factor],1))</f>
        <v>1</v>
      </c>
      <c r="G249" s="26" t="str" cm="1">
        <f t="array" ref="G249">IF(tblPayrollMaster[[#This Row],[Employee ID]]="","",_xlfn.XLOOKUP(selPayPeriodID,tblPayCalendar[PayPeriodID],tblPayCalendar[PeriodStart],""))</f>
        <v/>
      </c>
      <c r="H249" s="26" t="str" cm="1">
        <f t="array" ref="H249">IF(tblPayrollMaster[[#This Row],[Employee ID]]="","",_xlfn.XLOOKUP(selPayPeriodID,tblPayCalendar[PayPeriodID],tblPayCalendar[PeriodEnd],""))</f>
        <v/>
      </c>
      <c r="I249" s="24" t="e" cm="1" vm="1">
        <f t="array" aca="1" ref="I249" ca="1">Table18[Employer Name]</f>
        <v>#VALUE!</v>
      </c>
      <c r="J249" s="3" cm="1">
        <f t="array" ref="J24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49" s="25" t="str">
        <f>_xlfn.XLOOKUP(tblPayrollMaster[[#This Row],[Employee Position]],tblPositionandPayRate[Employee Position],tblPositionandPayRate[Overtime], " ")</f>
        <v xml:space="preserve"> </v>
      </c>
      <c r="L249" s="25">
        <f>_xlfn.XLOOKUP(tblPayrollMaster[[#This Row],[Employee Position]],tblPositionandPayRate[Employee Position],tblPositionandPayRate[Allowance 1],0)*tblPayrollMaster[[#This Row],[Pay Factor]]</f>
        <v>0</v>
      </c>
      <c r="M249" s="25">
        <f>_xlfn.XLOOKUP(tblPayrollMaster[[#This Row],[Employee Position]],tblPositionandPayRate[Employee Position],tblPositionandPayRate[Allowance 2],0)*tblPayrollMaster[[#This Row],[Pay Factor]]</f>
        <v>0</v>
      </c>
      <c r="N249" s="25">
        <f>_xlfn.XLOOKUP(tblPayrollMaster[[#This Row],[Employee Position]],tblPositionandPayRate[Employee Position],tblPositionandPayRate[Allowance 3],0)*tblPayrollMaster[[#This Row],[Pay Factor]]</f>
        <v>0</v>
      </c>
      <c r="O249" s="25">
        <f>_xlfn.XLOOKUP(tblPayrollMaster[[#This Row],[Employee Position]],tblPositionandPayRate[Employee Position],tblPositionandPayRate[Allowance 4],0)*tblPayrollMaster[[#This Row],[Pay Factor]]</f>
        <v>0</v>
      </c>
      <c r="P249" s="25">
        <f>_xlfn.XLOOKUP(tblPayrollMaster[[#This Row],[Employee Position]],tblPositionandPayRate[Employee Position],tblPositionandPayRate[Allowance 5],0)*tblPayrollMaster[[#This Row],[Pay Factor]]</f>
        <v>0</v>
      </c>
      <c r="Q249" s="25">
        <f>SUM(tblPayrollMaster[[#This Row],[Basic Pay]:[Allowance 5]])</f>
        <v>0</v>
      </c>
      <c r="R24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49" s="51" cm="1">
        <f t="array" ref="S2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49" s="3" cm="1">
        <f t="array" ref="T2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49" s="25">
        <f>_xlfn.LET(
_xlpm.tos, _xlfn.XLOOKUP(tblPayrollMaster[[#This Row],[Employee ID]], tblEmployee[Employee ID], tblEmployee[Type of Service], ""),
IF(_xlpm.tos="Contract of Service", 8.25, 0)
)</f>
        <v>0</v>
      </c>
      <c r="V249" s="25">
        <f>tblPayrollMaster[[#This Row],[Basic Earnings]]-tblPayrollMaster[[#This Row],[Tax]]-tblPayrollMaster[[#This Row],[NIS - Employee]]-tblPayrollMaster[[#This Row],[Health Surcharge]]</f>
        <v>0</v>
      </c>
      <c r="W249" s="25">
        <f>tblPayrollMaster[[#This Row],[Net Pay]]</f>
        <v>0</v>
      </c>
      <c r="X249" s="25"/>
    </row>
    <row r="250" spans="1:24" x14ac:dyDescent="0.25">
      <c r="A250" s="24"/>
      <c r="B250" s="24" t="str">
        <f>_xlfn.XLOOKUP(tblPayrollMaster[[#This Row],[Employee ID]],tblEmployee[Employee ID],tblEmployee[Employee Name],"")</f>
        <v/>
      </c>
      <c r="C250" s="24" t="str">
        <f>_xlfn.XLOOKUP(tblPayrollMaster[[#This Row],[Employee ID]],tblEmployee[Employee ID],tblEmployee[Employee Position],"")</f>
        <v/>
      </c>
      <c r="D250" s="24" t="str">
        <f>_xlfn.XLOOKUP(tblPayrollMaster[[#This Row],[Employee ID]], tblEmployee[Employee ID], tblEmployee[Pay Status], "Pay")</f>
        <v>Pay</v>
      </c>
      <c r="E250" s="24" t="str">
        <f>_xlfn.XLOOKUP(tblPayrollMaster[[#This Row],[Employee ID]], tblEmployee[Employee ID], tblEmployee[Payable Flag], "Y")</f>
        <v>Y</v>
      </c>
      <c r="F250" s="45">
        <f>IF(tblPayrollMaster[[#This Row],[Payable Flag]]="N",0,_xlfn.XLOOKUP(tblPayrollMaster[[#This Row],[Employee ID]],tblEmployee[Employee ID],tblEmployee[Pay Factor],1))</f>
        <v>1</v>
      </c>
      <c r="G250" s="26" t="str" cm="1">
        <f t="array" ref="G250">IF(tblPayrollMaster[[#This Row],[Employee ID]]="","",_xlfn.XLOOKUP(selPayPeriodID,tblPayCalendar[PayPeriodID],tblPayCalendar[PeriodStart],""))</f>
        <v/>
      </c>
      <c r="H250" s="26" t="str" cm="1">
        <f t="array" ref="H250">IF(tblPayrollMaster[[#This Row],[Employee ID]]="","",_xlfn.XLOOKUP(selPayPeriodID,tblPayCalendar[PayPeriodID],tblPayCalendar[PeriodEnd],""))</f>
        <v/>
      </c>
      <c r="I250" s="24" t="e" cm="1" vm="1">
        <f t="array" aca="1" ref="I250" ca="1">Table18[Employer Name]</f>
        <v>#VALUE!</v>
      </c>
      <c r="J250" s="3" cm="1">
        <f t="array" ref="J25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50" s="25" t="str">
        <f>_xlfn.XLOOKUP(tblPayrollMaster[[#This Row],[Employee Position]],tblPositionandPayRate[Employee Position],tblPositionandPayRate[Overtime], " ")</f>
        <v xml:space="preserve"> </v>
      </c>
      <c r="L250" s="25">
        <f>_xlfn.XLOOKUP(tblPayrollMaster[[#This Row],[Employee Position]],tblPositionandPayRate[Employee Position],tblPositionandPayRate[Allowance 1],0)*tblPayrollMaster[[#This Row],[Pay Factor]]</f>
        <v>0</v>
      </c>
      <c r="M250" s="25">
        <f>_xlfn.XLOOKUP(tblPayrollMaster[[#This Row],[Employee Position]],tblPositionandPayRate[Employee Position],tblPositionandPayRate[Allowance 2],0)*tblPayrollMaster[[#This Row],[Pay Factor]]</f>
        <v>0</v>
      </c>
      <c r="N250" s="25">
        <f>_xlfn.XLOOKUP(tblPayrollMaster[[#This Row],[Employee Position]],tblPositionandPayRate[Employee Position],tblPositionandPayRate[Allowance 3],0)*tblPayrollMaster[[#This Row],[Pay Factor]]</f>
        <v>0</v>
      </c>
      <c r="O250" s="25">
        <f>_xlfn.XLOOKUP(tblPayrollMaster[[#This Row],[Employee Position]],tblPositionandPayRate[Employee Position],tblPositionandPayRate[Allowance 4],0)*tblPayrollMaster[[#This Row],[Pay Factor]]</f>
        <v>0</v>
      </c>
      <c r="P250" s="25">
        <f>_xlfn.XLOOKUP(tblPayrollMaster[[#This Row],[Employee Position]],tblPositionandPayRate[Employee Position],tblPositionandPayRate[Allowance 5],0)*tblPayrollMaster[[#This Row],[Pay Factor]]</f>
        <v>0</v>
      </c>
      <c r="Q250" s="25">
        <f>SUM(tblPayrollMaster[[#This Row],[Basic Pay]:[Allowance 5]])</f>
        <v>0</v>
      </c>
      <c r="R25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50" s="51" cm="1">
        <f t="array" ref="S2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50" s="3" cm="1">
        <f t="array" ref="T2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50" s="25">
        <f>_xlfn.LET(
_xlpm.tos, _xlfn.XLOOKUP(tblPayrollMaster[[#This Row],[Employee ID]], tblEmployee[Employee ID], tblEmployee[Type of Service], ""),
IF(_xlpm.tos="Contract of Service", 8.25, 0)
)</f>
        <v>0</v>
      </c>
      <c r="V250" s="25">
        <f>tblPayrollMaster[[#This Row],[Basic Earnings]]-tblPayrollMaster[[#This Row],[Tax]]-tblPayrollMaster[[#This Row],[NIS - Employee]]-tblPayrollMaster[[#This Row],[Health Surcharge]]</f>
        <v>0</v>
      </c>
      <c r="W250" s="25">
        <f>tblPayrollMaster[[#This Row],[Net Pay]]</f>
        <v>0</v>
      </c>
      <c r="X250" s="25"/>
    </row>
    <row r="251" spans="1:24" x14ac:dyDescent="0.25">
      <c r="A251" s="24"/>
      <c r="B251" s="24" t="str">
        <f>_xlfn.XLOOKUP(tblPayrollMaster[[#This Row],[Employee ID]],tblEmployee[Employee ID],tblEmployee[Employee Name],"")</f>
        <v/>
      </c>
      <c r="C251" s="24" t="str">
        <f>_xlfn.XLOOKUP(tblPayrollMaster[[#This Row],[Employee ID]],tblEmployee[Employee ID],tblEmployee[Employee Position],"")</f>
        <v/>
      </c>
      <c r="D251" s="24" t="str">
        <f>_xlfn.XLOOKUP(tblPayrollMaster[[#This Row],[Employee ID]], tblEmployee[Employee ID], tblEmployee[Pay Status], "Pay")</f>
        <v>Pay</v>
      </c>
      <c r="E251" s="24" t="str">
        <f>_xlfn.XLOOKUP(tblPayrollMaster[[#This Row],[Employee ID]], tblEmployee[Employee ID], tblEmployee[Payable Flag], "Y")</f>
        <v>Y</v>
      </c>
      <c r="F251" s="45">
        <f>IF(tblPayrollMaster[[#This Row],[Payable Flag]]="N",0,_xlfn.XLOOKUP(tblPayrollMaster[[#This Row],[Employee ID]],tblEmployee[Employee ID],tblEmployee[Pay Factor],1))</f>
        <v>1</v>
      </c>
      <c r="G251" s="26" t="str" cm="1">
        <f t="array" ref="G251">IF(tblPayrollMaster[[#This Row],[Employee ID]]="","",_xlfn.XLOOKUP(selPayPeriodID,tblPayCalendar[PayPeriodID],tblPayCalendar[PeriodStart],""))</f>
        <v/>
      </c>
      <c r="H251" s="26" t="str" cm="1">
        <f t="array" ref="H251">IF(tblPayrollMaster[[#This Row],[Employee ID]]="","",_xlfn.XLOOKUP(selPayPeriodID,tblPayCalendar[PayPeriodID],tblPayCalendar[PeriodEnd],""))</f>
        <v/>
      </c>
      <c r="I251" s="24" t="e" cm="1" vm="1">
        <f t="array" aca="1" ref="I251" ca="1">Table18[Employer Name]</f>
        <v>#VALUE!</v>
      </c>
      <c r="J251" s="3" cm="1">
        <f t="array" ref="J25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51" s="25" t="str">
        <f>_xlfn.XLOOKUP(tblPayrollMaster[[#This Row],[Employee Position]],tblPositionandPayRate[Employee Position],tblPositionandPayRate[Overtime], " ")</f>
        <v xml:space="preserve"> </v>
      </c>
      <c r="L251" s="25">
        <f>_xlfn.XLOOKUP(tblPayrollMaster[[#This Row],[Employee Position]],tblPositionandPayRate[Employee Position],tblPositionandPayRate[Allowance 1],0)*tblPayrollMaster[[#This Row],[Pay Factor]]</f>
        <v>0</v>
      </c>
      <c r="M251" s="25">
        <f>_xlfn.XLOOKUP(tblPayrollMaster[[#This Row],[Employee Position]],tblPositionandPayRate[Employee Position],tblPositionandPayRate[Allowance 2],0)*tblPayrollMaster[[#This Row],[Pay Factor]]</f>
        <v>0</v>
      </c>
      <c r="N251" s="25">
        <f>_xlfn.XLOOKUP(tblPayrollMaster[[#This Row],[Employee Position]],tblPositionandPayRate[Employee Position],tblPositionandPayRate[Allowance 3],0)*tblPayrollMaster[[#This Row],[Pay Factor]]</f>
        <v>0</v>
      </c>
      <c r="O251" s="25">
        <f>_xlfn.XLOOKUP(tblPayrollMaster[[#This Row],[Employee Position]],tblPositionandPayRate[Employee Position],tblPositionandPayRate[Allowance 4],0)*tblPayrollMaster[[#This Row],[Pay Factor]]</f>
        <v>0</v>
      </c>
      <c r="P251" s="25">
        <f>_xlfn.XLOOKUP(tblPayrollMaster[[#This Row],[Employee Position]],tblPositionandPayRate[Employee Position],tblPositionandPayRate[Allowance 5],0)*tblPayrollMaster[[#This Row],[Pay Factor]]</f>
        <v>0</v>
      </c>
      <c r="Q251" s="25">
        <f>SUM(tblPayrollMaster[[#This Row],[Basic Pay]:[Allowance 5]])</f>
        <v>0</v>
      </c>
      <c r="R25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51" s="51" cm="1">
        <f t="array" ref="S2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51" s="3" cm="1">
        <f t="array" ref="T2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51" s="25">
        <f>_xlfn.LET(
_xlpm.tos, _xlfn.XLOOKUP(tblPayrollMaster[[#This Row],[Employee ID]], tblEmployee[Employee ID], tblEmployee[Type of Service], ""),
IF(_xlpm.tos="Contract of Service", 8.25, 0)
)</f>
        <v>0</v>
      </c>
      <c r="V251" s="25">
        <f>tblPayrollMaster[[#This Row],[Basic Earnings]]-tblPayrollMaster[[#This Row],[Tax]]-tblPayrollMaster[[#This Row],[NIS - Employee]]-tblPayrollMaster[[#This Row],[Health Surcharge]]</f>
        <v>0</v>
      </c>
      <c r="W251" s="25">
        <f>tblPayrollMaster[[#This Row],[Net Pay]]</f>
        <v>0</v>
      </c>
      <c r="X251" s="25"/>
    </row>
    <row r="252" spans="1:24" x14ac:dyDescent="0.25">
      <c r="A252" s="24"/>
      <c r="B252" s="24" t="str">
        <f>_xlfn.XLOOKUP(tblPayrollMaster[[#This Row],[Employee ID]],tblEmployee[Employee ID],tblEmployee[Employee Name],"")</f>
        <v/>
      </c>
      <c r="C252" s="24" t="str">
        <f>_xlfn.XLOOKUP(tblPayrollMaster[[#This Row],[Employee ID]],tblEmployee[Employee ID],tblEmployee[Employee Position],"")</f>
        <v/>
      </c>
      <c r="D252" s="24" t="str">
        <f>_xlfn.XLOOKUP(tblPayrollMaster[[#This Row],[Employee ID]], tblEmployee[Employee ID], tblEmployee[Pay Status], "Pay")</f>
        <v>Pay</v>
      </c>
      <c r="E252" s="24" t="str">
        <f>_xlfn.XLOOKUP(tblPayrollMaster[[#This Row],[Employee ID]], tblEmployee[Employee ID], tblEmployee[Payable Flag], "Y")</f>
        <v>Y</v>
      </c>
      <c r="F252" s="45">
        <f>IF(tblPayrollMaster[[#This Row],[Payable Flag]]="N",0,_xlfn.XLOOKUP(tblPayrollMaster[[#This Row],[Employee ID]],tblEmployee[Employee ID],tblEmployee[Pay Factor],1))</f>
        <v>1</v>
      </c>
      <c r="G252" s="26" t="str" cm="1">
        <f t="array" ref="G252">IF(tblPayrollMaster[[#This Row],[Employee ID]]="","",_xlfn.XLOOKUP(selPayPeriodID,tblPayCalendar[PayPeriodID],tblPayCalendar[PeriodStart],""))</f>
        <v/>
      </c>
      <c r="H252" s="26" t="str" cm="1">
        <f t="array" ref="H252">IF(tblPayrollMaster[[#This Row],[Employee ID]]="","",_xlfn.XLOOKUP(selPayPeriodID,tblPayCalendar[PayPeriodID],tblPayCalendar[PeriodEnd],""))</f>
        <v/>
      </c>
      <c r="I252" s="24" t="e" cm="1" vm="1">
        <f t="array" aca="1" ref="I252" ca="1">Table18[Employer Name]</f>
        <v>#VALUE!</v>
      </c>
      <c r="J252" s="3" cm="1">
        <f t="array" ref="J25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52" s="25" t="str">
        <f>_xlfn.XLOOKUP(tblPayrollMaster[[#This Row],[Employee Position]],tblPositionandPayRate[Employee Position],tblPositionandPayRate[Overtime], " ")</f>
        <v xml:space="preserve"> </v>
      </c>
      <c r="L252" s="25">
        <f>_xlfn.XLOOKUP(tblPayrollMaster[[#This Row],[Employee Position]],tblPositionandPayRate[Employee Position],tblPositionandPayRate[Allowance 1],0)*tblPayrollMaster[[#This Row],[Pay Factor]]</f>
        <v>0</v>
      </c>
      <c r="M252" s="25">
        <f>_xlfn.XLOOKUP(tblPayrollMaster[[#This Row],[Employee Position]],tblPositionandPayRate[Employee Position],tblPositionandPayRate[Allowance 2],0)*tblPayrollMaster[[#This Row],[Pay Factor]]</f>
        <v>0</v>
      </c>
      <c r="N252" s="25">
        <f>_xlfn.XLOOKUP(tblPayrollMaster[[#This Row],[Employee Position]],tblPositionandPayRate[Employee Position],tblPositionandPayRate[Allowance 3],0)*tblPayrollMaster[[#This Row],[Pay Factor]]</f>
        <v>0</v>
      </c>
      <c r="O252" s="25">
        <f>_xlfn.XLOOKUP(tblPayrollMaster[[#This Row],[Employee Position]],tblPositionandPayRate[Employee Position],tblPositionandPayRate[Allowance 4],0)*tblPayrollMaster[[#This Row],[Pay Factor]]</f>
        <v>0</v>
      </c>
      <c r="P252" s="25">
        <f>_xlfn.XLOOKUP(tblPayrollMaster[[#This Row],[Employee Position]],tblPositionandPayRate[Employee Position],tblPositionandPayRate[Allowance 5],0)*tblPayrollMaster[[#This Row],[Pay Factor]]</f>
        <v>0</v>
      </c>
      <c r="Q252" s="25">
        <f>SUM(tblPayrollMaster[[#This Row],[Basic Pay]:[Allowance 5]])</f>
        <v>0</v>
      </c>
      <c r="R25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52" s="51" cm="1">
        <f t="array" ref="S2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52" s="3" cm="1">
        <f t="array" ref="T2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52" s="25">
        <f>_xlfn.LET(
_xlpm.tos, _xlfn.XLOOKUP(tblPayrollMaster[[#This Row],[Employee ID]], tblEmployee[Employee ID], tblEmployee[Type of Service], ""),
IF(_xlpm.tos="Contract of Service", 8.25, 0)
)</f>
        <v>0</v>
      </c>
      <c r="V252" s="25">
        <f>tblPayrollMaster[[#This Row],[Basic Earnings]]-tblPayrollMaster[[#This Row],[Tax]]-tblPayrollMaster[[#This Row],[NIS - Employee]]-tblPayrollMaster[[#This Row],[Health Surcharge]]</f>
        <v>0</v>
      </c>
      <c r="W252" s="25">
        <f>tblPayrollMaster[[#This Row],[Net Pay]]</f>
        <v>0</v>
      </c>
      <c r="X252" s="25"/>
    </row>
    <row r="253" spans="1:24" x14ac:dyDescent="0.25">
      <c r="A253" s="24"/>
      <c r="B253" s="24" t="str">
        <f>_xlfn.XLOOKUP(tblPayrollMaster[[#This Row],[Employee ID]],tblEmployee[Employee ID],tblEmployee[Employee Name],"")</f>
        <v/>
      </c>
      <c r="C253" s="24" t="str">
        <f>_xlfn.XLOOKUP(tblPayrollMaster[[#This Row],[Employee ID]],tblEmployee[Employee ID],tblEmployee[Employee Position],"")</f>
        <v/>
      </c>
      <c r="D253" s="24" t="str">
        <f>_xlfn.XLOOKUP(tblPayrollMaster[[#This Row],[Employee ID]], tblEmployee[Employee ID], tblEmployee[Pay Status], "Pay")</f>
        <v>Pay</v>
      </c>
      <c r="E253" s="24" t="str">
        <f>_xlfn.XLOOKUP(tblPayrollMaster[[#This Row],[Employee ID]], tblEmployee[Employee ID], tblEmployee[Payable Flag], "Y")</f>
        <v>Y</v>
      </c>
      <c r="F253" s="45">
        <f>IF(tblPayrollMaster[[#This Row],[Payable Flag]]="N",0,_xlfn.XLOOKUP(tblPayrollMaster[[#This Row],[Employee ID]],tblEmployee[Employee ID],tblEmployee[Pay Factor],1))</f>
        <v>1</v>
      </c>
      <c r="G253" s="26" t="str" cm="1">
        <f t="array" ref="G253">IF(tblPayrollMaster[[#This Row],[Employee ID]]="","",_xlfn.XLOOKUP(selPayPeriodID,tblPayCalendar[PayPeriodID],tblPayCalendar[PeriodStart],""))</f>
        <v/>
      </c>
      <c r="H253" s="26" t="str" cm="1">
        <f t="array" ref="H253">IF(tblPayrollMaster[[#This Row],[Employee ID]]="","",_xlfn.XLOOKUP(selPayPeriodID,tblPayCalendar[PayPeriodID],tblPayCalendar[PeriodEnd],""))</f>
        <v/>
      </c>
      <c r="I253" s="24" t="e" cm="1" vm="1">
        <f t="array" aca="1" ref="I253" ca="1">Table18[Employer Name]</f>
        <v>#VALUE!</v>
      </c>
      <c r="J253" s="3" cm="1">
        <f t="array" ref="J25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53" s="25" t="str">
        <f>_xlfn.XLOOKUP(tblPayrollMaster[[#This Row],[Employee Position]],tblPositionandPayRate[Employee Position],tblPositionandPayRate[Overtime], " ")</f>
        <v xml:space="preserve"> </v>
      </c>
      <c r="L253" s="25">
        <f>_xlfn.XLOOKUP(tblPayrollMaster[[#This Row],[Employee Position]],tblPositionandPayRate[Employee Position],tblPositionandPayRate[Allowance 1],0)*tblPayrollMaster[[#This Row],[Pay Factor]]</f>
        <v>0</v>
      </c>
      <c r="M253" s="25">
        <f>_xlfn.XLOOKUP(tblPayrollMaster[[#This Row],[Employee Position]],tblPositionandPayRate[Employee Position],tblPositionandPayRate[Allowance 2],0)*tblPayrollMaster[[#This Row],[Pay Factor]]</f>
        <v>0</v>
      </c>
      <c r="N253" s="25">
        <f>_xlfn.XLOOKUP(tblPayrollMaster[[#This Row],[Employee Position]],tblPositionandPayRate[Employee Position],tblPositionandPayRate[Allowance 3],0)*tblPayrollMaster[[#This Row],[Pay Factor]]</f>
        <v>0</v>
      </c>
      <c r="O253" s="25">
        <f>_xlfn.XLOOKUP(tblPayrollMaster[[#This Row],[Employee Position]],tblPositionandPayRate[Employee Position],tblPositionandPayRate[Allowance 4],0)*tblPayrollMaster[[#This Row],[Pay Factor]]</f>
        <v>0</v>
      </c>
      <c r="P253" s="25">
        <f>_xlfn.XLOOKUP(tblPayrollMaster[[#This Row],[Employee Position]],tblPositionandPayRate[Employee Position],tblPositionandPayRate[Allowance 5],0)*tblPayrollMaster[[#This Row],[Pay Factor]]</f>
        <v>0</v>
      </c>
      <c r="Q253" s="25">
        <f>SUM(tblPayrollMaster[[#This Row],[Basic Pay]:[Allowance 5]])</f>
        <v>0</v>
      </c>
      <c r="R25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53" s="51" cm="1">
        <f t="array" ref="S2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53" s="3" cm="1">
        <f t="array" ref="T2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53" s="25">
        <f>_xlfn.LET(
_xlpm.tos, _xlfn.XLOOKUP(tblPayrollMaster[[#This Row],[Employee ID]], tblEmployee[Employee ID], tblEmployee[Type of Service], ""),
IF(_xlpm.tos="Contract of Service", 8.25, 0)
)</f>
        <v>0</v>
      </c>
      <c r="V253" s="25">
        <f>tblPayrollMaster[[#This Row],[Basic Earnings]]-tblPayrollMaster[[#This Row],[Tax]]-tblPayrollMaster[[#This Row],[NIS - Employee]]-tblPayrollMaster[[#This Row],[Health Surcharge]]</f>
        <v>0</v>
      </c>
      <c r="W253" s="25">
        <f>tblPayrollMaster[[#This Row],[Net Pay]]</f>
        <v>0</v>
      </c>
      <c r="X253" s="25"/>
    </row>
    <row r="254" spans="1:24" x14ac:dyDescent="0.25">
      <c r="A254" s="24"/>
      <c r="B254" s="24" t="str">
        <f>_xlfn.XLOOKUP(tblPayrollMaster[[#This Row],[Employee ID]],tblEmployee[Employee ID],tblEmployee[Employee Name],"")</f>
        <v/>
      </c>
      <c r="C254" s="24" t="str">
        <f>_xlfn.XLOOKUP(tblPayrollMaster[[#This Row],[Employee ID]],tblEmployee[Employee ID],tblEmployee[Employee Position],"")</f>
        <v/>
      </c>
      <c r="D254" s="24" t="str">
        <f>_xlfn.XLOOKUP(tblPayrollMaster[[#This Row],[Employee ID]], tblEmployee[Employee ID], tblEmployee[Pay Status], "Pay")</f>
        <v>Pay</v>
      </c>
      <c r="E254" s="24" t="str">
        <f>_xlfn.XLOOKUP(tblPayrollMaster[[#This Row],[Employee ID]], tblEmployee[Employee ID], tblEmployee[Payable Flag], "Y")</f>
        <v>Y</v>
      </c>
      <c r="F254" s="45">
        <f>IF(tblPayrollMaster[[#This Row],[Payable Flag]]="N",0,_xlfn.XLOOKUP(tblPayrollMaster[[#This Row],[Employee ID]],tblEmployee[Employee ID],tblEmployee[Pay Factor],1))</f>
        <v>1</v>
      </c>
      <c r="G254" s="26" t="str" cm="1">
        <f t="array" ref="G254">IF(tblPayrollMaster[[#This Row],[Employee ID]]="","",_xlfn.XLOOKUP(selPayPeriodID,tblPayCalendar[PayPeriodID],tblPayCalendar[PeriodStart],""))</f>
        <v/>
      </c>
      <c r="H254" s="26" t="str" cm="1">
        <f t="array" ref="H254">IF(tblPayrollMaster[[#This Row],[Employee ID]]="","",_xlfn.XLOOKUP(selPayPeriodID,tblPayCalendar[PayPeriodID],tblPayCalendar[PeriodEnd],""))</f>
        <v/>
      </c>
      <c r="I254" s="24" t="e" cm="1" vm="1">
        <f t="array" aca="1" ref="I254" ca="1">Table18[Employer Name]</f>
        <v>#VALUE!</v>
      </c>
      <c r="J254" s="3" cm="1">
        <f t="array" ref="J25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54" s="25" t="str">
        <f>_xlfn.XLOOKUP(tblPayrollMaster[[#This Row],[Employee Position]],tblPositionandPayRate[Employee Position],tblPositionandPayRate[Overtime], " ")</f>
        <v xml:space="preserve"> </v>
      </c>
      <c r="L254" s="25">
        <f>_xlfn.XLOOKUP(tblPayrollMaster[[#This Row],[Employee Position]],tblPositionandPayRate[Employee Position],tblPositionandPayRate[Allowance 1],0)*tblPayrollMaster[[#This Row],[Pay Factor]]</f>
        <v>0</v>
      </c>
      <c r="M254" s="25">
        <f>_xlfn.XLOOKUP(tblPayrollMaster[[#This Row],[Employee Position]],tblPositionandPayRate[Employee Position],tblPositionandPayRate[Allowance 2],0)*tblPayrollMaster[[#This Row],[Pay Factor]]</f>
        <v>0</v>
      </c>
      <c r="N254" s="25">
        <f>_xlfn.XLOOKUP(tblPayrollMaster[[#This Row],[Employee Position]],tblPositionandPayRate[Employee Position],tblPositionandPayRate[Allowance 3],0)*tblPayrollMaster[[#This Row],[Pay Factor]]</f>
        <v>0</v>
      </c>
      <c r="O254" s="25">
        <f>_xlfn.XLOOKUP(tblPayrollMaster[[#This Row],[Employee Position]],tblPositionandPayRate[Employee Position],tblPositionandPayRate[Allowance 4],0)*tblPayrollMaster[[#This Row],[Pay Factor]]</f>
        <v>0</v>
      </c>
      <c r="P254" s="25">
        <f>_xlfn.XLOOKUP(tblPayrollMaster[[#This Row],[Employee Position]],tblPositionandPayRate[Employee Position],tblPositionandPayRate[Allowance 5],0)*tblPayrollMaster[[#This Row],[Pay Factor]]</f>
        <v>0</v>
      </c>
      <c r="Q254" s="25">
        <f>SUM(tblPayrollMaster[[#This Row],[Basic Pay]:[Allowance 5]])</f>
        <v>0</v>
      </c>
      <c r="R25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54" s="51" cm="1">
        <f t="array" ref="S2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54" s="3" cm="1">
        <f t="array" ref="T2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54" s="25">
        <f>_xlfn.LET(
_xlpm.tos, _xlfn.XLOOKUP(tblPayrollMaster[[#This Row],[Employee ID]], tblEmployee[Employee ID], tblEmployee[Type of Service], ""),
IF(_xlpm.tos="Contract of Service", 8.25, 0)
)</f>
        <v>0</v>
      </c>
      <c r="V254" s="25">
        <f>tblPayrollMaster[[#This Row],[Basic Earnings]]-tblPayrollMaster[[#This Row],[Tax]]-tblPayrollMaster[[#This Row],[NIS - Employee]]-tblPayrollMaster[[#This Row],[Health Surcharge]]</f>
        <v>0</v>
      </c>
      <c r="W254" s="25">
        <f>tblPayrollMaster[[#This Row],[Net Pay]]</f>
        <v>0</v>
      </c>
      <c r="X254" s="25"/>
    </row>
    <row r="255" spans="1:24" x14ac:dyDescent="0.25">
      <c r="A255" s="24"/>
      <c r="B255" s="24" t="str">
        <f>_xlfn.XLOOKUP(tblPayrollMaster[[#This Row],[Employee ID]],tblEmployee[Employee ID],tblEmployee[Employee Name],"")</f>
        <v/>
      </c>
      <c r="C255" s="24" t="str">
        <f>_xlfn.XLOOKUP(tblPayrollMaster[[#This Row],[Employee ID]],tblEmployee[Employee ID],tblEmployee[Employee Position],"")</f>
        <v/>
      </c>
      <c r="D255" s="24" t="str">
        <f>_xlfn.XLOOKUP(tblPayrollMaster[[#This Row],[Employee ID]], tblEmployee[Employee ID], tblEmployee[Pay Status], "Pay")</f>
        <v>Pay</v>
      </c>
      <c r="E255" s="24" t="str">
        <f>_xlfn.XLOOKUP(tblPayrollMaster[[#This Row],[Employee ID]], tblEmployee[Employee ID], tblEmployee[Payable Flag], "Y")</f>
        <v>Y</v>
      </c>
      <c r="F255" s="45">
        <f>IF(tblPayrollMaster[[#This Row],[Payable Flag]]="N",0,_xlfn.XLOOKUP(tblPayrollMaster[[#This Row],[Employee ID]],tblEmployee[Employee ID],tblEmployee[Pay Factor],1))</f>
        <v>1</v>
      </c>
      <c r="G255" s="26" t="str" cm="1">
        <f t="array" ref="G255">IF(tblPayrollMaster[[#This Row],[Employee ID]]="","",_xlfn.XLOOKUP(selPayPeriodID,tblPayCalendar[PayPeriodID],tblPayCalendar[PeriodStart],""))</f>
        <v/>
      </c>
      <c r="H255" s="26" t="str" cm="1">
        <f t="array" ref="H255">IF(tblPayrollMaster[[#This Row],[Employee ID]]="","",_xlfn.XLOOKUP(selPayPeriodID,tblPayCalendar[PayPeriodID],tblPayCalendar[PeriodEnd],""))</f>
        <v/>
      </c>
      <c r="I255" s="24" t="e" cm="1" vm="1">
        <f t="array" aca="1" ref="I255" ca="1">Table18[Employer Name]</f>
        <v>#VALUE!</v>
      </c>
      <c r="J255" s="3" cm="1">
        <f t="array" ref="J25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55" s="25" t="str">
        <f>_xlfn.XLOOKUP(tblPayrollMaster[[#This Row],[Employee Position]],tblPositionandPayRate[Employee Position],tblPositionandPayRate[Overtime], " ")</f>
        <v xml:space="preserve"> </v>
      </c>
      <c r="L255" s="25">
        <f>_xlfn.XLOOKUP(tblPayrollMaster[[#This Row],[Employee Position]],tblPositionandPayRate[Employee Position],tblPositionandPayRate[Allowance 1],0)*tblPayrollMaster[[#This Row],[Pay Factor]]</f>
        <v>0</v>
      </c>
      <c r="M255" s="25">
        <f>_xlfn.XLOOKUP(tblPayrollMaster[[#This Row],[Employee Position]],tblPositionandPayRate[Employee Position],tblPositionandPayRate[Allowance 2],0)*tblPayrollMaster[[#This Row],[Pay Factor]]</f>
        <v>0</v>
      </c>
      <c r="N255" s="25">
        <f>_xlfn.XLOOKUP(tblPayrollMaster[[#This Row],[Employee Position]],tblPositionandPayRate[Employee Position],tblPositionandPayRate[Allowance 3],0)*tblPayrollMaster[[#This Row],[Pay Factor]]</f>
        <v>0</v>
      </c>
      <c r="O255" s="25">
        <f>_xlfn.XLOOKUP(tblPayrollMaster[[#This Row],[Employee Position]],tblPositionandPayRate[Employee Position],tblPositionandPayRate[Allowance 4],0)*tblPayrollMaster[[#This Row],[Pay Factor]]</f>
        <v>0</v>
      </c>
      <c r="P255" s="25">
        <f>_xlfn.XLOOKUP(tblPayrollMaster[[#This Row],[Employee Position]],tblPositionandPayRate[Employee Position],tblPositionandPayRate[Allowance 5],0)*tblPayrollMaster[[#This Row],[Pay Factor]]</f>
        <v>0</v>
      </c>
      <c r="Q255" s="25">
        <f>SUM(tblPayrollMaster[[#This Row],[Basic Pay]:[Allowance 5]])</f>
        <v>0</v>
      </c>
      <c r="R25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55" s="51" cm="1">
        <f t="array" ref="S2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55" s="3" cm="1">
        <f t="array" ref="T2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55" s="25">
        <f>_xlfn.LET(
_xlpm.tos, _xlfn.XLOOKUP(tblPayrollMaster[[#This Row],[Employee ID]], tblEmployee[Employee ID], tblEmployee[Type of Service], ""),
IF(_xlpm.tos="Contract of Service", 8.25, 0)
)</f>
        <v>0</v>
      </c>
      <c r="V255" s="25">
        <f>tblPayrollMaster[[#This Row],[Basic Earnings]]-tblPayrollMaster[[#This Row],[Tax]]-tblPayrollMaster[[#This Row],[NIS - Employee]]-tblPayrollMaster[[#This Row],[Health Surcharge]]</f>
        <v>0</v>
      </c>
      <c r="W255" s="25">
        <f>tblPayrollMaster[[#This Row],[Net Pay]]</f>
        <v>0</v>
      </c>
      <c r="X255" s="25"/>
    </row>
    <row r="256" spans="1:24" x14ac:dyDescent="0.25">
      <c r="A256" s="24"/>
      <c r="B256" s="24" t="str">
        <f>_xlfn.XLOOKUP(tblPayrollMaster[[#This Row],[Employee ID]],tblEmployee[Employee ID],tblEmployee[Employee Name],"")</f>
        <v/>
      </c>
      <c r="C256" s="24" t="str">
        <f>_xlfn.XLOOKUP(tblPayrollMaster[[#This Row],[Employee ID]],tblEmployee[Employee ID],tblEmployee[Employee Position],"")</f>
        <v/>
      </c>
      <c r="D256" s="24" t="str">
        <f>_xlfn.XLOOKUP(tblPayrollMaster[[#This Row],[Employee ID]], tblEmployee[Employee ID], tblEmployee[Pay Status], "Pay")</f>
        <v>Pay</v>
      </c>
      <c r="E256" s="24" t="str">
        <f>_xlfn.XLOOKUP(tblPayrollMaster[[#This Row],[Employee ID]], tblEmployee[Employee ID], tblEmployee[Payable Flag], "Y")</f>
        <v>Y</v>
      </c>
      <c r="F256" s="45">
        <f>IF(tblPayrollMaster[[#This Row],[Payable Flag]]="N",0,_xlfn.XLOOKUP(tblPayrollMaster[[#This Row],[Employee ID]],tblEmployee[Employee ID],tblEmployee[Pay Factor],1))</f>
        <v>1</v>
      </c>
      <c r="G256" s="26" t="str" cm="1">
        <f t="array" ref="G256">IF(tblPayrollMaster[[#This Row],[Employee ID]]="","",_xlfn.XLOOKUP(selPayPeriodID,tblPayCalendar[PayPeriodID],tblPayCalendar[PeriodStart],""))</f>
        <v/>
      </c>
      <c r="H256" s="26" t="str" cm="1">
        <f t="array" ref="H256">IF(tblPayrollMaster[[#This Row],[Employee ID]]="","",_xlfn.XLOOKUP(selPayPeriodID,tblPayCalendar[PayPeriodID],tblPayCalendar[PeriodEnd],""))</f>
        <v/>
      </c>
      <c r="I256" s="24" t="e" cm="1" vm="1">
        <f t="array" aca="1" ref="I256" ca="1">Table18[Employer Name]</f>
        <v>#VALUE!</v>
      </c>
      <c r="J256" s="3" cm="1">
        <f t="array" ref="J25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56" s="25" t="str">
        <f>_xlfn.XLOOKUP(tblPayrollMaster[[#This Row],[Employee Position]],tblPositionandPayRate[Employee Position],tblPositionandPayRate[Overtime], " ")</f>
        <v xml:space="preserve"> </v>
      </c>
      <c r="L256" s="25">
        <f>_xlfn.XLOOKUP(tblPayrollMaster[[#This Row],[Employee Position]],tblPositionandPayRate[Employee Position],tblPositionandPayRate[Allowance 1],0)*tblPayrollMaster[[#This Row],[Pay Factor]]</f>
        <v>0</v>
      </c>
      <c r="M256" s="25">
        <f>_xlfn.XLOOKUP(tblPayrollMaster[[#This Row],[Employee Position]],tblPositionandPayRate[Employee Position],tblPositionandPayRate[Allowance 2],0)*tblPayrollMaster[[#This Row],[Pay Factor]]</f>
        <v>0</v>
      </c>
      <c r="N256" s="25">
        <f>_xlfn.XLOOKUP(tblPayrollMaster[[#This Row],[Employee Position]],tblPositionandPayRate[Employee Position],tblPositionandPayRate[Allowance 3],0)*tblPayrollMaster[[#This Row],[Pay Factor]]</f>
        <v>0</v>
      </c>
      <c r="O256" s="25">
        <f>_xlfn.XLOOKUP(tblPayrollMaster[[#This Row],[Employee Position]],tblPositionandPayRate[Employee Position],tblPositionandPayRate[Allowance 4],0)*tblPayrollMaster[[#This Row],[Pay Factor]]</f>
        <v>0</v>
      </c>
      <c r="P256" s="25">
        <f>_xlfn.XLOOKUP(tblPayrollMaster[[#This Row],[Employee Position]],tblPositionandPayRate[Employee Position],tblPositionandPayRate[Allowance 5],0)*tblPayrollMaster[[#This Row],[Pay Factor]]</f>
        <v>0</v>
      </c>
      <c r="Q256" s="25">
        <f>SUM(tblPayrollMaster[[#This Row],[Basic Pay]:[Allowance 5]])</f>
        <v>0</v>
      </c>
      <c r="R25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56" s="51" cm="1">
        <f t="array" ref="S2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56" s="3" cm="1">
        <f t="array" ref="T2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56" s="25">
        <f>_xlfn.LET(
_xlpm.tos, _xlfn.XLOOKUP(tblPayrollMaster[[#This Row],[Employee ID]], tblEmployee[Employee ID], tblEmployee[Type of Service], ""),
IF(_xlpm.tos="Contract of Service", 8.25, 0)
)</f>
        <v>0</v>
      </c>
      <c r="V256" s="25">
        <f>tblPayrollMaster[[#This Row],[Basic Earnings]]-tblPayrollMaster[[#This Row],[Tax]]-tblPayrollMaster[[#This Row],[NIS - Employee]]-tblPayrollMaster[[#This Row],[Health Surcharge]]</f>
        <v>0</v>
      </c>
      <c r="W256" s="25">
        <f>tblPayrollMaster[[#This Row],[Net Pay]]</f>
        <v>0</v>
      </c>
      <c r="X256" s="25"/>
    </row>
    <row r="257" spans="1:24" x14ac:dyDescent="0.25">
      <c r="A257" s="24"/>
      <c r="B257" s="24" t="str">
        <f>_xlfn.XLOOKUP(tblPayrollMaster[[#This Row],[Employee ID]],tblEmployee[Employee ID],tblEmployee[Employee Name],"")</f>
        <v/>
      </c>
      <c r="C257" s="24" t="str">
        <f>_xlfn.XLOOKUP(tblPayrollMaster[[#This Row],[Employee ID]],tblEmployee[Employee ID],tblEmployee[Employee Position],"")</f>
        <v/>
      </c>
      <c r="D257" s="24" t="str">
        <f>_xlfn.XLOOKUP(tblPayrollMaster[[#This Row],[Employee ID]], tblEmployee[Employee ID], tblEmployee[Pay Status], "Pay")</f>
        <v>Pay</v>
      </c>
      <c r="E257" s="24" t="str">
        <f>_xlfn.XLOOKUP(tblPayrollMaster[[#This Row],[Employee ID]], tblEmployee[Employee ID], tblEmployee[Payable Flag], "Y")</f>
        <v>Y</v>
      </c>
      <c r="F257" s="45">
        <f>IF(tblPayrollMaster[[#This Row],[Payable Flag]]="N",0,_xlfn.XLOOKUP(tblPayrollMaster[[#This Row],[Employee ID]],tblEmployee[Employee ID],tblEmployee[Pay Factor],1))</f>
        <v>1</v>
      </c>
      <c r="G257" s="26" t="str" cm="1">
        <f t="array" ref="G257">IF(tblPayrollMaster[[#This Row],[Employee ID]]="","",_xlfn.XLOOKUP(selPayPeriodID,tblPayCalendar[PayPeriodID],tblPayCalendar[PeriodStart],""))</f>
        <v/>
      </c>
      <c r="H257" s="26" t="str" cm="1">
        <f t="array" ref="H257">IF(tblPayrollMaster[[#This Row],[Employee ID]]="","",_xlfn.XLOOKUP(selPayPeriodID,tblPayCalendar[PayPeriodID],tblPayCalendar[PeriodEnd],""))</f>
        <v/>
      </c>
      <c r="I257" s="24" t="e" cm="1" vm="1">
        <f t="array" aca="1" ref="I257" ca="1">Table18[Employer Name]</f>
        <v>#VALUE!</v>
      </c>
      <c r="J257" s="3" cm="1">
        <f t="array" ref="J25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57" s="25" t="str">
        <f>_xlfn.XLOOKUP(tblPayrollMaster[[#This Row],[Employee Position]],tblPositionandPayRate[Employee Position],tblPositionandPayRate[Overtime], " ")</f>
        <v xml:space="preserve"> </v>
      </c>
      <c r="L257" s="25">
        <f>_xlfn.XLOOKUP(tblPayrollMaster[[#This Row],[Employee Position]],tblPositionandPayRate[Employee Position],tblPositionandPayRate[Allowance 1],0)*tblPayrollMaster[[#This Row],[Pay Factor]]</f>
        <v>0</v>
      </c>
      <c r="M257" s="25">
        <f>_xlfn.XLOOKUP(tblPayrollMaster[[#This Row],[Employee Position]],tblPositionandPayRate[Employee Position],tblPositionandPayRate[Allowance 2],0)*tblPayrollMaster[[#This Row],[Pay Factor]]</f>
        <v>0</v>
      </c>
      <c r="N257" s="25">
        <f>_xlfn.XLOOKUP(tblPayrollMaster[[#This Row],[Employee Position]],tblPositionandPayRate[Employee Position],tblPositionandPayRate[Allowance 3],0)*tblPayrollMaster[[#This Row],[Pay Factor]]</f>
        <v>0</v>
      </c>
      <c r="O257" s="25">
        <f>_xlfn.XLOOKUP(tblPayrollMaster[[#This Row],[Employee Position]],tblPositionandPayRate[Employee Position],tblPositionandPayRate[Allowance 4],0)*tblPayrollMaster[[#This Row],[Pay Factor]]</f>
        <v>0</v>
      </c>
      <c r="P257" s="25">
        <f>_xlfn.XLOOKUP(tblPayrollMaster[[#This Row],[Employee Position]],tblPositionandPayRate[Employee Position],tblPositionandPayRate[Allowance 5],0)*tblPayrollMaster[[#This Row],[Pay Factor]]</f>
        <v>0</v>
      </c>
      <c r="Q257" s="25">
        <f>SUM(tblPayrollMaster[[#This Row],[Basic Pay]:[Allowance 5]])</f>
        <v>0</v>
      </c>
      <c r="R25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57" s="51" cm="1">
        <f t="array" ref="S2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57" s="3" cm="1">
        <f t="array" ref="T2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57" s="25">
        <f>_xlfn.LET(
_xlpm.tos, _xlfn.XLOOKUP(tblPayrollMaster[[#This Row],[Employee ID]], tblEmployee[Employee ID], tblEmployee[Type of Service], ""),
IF(_xlpm.tos="Contract of Service", 8.25, 0)
)</f>
        <v>0</v>
      </c>
      <c r="V257" s="25">
        <f>tblPayrollMaster[[#This Row],[Basic Earnings]]-tblPayrollMaster[[#This Row],[Tax]]-tblPayrollMaster[[#This Row],[NIS - Employee]]-tblPayrollMaster[[#This Row],[Health Surcharge]]</f>
        <v>0</v>
      </c>
      <c r="W257" s="25">
        <f>tblPayrollMaster[[#This Row],[Net Pay]]</f>
        <v>0</v>
      </c>
      <c r="X257" s="25"/>
    </row>
    <row r="258" spans="1:24" x14ac:dyDescent="0.25">
      <c r="A258" s="24"/>
      <c r="B258" s="24" t="str">
        <f>_xlfn.XLOOKUP(tblPayrollMaster[[#This Row],[Employee ID]],tblEmployee[Employee ID],tblEmployee[Employee Name],"")</f>
        <v/>
      </c>
      <c r="C258" s="24" t="str">
        <f>_xlfn.XLOOKUP(tblPayrollMaster[[#This Row],[Employee ID]],tblEmployee[Employee ID],tblEmployee[Employee Position],"")</f>
        <v/>
      </c>
      <c r="D258" s="24" t="str">
        <f>_xlfn.XLOOKUP(tblPayrollMaster[[#This Row],[Employee ID]], tblEmployee[Employee ID], tblEmployee[Pay Status], "Pay")</f>
        <v>Pay</v>
      </c>
      <c r="E258" s="24" t="str">
        <f>_xlfn.XLOOKUP(tblPayrollMaster[[#This Row],[Employee ID]], tblEmployee[Employee ID], tblEmployee[Payable Flag], "Y")</f>
        <v>Y</v>
      </c>
      <c r="F258" s="45">
        <f>IF(tblPayrollMaster[[#This Row],[Payable Flag]]="N",0,_xlfn.XLOOKUP(tblPayrollMaster[[#This Row],[Employee ID]],tblEmployee[Employee ID],tblEmployee[Pay Factor],1))</f>
        <v>1</v>
      </c>
      <c r="G258" s="26" t="str" cm="1">
        <f t="array" ref="G258">IF(tblPayrollMaster[[#This Row],[Employee ID]]="","",_xlfn.XLOOKUP(selPayPeriodID,tblPayCalendar[PayPeriodID],tblPayCalendar[PeriodStart],""))</f>
        <v/>
      </c>
      <c r="H258" s="26" t="str" cm="1">
        <f t="array" ref="H258">IF(tblPayrollMaster[[#This Row],[Employee ID]]="","",_xlfn.XLOOKUP(selPayPeriodID,tblPayCalendar[PayPeriodID],tblPayCalendar[PeriodEnd],""))</f>
        <v/>
      </c>
      <c r="I258" s="24" t="e" cm="1" vm="1">
        <f t="array" aca="1" ref="I258" ca="1">Table18[Employer Name]</f>
        <v>#VALUE!</v>
      </c>
      <c r="J258" s="3" cm="1">
        <f t="array" ref="J25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58" s="25" t="str">
        <f>_xlfn.XLOOKUP(tblPayrollMaster[[#This Row],[Employee Position]],tblPositionandPayRate[Employee Position],tblPositionandPayRate[Overtime], " ")</f>
        <v xml:space="preserve"> </v>
      </c>
      <c r="L258" s="25">
        <f>_xlfn.XLOOKUP(tblPayrollMaster[[#This Row],[Employee Position]],tblPositionandPayRate[Employee Position],tblPositionandPayRate[Allowance 1],0)*tblPayrollMaster[[#This Row],[Pay Factor]]</f>
        <v>0</v>
      </c>
      <c r="M258" s="25">
        <f>_xlfn.XLOOKUP(tblPayrollMaster[[#This Row],[Employee Position]],tblPositionandPayRate[Employee Position],tblPositionandPayRate[Allowance 2],0)*tblPayrollMaster[[#This Row],[Pay Factor]]</f>
        <v>0</v>
      </c>
      <c r="N258" s="25">
        <f>_xlfn.XLOOKUP(tblPayrollMaster[[#This Row],[Employee Position]],tblPositionandPayRate[Employee Position],tblPositionandPayRate[Allowance 3],0)*tblPayrollMaster[[#This Row],[Pay Factor]]</f>
        <v>0</v>
      </c>
      <c r="O258" s="25">
        <f>_xlfn.XLOOKUP(tblPayrollMaster[[#This Row],[Employee Position]],tblPositionandPayRate[Employee Position],tblPositionandPayRate[Allowance 4],0)*tblPayrollMaster[[#This Row],[Pay Factor]]</f>
        <v>0</v>
      </c>
      <c r="P258" s="25">
        <f>_xlfn.XLOOKUP(tblPayrollMaster[[#This Row],[Employee Position]],tblPositionandPayRate[Employee Position],tblPositionandPayRate[Allowance 5],0)*tblPayrollMaster[[#This Row],[Pay Factor]]</f>
        <v>0</v>
      </c>
      <c r="Q258" s="25">
        <f>SUM(tblPayrollMaster[[#This Row],[Basic Pay]:[Allowance 5]])</f>
        <v>0</v>
      </c>
      <c r="R25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58" s="51" cm="1">
        <f t="array" ref="S2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58" s="3" cm="1">
        <f t="array" ref="T2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58" s="25">
        <f>_xlfn.LET(
_xlpm.tos, _xlfn.XLOOKUP(tblPayrollMaster[[#This Row],[Employee ID]], tblEmployee[Employee ID], tblEmployee[Type of Service], ""),
IF(_xlpm.tos="Contract of Service", 8.25, 0)
)</f>
        <v>0</v>
      </c>
      <c r="V258" s="25">
        <f>tblPayrollMaster[[#This Row],[Basic Earnings]]-tblPayrollMaster[[#This Row],[Tax]]-tblPayrollMaster[[#This Row],[NIS - Employee]]-tblPayrollMaster[[#This Row],[Health Surcharge]]</f>
        <v>0</v>
      </c>
      <c r="W258" s="25">
        <f>tblPayrollMaster[[#This Row],[Net Pay]]</f>
        <v>0</v>
      </c>
      <c r="X258" s="25"/>
    </row>
    <row r="259" spans="1:24" x14ac:dyDescent="0.25">
      <c r="A259" s="24"/>
      <c r="B259" s="24" t="str">
        <f>_xlfn.XLOOKUP(tblPayrollMaster[[#This Row],[Employee ID]],tblEmployee[Employee ID],tblEmployee[Employee Name],"")</f>
        <v/>
      </c>
      <c r="C259" s="24" t="str">
        <f>_xlfn.XLOOKUP(tblPayrollMaster[[#This Row],[Employee ID]],tblEmployee[Employee ID],tblEmployee[Employee Position],"")</f>
        <v/>
      </c>
      <c r="D259" s="24" t="str">
        <f>_xlfn.XLOOKUP(tblPayrollMaster[[#This Row],[Employee ID]], tblEmployee[Employee ID], tblEmployee[Pay Status], "Pay")</f>
        <v>Pay</v>
      </c>
      <c r="E259" s="24" t="str">
        <f>_xlfn.XLOOKUP(tblPayrollMaster[[#This Row],[Employee ID]], tblEmployee[Employee ID], tblEmployee[Payable Flag], "Y")</f>
        <v>Y</v>
      </c>
      <c r="F259" s="45">
        <f>IF(tblPayrollMaster[[#This Row],[Payable Flag]]="N",0,_xlfn.XLOOKUP(tblPayrollMaster[[#This Row],[Employee ID]],tblEmployee[Employee ID],tblEmployee[Pay Factor],1))</f>
        <v>1</v>
      </c>
      <c r="G259" s="26" t="str" cm="1">
        <f t="array" ref="G259">IF(tblPayrollMaster[[#This Row],[Employee ID]]="","",_xlfn.XLOOKUP(selPayPeriodID,tblPayCalendar[PayPeriodID],tblPayCalendar[PeriodStart],""))</f>
        <v/>
      </c>
      <c r="H259" s="26" t="str" cm="1">
        <f t="array" ref="H259">IF(tblPayrollMaster[[#This Row],[Employee ID]]="","",_xlfn.XLOOKUP(selPayPeriodID,tblPayCalendar[PayPeriodID],tblPayCalendar[PeriodEnd],""))</f>
        <v/>
      </c>
      <c r="I259" s="24" t="e" cm="1" vm="1">
        <f t="array" aca="1" ref="I259" ca="1">Table18[Employer Name]</f>
        <v>#VALUE!</v>
      </c>
      <c r="J259" s="3" cm="1">
        <f t="array" ref="J25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59" s="25" t="str">
        <f>_xlfn.XLOOKUP(tblPayrollMaster[[#This Row],[Employee Position]],tblPositionandPayRate[Employee Position],tblPositionandPayRate[Overtime], " ")</f>
        <v xml:space="preserve"> </v>
      </c>
      <c r="L259" s="25">
        <f>_xlfn.XLOOKUP(tblPayrollMaster[[#This Row],[Employee Position]],tblPositionandPayRate[Employee Position],tblPositionandPayRate[Allowance 1],0)*tblPayrollMaster[[#This Row],[Pay Factor]]</f>
        <v>0</v>
      </c>
      <c r="M259" s="25">
        <f>_xlfn.XLOOKUP(tblPayrollMaster[[#This Row],[Employee Position]],tblPositionandPayRate[Employee Position],tblPositionandPayRate[Allowance 2],0)*tblPayrollMaster[[#This Row],[Pay Factor]]</f>
        <v>0</v>
      </c>
      <c r="N259" s="25">
        <f>_xlfn.XLOOKUP(tblPayrollMaster[[#This Row],[Employee Position]],tblPositionandPayRate[Employee Position],tblPositionandPayRate[Allowance 3],0)*tblPayrollMaster[[#This Row],[Pay Factor]]</f>
        <v>0</v>
      </c>
      <c r="O259" s="25">
        <f>_xlfn.XLOOKUP(tblPayrollMaster[[#This Row],[Employee Position]],tblPositionandPayRate[Employee Position],tblPositionandPayRate[Allowance 4],0)*tblPayrollMaster[[#This Row],[Pay Factor]]</f>
        <v>0</v>
      </c>
      <c r="P259" s="25">
        <f>_xlfn.XLOOKUP(tblPayrollMaster[[#This Row],[Employee Position]],tblPositionandPayRate[Employee Position],tblPositionandPayRate[Allowance 5],0)*tblPayrollMaster[[#This Row],[Pay Factor]]</f>
        <v>0</v>
      </c>
      <c r="Q259" s="25">
        <f>SUM(tblPayrollMaster[[#This Row],[Basic Pay]:[Allowance 5]])</f>
        <v>0</v>
      </c>
      <c r="R25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59" s="51" cm="1">
        <f t="array" ref="S2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59" s="3" cm="1">
        <f t="array" ref="T2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59" s="25">
        <f>_xlfn.LET(
_xlpm.tos, _xlfn.XLOOKUP(tblPayrollMaster[[#This Row],[Employee ID]], tblEmployee[Employee ID], tblEmployee[Type of Service], ""),
IF(_xlpm.tos="Contract of Service", 8.25, 0)
)</f>
        <v>0</v>
      </c>
      <c r="V259" s="25">
        <f>tblPayrollMaster[[#This Row],[Basic Earnings]]-tblPayrollMaster[[#This Row],[Tax]]-tblPayrollMaster[[#This Row],[NIS - Employee]]-tblPayrollMaster[[#This Row],[Health Surcharge]]</f>
        <v>0</v>
      </c>
      <c r="W259" s="25">
        <f>tblPayrollMaster[[#This Row],[Net Pay]]</f>
        <v>0</v>
      </c>
      <c r="X259" s="25"/>
    </row>
    <row r="260" spans="1:24" x14ac:dyDescent="0.25">
      <c r="A260" s="24"/>
      <c r="B260" s="24" t="str">
        <f>_xlfn.XLOOKUP(tblPayrollMaster[[#This Row],[Employee ID]],tblEmployee[Employee ID],tblEmployee[Employee Name],"")</f>
        <v/>
      </c>
      <c r="C260" s="24" t="str">
        <f>_xlfn.XLOOKUP(tblPayrollMaster[[#This Row],[Employee ID]],tblEmployee[Employee ID],tblEmployee[Employee Position],"")</f>
        <v/>
      </c>
      <c r="D260" s="24" t="str">
        <f>_xlfn.XLOOKUP(tblPayrollMaster[[#This Row],[Employee ID]], tblEmployee[Employee ID], tblEmployee[Pay Status], "Pay")</f>
        <v>Pay</v>
      </c>
      <c r="E260" s="24" t="str">
        <f>_xlfn.XLOOKUP(tblPayrollMaster[[#This Row],[Employee ID]], tblEmployee[Employee ID], tblEmployee[Payable Flag], "Y")</f>
        <v>Y</v>
      </c>
      <c r="F260" s="45">
        <f>IF(tblPayrollMaster[[#This Row],[Payable Flag]]="N",0,_xlfn.XLOOKUP(tblPayrollMaster[[#This Row],[Employee ID]],tblEmployee[Employee ID],tblEmployee[Pay Factor],1))</f>
        <v>1</v>
      </c>
      <c r="G260" s="26" t="str" cm="1">
        <f t="array" ref="G260">IF(tblPayrollMaster[[#This Row],[Employee ID]]="","",_xlfn.XLOOKUP(selPayPeriodID,tblPayCalendar[PayPeriodID],tblPayCalendar[PeriodStart],""))</f>
        <v/>
      </c>
      <c r="H260" s="26" t="str" cm="1">
        <f t="array" ref="H260">IF(tblPayrollMaster[[#This Row],[Employee ID]]="","",_xlfn.XLOOKUP(selPayPeriodID,tblPayCalendar[PayPeriodID],tblPayCalendar[PeriodEnd],""))</f>
        <v/>
      </c>
      <c r="I260" s="24" t="e" cm="1" vm="1">
        <f t="array" aca="1" ref="I260" ca="1">Table18[Employer Name]</f>
        <v>#VALUE!</v>
      </c>
      <c r="J260" s="3" cm="1">
        <f t="array" ref="J26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60" s="25" t="str">
        <f>_xlfn.XLOOKUP(tblPayrollMaster[[#This Row],[Employee Position]],tblPositionandPayRate[Employee Position],tblPositionandPayRate[Overtime], " ")</f>
        <v xml:space="preserve"> </v>
      </c>
      <c r="L260" s="25">
        <f>_xlfn.XLOOKUP(tblPayrollMaster[[#This Row],[Employee Position]],tblPositionandPayRate[Employee Position],tblPositionandPayRate[Allowance 1],0)*tblPayrollMaster[[#This Row],[Pay Factor]]</f>
        <v>0</v>
      </c>
      <c r="M260" s="25">
        <f>_xlfn.XLOOKUP(tblPayrollMaster[[#This Row],[Employee Position]],tblPositionandPayRate[Employee Position],tblPositionandPayRate[Allowance 2],0)*tblPayrollMaster[[#This Row],[Pay Factor]]</f>
        <v>0</v>
      </c>
      <c r="N260" s="25">
        <f>_xlfn.XLOOKUP(tblPayrollMaster[[#This Row],[Employee Position]],tblPositionandPayRate[Employee Position],tblPositionandPayRate[Allowance 3],0)*tblPayrollMaster[[#This Row],[Pay Factor]]</f>
        <v>0</v>
      </c>
      <c r="O260" s="25">
        <f>_xlfn.XLOOKUP(tblPayrollMaster[[#This Row],[Employee Position]],tblPositionandPayRate[Employee Position],tblPositionandPayRate[Allowance 4],0)*tblPayrollMaster[[#This Row],[Pay Factor]]</f>
        <v>0</v>
      </c>
      <c r="P260" s="25">
        <f>_xlfn.XLOOKUP(tblPayrollMaster[[#This Row],[Employee Position]],tblPositionandPayRate[Employee Position],tblPositionandPayRate[Allowance 5],0)*tblPayrollMaster[[#This Row],[Pay Factor]]</f>
        <v>0</v>
      </c>
      <c r="Q260" s="25">
        <f>SUM(tblPayrollMaster[[#This Row],[Basic Pay]:[Allowance 5]])</f>
        <v>0</v>
      </c>
      <c r="R26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60" s="51" cm="1">
        <f t="array" ref="S2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60" s="3" cm="1">
        <f t="array" ref="T2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60" s="25">
        <f>_xlfn.LET(
_xlpm.tos, _xlfn.XLOOKUP(tblPayrollMaster[[#This Row],[Employee ID]], tblEmployee[Employee ID], tblEmployee[Type of Service], ""),
IF(_xlpm.tos="Contract of Service", 8.25, 0)
)</f>
        <v>0</v>
      </c>
      <c r="V260" s="25">
        <f>tblPayrollMaster[[#This Row],[Basic Earnings]]-tblPayrollMaster[[#This Row],[Tax]]-tblPayrollMaster[[#This Row],[NIS - Employee]]-tblPayrollMaster[[#This Row],[Health Surcharge]]</f>
        <v>0</v>
      </c>
      <c r="W260" s="25">
        <f>tblPayrollMaster[[#This Row],[Net Pay]]</f>
        <v>0</v>
      </c>
      <c r="X260" s="25"/>
    </row>
    <row r="261" spans="1:24" x14ac:dyDescent="0.25">
      <c r="A261" s="24"/>
      <c r="B261" s="24" t="str">
        <f>_xlfn.XLOOKUP(tblPayrollMaster[[#This Row],[Employee ID]],tblEmployee[Employee ID],tblEmployee[Employee Name],"")</f>
        <v/>
      </c>
      <c r="C261" s="24" t="str">
        <f>_xlfn.XLOOKUP(tblPayrollMaster[[#This Row],[Employee ID]],tblEmployee[Employee ID],tblEmployee[Employee Position],"")</f>
        <v/>
      </c>
      <c r="D261" s="24" t="str">
        <f>_xlfn.XLOOKUP(tblPayrollMaster[[#This Row],[Employee ID]], tblEmployee[Employee ID], tblEmployee[Pay Status], "Pay")</f>
        <v>Pay</v>
      </c>
      <c r="E261" s="24" t="str">
        <f>_xlfn.XLOOKUP(tblPayrollMaster[[#This Row],[Employee ID]], tblEmployee[Employee ID], tblEmployee[Payable Flag], "Y")</f>
        <v>Y</v>
      </c>
      <c r="F261" s="45">
        <f>IF(tblPayrollMaster[[#This Row],[Payable Flag]]="N",0,_xlfn.XLOOKUP(tblPayrollMaster[[#This Row],[Employee ID]],tblEmployee[Employee ID],tblEmployee[Pay Factor],1))</f>
        <v>1</v>
      </c>
      <c r="G261" s="26" t="str" cm="1">
        <f t="array" ref="G261">IF(tblPayrollMaster[[#This Row],[Employee ID]]="","",_xlfn.XLOOKUP(selPayPeriodID,tblPayCalendar[PayPeriodID],tblPayCalendar[PeriodStart],""))</f>
        <v/>
      </c>
      <c r="H261" s="26" t="str" cm="1">
        <f t="array" ref="H261">IF(tblPayrollMaster[[#This Row],[Employee ID]]="","",_xlfn.XLOOKUP(selPayPeriodID,tblPayCalendar[PayPeriodID],tblPayCalendar[PeriodEnd],""))</f>
        <v/>
      </c>
      <c r="I261" s="24" t="e" cm="1" vm="1">
        <f t="array" aca="1" ref="I261" ca="1">Table18[Employer Name]</f>
        <v>#VALUE!</v>
      </c>
      <c r="J261" s="3" cm="1">
        <f t="array" ref="J26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61" s="25" t="str">
        <f>_xlfn.XLOOKUP(tblPayrollMaster[[#This Row],[Employee Position]],tblPositionandPayRate[Employee Position],tblPositionandPayRate[Overtime], " ")</f>
        <v xml:space="preserve"> </v>
      </c>
      <c r="L261" s="25">
        <f>_xlfn.XLOOKUP(tblPayrollMaster[[#This Row],[Employee Position]],tblPositionandPayRate[Employee Position],tblPositionandPayRate[Allowance 1],0)*tblPayrollMaster[[#This Row],[Pay Factor]]</f>
        <v>0</v>
      </c>
      <c r="M261" s="25">
        <f>_xlfn.XLOOKUP(tblPayrollMaster[[#This Row],[Employee Position]],tblPositionandPayRate[Employee Position],tblPositionandPayRate[Allowance 2],0)*tblPayrollMaster[[#This Row],[Pay Factor]]</f>
        <v>0</v>
      </c>
      <c r="N261" s="25">
        <f>_xlfn.XLOOKUP(tblPayrollMaster[[#This Row],[Employee Position]],tblPositionandPayRate[Employee Position],tblPositionandPayRate[Allowance 3],0)*tblPayrollMaster[[#This Row],[Pay Factor]]</f>
        <v>0</v>
      </c>
      <c r="O261" s="25">
        <f>_xlfn.XLOOKUP(tblPayrollMaster[[#This Row],[Employee Position]],tblPositionandPayRate[Employee Position],tblPositionandPayRate[Allowance 4],0)*tblPayrollMaster[[#This Row],[Pay Factor]]</f>
        <v>0</v>
      </c>
      <c r="P261" s="25">
        <f>_xlfn.XLOOKUP(tblPayrollMaster[[#This Row],[Employee Position]],tblPositionandPayRate[Employee Position],tblPositionandPayRate[Allowance 5],0)*tblPayrollMaster[[#This Row],[Pay Factor]]</f>
        <v>0</v>
      </c>
      <c r="Q261" s="25">
        <f>SUM(tblPayrollMaster[[#This Row],[Basic Pay]:[Allowance 5]])</f>
        <v>0</v>
      </c>
      <c r="R26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61" s="51" cm="1">
        <f t="array" ref="S2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61" s="3" cm="1">
        <f t="array" ref="T2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61" s="25">
        <f>_xlfn.LET(
_xlpm.tos, _xlfn.XLOOKUP(tblPayrollMaster[[#This Row],[Employee ID]], tblEmployee[Employee ID], tblEmployee[Type of Service], ""),
IF(_xlpm.tos="Contract of Service", 8.25, 0)
)</f>
        <v>0</v>
      </c>
      <c r="V261" s="25">
        <f>tblPayrollMaster[[#This Row],[Basic Earnings]]-tblPayrollMaster[[#This Row],[Tax]]-tblPayrollMaster[[#This Row],[NIS - Employee]]-tblPayrollMaster[[#This Row],[Health Surcharge]]</f>
        <v>0</v>
      </c>
      <c r="W261" s="25">
        <f>tblPayrollMaster[[#This Row],[Net Pay]]</f>
        <v>0</v>
      </c>
      <c r="X261" s="25"/>
    </row>
    <row r="262" spans="1:24" x14ac:dyDescent="0.25">
      <c r="A262" s="24"/>
      <c r="B262" s="24" t="str">
        <f>_xlfn.XLOOKUP(tblPayrollMaster[[#This Row],[Employee ID]],tblEmployee[Employee ID],tblEmployee[Employee Name],"")</f>
        <v/>
      </c>
      <c r="C262" s="24" t="str">
        <f>_xlfn.XLOOKUP(tblPayrollMaster[[#This Row],[Employee ID]],tblEmployee[Employee ID],tblEmployee[Employee Position],"")</f>
        <v/>
      </c>
      <c r="D262" s="24" t="str">
        <f>_xlfn.XLOOKUP(tblPayrollMaster[[#This Row],[Employee ID]], tblEmployee[Employee ID], tblEmployee[Pay Status], "Pay")</f>
        <v>Pay</v>
      </c>
      <c r="E262" s="24" t="str">
        <f>_xlfn.XLOOKUP(tblPayrollMaster[[#This Row],[Employee ID]], tblEmployee[Employee ID], tblEmployee[Payable Flag], "Y")</f>
        <v>Y</v>
      </c>
      <c r="F262" s="45">
        <f>IF(tblPayrollMaster[[#This Row],[Payable Flag]]="N",0,_xlfn.XLOOKUP(tblPayrollMaster[[#This Row],[Employee ID]],tblEmployee[Employee ID],tblEmployee[Pay Factor],1))</f>
        <v>1</v>
      </c>
      <c r="G262" s="26" t="str" cm="1">
        <f t="array" ref="G262">IF(tblPayrollMaster[[#This Row],[Employee ID]]="","",_xlfn.XLOOKUP(selPayPeriodID,tblPayCalendar[PayPeriodID],tblPayCalendar[PeriodStart],""))</f>
        <v/>
      </c>
      <c r="H262" s="26" t="str" cm="1">
        <f t="array" ref="H262">IF(tblPayrollMaster[[#This Row],[Employee ID]]="","",_xlfn.XLOOKUP(selPayPeriodID,tblPayCalendar[PayPeriodID],tblPayCalendar[PeriodEnd],""))</f>
        <v/>
      </c>
      <c r="I262" s="24" t="e" cm="1" vm="1">
        <f t="array" aca="1" ref="I262" ca="1">Table18[Employer Name]</f>
        <v>#VALUE!</v>
      </c>
      <c r="J262" s="3" cm="1">
        <f t="array" ref="J26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62" s="25" t="str">
        <f>_xlfn.XLOOKUP(tblPayrollMaster[[#This Row],[Employee Position]],tblPositionandPayRate[Employee Position],tblPositionandPayRate[Overtime], " ")</f>
        <v xml:space="preserve"> </v>
      </c>
      <c r="L262" s="25">
        <f>_xlfn.XLOOKUP(tblPayrollMaster[[#This Row],[Employee Position]],tblPositionandPayRate[Employee Position],tblPositionandPayRate[Allowance 1],0)*tblPayrollMaster[[#This Row],[Pay Factor]]</f>
        <v>0</v>
      </c>
      <c r="M262" s="25">
        <f>_xlfn.XLOOKUP(tblPayrollMaster[[#This Row],[Employee Position]],tblPositionandPayRate[Employee Position],tblPositionandPayRate[Allowance 2],0)*tblPayrollMaster[[#This Row],[Pay Factor]]</f>
        <v>0</v>
      </c>
      <c r="N262" s="25">
        <f>_xlfn.XLOOKUP(tblPayrollMaster[[#This Row],[Employee Position]],tblPositionandPayRate[Employee Position],tblPositionandPayRate[Allowance 3],0)*tblPayrollMaster[[#This Row],[Pay Factor]]</f>
        <v>0</v>
      </c>
      <c r="O262" s="25">
        <f>_xlfn.XLOOKUP(tblPayrollMaster[[#This Row],[Employee Position]],tblPositionandPayRate[Employee Position],tblPositionandPayRate[Allowance 4],0)*tblPayrollMaster[[#This Row],[Pay Factor]]</f>
        <v>0</v>
      </c>
      <c r="P262" s="25">
        <f>_xlfn.XLOOKUP(tblPayrollMaster[[#This Row],[Employee Position]],tblPositionandPayRate[Employee Position],tblPositionandPayRate[Allowance 5],0)*tblPayrollMaster[[#This Row],[Pay Factor]]</f>
        <v>0</v>
      </c>
      <c r="Q262" s="25">
        <f>SUM(tblPayrollMaster[[#This Row],[Basic Pay]:[Allowance 5]])</f>
        <v>0</v>
      </c>
      <c r="R26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62" s="51" cm="1">
        <f t="array" ref="S2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62" s="3" cm="1">
        <f t="array" ref="T2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62" s="25">
        <f>_xlfn.LET(
_xlpm.tos, _xlfn.XLOOKUP(tblPayrollMaster[[#This Row],[Employee ID]], tblEmployee[Employee ID], tblEmployee[Type of Service], ""),
IF(_xlpm.tos="Contract of Service", 8.25, 0)
)</f>
        <v>0</v>
      </c>
      <c r="V262" s="25">
        <f>tblPayrollMaster[[#This Row],[Basic Earnings]]-tblPayrollMaster[[#This Row],[Tax]]-tblPayrollMaster[[#This Row],[NIS - Employee]]-tblPayrollMaster[[#This Row],[Health Surcharge]]</f>
        <v>0</v>
      </c>
      <c r="W262" s="25">
        <f>tblPayrollMaster[[#This Row],[Net Pay]]</f>
        <v>0</v>
      </c>
      <c r="X262" s="25"/>
    </row>
    <row r="263" spans="1:24" x14ac:dyDescent="0.25">
      <c r="A263" s="24"/>
      <c r="B263" s="24" t="str">
        <f>_xlfn.XLOOKUP(tblPayrollMaster[[#This Row],[Employee ID]],tblEmployee[Employee ID],tblEmployee[Employee Name],"")</f>
        <v/>
      </c>
      <c r="C263" s="24" t="str">
        <f>_xlfn.XLOOKUP(tblPayrollMaster[[#This Row],[Employee ID]],tblEmployee[Employee ID],tblEmployee[Employee Position],"")</f>
        <v/>
      </c>
      <c r="D263" s="24" t="str">
        <f>_xlfn.XLOOKUP(tblPayrollMaster[[#This Row],[Employee ID]], tblEmployee[Employee ID], tblEmployee[Pay Status], "Pay")</f>
        <v>Pay</v>
      </c>
      <c r="E263" s="24" t="str">
        <f>_xlfn.XLOOKUP(tblPayrollMaster[[#This Row],[Employee ID]], tblEmployee[Employee ID], tblEmployee[Payable Flag], "Y")</f>
        <v>Y</v>
      </c>
      <c r="F263" s="45">
        <f>IF(tblPayrollMaster[[#This Row],[Payable Flag]]="N",0,_xlfn.XLOOKUP(tblPayrollMaster[[#This Row],[Employee ID]],tblEmployee[Employee ID],tblEmployee[Pay Factor],1))</f>
        <v>1</v>
      </c>
      <c r="G263" s="26" t="str" cm="1">
        <f t="array" ref="G263">IF(tblPayrollMaster[[#This Row],[Employee ID]]="","",_xlfn.XLOOKUP(selPayPeriodID,tblPayCalendar[PayPeriodID],tblPayCalendar[PeriodStart],""))</f>
        <v/>
      </c>
      <c r="H263" s="26" t="str" cm="1">
        <f t="array" ref="H263">IF(tblPayrollMaster[[#This Row],[Employee ID]]="","",_xlfn.XLOOKUP(selPayPeriodID,tblPayCalendar[PayPeriodID],tblPayCalendar[PeriodEnd],""))</f>
        <v/>
      </c>
      <c r="I263" s="24" t="e" cm="1" vm="1">
        <f t="array" aca="1" ref="I263" ca="1">Table18[Employer Name]</f>
        <v>#VALUE!</v>
      </c>
      <c r="J263" s="3" cm="1">
        <f t="array" ref="J26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63" s="25" t="str">
        <f>_xlfn.XLOOKUP(tblPayrollMaster[[#This Row],[Employee Position]],tblPositionandPayRate[Employee Position],tblPositionandPayRate[Overtime], " ")</f>
        <v xml:space="preserve"> </v>
      </c>
      <c r="L263" s="25">
        <f>_xlfn.XLOOKUP(tblPayrollMaster[[#This Row],[Employee Position]],tblPositionandPayRate[Employee Position],tblPositionandPayRate[Allowance 1],0)*tblPayrollMaster[[#This Row],[Pay Factor]]</f>
        <v>0</v>
      </c>
      <c r="M263" s="25">
        <f>_xlfn.XLOOKUP(tblPayrollMaster[[#This Row],[Employee Position]],tblPositionandPayRate[Employee Position],tblPositionandPayRate[Allowance 2],0)*tblPayrollMaster[[#This Row],[Pay Factor]]</f>
        <v>0</v>
      </c>
      <c r="N263" s="25">
        <f>_xlfn.XLOOKUP(tblPayrollMaster[[#This Row],[Employee Position]],tblPositionandPayRate[Employee Position],tblPositionandPayRate[Allowance 3],0)*tblPayrollMaster[[#This Row],[Pay Factor]]</f>
        <v>0</v>
      </c>
      <c r="O263" s="25">
        <f>_xlfn.XLOOKUP(tblPayrollMaster[[#This Row],[Employee Position]],tblPositionandPayRate[Employee Position],tblPositionandPayRate[Allowance 4],0)*tblPayrollMaster[[#This Row],[Pay Factor]]</f>
        <v>0</v>
      </c>
      <c r="P263" s="25">
        <f>_xlfn.XLOOKUP(tblPayrollMaster[[#This Row],[Employee Position]],tblPositionandPayRate[Employee Position],tblPositionandPayRate[Allowance 5],0)*tblPayrollMaster[[#This Row],[Pay Factor]]</f>
        <v>0</v>
      </c>
      <c r="Q263" s="25">
        <f>SUM(tblPayrollMaster[[#This Row],[Basic Pay]:[Allowance 5]])</f>
        <v>0</v>
      </c>
      <c r="R26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63" s="51" cm="1">
        <f t="array" ref="S2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63" s="3" cm="1">
        <f t="array" ref="T2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63" s="25">
        <f>_xlfn.LET(
_xlpm.tos, _xlfn.XLOOKUP(tblPayrollMaster[[#This Row],[Employee ID]], tblEmployee[Employee ID], tblEmployee[Type of Service], ""),
IF(_xlpm.tos="Contract of Service", 8.25, 0)
)</f>
        <v>0</v>
      </c>
      <c r="V263" s="25">
        <f>tblPayrollMaster[[#This Row],[Basic Earnings]]-tblPayrollMaster[[#This Row],[Tax]]-tblPayrollMaster[[#This Row],[NIS - Employee]]-tblPayrollMaster[[#This Row],[Health Surcharge]]</f>
        <v>0</v>
      </c>
      <c r="W263" s="25">
        <f>tblPayrollMaster[[#This Row],[Net Pay]]</f>
        <v>0</v>
      </c>
      <c r="X263" s="25"/>
    </row>
    <row r="264" spans="1:24" x14ac:dyDescent="0.25">
      <c r="A264" s="24"/>
      <c r="B264" s="24" t="str">
        <f>_xlfn.XLOOKUP(tblPayrollMaster[[#This Row],[Employee ID]],tblEmployee[Employee ID],tblEmployee[Employee Name],"")</f>
        <v/>
      </c>
      <c r="C264" s="24" t="str">
        <f>_xlfn.XLOOKUP(tblPayrollMaster[[#This Row],[Employee ID]],tblEmployee[Employee ID],tblEmployee[Employee Position],"")</f>
        <v/>
      </c>
      <c r="D264" s="24" t="str">
        <f>_xlfn.XLOOKUP(tblPayrollMaster[[#This Row],[Employee ID]], tblEmployee[Employee ID], tblEmployee[Pay Status], "Pay")</f>
        <v>Pay</v>
      </c>
      <c r="E264" s="24" t="str">
        <f>_xlfn.XLOOKUP(tblPayrollMaster[[#This Row],[Employee ID]], tblEmployee[Employee ID], tblEmployee[Payable Flag], "Y")</f>
        <v>Y</v>
      </c>
      <c r="F264" s="45">
        <f>IF(tblPayrollMaster[[#This Row],[Payable Flag]]="N",0,_xlfn.XLOOKUP(tblPayrollMaster[[#This Row],[Employee ID]],tblEmployee[Employee ID],tblEmployee[Pay Factor],1))</f>
        <v>1</v>
      </c>
      <c r="G264" s="26" t="str" cm="1">
        <f t="array" ref="G264">IF(tblPayrollMaster[[#This Row],[Employee ID]]="","",_xlfn.XLOOKUP(selPayPeriodID,tblPayCalendar[PayPeriodID],tblPayCalendar[PeriodStart],""))</f>
        <v/>
      </c>
      <c r="H264" s="26" t="str" cm="1">
        <f t="array" ref="H264">IF(tblPayrollMaster[[#This Row],[Employee ID]]="","",_xlfn.XLOOKUP(selPayPeriodID,tblPayCalendar[PayPeriodID],tblPayCalendar[PeriodEnd],""))</f>
        <v/>
      </c>
      <c r="I264" s="24" t="e" cm="1" vm="1">
        <f t="array" aca="1" ref="I264" ca="1">Table18[Employer Name]</f>
        <v>#VALUE!</v>
      </c>
      <c r="J264" s="3" cm="1">
        <f t="array" ref="J26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64" s="25" t="str">
        <f>_xlfn.XLOOKUP(tblPayrollMaster[[#This Row],[Employee Position]],tblPositionandPayRate[Employee Position],tblPositionandPayRate[Overtime], " ")</f>
        <v xml:space="preserve"> </v>
      </c>
      <c r="L264" s="25">
        <f>_xlfn.XLOOKUP(tblPayrollMaster[[#This Row],[Employee Position]],tblPositionandPayRate[Employee Position],tblPositionandPayRate[Allowance 1],0)*tblPayrollMaster[[#This Row],[Pay Factor]]</f>
        <v>0</v>
      </c>
      <c r="M264" s="25">
        <f>_xlfn.XLOOKUP(tblPayrollMaster[[#This Row],[Employee Position]],tblPositionandPayRate[Employee Position],tblPositionandPayRate[Allowance 2],0)*tblPayrollMaster[[#This Row],[Pay Factor]]</f>
        <v>0</v>
      </c>
      <c r="N264" s="25">
        <f>_xlfn.XLOOKUP(tblPayrollMaster[[#This Row],[Employee Position]],tblPositionandPayRate[Employee Position],tblPositionandPayRate[Allowance 3],0)*tblPayrollMaster[[#This Row],[Pay Factor]]</f>
        <v>0</v>
      </c>
      <c r="O264" s="25">
        <f>_xlfn.XLOOKUP(tblPayrollMaster[[#This Row],[Employee Position]],tblPositionandPayRate[Employee Position],tblPositionandPayRate[Allowance 4],0)*tblPayrollMaster[[#This Row],[Pay Factor]]</f>
        <v>0</v>
      </c>
      <c r="P264" s="25">
        <f>_xlfn.XLOOKUP(tblPayrollMaster[[#This Row],[Employee Position]],tblPositionandPayRate[Employee Position],tblPositionandPayRate[Allowance 5],0)*tblPayrollMaster[[#This Row],[Pay Factor]]</f>
        <v>0</v>
      </c>
      <c r="Q264" s="25">
        <f>SUM(tblPayrollMaster[[#This Row],[Basic Pay]:[Allowance 5]])</f>
        <v>0</v>
      </c>
      <c r="R26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64" s="51" cm="1">
        <f t="array" ref="S2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64" s="3" cm="1">
        <f t="array" ref="T2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64" s="25">
        <f>_xlfn.LET(
_xlpm.tos, _xlfn.XLOOKUP(tblPayrollMaster[[#This Row],[Employee ID]], tblEmployee[Employee ID], tblEmployee[Type of Service], ""),
IF(_xlpm.tos="Contract of Service", 8.25, 0)
)</f>
        <v>0</v>
      </c>
      <c r="V264" s="25">
        <f>tblPayrollMaster[[#This Row],[Basic Earnings]]-tblPayrollMaster[[#This Row],[Tax]]-tblPayrollMaster[[#This Row],[NIS - Employee]]-tblPayrollMaster[[#This Row],[Health Surcharge]]</f>
        <v>0</v>
      </c>
      <c r="W264" s="25">
        <f>tblPayrollMaster[[#This Row],[Net Pay]]</f>
        <v>0</v>
      </c>
      <c r="X264" s="25"/>
    </row>
    <row r="265" spans="1:24" x14ac:dyDescent="0.25">
      <c r="A265" s="24"/>
      <c r="B265" s="24" t="str">
        <f>_xlfn.XLOOKUP(tblPayrollMaster[[#This Row],[Employee ID]],tblEmployee[Employee ID],tblEmployee[Employee Name],"")</f>
        <v/>
      </c>
      <c r="C265" s="24" t="str">
        <f>_xlfn.XLOOKUP(tblPayrollMaster[[#This Row],[Employee ID]],tblEmployee[Employee ID],tblEmployee[Employee Position],"")</f>
        <v/>
      </c>
      <c r="D265" s="24" t="str">
        <f>_xlfn.XLOOKUP(tblPayrollMaster[[#This Row],[Employee ID]], tblEmployee[Employee ID], tblEmployee[Pay Status], "Pay")</f>
        <v>Pay</v>
      </c>
      <c r="E265" s="24" t="str">
        <f>_xlfn.XLOOKUP(tblPayrollMaster[[#This Row],[Employee ID]], tblEmployee[Employee ID], tblEmployee[Payable Flag], "Y")</f>
        <v>Y</v>
      </c>
      <c r="F265" s="45">
        <f>IF(tblPayrollMaster[[#This Row],[Payable Flag]]="N",0,_xlfn.XLOOKUP(tblPayrollMaster[[#This Row],[Employee ID]],tblEmployee[Employee ID],tblEmployee[Pay Factor],1))</f>
        <v>1</v>
      </c>
      <c r="G265" s="26" t="str" cm="1">
        <f t="array" ref="G265">IF(tblPayrollMaster[[#This Row],[Employee ID]]="","",_xlfn.XLOOKUP(selPayPeriodID,tblPayCalendar[PayPeriodID],tblPayCalendar[PeriodStart],""))</f>
        <v/>
      </c>
      <c r="H265" s="26" t="str" cm="1">
        <f t="array" ref="H265">IF(tblPayrollMaster[[#This Row],[Employee ID]]="","",_xlfn.XLOOKUP(selPayPeriodID,tblPayCalendar[PayPeriodID],tblPayCalendar[PeriodEnd],""))</f>
        <v/>
      </c>
      <c r="I265" s="24" t="e" cm="1" vm="1">
        <f t="array" aca="1" ref="I265" ca="1">Table18[Employer Name]</f>
        <v>#VALUE!</v>
      </c>
      <c r="J265" s="3" cm="1">
        <f t="array" ref="J26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65" s="25" t="str">
        <f>_xlfn.XLOOKUP(tblPayrollMaster[[#This Row],[Employee Position]],tblPositionandPayRate[Employee Position],tblPositionandPayRate[Overtime], " ")</f>
        <v xml:space="preserve"> </v>
      </c>
      <c r="L265" s="25">
        <f>_xlfn.XLOOKUP(tblPayrollMaster[[#This Row],[Employee Position]],tblPositionandPayRate[Employee Position],tblPositionandPayRate[Allowance 1],0)*tblPayrollMaster[[#This Row],[Pay Factor]]</f>
        <v>0</v>
      </c>
      <c r="M265" s="25">
        <f>_xlfn.XLOOKUP(tblPayrollMaster[[#This Row],[Employee Position]],tblPositionandPayRate[Employee Position],tblPositionandPayRate[Allowance 2],0)*tblPayrollMaster[[#This Row],[Pay Factor]]</f>
        <v>0</v>
      </c>
      <c r="N265" s="25">
        <f>_xlfn.XLOOKUP(tblPayrollMaster[[#This Row],[Employee Position]],tblPositionandPayRate[Employee Position],tblPositionandPayRate[Allowance 3],0)*tblPayrollMaster[[#This Row],[Pay Factor]]</f>
        <v>0</v>
      </c>
      <c r="O265" s="25">
        <f>_xlfn.XLOOKUP(tblPayrollMaster[[#This Row],[Employee Position]],tblPositionandPayRate[Employee Position],tblPositionandPayRate[Allowance 4],0)*tblPayrollMaster[[#This Row],[Pay Factor]]</f>
        <v>0</v>
      </c>
      <c r="P265" s="25">
        <f>_xlfn.XLOOKUP(tblPayrollMaster[[#This Row],[Employee Position]],tblPositionandPayRate[Employee Position],tblPositionandPayRate[Allowance 5],0)*tblPayrollMaster[[#This Row],[Pay Factor]]</f>
        <v>0</v>
      </c>
      <c r="Q265" s="25">
        <f>SUM(tblPayrollMaster[[#This Row],[Basic Pay]:[Allowance 5]])</f>
        <v>0</v>
      </c>
      <c r="R26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65" s="51" cm="1">
        <f t="array" ref="S2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65" s="3" cm="1">
        <f t="array" ref="T2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65" s="25">
        <f>_xlfn.LET(
_xlpm.tos, _xlfn.XLOOKUP(tblPayrollMaster[[#This Row],[Employee ID]], tblEmployee[Employee ID], tblEmployee[Type of Service], ""),
IF(_xlpm.tos="Contract of Service", 8.25, 0)
)</f>
        <v>0</v>
      </c>
      <c r="V265" s="25">
        <f>tblPayrollMaster[[#This Row],[Basic Earnings]]-tblPayrollMaster[[#This Row],[Tax]]-tblPayrollMaster[[#This Row],[NIS - Employee]]-tblPayrollMaster[[#This Row],[Health Surcharge]]</f>
        <v>0</v>
      </c>
      <c r="W265" s="25">
        <f>tblPayrollMaster[[#This Row],[Net Pay]]</f>
        <v>0</v>
      </c>
      <c r="X265" s="25"/>
    </row>
    <row r="266" spans="1:24" x14ac:dyDescent="0.25">
      <c r="A266" s="24"/>
      <c r="B266" s="24" t="str">
        <f>_xlfn.XLOOKUP(tblPayrollMaster[[#This Row],[Employee ID]],tblEmployee[Employee ID],tblEmployee[Employee Name],"")</f>
        <v/>
      </c>
      <c r="C266" s="24" t="str">
        <f>_xlfn.XLOOKUP(tblPayrollMaster[[#This Row],[Employee ID]],tblEmployee[Employee ID],tblEmployee[Employee Position],"")</f>
        <v/>
      </c>
      <c r="D266" s="24" t="str">
        <f>_xlfn.XLOOKUP(tblPayrollMaster[[#This Row],[Employee ID]], tblEmployee[Employee ID], tblEmployee[Pay Status], "Pay")</f>
        <v>Pay</v>
      </c>
      <c r="E266" s="24" t="str">
        <f>_xlfn.XLOOKUP(tblPayrollMaster[[#This Row],[Employee ID]], tblEmployee[Employee ID], tblEmployee[Payable Flag], "Y")</f>
        <v>Y</v>
      </c>
      <c r="F266" s="45">
        <f>IF(tblPayrollMaster[[#This Row],[Payable Flag]]="N",0,_xlfn.XLOOKUP(tblPayrollMaster[[#This Row],[Employee ID]],tblEmployee[Employee ID],tblEmployee[Pay Factor],1))</f>
        <v>1</v>
      </c>
      <c r="G266" s="26" t="str" cm="1">
        <f t="array" ref="G266">IF(tblPayrollMaster[[#This Row],[Employee ID]]="","",_xlfn.XLOOKUP(selPayPeriodID,tblPayCalendar[PayPeriodID],tblPayCalendar[PeriodStart],""))</f>
        <v/>
      </c>
      <c r="H266" s="26" t="str" cm="1">
        <f t="array" ref="H266">IF(tblPayrollMaster[[#This Row],[Employee ID]]="","",_xlfn.XLOOKUP(selPayPeriodID,tblPayCalendar[PayPeriodID],tblPayCalendar[PeriodEnd],""))</f>
        <v/>
      </c>
      <c r="I266" s="24" t="e" cm="1" vm="1">
        <f t="array" aca="1" ref="I266" ca="1">Table18[Employer Name]</f>
        <v>#VALUE!</v>
      </c>
      <c r="J266" s="3" cm="1">
        <f t="array" ref="J26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66" s="25" t="str">
        <f>_xlfn.XLOOKUP(tblPayrollMaster[[#This Row],[Employee Position]],tblPositionandPayRate[Employee Position],tblPositionandPayRate[Overtime], " ")</f>
        <v xml:space="preserve"> </v>
      </c>
      <c r="L266" s="25">
        <f>_xlfn.XLOOKUP(tblPayrollMaster[[#This Row],[Employee Position]],tblPositionandPayRate[Employee Position],tblPositionandPayRate[Allowance 1],0)*tblPayrollMaster[[#This Row],[Pay Factor]]</f>
        <v>0</v>
      </c>
      <c r="M266" s="25">
        <f>_xlfn.XLOOKUP(tblPayrollMaster[[#This Row],[Employee Position]],tblPositionandPayRate[Employee Position],tblPositionandPayRate[Allowance 2],0)*tblPayrollMaster[[#This Row],[Pay Factor]]</f>
        <v>0</v>
      </c>
      <c r="N266" s="25">
        <f>_xlfn.XLOOKUP(tblPayrollMaster[[#This Row],[Employee Position]],tblPositionandPayRate[Employee Position],tblPositionandPayRate[Allowance 3],0)*tblPayrollMaster[[#This Row],[Pay Factor]]</f>
        <v>0</v>
      </c>
      <c r="O266" s="25">
        <f>_xlfn.XLOOKUP(tblPayrollMaster[[#This Row],[Employee Position]],tblPositionandPayRate[Employee Position],tblPositionandPayRate[Allowance 4],0)*tblPayrollMaster[[#This Row],[Pay Factor]]</f>
        <v>0</v>
      </c>
      <c r="P266" s="25">
        <f>_xlfn.XLOOKUP(tblPayrollMaster[[#This Row],[Employee Position]],tblPositionandPayRate[Employee Position],tblPositionandPayRate[Allowance 5],0)*tblPayrollMaster[[#This Row],[Pay Factor]]</f>
        <v>0</v>
      </c>
      <c r="Q266" s="25">
        <f>SUM(tblPayrollMaster[[#This Row],[Basic Pay]:[Allowance 5]])</f>
        <v>0</v>
      </c>
      <c r="R26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66" s="51" cm="1">
        <f t="array" ref="S2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66" s="3" cm="1">
        <f t="array" ref="T2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66" s="25">
        <f>_xlfn.LET(
_xlpm.tos, _xlfn.XLOOKUP(tblPayrollMaster[[#This Row],[Employee ID]], tblEmployee[Employee ID], tblEmployee[Type of Service], ""),
IF(_xlpm.tos="Contract of Service", 8.25, 0)
)</f>
        <v>0</v>
      </c>
      <c r="V266" s="25">
        <f>tblPayrollMaster[[#This Row],[Basic Earnings]]-tblPayrollMaster[[#This Row],[Tax]]-tblPayrollMaster[[#This Row],[NIS - Employee]]-tblPayrollMaster[[#This Row],[Health Surcharge]]</f>
        <v>0</v>
      </c>
      <c r="W266" s="25">
        <f>tblPayrollMaster[[#This Row],[Net Pay]]</f>
        <v>0</v>
      </c>
      <c r="X266" s="25"/>
    </row>
    <row r="267" spans="1:24" x14ac:dyDescent="0.25">
      <c r="A267" s="24"/>
      <c r="B267" s="24" t="str">
        <f>_xlfn.XLOOKUP(tblPayrollMaster[[#This Row],[Employee ID]],tblEmployee[Employee ID],tblEmployee[Employee Name],"")</f>
        <v/>
      </c>
      <c r="C267" s="24" t="str">
        <f>_xlfn.XLOOKUP(tblPayrollMaster[[#This Row],[Employee ID]],tblEmployee[Employee ID],tblEmployee[Employee Position],"")</f>
        <v/>
      </c>
      <c r="D267" s="24" t="str">
        <f>_xlfn.XLOOKUP(tblPayrollMaster[[#This Row],[Employee ID]], tblEmployee[Employee ID], tblEmployee[Pay Status], "Pay")</f>
        <v>Pay</v>
      </c>
      <c r="E267" s="24" t="str">
        <f>_xlfn.XLOOKUP(tblPayrollMaster[[#This Row],[Employee ID]], tblEmployee[Employee ID], tblEmployee[Payable Flag], "Y")</f>
        <v>Y</v>
      </c>
      <c r="F267" s="45">
        <f>IF(tblPayrollMaster[[#This Row],[Payable Flag]]="N",0,_xlfn.XLOOKUP(tblPayrollMaster[[#This Row],[Employee ID]],tblEmployee[Employee ID],tblEmployee[Pay Factor],1))</f>
        <v>1</v>
      </c>
      <c r="G267" s="26" t="str" cm="1">
        <f t="array" ref="G267">IF(tblPayrollMaster[[#This Row],[Employee ID]]="","",_xlfn.XLOOKUP(selPayPeriodID,tblPayCalendar[PayPeriodID],tblPayCalendar[PeriodStart],""))</f>
        <v/>
      </c>
      <c r="H267" s="26" t="str" cm="1">
        <f t="array" ref="H267">IF(tblPayrollMaster[[#This Row],[Employee ID]]="","",_xlfn.XLOOKUP(selPayPeriodID,tblPayCalendar[PayPeriodID],tblPayCalendar[PeriodEnd],""))</f>
        <v/>
      </c>
      <c r="I267" s="24" t="e" cm="1" vm="1">
        <f t="array" aca="1" ref="I267" ca="1">Table18[Employer Name]</f>
        <v>#VALUE!</v>
      </c>
      <c r="J267" s="3" cm="1">
        <f t="array" ref="J26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67" s="25" t="str">
        <f>_xlfn.XLOOKUP(tblPayrollMaster[[#This Row],[Employee Position]],tblPositionandPayRate[Employee Position],tblPositionandPayRate[Overtime], " ")</f>
        <v xml:space="preserve"> </v>
      </c>
      <c r="L267" s="25">
        <f>_xlfn.XLOOKUP(tblPayrollMaster[[#This Row],[Employee Position]],tblPositionandPayRate[Employee Position],tblPositionandPayRate[Allowance 1],0)*tblPayrollMaster[[#This Row],[Pay Factor]]</f>
        <v>0</v>
      </c>
      <c r="M267" s="25">
        <f>_xlfn.XLOOKUP(tblPayrollMaster[[#This Row],[Employee Position]],tblPositionandPayRate[Employee Position],tblPositionandPayRate[Allowance 2],0)*tblPayrollMaster[[#This Row],[Pay Factor]]</f>
        <v>0</v>
      </c>
      <c r="N267" s="25">
        <f>_xlfn.XLOOKUP(tblPayrollMaster[[#This Row],[Employee Position]],tblPositionandPayRate[Employee Position],tblPositionandPayRate[Allowance 3],0)*tblPayrollMaster[[#This Row],[Pay Factor]]</f>
        <v>0</v>
      </c>
      <c r="O267" s="25">
        <f>_xlfn.XLOOKUP(tblPayrollMaster[[#This Row],[Employee Position]],tblPositionandPayRate[Employee Position],tblPositionandPayRate[Allowance 4],0)*tblPayrollMaster[[#This Row],[Pay Factor]]</f>
        <v>0</v>
      </c>
      <c r="P267" s="25">
        <f>_xlfn.XLOOKUP(tblPayrollMaster[[#This Row],[Employee Position]],tblPositionandPayRate[Employee Position],tblPositionandPayRate[Allowance 5],0)*tblPayrollMaster[[#This Row],[Pay Factor]]</f>
        <v>0</v>
      </c>
      <c r="Q267" s="25">
        <f>SUM(tblPayrollMaster[[#This Row],[Basic Pay]:[Allowance 5]])</f>
        <v>0</v>
      </c>
      <c r="R26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67" s="51" cm="1">
        <f t="array" ref="S2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67" s="3" cm="1">
        <f t="array" ref="T2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67" s="25">
        <f>_xlfn.LET(
_xlpm.tos, _xlfn.XLOOKUP(tblPayrollMaster[[#This Row],[Employee ID]], tblEmployee[Employee ID], tblEmployee[Type of Service], ""),
IF(_xlpm.tos="Contract of Service", 8.25, 0)
)</f>
        <v>0</v>
      </c>
      <c r="V267" s="25">
        <f>tblPayrollMaster[[#This Row],[Basic Earnings]]-tblPayrollMaster[[#This Row],[Tax]]-tblPayrollMaster[[#This Row],[NIS - Employee]]-tblPayrollMaster[[#This Row],[Health Surcharge]]</f>
        <v>0</v>
      </c>
      <c r="W267" s="25">
        <f>tblPayrollMaster[[#This Row],[Net Pay]]</f>
        <v>0</v>
      </c>
      <c r="X267" s="25"/>
    </row>
    <row r="268" spans="1:24" x14ac:dyDescent="0.25">
      <c r="A268" s="24"/>
      <c r="B268" s="24" t="str">
        <f>_xlfn.XLOOKUP(tblPayrollMaster[[#This Row],[Employee ID]],tblEmployee[Employee ID],tblEmployee[Employee Name],"")</f>
        <v/>
      </c>
      <c r="C268" s="24" t="str">
        <f>_xlfn.XLOOKUP(tblPayrollMaster[[#This Row],[Employee ID]],tblEmployee[Employee ID],tblEmployee[Employee Position],"")</f>
        <v/>
      </c>
      <c r="D268" s="24" t="str">
        <f>_xlfn.XLOOKUP(tblPayrollMaster[[#This Row],[Employee ID]], tblEmployee[Employee ID], tblEmployee[Pay Status], "Pay")</f>
        <v>Pay</v>
      </c>
      <c r="E268" s="24" t="str">
        <f>_xlfn.XLOOKUP(tblPayrollMaster[[#This Row],[Employee ID]], tblEmployee[Employee ID], tblEmployee[Payable Flag], "Y")</f>
        <v>Y</v>
      </c>
      <c r="F268" s="45">
        <f>IF(tblPayrollMaster[[#This Row],[Payable Flag]]="N",0,_xlfn.XLOOKUP(tblPayrollMaster[[#This Row],[Employee ID]],tblEmployee[Employee ID],tblEmployee[Pay Factor],1))</f>
        <v>1</v>
      </c>
      <c r="G268" s="26" t="str" cm="1">
        <f t="array" ref="G268">IF(tblPayrollMaster[[#This Row],[Employee ID]]="","",_xlfn.XLOOKUP(selPayPeriodID,tblPayCalendar[PayPeriodID],tblPayCalendar[PeriodStart],""))</f>
        <v/>
      </c>
      <c r="H268" s="26" t="str" cm="1">
        <f t="array" ref="H268">IF(tblPayrollMaster[[#This Row],[Employee ID]]="","",_xlfn.XLOOKUP(selPayPeriodID,tblPayCalendar[PayPeriodID],tblPayCalendar[PeriodEnd],""))</f>
        <v/>
      </c>
      <c r="I268" s="24" t="e" cm="1" vm="1">
        <f t="array" aca="1" ref="I268" ca="1">Table18[Employer Name]</f>
        <v>#VALUE!</v>
      </c>
      <c r="J268" s="3" cm="1">
        <f t="array" ref="J26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68" s="25" t="str">
        <f>_xlfn.XLOOKUP(tblPayrollMaster[[#This Row],[Employee Position]],tblPositionandPayRate[Employee Position],tblPositionandPayRate[Overtime], " ")</f>
        <v xml:space="preserve"> </v>
      </c>
      <c r="L268" s="25">
        <f>_xlfn.XLOOKUP(tblPayrollMaster[[#This Row],[Employee Position]],tblPositionandPayRate[Employee Position],tblPositionandPayRate[Allowance 1],0)*tblPayrollMaster[[#This Row],[Pay Factor]]</f>
        <v>0</v>
      </c>
      <c r="M268" s="25">
        <f>_xlfn.XLOOKUP(tblPayrollMaster[[#This Row],[Employee Position]],tblPositionandPayRate[Employee Position],tblPositionandPayRate[Allowance 2],0)*tblPayrollMaster[[#This Row],[Pay Factor]]</f>
        <v>0</v>
      </c>
      <c r="N268" s="25">
        <f>_xlfn.XLOOKUP(tblPayrollMaster[[#This Row],[Employee Position]],tblPositionandPayRate[Employee Position],tblPositionandPayRate[Allowance 3],0)*tblPayrollMaster[[#This Row],[Pay Factor]]</f>
        <v>0</v>
      </c>
      <c r="O268" s="25">
        <f>_xlfn.XLOOKUP(tblPayrollMaster[[#This Row],[Employee Position]],tblPositionandPayRate[Employee Position],tblPositionandPayRate[Allowance 4],0)*tblPayrollMaster[[#This Row],[Pay Factor]]</f>
        <v>0</v>
      </c>
      <c r="P268" s="25">
        <f>_xlfn.XLOOKUP(tblPayrollMaster[[#This Row],[Employee Position]],tblPositionandPayRate[Employee Position],tblPositionandPayRate[Allowance 5],0)*tblPayrollMaster[[#This Row],[Pay Factor]]</f>
        <v>0</v>
      </c>
      <c r="Q268" s="25">
        <f>SUM(tblPayrollMaster[[#This Row],[Basic Pay]:[Allowance 5]])</f>
        <v>0</v>
      </c>
      <c r="R26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68" s="51" cm="1">
        <f t="array" ref="S2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68" s="3" cm="1">
        <f t="array" ref="T2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68" s="25">
        <f>_xlfn.LET(
_xlpm.tos, _xlfn.XLOOKUP(tblPayrollMaster[[#This Row],[Employee ID]], tblEmployee[Employee ID], tblEmployee[Type of Service], ""),
IF(_xlpm.tos="Contract of Service", 8.25, 0)
)</f>
        <v>0</v>
      </c>
      <c r="V268" s="25">
        <f>tblPayrollMaster[[#This Row],[Basic Earnings]]-tblPayrollMaster[[#This Row],[Tax]]-tblPayrollMaster[[#This Row],[NIS - Employee]]-tblPayrollMaster[[#This Row],[Health Surcharge]]</f>
        <v>0</v>
      </c>
      <c r="W268" s="25">
        <f>tblPayrollMaster[[#This Row],[Net Pay]]</f>
        <v>0</v>
      </c>
      <c r="X268" s="25"/>
    </row>
    <row r="269" spans="1:24" x14ac:dyDescent="0.25">
      <c r="A269" s="24"/>
      <c r="B269" s="24" t="str">
        <f>_xlfn.XLOOKUP(tblPayrollMaster[[#This Row],[Employee ID]],tblEmployee[Employee ID],tblEmployee[Employee Name],"")</f>
        <v/>
      </c>
      <c r="C269" s="24" t="str">
        <f>_xlfn.XLOOKUP(tblPayrollMaster[[#This Row],[Employee ID]],tblEmployee[Employee ID],tblEmployee[Employee Position],"")</f>
        <v/>
      </c>
      <c r="D269" s="24" t="str">
        <f>_xlfn.XLOOKUP(tblPayrollMaster[[#This Row],[Employee ID]], tblEmployee[Employee ID], tblEmployee[Pay Status], "Pay")</f>
        <v>Pay</v>
      </c>
      <c r="E269" s="24" t="str">
        <f>_xlfn.XLOOKUP(tblPayrollMaster[[#This Row],[Employee ID]], tblEmployee[Employee ID], tblEmployee[Payable Flag], "Y")</f>
        <v>Y</v>
      </c>
      <c r="F269" s="45">
        <f>IF(tblPayrollMaster[[#This Row],[Payable Flag]]="N",0,_xlfn.XLOOKUP(tblPayrollMaster[[#This Row],[Employee ID]],tblEmployee[Employee ID],tblEmployee[Pay Factor],1))</f>
        <v>1</v>
      </c>
      <c r="G269" s="26" t="str" cm="1">
        <f t="array" ref="G269">IF(tblPayrollMaster[[#This Row],[Employee ID]]="","",_xlfn.XLOOKUP(selPayPeriodID,tblPayCalendar[PayPeriodID],tblPayCalendar[PeriodStart],""))</f>
        <v/>
      </c>
      <c r="H269" s="26" t="str" cm="1">
        <f t="array" ref="H269">IF(tblPayrollMaster[[#This Row],[Employee ID]]="","",_xlfn.XLOOKUP(selPayPeriodID,tblPayCalendar[PayPeriodID],tblPayCalendar[PeriodEnd],""))</f>
        <v/>
      </c>
      <c r="I269" s="24" t="e" cm="1" vm="1">
        <f t="array" aca="1" ref="I269" ca="1">Table18[Employer Name]</f>
        <v>#VALUE!</v>
      </c>
      <c r="J269" s="3" cm="1">
        <f t="array" ref="J26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69" s="25" t="str">
        <f>_xlfn.XLOOKUP(tblPayrollMaster[[#This Row],[Employee Position]],tblPositionandPayRate[Employee Position],tblPositionandPayRate[Overtime], " ")</f>
        <v xml:space="preserve"> </v>
      </c>
      <c r="L269" s="25">
        <f>_xlfn.XLOOKUP(tblPayrollMaster[[#This Row],[Employee Position]],tblPositionandPayRate[Employee Position],tblPositionandPayRate[Allowance 1],0)*tblPayrollMaster[[#This Row],[Pay Factor]]</f>
        <v>0</v>
      </c>
      <c r="M269" s="25">
        <f>_xlfn.XLOOKUP(tblPayrollMaster[[#This Row],[Employee Position]],tblPositionandPayRate[Employee Position],tblPositionandPayRate[Allowance 2],0)*tblPayrollMaster[[#This Row],[Pay Factor]]</f>
        <v>0</v>
      </c>
      <c r="N269" s="25">
        <f>_xlfn.XLOOKUP(tblPayrollMaster[[#This Row],[Employee Position]],tblPositionandPayRate[Employee Position],tblPositionandPayRate[Allowance 3],0)*tblPayrollMaster[[#This Row],[Pay Factor]]</f>
        <v>0</v>
      </c>
      <c r="O269" s="25">
        <f>_xlfn.XLOOKUP(tblPayrollMaster[[#This Row],[Employee Position]],tblPositionandPayRate[Employee Position],tblPositionandPayRate[Allowance 4],0)*tblPayrollMaster[[#This Row],[Pay Factor]]</f>
        <v>0</v>
      </c>
      <c r="P269" s="25">
        <f>_xlfn.XLOOKUP(tblPayrollMaster[[#This Row],[Employee Position]],tblPositionandPayRate[Employee Position],tblPositionandPayRate[Allowance 5],0)*tblPayrollMaster[[#This Row],[Pay Factor]]</f>
        <v>0</v>
      </c>
      <c r="Q269" s="25">
        <f>SUM(tblPayrollMaster[[#This Row],[Basic Pay]:[Allowance 5]])</f>
        <v>0</v>
      </c>
      <c r="R26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69" s="51" cm="1">
        <f t="array" ref="S2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69" s="3" cm="1">
        <f t="array" ref="T2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69" s="25">
        <f>_xlfn.LET(
_xlpm.tos, _xlfn.XLOOKUP(tblPayrollMaster[[#This Row],[Employee ID]], tblEmployee[Employee ID], tblEmployee[Type of Service], ""),
IF(_xlpm.tos="Contract of Service", 8.25, 0)
)</f>
        <v>0</v>
      </c>
      <c r="V269" s="25">
        <f>tblPayrollMaster[[#This Row],[Basic Earnings]]-tblPayrollMaster[[#This Row],[Tax]]-tblPayrollMaster[[#This Row],[NIS - Employee]]-tblPayrollMaster[[#This Row],[Health Surcharge]]</f>
        <v>0</v>
      </c>
      <c r="W269" s="25">
        <f>tblPayrollMaster[[#This Row],[Net Pay]]</f>
        <v>0</v>
      </c>
      <c r="X269" s="25"/>
    </row>
    <row r="270" spans="1:24" x14ac:dyDescent="0.25">
      <c r="A270" s="24"/>
      <c r="B270" s="24" t="str">
        <f>_xlfn.XLOOKUP(tblPayrollMaster[[#This Row],[Employee ID]],tblEmployee[Employee ID],tblEmployee[Employee Name],"")</f>
        <v/>
      </c>
      <c r="C270" s="24" t="str">
        <f>_xlfn.XLOOKUP(tblPayrollMaster[[#This Row],[Employee ID]],tblEmployee[Employee ID],tblEmployee[Employee Position],"")</f>
        <v/>
      </c>
      <c r="D270" s="24" t="str">
        <f>_xlfn.XLOOKUP(tblPayrollMaster[[#This Row],[Employee ID]], tblEmployee[Employee ID], tblEmployee[Pay Status], "Pay")</f>
        <v>Pay</v>
      </c>
      <c r="E270" s="24" t="str">
        <f>_xlfn.XLOOKUP(tblPayrollMaster[[#This Row],[Employee ID]], tblEmployee[Employee ID], tblEmployee[Payable Flag], "Y")</f>
        <v>Y</v>
      </c>
      <c r="F270" s="45">
        <f>IF(tblPayrollMaster[[#This Row],[Payable Flag]]="N",0,_xlfn.XLOOKUP(tblPayrollMaster[[#This Row],[Employee ID]],tblEmployee[Employee ID],tblEmployee[Pay Factor],1))</f>
        <v>1</v>
      </c>
      <c r="G270" s="26" t="str" cm="1">
        <f t="array" ref="G270">IF(tblPayrollMaster[[#This Row],[Employee ID]]="","",_xlfn.XLOOKUP(selPayPeriodID,tblPayCalendar[PayPeriodID],tblPayCalendar[PeriodStart],""))</f>
        <v/>
      </c>
      <c r="H270" s="26" t="str" cm="1">
        <f t="array" ref="H270">IF(tblPayrollMaster[[#This Row],[Employee ID]]="","",_xlfn.XLOOKUP(selPayPeriodID,tblPayCalendar[PayPeriodID],tblPayCalendar[PeriodEnd],""))</f>
        <v/>
      </c>
      <c r="I270" s="24" t="e" cm="1" vm="1">
        <f t="array" aca="1" ref="I270" ca="1">Table18[Employer Name]</f>
        <v>#VALUE!</v>
      </c>
      <c r="J270" s="3" cm="1">
        <f t="array" ref="J27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70" s="25" t="str">
        <f>_xlfn.XLOOKUP(tblPayrollMaster[[#This Row],[Employee Position]],tblPositionandPayRate[Employee Position],tblPositionandPayRate[Overtime], " ")</f>
        <v xml:space="preserve"> </v>
      </c>
      <c r="L270" s="25">
        <f>_xlfn.XLOOKUP(tblPayrollMaster[[#This Row],[Employee Position]],tblPositionandPayRate[Employee Position],tblPositionandPayRate[Allowance 1],0)*tblPayrollMaster[[#This Row],[Pay Factor]]</f>
        <v>0</v>
      </c>
      <c r="M270" s="25">
        <f>_xlfn.XLOOKUP(tblPayrollMaster[[#This Row],[Employee Position]],tblPositionandPayRate[Employee Position],tblPositionandPayRate[Allowance 2],0)*tblPayrollMaster[[#This Row],[Pay Factor]]</f>
        <v>0</v>
      </c>
      <c r="N270" s="25">
        <f>_xlfn.XLOOKUP(tblPayrollMaster[[#This Row],[Employee Position]],tblPositionandPayRate[Employee Position],tblPositionandPayRate[Allowance 3],0)*tblPayrollMaster[[#This Row],[Pay Factor]]</f>
        <v>0</v>
      </c>
      <c r="O270" s="25">
        <f>_xlfn.XLOOKUP(tblPayrollMaster[[#This Row],[Employee Position]],tblPositionandPayRate[Employee Position],tblPositionandPayRate[Allowance 4],0)*tblPayrollMaster[[#This Row],[Pay Factor]]</f>
        <v>0</v>
      </c>
      <c r="P270" s="25">
        <f>_xlfn.XLOOKUP(tblPayrollMaster[[#This Row],[Employee Position]],tblPositionandPayRate[Employee Position],tblPositionandPayRate[Allowance 5],0)*tblPayrollMaster[[#This Row],[Pay Factor]]</f>
        <v>0</v>
      </c>
      <c r="Q270" s="25">
        <f>SUM(tblPayrollMaster[[#This Row],[Basic Pay]:[Allowance 5]])</f>
        <v>0</v>
      </c>
      <c r="R27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70" s="51" cm="1">
        <f t="array" ref="S2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70" s="3" cm="1">
        <f t="array" ref="T2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70" s="25">
        <f>_xlfn.LET(
_xlpm.tos, _xlfn.XLOOKUP(tblPayrollMaster[[#This Row],[Employee ID]], tblEmployee[Employee ID], tblEmployee[Type of Service], ""),
IF(_xlpm.tos="Contract of Service", 8.25, 0)
)</f>
        <v>0</v>
      </c>
      <c r="V270" s="25">
        <f>tblPayrollMaster[[#This Row],[Basic Earnings]]-tblPayrollMaster[[#This Row],[Tax]]-tblPayrollMaster[[#This Row],[NIS - Employee]]-tblPayrollMaster[[#This Row],[Health Surcharge]]</f>
        <v>0</v>
      </c>
      <c r="W270" s="25">
        <f>tblPayrollMaster[[#This Row],[Net Pay]]</f>
        <v>0</v>
      </c>
      <c r="X270" s="25"/>
    </row>
    <row r="271" spans="1:24" x14ac:dyDescent="0.25">
      <c r="A271" s="24"/>
      <c r="B271" s="24" t="str">
        <f>_xlfn.XLOOKUP(tblPayrollMaster[[#This Row],[Employee ID]],tblEmployee[Employee ID],tblEmployee[Employee Name],"")</f>
        <v/>
      </c>
      <c r="C271" s="24" t="str">
        <f>_xlfn.XLOOKUP(tblPayrollMaster[[#This Row],[Employee ID]],tblEmployee[Employee ID],tblEmployee[Employee Position],"")</f>
        <v/>
      </c>
      <c r="D271" s="24" t="str">
        <f>_xlfn.XLOOKUP(tblPayrollMaster[[#This Row],[Employee ID]], tblEmployee[Employee ID], tblEmployee[Pay Status], "Pay")</f>
        <v>Pay</v>
      </c>
      <c r="E271" s="24" t="str">
        <f>_xlfn.XLOOKUP(tblPayrollMaster[[#This Row],[Employee ID]], tblEmployee[Employee ID], tblEmployee[Payable Flag], "Y")</f>
        <v>Y</v>
      </c>
      <c r="F271" s="45">
        <f>IF(tblPayrollMaster[[#This Row],[Payable Flag]]="N",0,_xlfn.XLOOKUP(tblPayrollMaster[[#This Row],[Employee ID]],tblEmployee[Employee ID],tblEmployee[Pay Factor],1))</f>
        <v>1</v>
      </c>
      <c r="G271" s="26" t="str" cm="1">
        <f t="array" ref="G271">IF(tblPayrollMaster[[#This Row],[Employee ID]]="","",_xlfn.XLOOKUP(selPayPeriodID,tblPayCalendar[PayPeriodID],tblPayCalendar[PeriodStart],""))</f>
        <v/>
      </c>
      <c r="H271" s="26" t="str" cm="1">
        <f t="array" ref="H271">IF(tblPayrollMaster[[#This Row],[Employee ID]]="","",_xlfn.XLOOKUP(selPayPeriodID,tblPayCalendar[PayPeriodID],tblPayCalendar[PeriodEnd],""))</f>
        <v/>
      </c>
      <c r="I271" s="24" t="e" cm="1" vm="1">
        <f t="array" aca="1" ref="I271" ca="1">Table18[Employer Name]</f>
        <v>#VALUE!</v>
      </c>
      <c r="J271" s="3" cm="1">
        <f t="array" ref="J27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71" s="25" t="str">
        <f>_xlfn.XLOOKUP(tblPayrollMaster[[#This Row],[Employee Position]],tblPositionandPayRate[Employee Position],tblPositionandPayRate[Overtime], " ")</f>
        <v xml:space="preserve"> </v>
      </c>
      <c r="L271" s="25">
        <f>_xlfn.XLOOKUP(tblPayrollMaster[[#This Row],[Employee Position]],tblPositionandPayRate[Employee Position],tblPositionandPayRate[Allowance 1],0)*tblPayrollMaster[[#This Row],[Pay Factor]]</f>
        <v>0</v>
      </c>
      <c r="M271" s="25">
        <f>_xlfn.XLOOKUP(tblPayrollMaster[[#This Row],[Employee Position]],tblPositionandPayRate[Employee Position],tblPositionandPayRate[Allowance 2],0)*tblPayrollMaster[[#This Row],[Pay Factor]]</f>
        <v>0</v>
      </c>
      <c r="N271" s="25">
        <f>_xlfn.XLOOKUP(tblPayrollMaster[[#This Row],[Employee Position]],tblPositionandPayRate[Employee Position],tblPositionandPayRate[Allowance 3],0)*tblPayrollMaster[[#This Row],[Pay Factor]]</f>
        <v>0</v>
      </c>
      <c r="O271" s="25">
        <f>_xlfn.XLOOKUP(tblPayrollMaster[[#This Row],[Employee Position]],tblPositionandPayRate[Employee Position],tblPositionandPayRate[Allowance 4],0)*tblPayrollMaster[[#This Row],[Pay Factor]]</f>
        <v>0</v>
      </c>
      <c r="P271" s="25">
        <f>_xlfn.XLOOKUP(tblPayrollMaster[[#This Row],[Employee Position]],tblPositionandPayRate[Employee Position],tblPositionandPayRate[Allowance 5],0)*tblPayrollMaster[[#This Row],[Pay Factor]]</f>
        <v>0</v>
      </c>
      <c r="Q271" s="25">
        <f>SUM(tblPayrollMaster[[#This Row],[Basic Pay]:[Allowance 5]])</f>
        <v>0</v>
      </c>
      <c r="R27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71" s="51" cm="1">
        <f t="array" ref="S2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71" s="3" cm="1">
        <f t="array" ref="T2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71" s="25">
        <f>_xlfn.LET(
_xlpm.tos, _xlfn.XLOOKUP(tblPayrollMaster[[#This Row],[Employee ID]], tblEmployee[Employee ID], tblEmployee[Type of Service], ""),
IF(_xlpm.tos="Contract of Service", 8.25, 0)
)</f>
        <v>0</v>
      </c>
      <c r="V271" s="25">
        <f>tblPayrollMaster[[#This Row],[Basic Earnings]]-tblPayrollMaster[[#This Row],[Tax]]-tblPayrollMaster[[#This Row],[NIS - Employee]]-tblPayrollMaster[[#This Row],[Health Surcharge]]</f>
        <v>0</v>
      </c>
      <c r="W271" s="25">
        <f>tblPayrollMaster[[#This Row],[Net Pay]]</f>
        <v>0</v>
      </c>
      <c r="X271" s="25"/>
    </row>
    <row r="272" spans="1:24" x14ac:dyDescent="0.25">
      <c r="A272" s="24"/>
      <c r="B272" s="24" t="str">
        <f>_xlfn.XLOOKUP(tblPayrollMaster[[#This Row],[Employee ID]],tblEmployee[Employee ID],tblEmployee[Employee Name],"")</f>
        <v/>
      </c>
      <c r="C272" s="24" t="str">
        <f>_xlfn.XLOOKUP(tblPayrollMaster[[#This Row],[Employee ID]],tblEmployee[Employee ID],tblEmployee[Employee Position],"")</f>
        <v/>
      </c>
      <c r="D272" s="24" t="str">
        <f>_xlfn.XLOOKUP(tblPayrollMaster[[#This Row],[Employee ID]], tblEmployee[Employee ID], tblEmployee[Pay Status], "Pay")</f>
        <v>Pay</v>
      </c>
      <c r="E272" s="24" t="str">
        <f>_xlfn.XLOOKUP(tblPayrollMaster[[#This Row],[Employee ID]], tblEmployee[Employee ID], tblEmployee[Payable Flag], "Y")</f>
        <v>Y</v>
      </c>
      <c r="F272" s="45">
        <f>IF(tblPayrollMaster[[#This Row],[Payable Flag]]="N",0,_xlfn.XLOOKUP(tblPayrollMaster[[#This Row],[Employee ID]],tblEmployee[Employee ID],tblEmployee[Pay Factor],1))</f>
        <v>1</v>
      </c>
      <c r="G272" s="26" t="str" cm="1">
        <f t="array" ref="G272">IF(tblPayrollMaster[[#This Row],[Employee ID]]="","",_xlfn.XLOOKUP(selPayPeriodID,tblPayCalendar[PayPeriodID],tblPayCalendar[PeriodStart],""))</f>
        <v/>
      </c>
      <c r="H272" s="26" t="str" cm="1">
        <f t="array" ref="H272">IF(tblPayrollMaster[[#This Row],[Employee ID]]="","",_xlfn.XLOOKUP(selPayPeriodID,tblPayCalendar[PayPeriodID],tblPayCalendar[PeriodEnd],""))</f>
        <v/>
      </c>
      <c r="I272" s="24" t="e" cm="1" vm="1">
        <f t="array" aca="1" ref="I272" ca="1">Table18[Employer Name]</f>
        <v>#VALUE!</v>
      </c>
      <c r="J272" s="3" cm="1">
        <f t="array" ref="J27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72" s="25" t="str">
        <f>_xlfn.XLOOKUP(tblPayrollMaster[[#This Row],[Employee Position]],tblPositionandPayRate[Employee Position],tblPositionandPayRate[Overtime], " ")</f>
        <v xml:space="preserve"> </v>
      </c>
      <c r="L272" s="25">
        <f>_xlfn.XLOOKUP(tblPayrollMaster[[#This Row],[Employee Position]],tblPositionandPayRate[Employee Position],tblPositionandPayRate[Allowance 1],0)*tblPayrollMaster[[#This Row],[Pay Factor]]</f>
        <v>0</v>
      </c>
      <c r="M272" s="25">
        <f>_xlfn.XLOOKUP(tblPayrollMaster[[#This Row],[Employee Position]],tblPositionandPayRate[Employee Position],tblPositionandPayRate[Allowance 2],0)*tblPayrollMaster[[#This Row],[Pay Factor]]</f>
        <v>0</v>
      </c>
      <c r="N272" s="25">
        <f>_xlfn.XLOOKUP(tblPayrollMaster[[#This Row],[Employee Position]],tblPositionandPayRate[Employee Position],tblPositionandPayRate[Allowance 3],0)*tblPayrollMaster[[#This Row],[Pay Factor]]</f>
        <v>0</v>
      </c>
      <c r="O272" s="25">
        <f>_xlfn.XLOOKUP(tblPayrollMaster[[#This Row],[Employee Position]],tblPositionandPayRate[Employee Position],tblPositionandPayRate[Allowance 4],0)*tblPayrollMaster[[#This Row],[Pay Factor]]</f>
        <v>0</v>
      </c>
      <c r="P272" s="25">
        <f>_xlfn.XLOOKUP(tblPayrollMaster[[#This Row],[Employee Position]],tblPositionandPayRate[Employee Position],tblPositionandPayRate[Allowance 5],0)*tblPayrollMaster[[#This Row],[Pay Factor]]</f>
        <v>0</v>
      </c>
      <c r="Q272" s="25">
        <f>SUM(tblPayrollMaster[[#This Row],[Basic Pay]:[Allowance 5]])</f>
        <v>0</v>
      </c>
      <c r="R27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72" s="51" cm="1">
        <f t="array" ref="S2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72" s="3" cm="1">
        <f t="array" ref="T2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72" s="25">
        <f>_xlfn.LET(
_xlpm.tos, _xlfn.XLOOKUP(tblPayrollMaster[[#This Row],[Employee ID]], tblEmployee[Employee ID], tblEmployee[Type of Service], ""),
IF(_xlpm.tos="Contract of Service", 8.25, 0)
)</f>
        <v>0</v>
      </c>
      <c r="V272" s="25">
        <f>tblPayrollMaster[[#This Row],[Basic Earnings]]-tblPayrollMaster[[#This Row],[Tax]]-tblPayrollMaster[[#This Row],[NIS - Employee]]-tblPayrollMaster[[#This Row],[Health Surcharge]]</f>
        <v>0</v>
      </c>
      <c r="W272" s="25">
        <f>tblPayrollMaster[[#This Row],[Net Pay]]</f>
        <v>0</v>
      </c>
      <c r="X272" s="25"/>
    </row>
    <row r="273" spans="1:24" x14ac:dyDescent="0.25">
      <c r="A273" s="24"/>
      <c r="B273" s="24" t="str">
        <f>_xlfn.XLOOKUP(tblPayrollMaster[[#This Row],[Employee ID]],tblEmployee[Employee ID],tblEmployee[Employee Name],"")</f>
        <v/>
      </c>
      <c r="C273" s="24" t="str">
        <f>_xlfn.XLOOKUP(tblPayrollMaster[[#This Row],[Employee ID]],tblEmployee[Employee ID],tblEmployee[Employee Position],"")</f>
        <v/>
      </c>
      <c r="D273" s="24" t="str">
        <f>_xlfn.XLOOKUP(tblPayrollMaster[[#This Row],[Employee ID]], tblEmployee[Employee ID], tblEmployee[Pay Status], "Pay")</f>
        <v>Pay</v>
      </c>
      <c r="E273" s="24" t="str">
        <f>_xlfn.XLOOKUP(tblPayrollMaster[[#This Row],[Employee ID]], tblEmployee[Employee ID], tblEmployee[Payable Flag], "Y")</f>
        <v>Y</v>
      </c>
      <c r="F273" s="45">
        <f>IF(tblPayrollMaster[[#This Row],[Payable Flag]]="N",0,_xlfn.XLOOKUP(tblPayrollMaster[[#This Row],[Employee ID]],tblEmployee[Employee ID],tblEmployee[Pay Factor],1))</f>
        <v>1</v>
      </c>
      <c r="G273" s="26" t="str" cm="1">
        <f t="array" ref="G273">IF(tblPayrollMaster[[#This Row],[Employee ID]]="","",_xlfn.XLOOKUP(selPayPeriodID,tblPayCalendar[PayPeriodID],tblPayCalendar[PeriodStart],""))</f>
        <v/>
      </c>
      <c r="H273" s="26" t="str" cm="1">
        <f t="array" ref="H273">IF(tblPayrollMaster[[#This Row],[Employee ID]]="","",_xlfn.XLOOKUP(selPayPeriodID,tblPayCalendar[PayPeriodID],tblPayCalendar[PeriodEnd],""))</f>
        <v/>
      </c>
      <c r="I273" s="24" t="e" cm="1" vm="1">
        <f t="array" aca="1" ref="I273" ca="1">Table18[Employer Name]</f>
        <v>#VALUE!</v>
      </c>
      <c r="J273" s="3" cm="1">
        <f t="array" ref="J27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73" s="25" t="str">
        <f>_xlfn.XLOOKUP(tblPayrollMaster[[#This Row],[Employee Position]],tblPositionandPayRate[Employee Position],tblPositionandPayRate[Overtime], " ")</f>
        <v xml:space="preserve"> </v>
      </c>
      <c r="L273" s="25">
        <f>_xlfn.XLOOKUP(tblPayrollMaster[[#This Row],[Employee Position]],tblPositionandPayRate[Employee Position],tblPositionandPayRate[Allowance 1],0)*tblPayrollMaster[[#This Row],[Pay Factor]]</f>
        <v>0</v>
      </c>
      <c r="M273" s="25">
        <f>_xlfn.XLOOKUP(tblPayrollMaster[[#This Row],[Employee Position]],tblPositionandPayRate[Employee Position],tblPositionandPayRate[Allowance 2],0)*tblPayrollMaster[[#This Row],[Pay Factor]]</f>
        <v>0</v>
      </c>
      <c r="N273" s="25">
        <f>_xlfn.XLOOKUP(tblPayrollMaster[[#This Row],[Employee Position]],tblPositionandPayRate[Employee Position],tblPositionandPayRate[Allowance 3],0)*tblPayrollMaster[[#This Row],[Pay Factor]]</f>
        <v>0</v>
      </c>
      <c r="O273" s="25">
        <f>_xlfn.XLOOKUP(tblPayrollMaster[[#This Row],[Employee Position]],tblPositionandPayRate[Employee Position],tblPositionandPayRate[Allowance 4],0)*tblPayrollMaster[[#This Row],[Pay Factor]]</f>
        <v>0</v>
      </c>
      <c r="P273" s="25">
        <f>_xlfn.XLOOKUP(tblPayrollMaster[[#This Row],[Employee Position]],tblPositionandPayRate[Employee Position],tblPositionandPayRate[Allowance 5],0)*tblPayrollMaster[[#This Row],[Pay Factor]]</f>
        <v>0</v>
      </c>
      <c r="Q273" s="25">
        <f>SUM(tblPayrollMaster[[#This Row],[Basic Pay]:[Allowance 5]])</f>
        <v>0</v>
      </c>
      <c r="R27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73" s="51" cm="1">
        <f t="array" ref="S2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73" s="3" cm="1">
        <f t="array" ref="T2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73" s="25">
        <f>_xlfn.LET(
_xlpm.tos, _xlfn.XLOOKUP(tblPayrollMaster[[#This Row],[Employee ID]], tblEmployee[Employee ID], tblEmployee[Type of Service], ""),
IF(_xlpm.tos="Contract of Service", 8.25, 0)
)</f>
        <v>0</v>
      </c>
      <c r="V273" s="25">
        <f>tblPayrollMaster[[#This Row],[Basic Earnings]]-tblPayrollMaster[[#This Row],[Tax]]-tblPayrollMaster[[#This Row],[NIS - Employee]]-tblPayrollMaster[[#This Row],[Health Surcharge]]</f>
        <v>0</v>
      </c>
      <c r="W273" s="25">
        <f>tblPayrollMaster[[#This Row],[Net Pay]]</f>
        <v>0</v>
      </c>
      <c r="X273" s="25"/>
    </row>
    <row r="274" spans="1:24" x14ac:dyDescent="0.25">
      <c r="A274" s="24"/>
      <c r="B274" s="24" t="str">
        <f>_xlfn.XLOOKUP(tblPayrollMaster[[#This Row],[Employee ID]],tblEmployee[Employee ID],tblEmployee[Employee Name],"")</f>
        <v/>
      </c>
      <c r="C274" s="24" t="str">
        <f>_xlfn.XLOOKUP(tblPayrollMaster[[#This Row],[Employee ID]],tblEmployee[Employee ID],tblEmployee[Employee Position],"")</f>
        <v/>
      </c>
      <c r="D274" s="24" t="str">
        <f>_xlfn.XLOOKUP(tblPayrollMaster[[#This Row],[Employee ID]], tblEmployee[Employee ID], tblEmployee[Pay Status], "Pay")</f>
        <v>Pay</v>
      </c>
      <c r="E274" s="24" t="str">
        <f>_xlfn.XLOOKUP(tblPayrollMaster[[#This Row],[Employee ID]], tblEmployee[Employee ID], tblEmployee[Payable Flag], "Y")</f>
        <v>Y</v>
      </c>
      <c r="F274" s="45">
        <f>IF(tblPayrollMaster[[#This Row],[Payable Flag]]="N",0,_xlfn.XLOOKUP(tblPayrollMaster[[#This Row],[Employee ID]],tblEmployee[Employee ID],tblEmployee[Pay Factor],1))</f>
        <v>1</v>
      </c>
      <c r="G274" s="26" t="str" cm="1">
        <f t="array" ref="G274">IF(tblPayrollMaster[[#This Row],[Employee ID]]="","",_xlfn.XLOOKUP(selPayPeriodID,tblPayCalendar[PayPeriodID],tblPayCalendar[PeriodStart],""))</f>
        <v/>
      </c>
      <c r="H274" s="26" t="str" cm="1">
        <f t="array" ref="H274">IF(tblPayrollMaster[[#This Row],[Employee ID]]="","",_xlfn.XLOOKUP(selPayPeriodID,tblPayCalendar[PayPeriodID],tblPayCalendar[PeriodEnd],""))</f>
        <v/>
      </c>
      <c r="I274" s="24" t="e" cm="1" vm="1">
        <f t="array" aca="1" ref="I274" ca="1">Table18[Employer Name]</f>
        <v>#VALUE!</v>
      </c>
      <c r="J274" s="3" cm="1">
        <f t="array" ref="J27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74" s="25" t="str">
        <f>_xlfn.XLOOKUP(tblPayrollMaster[[#This Row],[Employee Position]],tblPositionandPayRate[Employee Position],tblPositionandPayRate[Overtime], " ")</f>
        <v xml:space="preserve"> </v>
      </c>
      <c r="L274" s="25">
        <f>_xlfn.XLOOKUP(tblPayrollMaster[[#This Row],[Employee Position]],tblPositionandPayRate[Employee Position],tblPositionandPayRate[Allowance 1],0)*tblPayrollMaster[[#This Row],[Pay Factor]]</f>
        <v>0</v>
      </c>
      <c r="M274" s="25">
        <f>_xlfn.XLOOKUP(tblPayrollMaster[[#This Row],[Employee Position]],tblPositionandPayRate[Employee Position],tblPositionandPayRate[Allowance 2],0)*tblPayrollMaster[[#This Row],[Pay Factor]]</f>
        <v>0</v>
      </c>
      <c r="N274" s="25">
        <f>_xlfn.XLOOKUP(tblPayrollMaster[[#This Row],[Employee Position]],tblPositionandPayRate[Employee Position],tblPositionandPayRate[Allowance 3],0)*tblPayrollMaster[[#This Row],[Pay Factor]]</f>
        <v>0</v>
      </c>
      <c r="O274" s="25">
        <f>_xlfn.XLOOKUP(tblPayrollMaster[[#This Row],[Employee Position]],tblPositionandPayRate[Employee Position],tblPositionandPayRate[Allowance 4],0)*tblPayrollMaster[[#This Row],[Pay Factor]]</f>
        <v>0</v>
      </c>
      <c r="P274" s="25">
        <f>_xlfn.XLOOKUP(tblPayrollMaster[[#This Row],[Employee Position]],tblPositionandPayRate[Employee Position],tblPositionandPayRate[Allowance 5],0)*tblPayrollMaster[[#This Row],[Pay Factor]]</f>
        <v>0</v>
      </c>
      <c r="Q274" s="25">
        <f>SUM(tblPayrollMaster[[#This Row],[Basic Pay]:[Allowance 5]])</f>
        <v>0</v>
      </c>
      <c r="R27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74" s="51" cm="1">
        <f t="array" ref="S2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74" s="3" cm="1">
        <f t="array" ref="T2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74" s="25">
        <f>_xlfn.LET(
_xlpm.tos, _xlfn.XLOOKUP(tblPayrollMaster[[#This Row],[Employee ID]], tblEmployee[Employee ID], tblEmployee[Type of Service], ""),
IF(_xlpm.tos="Contract of Service", 8.25, 0)
)</f>
        <v>0</v>
      </c>
      <c r="V274" s="25">
        <f>tblPayrollMaster[[#This Row],[Basic Earnings]]-tblPayrollMaster[[#This Row],[Tax]]-tblPayrollMaster[[#This Row],[NIS - Employee]]-tblPayrollMaster[[#This Row],[Health Surcharge]]</f>
        <v>0</v>
      </c>
      <c r="W274" s="25">
        <f>tblPayrollMaster[[#This Row],[Net Pay]]</f>
        <v>0</v>
      </c>
      <c r="X274" s="25"/>
    </row>
    <row r="275" spans="1:24" x14ac:dyDescent="0.25">
      <c r="A275" s="24"/>
      <c r="B275" s="24" t="str">
        <f>_xlfn.XLOOKUP(tblPayrollMaster[[#This Row],[Employee ID]],tblEmployee[Employee ID],tblEmployee[Employee Name],"")</f>
        <v/>
      </c>
      <c r="C275" s="24" t="str">
        <f>_xlfn.XLOOKUP(tblPayrollMaster[[#This Row],[Employee ID]],tblEmployee[Employee ID],tblEmployee[Employee Position],"")</f>
        <v/>
      </c>
      <c r="D275" s="24" t="str">
        <f>_xlfn.XLOOKUP(tblPayrollMaster[[#This Row],[Employee ID]], tblEmployee[Employee ID], tblEmployee[Pay Status], "Pay")</f>
        <v>Pay</v>
      </c>
      <c r="E275" s="24" t="str">
        <f>_xlfn.XLOOKUP(tblPayrollMaster[[#This Row],[Employee ID]], tblEmployee[Employee ID], tblEmployee[Payable Flag], "Y")</f>
        <v>Y</v>
      </c>
      <c r="F275" s="45">
        <f>IF(tblPayrollMaster[[#This Row],[Payable Flag]]="N",0,_xlfn.XLOOKUP(tblPayrollMaster[[#This Row],[Employee ID]],tblEmployee[Employee ID],tblEmployee[Pay Factor],1))</f>
        <v>1</v>
      </c>
      <c r="G275" s="26" t="str" cm="1">
        <f t="array" ref="G275">IF(tblPayrollMaster[[#This Row],[Employee ID]]="","",_xlfn.XLOOKUP(selPayPeriodID,tblPayCalendar[PayPeriodID],tblPayCalendar[PeriodStart],""))</f>
        <v/>
      </c>
      <c r="H275" s="26" t="str" cm="1">
        <f t="array" ref="H275">IF(tblPayrollMaster[[#This Row],[Employee ID]]="","",_xlfn.XLOOKUP(selPayPeriodID,tblPayCalendar[PayPeriodID],tblPayCalendar[PeriodEnd],""))</f>
        <v/>
      </c>
      <c r="I275" s="24" t="e" cm="1" vm="1">
        <f t="array" aca="1" ref="I275" ca="1">Table18[Employer Name]</f>
        <v>#VALUE!</v>
      </c>
      <c r="J275" s="3" cm="1">
        <f t="array" ref="J27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75" s="25" t="str">
        <f>_xlfn.XLOOKUP(tblPayrollMaster[[#This Row],[Employee Position]],tblPositionandPayRate[Employee Position],tblPositionandPayRate[Overtime], " ")</f>
        <v xml:space="preserve"> </v>
      </c>
      <c r="L275" s="25">
        <f>_xlfn.XLOOKUP(tblPayrollMaster[[#This Row],[Employee Position]],tblPositionandPayRate[Employee Position],tblPositionandPayRate[Allowance 1],0)*tblPayrollMaster[[#This Row],[Pay Factor]]</f>
        <v>0</v>
      </c>
      <c r="M275" s="25">
        <f>_xlfn.XLOOKUP(tblPayrollMaster[[#This Row],[Employee Position]],tblPositionandPayRate[Employee Position],tblPositionandPayRate[Allowance 2],0)*tblPayrollMaster[[#This Row],[Pay Factor]]</f>
        <v>0</v>
      </c>
      <c r="N275" s="25">
        <f>_xlfn.XLOOKUP(tblPayrollMaster[[#This Row],[Employee Position]],tblPositionandPayRate[Employee Position],tblPositionandPayRate[Allowance 3],0)*tblPayrollMaster[[#This Row],[Pay Factor]]</f>
        <v>0</v>
      </c>
      <c r="O275" s="25">
        <f>_xlfn.XLOOKUP(tblPayrollMaster[[#This Row],[Employee Position]],tblPositionandPayRate[Employee Position],tblPositionandPayRate[Allowance 4],0)*tblPayrollMaster[[#This Row],[Pay Factor]]</f>
        <v>0</v>
      </c>
      <c r="P275" s="25">
        <f>_xlfn.XLOOKUP(tblPayrollMaster[[#This Row],[Employee Position]],tblPositionandPayRate[Employee Position],tblPositionandPayRate[Allowance 5],0)*tblPayrollMaster[[#This Row],[Pay Factor]]</f>
        <v>0</v>
      </c>
      <c r="Q275" s="25">
        <f>SUM(tblPayrollMaster[[#This Row],[Basic Pay]:[Allowance 5]])</f>
        <v>0</v>
      </c>
      <c r="R27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75" s="51" cm="1">
        <f t="array" ref="S2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75" s="3" cm="1">
        <f t="array" ref="T2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75" s="25">
        <f>_xlfn.LET(
_xlpm.tos, _xlfn.XLOOKUP(tblPayrollMaster[[#This Row],[Employee ID]], tblEmployee[Employee ID], tblEmployee[Type of Service], ""),
IF(_xlpm.tos="Contract of Service", 8.25, 0)
)</f>
        <v>0</v>
      </c>
      <c r="V275" s="25">
        <f>tblPayrollMaster[[#This Row],[Basic Earnings]]-tblPayrollMaster[[#This Row],[Tax]]-tblPayrollMaster[[#This Row],[NIS - Employee]]-tblPayrollMaster[[#This Row],[Health Surcharge]]</f>
        <v>0</v>
      </c>
      <c r="W275" s="25">
        <f>tblPayrollMaster[[#This Row],[Net Pay]]</f>
        <v>0</v>
      </c>
      <c r="X275" s="25"/>
    </row>
    <row r="276" spans="1:24" x14ac:dyDescent="0.25">
      <c r="A276" s="24"/>
      <c r="B276" s="24" t="str">
        <f>_xlfn.XLOOKUP(tblPayrollMaster[[#This Row],[Employee ID]],tblEmployee[Employee ID],tblEmployee[Employee Name],"")</f>
        <v/>
      </c>
      <c r="C276" s="24" t="str">
        <f>_xlfn.XLOOKUP(tblPayrollMaster[[#This Row],[Employee ID]],tblEmployee[Employee ID],tblEmployee[Employee Position],"")</f>
        <v/>
      </c>
      <c r="D276" s="24" t="str">
        <f>_xlfn.XLOOKUP(tblPayrollMaster[[#This Row],[Employee ID]], tblEmployee[Employee ID], tblEmployee[Pay Status], "Pay")</f>
        <v>Pay</v>
      </c>
      <c r="E276" s="24" t="str">
        <f>_xlfn.XLOOKUP(tblPayrollMaster[[#This Row],[Employee ID]], tblEmployee[Employee ID], tblEmployee[Payable Flag], "Y")</f>
        <v>Y</v>
      </c>
      <c r="F276" s="45">
        <f>IF(tblPayrollMaster[[#This Row],[Payable Flag]]="N",0,_xlfn.XLOOKUP(tblPayrollMaster[[#This Row],[Employee ID]],tblEmployee[Employee ID],tblEmployee[Pay Factor],1))</f>
        <v>1</v>
      </c>
      <c r="G276" s="26" t="str" cm="1">
        <f t="array" ref="G276">IF(tblPayrollMaster[[#This Row],[Employee ID]]="","",_xlfn.XLOOKUP(selPayPeriodID,tblPayCalendar[PayPeriodID],tblPayCalendar[PeriodStart],""))</f>
        <v/>
      </c>
      <c r="H276" s="26" t="str" cm="1">
        <f t="array" ref="H276">IF(tblPayrollMaster[[#This Row],[Employee ID]]="","",_xlfn.XLOOKUP(selPayPeriodID,tblPayCalendar[PayPeriodID],tblPayCalendar[PeriodEnd],""))</f>
        <v/>
      </c>
      <c r="I276" s="24" t="e" cm="1" vm="1">
        <f t="array" aca="1" ref="I276" ca="1">Table18[Employer Name]</f>
        <v>#VALUE!</v>
      </c>
      <c r="J276" s="3" cm="1">
        <f t="array" ref="J27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76" s="25" t="str">
        <f>_xlfn.XLOOKUP(tblPayrollMaster[[#This Row],[Employee Position]],tblPositionandPayRate[Employee Position],tblPositionandPayRate[Overtime], " ")</f>
        <v xml:space="preserve"> </v>
      </c>
      <c r="L276" s="25">
        <f>_xlfn.XLOOKUP(tblPayrollMaster[[#This Row],[Employee Position]],tblPositionandPayRate[Employee Position],tblPositionandPayRate[Allowance 1],0)*tblPayrollMaster[[#This Row],[Pay Factor]]</f>
        <v>0</v>
      </c>
      <c r="M276" s="25">
        <f>_xlfn.XLOOKUP(tblPayrollMaster[[#This Row],[Employee Position]],tblPositionandPayRate[Employee Position],tblPositionandPayRate[Allowance 2],0)*tblPayrollMaster[[#This Row],[Pay Factor]]</f>
        <v>0</v>
      </c>
      <c r="N276" s="25">
        <f>_xlfn.XLOOKUP(tblPayrollMaster[[#This Row],[Employee Position]],tblPositionandPayRate[Employee Position],tblPositionandPayRate[Allowance 3],0)*tblPayrollMaster[[#This Row],[Pay Factor]]</f>
        <v>0</v>
      </c>
      <c r="O276" s="25">
        <f>_xlfn.XLOOKUP(tblPayrollMaster[[#This Row],[Employee Position]],tblPositionandPayRate[Employee Position],tblPositionandPayRate[Allowance 4],0)*tblPayrollMaster[[#This Row],[Pay Factor]]</f>
        <v>0</v>
      </c>
      <c r="P276" s="25">
        <f>_xlfn.XLOOKUP(tblPayrollMaster[[#This Row],[Employee Position]],tblPositionandPayRate[Employee Position],tblPositionandPayRate[Allowance 5],0)*tblPayrollMaster[[#This Row],[Pay Factor]]</f>
        <v>0</v>
      </c>
      <c r="Q276" s="25">
        <f>SUM(tblPayrollMaster[[#This Row],[Basic Pay]:[Allowance 5]])</f>
        <v>0</v>
      </c>
      <c r="R27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76" s="51" cm="1">
        <f t="array" ref="S2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76" s="3" cm="1">
        <f t="array" ref="T2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76" s="25">
        <f>_xlfn.LET(
_xlpm.tos, _xlfn.XLOOKUP(tblPayrollMaster[[#This Row],[Employee ID]], tblEmployee[Employee ID], tblEmployee[Type of Service], ""),
IF(_xlpm.tos="Contract of Service", 8.25, 0)
)</f>
        <v>0</v>
      </c>
      <c r="V276" s="25">
        <f>tblPayrollMaster[[#This Row],[Basic Earnings]]-tblPayrollMaster[[#This Row],[Tax]]-tblPayrollMaster[[#This Row],[NIS - Employee]]-tblPayrollMaster[[#This Row],[Health Surcharge]]</f>
        <v>0</v>
      </c>
      <c r="W276" s="25">
        <f>tblPayrollMaster[[#This Row],[Net Pay]]</f>
        <v>0</v>
      </c>
      <c r="X276" s="25"/>
    </row>
    <row r="277" spans="1:24" x14ac:dyDescent="0.25">
      <c r="A277" s="24"/>
      <c r="B277" s="24" t="str">
        <f>_xlfn.XLOOKUP(tblPayrollMaster[[#This Row],[Employee ID]],tblEmployee[Employee ID],tblEmployee[Employee Name],"")</f>
        <v/>
      </c>
      <c r="C277" s="24" t="str">
        <f>_xlfn.XLOOKUP(tblPayrollMaster[[#This Row],[Employee ID]],tblEmployee[Employee ID],tblEmployee[Employee Position],"")</f>
        <v/>
      </c>
      <c r="D277" s="24" t="str">
        <f>_xlfn.XLOOKUP(tblPayrollMaster[[#This Row],[Employee ID]], tblEmployee[Employee ID], tblEmployee[Pay Status], "Pay")</f>
        <v>Pay</v>
      </c>
      <c r="E277" s="24" t="str">
        <f>_xlfn.XLOOKUP(tblPayrollMaster[[#This Row],[Employee ID]], tblEmployee[Employee ID], tblEmployee[Payable Flag], "Y")</f>
        <v>Y</v>
      </c>
      <c r="F277" s="45">
        <f>IF(tblPayrollMaster[[#This Row],[Payable Flag]]="N",0,_xlfn.XLOOKUP(tblPayrollMaster[[#This Row],[Employee ID]],tblEmployee[Employee ID],tblEmployee[Pay Factor],1))</f>
        <v>1</v>
      </c>
      <c r="G277" s="26" t="str" cm="1">
        <f t="array" ref="G277">IF(tblPayrollMaster[[#This Row],[Employee ID]]="","",_xlfn.XLOOKUP(selPayPeriodID,tblPayCalendar[PayPeriodID],tblPayCalendar[PeriodStart],""))</f>
        <v/>
      </c>
      <c r="H277" s="26" t="str" cm="1">
        <f t="array" ref="H277">IF(tblPayrollMaster[[#This Row],[Employee ID]]="","",_xlfn.XLOOKUP(selPayPeriodID,tblPayCalendar[PayPeriodID],tblPayCalendar[PeriodEnd],""))</f>
        <v/>
      </c>
      <c r="I277" s="24" t="e" cm="1" vm="1">
        <f t="array" aca="1" ref="I277" ca="1">Table18[Employer Name]</f>
        <v>#VALUE!</v>
      </c>
      <c r="J277" s="3" cm="1">
        <f t="array" ref="J27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77" s="25" t="str">
        <f>_xlfn.XLOOKUP(tblPayrollMaster[[#This Row],[Employee Position]],tblPositionandPayRate[Employee Position],tblPositionandPayRate[Overtime], " ")</f>
        <v xml:space="preserve"> </v>
      </c>
      <c r="L277" s="25">
        <f>_xlfn.XLOOKUP(tblPayrollMaster[[#This Row],[Employee Position]],tblPositionandPayRate[Employee Position],tblPositionandPayRate[Allowance 1],0)*tblPayrollMaster[[#This Row],[Pay Factor]]</f>
        <v>0</v>
      </c>
      <c r="M277" s="25">
        <f>_xlfn.XLOOKUP(tblPayrollMaster[[#This Row],[Employee Position]],tblPositionandPayRate[Employee Position],tblPositionandPayRate[Allowance 2],0)*tblPayrollMaster[[#This Row],[Pay Factor]]</f>
        <v>0</v>
      </c>
      <c r="N277" s="25">
        <f>_xlfn.XLOOKUP(tblPayrollMaster[[#This Row],[Employee Position]],tblPositionandPayRate[Employee Position],tblPositionandPayRate[Allowance 3],0)*tblPayrollMaster[[#This Row],[Pay Factor]]</f>
        <v>0</v>
      </c>
      <c r="O277" s="25">
        <f>_xlfn.XLOOKUP(tblPayrollMaster[[#This Row],[Employee Position]],tblPositionandPayRate[Employee Position],tblPositionandPayRate[Allowance 4],0)*tblPayrollMaster[[#This Row],[Pay Factor]]</f>
        <v>0</v>
      </c>
      <c r="P277" s="25">
        <f>_xlfn.XLOOKUP(tblPayrollMaster[[#This Row],[Employee Position]],tblPositionandPayRate[Employee Position],tblPositionandPayRate[Allowance 5],0)*tblPayrollMaster[[#This Row],[Pay Factor]]</f>
        <v>0</v>
      </c>
      <c r="Q277" s="25">
        <f>SUM(tblPayrollMaster[[#This Row],[Basic Pay]:[Allowance 5]])</f>
        <v>0</v>
      </c>
      <c r="R27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77" s="51" cm="1">
        <f t="array" ref="S2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77" s="3" cm="1">
        <f t="array" ref="T2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77" s="25">
        <f>_xlfn.LET(
_xlpm.tos, _xlfn.XLOOKUP(tblPayrollMaster[[#This Row],[Employee ID]], tblEmployee[Employee ID], tblEmployee[Type of Service], ""),
IF(_xlpm.tos="Contract of Service", 8.25, 0)
)</f>
        <v>0</v>
      </c>
      <c r="V277" s="25">
        <f>tblPayrollMaster[[#This Row],[Basic Earnings]]-tblPayrollMaster[[#This Row],[Tax]]-tblPayrollMaster[[#This Row],[NIS - Employee]]-tblPayrollMaster[[#This Row],[Health Surcharge]]</f>
        <v>0</v>
      </c>
      <c r="W277" s="25">
        <f>tblPayrollMaster[[#This Row],[Net Pay]]</f>
        <v>0</v>
      </c>
      <c r="X277" s="25"/>
    </row>
    <row r="278" spans="1:24" x14ac:dyDescent="0.25">
      <c r="A278" s="24"/>
      <c r="B278" s="24" t="str">
        <f>_xlfn.XLOOKUP(tblPayrollMaster[[#This Row],[Employee ID]],tblEmployee[Employee ID],tblEmployee[Employee Name],"")</f>
        <v/>
      </c>
      <c r="C278" s="24" t="str">
        <f>_xlfn.XLOOKUP(tblPayrollMaster[[#This Row],[Employee ID]],tblEmployee[Employee ID],tblEmployee[Employee Position],"")</f>
        <v/>
      </c>
      <c r="D278" s="24" t="str">
        <f>_xlfn.XLOOKUP(tblPayrollMaster[[#This Row],[Employee ID]], tblEmployee[Employee ID], tblEmployee[Pay Status], "Pay")</f>
        <v>Pay</v>
      </c>
      <c r="E278" s="24" t="str">
        <f>_xlfn.XLOOKUP(tblPayrollMaster[[#This Row],[Employee ID]], tblEmployee[Employee ID], tblEmployee[Payable Flag], "Y")</f>
        <v>Y</v>
      </c>
      <c r="F278" s="45">
        <f>IF(tblPayrollMaster[[#This Row],[Payable Flag]]="N",0,_xlfn.XLOOKUP(tblPayrollMaster[[#This Row],[Employee ID]],tblEmployee[Employee ID],tblEmployee[Pay Factor],1))</f>
        <v>1</v>
      </c>
      <c r="G278" s="26" t="str" cm="1">
        <f t="array" ref="G278">IF(tblPayrollMaster[[#This Row],[Employee ID]]="","",_xlfn.XLOOKUP(selPayPeriodID,tblPayCalendar[PayPeriodID],tblPayCalendar[PeriodStart],""))</f>
        <v/>
      </c>
      <c r="H278" s="26" t="str" cm="1">
        <f t="array" ref="H278">IF(tblPayrollMaster[[#This Row],[Employee ID]]="","",_xlfn.XLOOKUP(selPayPeriodID,tblPayCalendar[PayPeriodID],tblPayCalendar[PeriodEnd],""))</f>
        <v/>
      </c>
      <c r="I278" s="24" t="e" cm="1" vm="1">
        <f t="array" aca="1" ref="I278" ca="1">Table18[Employer Name]</f>
        <v>#VALUE!</v>
      </c>
      <c r="J278" s="3" cm="1">
        <f t="array" ref="J27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78" s="25" t="str">
        <f>_xlfn.XLOOKUP(tblPayrollMaster[[#This Row],[Employee Position]],tblPositionandPayRate[Employee Position],tblPositionandPayRate[Overtime], " ")</f>
        <v xml:space="preserve"> </v>
      </c>
      <c r="L278" s="25">
        <f>_xlfn.XLOOKUP(tblPayrollMaster[[#This Row],[Employee Position]],tblPositionandPayRate[Employee Position],tblPositionandPayRate[Allowance 1],0)*tblPayrollMaster[[#This Row],[Pay Factor]]</f>
        <v>0</v>
      </c>
      <c r="M278" s="25">
        <f>_xlfn.XLOOKUP(tblPayrollMaster[[#This Row],[Employee Position]],tblPositionandPayRate[Employee Position],tblPositionandPayRate[Allowance 2],0)*tblPayrollMaster[[#This Row],[Pay Factor]]</f>
        <v>0</v>
      </c>
      <c r="N278" s="25">
        <f>_xlfn.XLOOKUP(tblPayrollMaster[[#This Row],[Employee Position]],tblPositionandPayRate[Employee Position],tblPositionandPayRate[Allowance 3],0)*tblPayrollMaster[[#This Row],[Pay Factor]]</f>
        <v>0</v>
      </c>
      <c r="O278" s="25">
        <f>_xlfn.XLOOKUP(tblPayrollMaster[[#This Row],[Employee Position]],tblPositionandPayRate[Employee Position],tblPositionandPayRate[Allowance 4],0)*tblPayrollMaster[[#This Row],[Pay Factor]]</f>
        <v>0</v>
      </c>
      <c r="P278" s="25">
        <f>_xlfn.XLOOKUP(tblPayrollMaster[[#This Row],[Employee Position]],tblPositionandPayRate[Employee Position],tblPositionandPayRate[Allowance 5],0)*tblPayrollMaster[[#This Row],[Pay Factor]]</f>
        <v>0</v>
      </c>
      <c r="Q278" s="25">
        <f>SUM(tblPayrollMaster[[#This Row],[Basic Pay]:[Allowance 5]])</f>
        <v>0</v>
      </c>
      <c r="R27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78" s="51" cm="1">
        <f t="array" ref="S2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78" s="3" cm="1">
        <f t="array" ref="T2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78" s="25">
        <f>_xlfn.LET(
_xlpm.tos, _xlfn.XLOOKUP(tblPayrollMaster[[#This Row],[Employee ID]], tblEmployee[Employee ID], tblEmployee[Type of Service], ""),
IF(_xlpm.tos="Contract of Service", 8.25, 0)
)</f>
        <v>0</v>
      </c>
      <c r="V278" s="25">
        <f>tblPayrollMaster[[#This Row],[Basic Earnings]]-tblPayrollMaster[[#This Row],[Tax]]-tblPayrollMaster[[#This Row],[NIS - Employee]]-tblPayrollMaster[[#This Row],[Health Surcharge]]</f>
        <v>0</v>
      </c>
      <c r="W278" s="25">
        <f>tblPayrollMaster[[#This Row],[Net Pay]]</f>
        <v>0</v>
      </c>
      <c r="X278" s="25"/>
    </row>
    <row r="279" spans="1:24" x14ac:dyDescent="0.25">
      <c r="A279" s="24"/>
      <c r="B279" s="24" t="str">
        <f>_xlfn.XLOOKUP(tblPayrollMaster[[#This Row],[Employee ID]],tblEmployee[Employee ID],tblEmployee[Employee Name],"")</f>
        <v/>
      </c>
      <c r="C279" s="24" t="str">
        <f>_xlfn.XLOOKUP(tblPayrollMaster[[#This Row],[Employee ID]],tblEmployee[Employee ID],tblEmployee[Employee Position],"")</f>
        <v/>
      </c>
      <c r="D279" s="24" t="str">
        <f>_xlfn.XLOOKUP(tblPayrollMaster[[#This Row],[Employee ID]], tblEmployee[Employee ID], tblEmployee[Pay Status], "Pay")</f>
        <v>Pay</v>
      </c>
      <c r="E279" s="24" t="str">
        <f>_xlfn.XLOOKUP(tblPayrollMaster[[#This Row],[Employee ID]], tblEmployee[Employee ID], tblEmployee[Payable Flag], "Y")</f>
        <v>Y</v>
      </c>
      <c r="F279" s="45">
        <f>IF(tblPayrollMaster[[#This Row],[Payable Flag]]="N",0,_xlfn.XLOOKUP(tblPayrollMaster[[#This Row],[Employee ID]],tblEmployee[Employee ID],tblEmployee[Pay Factor],1))</f>
        <v>1</v>
      </c>
      <c r="G279" s="26" t="str" cm="1">
        <f t="array" ref="G279">IF(tblPayrollMaster[[#This Row],[Employee ID]]="","",_xlfn.XLOOKUP(selPayPeriodID,tblPayCalendar[PayPeriodID],tblPayCalendar[PeriodStart],""))</f>
        <v/>
      </c>
      <c r="H279" s="26" t="str" cm="1">
        <f t="array" ref="H279">IF(tblPayrollMaster[[#This Row],[Employee ID]]="","",_xlfn.XLOOKUP(selPayPeriodID,tblPayCalendar[PayPeriodID],tblPayCalendar[PeriodEnd],""))</f>
        <v/>
      </c>
      <c r="I279" s="24" t="e" cm="1" vm="1">
        <f t="array" aca="1" ref="I279" ca="1">Table18[Employer Name]</f>
        <v>#VALUE!</v>
      </c>
      <c r="J279" s="3" cm="1">
        <f t="array" ref="J27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79" s="25" t="str">
        <f>_xlfn.XLOOKUP(tblPayrollMaster[[#This Row],[Employee Position]],tblPositionandPayRate[Employee Position],tblPositionandPayRate[Overtime], " ")</f>
        <v xml:space="preserve"> </v>
      </c>
      <c r="L279" s="25">
        <f>_xlfn.XLOOKUP(tblPayrollMaster[[#This Row],[Employee Position]],tblPositionandPayRate[Employee Position],tblPositionandPayRate[Allowance 1],0)*tblPayrollMaster[[#This Row],[Pay Factor]]</f>
        <v>0</v>
      </c>
      <c r="M279" s="25">
        <f>_xlfn.XLOOKUP(tblPayrollMaster[[#This Row],[Employee Position]],tblPositionandPayRate[Employee Position],tblPositionandPayRate[Allowance 2],0)*tblPayrollMaster[[#This Row],[Pay Factor]]</f>
        <v>0</v>
      </c>
      <c r="N279" s="25">
        <f>_xlfn.XLOOKUP(tblPayrollMaster[[#This Row],[Employee Position]],tblPositionandPayRate[Employee Position],tblPositionandPayRate[Allowance 3],0)*tblPayrollMaster[[#This Row],[Pay Factor]]</f>
        <v>0</v>
      </c>
      <c r="O279" s="25">
        <f>_xlfn.XLOOKUP(tblPayrollMaster[[#This Row],[Employee Position]],tblPositionandPayRate[Employee Position],tblPositionandPayRate[Allowance 4],0)*tblPayrollMaster[[#This Row],[Pay Factor]]</f>
        <v>0</v>
      </c>
      <c r="P279" s="25">
        <f>_xlfn.XLOOKUP(tblPayrollMaster[[#This Row],[Employee Position]],tblPositionandPayRate[Employee Position],tblPositionandPayRate[Allowance 5],0)*tblPayrollMaster[[#This Row],[Pay Factor]]</f>
        <v>0</v>
      </c>
      <c r="Q279" s="25">
        <f>SUM(tblPayrollMaster[[#This Row],[Basic Pay]:[Allowance 5]])</f>
        <v>0</v>
      </c>
      <c r="R27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79" s="51" cm="1">
        <f t="array" ref="S2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79" s="3" cm="1">
        <f t="array" ref="T2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79" s="25">
        <f>_xlfn.LET(
_xlpm.tos, _xlfn.XLOOKUP(tblPayrollMaster[[#This Row],[Employee ID]], tblEmployee[Employee ID], tblEmployee[Type of Service], ""),
IF(_xlpm.tos="Contract of Service", 8.25, 0)
)</f>
        <v>0</v>
      </c>
      <c r="V279" s="25">
        <f>tblPayrollMaster[[#This Row],[Basic Earnings]]-tblPayrollMaster[[#This Row],[Tax]]-tblPayrollMaster[[#This Row],[NIS - Employee]]-tblPayrollMaster[[#This Row],[Health Surcharge]]</f>
        <v>0</v>
      </c>
      <c r="W279" s="25">
        <f>tblPayrollMaster[[#This Row],[Net Pay]]</f>
        <v>0</v>
      </c>
      <c r="X279" s="25"/>
    </row>
    <row r="280" spans="1:24" x14ac:dyDescent="0.25">
      <c r="A280" s="24"/>
      <c r="B280" s="24" t="str">
        <f>_xlfn.XLOOKUP(tblPayrollMaster[[#This Row],[Employee ID]],tblEmployee[Employee ID],tblEmployee[Employee Name],"")</f>
        <v/>
      </c>
      <c r="C280" s="24" t="str">
        <f>_xlfn.XLOOKUP(tblPayrollMaster[[#This Row],[Employee ID]],tblEmployee[Employee ID],tblEmployee[Employee Position],"")</f>
        <v/>
      </c>
      <c r="D280" s="24" t="str">
        <f>_xlfn.XLOOKUP(tblPayrollMaster[[#This Row],[Employee ID]], tblEmployee[Employee ID], tblEmployee[Pay Status], "Pay")</f>
        <v>Pay</v>
      </c>
      <c r="E280" s="24" t="str">
        <f>_xlfn.XLOOKUP(tblPayrollMaster[[#This Row],[Employee ID]], tblEmployee[Employee ID], tblEmployee[Payable Flag], "Y")</f>
        <v>Y</v>
      </c>
      <c r="F280" s="45">
        <f>IF(tblPayrollMaster[[#This Row],[Payable Flag]]="N",0,_xlfn.XLOOKUP(tblPayrollMaster[[#This Row],[Employee ID]],tblEmployee[Employee ID],tblEmployee[Pay Factor],1))</f>
        <v>1</v>
      </c>
      <c r="G280" s="26" t="str" cm="1">
        <f t="array" ref="G280">IF(tblPayrollMaster[[#This Row],[Employee ID]]="","",_xlfn.XLOOKUP(selPayPeriodID,tblPayCalendar[PayPeriodID],tblPayCalendar[PeriodStart],""))</f>
        <v/>
      </c>
      <c r="H280" s="26" t="str" cm="1">
        <f t="array" ref="H280">IF(tblPayrollMaster[[#This Row],[Employee ID]]="","",_xlfn.XLOOKUP(selPayPeriodID,tblPayCalendar[PayPeriodID],tblPayCalendar[PeriodEnd],""))</f>
        <v/>
      </c>
      <c r="I280" s="24" t="e" cm="1" vm="1">
        <f t="array" aca="1" ref="I280" ca="1">Table18[Employer Name]</f>
        <v>#VALUE!</v>
      </c>
      <c r="J280" s="3" cm="1">
        <f t="array" ref="J28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80" s="25" t="str">
        <f>_xlfn.XLOOKUP(tblPayrollMaster[[#This Row],[Employee Position]],tblPositionandPayRate[Employee Position],tblPositionandPayRate[Overtime], " ")</f>
        <v xml:space="preserve"> </v>
      </c>
      <c r="L280" s="25">
        <f>_xlfn.XLOOKUP(tblPayrollMaster[[#This Row],[Employee Position]],tblPositionandPayRate[Employee Position],tblPositionandPayRate[Allowance 1],0)*tblPayrollMaster[[#This Row],[Pay Factor]]</f>
        <v>0</v>
      </c>
      <c r="M280" s="25">
        <f>_xlfn.XLOOKUP(tblPayrollMaster[[#This Row],[Employee Position]],tblPositionandPayRate[Employee Position],tblPositionandPayRate[Allowance 2],0)*tblPayrollMaster[[#This Row],[Pay Factor]]</f>
        <v>0</v>
      </c>
      <c r="N280" s="25">
        <f>_xlfn.XLOOKUP(tblPayrollMaster[[#This Row],[Employee Position]],tblPositionandPayRate[Employee Position],tblPositionandPayRate[Allowance 3],0)*tblPayrollMaster[[#This Row],[Pay Factor]]</f>
        <v>0</v>
      </c>
      <c r="O280" s="25">
        <f>_xlfn.XLOOKUP(tblPayrollMaster[[#This Row],[Employee Position]],tblPositionandPayRate[Employee Position],tblPositionandPayRate[Allowance 4],0)*tblPayrollMaster[[#This Row],[Pay Factor]]</f>
        <v>0</v>
      </c>
      <c r="P280" s="25">
        <f>_xlfn.XLOOKUP(tblPayrollMaster[[#This Row],[Employee Position]],tblPositionandPayRate[Employee Position],tblPositionandPayRate[Allowance 5],0)*tblPayrollMaster[[#This Row],[Pay Factor]]</f>
        <v>0</v>
      </c>
      <c r="Q280" s="25">
        <f>SUM(tblPayrollMaster[[#This Row],[Basic Pay]:[Allowance 5]])</f>
        <v>0</v>
      </c>
      <c r="R28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80" s="51" cm="1">
        <f t="array" ref="S2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80" s="3" cm="1">
        <f t="array" ref="T2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80" s="25">
        <f>_xlfn.LET(
_xlpm.tos, _xlfn.XLOOKUP(tblPayrollMaster[[#This Row],[Employee ID]], tblEmployee[Employee ID], tblEmployee[Type of Service], ""),
IF(_xlpm.tos="Contract of Service", 8.25, 0)
)</f>
        <v>0</v>
      </c>
      <c r="V280" s="25">
        <f>tblPayrollMaster[[#This Row],[Basic Earnings]]-tblPayrollMaster[[#This Row],[Tax]]-tblPayrollMaster[[#This Row],[NIS - Employee]]-tblPayrollMaster[[#This Row],[Health Surcharge]]</f>
        <v>0</v>
      </c>
      <c r="W280" s="25">
        <f>tblPayrollMaster[[#This Row],[Net Pay]]</f>
        <v>0</v>
      </c>
      <c r="X280" s="25"/>
    </row>
    <row r="281" spans="1:24" x14ac:dyDescent="0.25">
      <c r="A281" s="24"/>
      <c r="B281" s="24" t="str">
        <f>_xlfn.XLOOKUP(tblPayrollMaster[[#This Row],[Employee ID]],tblEmployee[Employee ID],tblEmployee[Employee Name],"")</f>
        <v/>
      </c>
      <c r="C281" s="24" t="str">
        <f>_xlfn.XLOOKUP(tblPayrollMaster[[#This Row],[Employee ID]],tblEmployee[Employee ID],tblEmployee[Employee Position],"")</f>
        <v/>
      </c>
      <c r="D281" s="24" t="str">
        <f>_xlfn.XLOOKUP(tblPayrollMaster[[#This Row],[Employee ID]], tblEmployee[Employee ID], tblEmployee[Pay Status], "Pay")</f>
        <v>Pay</v>
      </c>
      <c r="E281" s="24" t="str">
        <f>_xlfn.XLOOKUP(tblPayrollMaster[[#This Row],[Employee ID]], tblEmployee[Employee ID], tblEmployee[Payable Flag], "Y")</f>
        <v>Y</v>
      </c>
      <c r="F281" s="45">
        <f>IF(tblPayrollMaster[[#This Row],[Payable Flag]]="N",0,_xlfn.XLOOKUP(tblPayrollMaster[[#This Row],[Employee ID]],tblEmployee[Employee ID],tblEmployee[Pay Factor],1))</f>
        <v>1</v>
      </c>
      <c r="G281" s="26" t="str" cm="1">
        <f t="array" ref="G281">IF(tblPayrollMaster[[#This Row],[Employee ID]]="","",_xlfn.XLOOKUP(selPayPeriodID,tblPayCalendar[PayPeriodID],tblPayCalendar[PeriodStart],""))</f>
        <v/>
      </c>
      <c r="H281" s="26" t="str" cm="1">
        <f t="array" ref="H281">IF(tblPayrollMaster[[#This Row],[Employee ID]]="","",_xlfn.XLOOKUP(selPayPeriodID,tblPayCalendar[PayPeriodID],tblPayCalendar[PeriodEnd],""))</f>
        <v/>
      </c>
      <c r="I281" s="24" t="e" cm="1" vm="1">
        <f t="array" aca="1" ref="I281" ca="1">Table18[Employer Name]</f>
        <v>#VALUE!</v>
      </c>
      <c r="J281" s="3" cm="1">
        <f t="array" ref="J28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81" s="25" t="str">
        <f>_xlfn.XLOOKUP(tblPayrollMaster[[#This Row],[Employee Position]],tblPositionandPayRate[Employee Position],tblPositionandPayRate[Overtime], " ")</f>
        <v xml:space="preserve"> </v>
      </c>
      <c r="L281" s="25">
        <f>_xlfn.XLOOKUP(tblPayrollMaster[[#This Row],[Employee Position]],tblPositionandPayRate[Employee Position],tblPositionandPayRate[Allowance 1],0)*tblPayrollMaster[[#This Row],[Pay Factor]]</f>
        <v>0</v>
      </c>
      <c r="M281" s="25">
        <f>_xlfn.XLOOKUP(tblPayrollMaster[[#This Row],[Employee Position]],tblPositionandPayRate[Employee Position],tblPositionandPayRate[Allowance 2],0)*tblPayrollMaster[[#This Row],[Pay Factor]]</f>
        <v>0</v>
      </c>
      <c r="N281" s="25">
        <f>_xlfn.XLOOKUP(tblPayrollMaster[[#This Row],[Employee Position]],tblPositionandPayRate[Employee Position],tblPositionandPayRate[Allowance 3],0)*tblPayrollMaster[[#This Row],[Pay Factor]]</f>
        <v>0</v>
      </c>
      <c r="O281" s="25">
        <f>_xlfn.XLOOKUP(tblPayrollMaster[[#This Row],[Employee Position]],tblPositionandPayRate[Employee Position],tblPositionandPayRate[Allowance 4],0)*tblPayrollMaster[[#This Row],[Pay Factor]]</f>
        <v>0</v>
      </c>
      <c r="P281" s="25">
        <f>_xlfn.XLOOKUP(tblPayrollMaster[[#This Row],[Employee Position]],tblPositionandPayRate[Employee Position],tblPositionandPayRate[Allowance 5],0)*tblPayrollMaster[[#This Row],[Pay Factor]]</f>
        <v>0</v>
      </c>
      <c r="Q281" s="25">
        <f>SUM(tblPayrollMaster[[#This Row],[Basic Pay]:[Allowance 5]])</f>
        <v>0</v>
      </c>
      <c r="R28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81" s="51" cm="1">
        <f t="array" ref="S2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81" s="3" cm="1">
        <f t="array" ref="T2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81" s="25">
        <f>_xlfn.LET(
_xlpm.tos, _xlfn.XLOOKUP(tblPayrollMaster[[#This Row],[Employee ID]], tblEmployee[Employee ID], tblEmployee[Type of Service], ""),
IF(_xlpm.tos="Contract of Service", 8.25, 0)
)</f>
        <v>0</v>
      </c>
      <c r="V281" s="25">
        <f>tblPayrollMaster[[#This Row],[Basic Earnings]]-tblPayrollMaster[[#This Row],[Tax]]-tblPayrollMaster[[#This Row],[NIS - Employee]]-tblPayrollMaster[[#This Row],[Health Surcharge]]</f>
        <v>0</v>
      </c>
      <c r="W281" s="25">
        <f>tblPayrollMaster[[#This Row],[Net Pay]]</f>
        <v>0</v>
      </c>
      <c r="X281" s="25"/>
    </row>
    <row r="282" spans="1:24" x14ac:dyDescent="0.25">
      <c r="A282" s="24"/>
      <c r="B282" s="24" t="str">
        <f>_xlfn.XLOOKUP(tblPayrollMaster[[#This Row],[Employee ID]],tblEmployee[Employee ID],tblEmployee[Employee Name],"")</f>
        <v/>
      </c>
      <c r="C282" s="24" t="str">
        <f>_xlfn.XLOOKUP(tblPayrollMaster[[#This Row],[Employee ID]],tblEmployee[Employee ID],tblEmployee[Employee Position],"")</f>
        <v/>
      </c>
      <c r="D282" s="24" t="str">
        <f>_xlfn.XLOOKUP(tblPayrollMaster[[#This Row],[Employee ID]], tblEmployee[Employee ID], tblEmployee[Pay Status], "Pay")</f>
        <v>Pay</v>
      </c>
      <c r="E282" s="24" t="str">
        <f>_xlfn.XLOOKUP(tblPayrollMaster[[#This Row],[Employee ID]], tblEmployee[Employee ID], tblEmployee[Payable Flag], "Y")</f>
        <v>Y</v>
      </c>
      <c r="F282" s="45">
        <f>IF(tblPayrollMaster[[#This Row],[Payable Flag]]="N",0,_xlfn.XLOOKUP(tblPayrollMaster[[#This Row],[Employee ID]],tblEmployee[Employee ID],tblEmployee[Pay Factor],1))</f>
        <v>1</v>
      </c>
      <c r="G282" s="26" t="str" cm="1">
        <f t="array" ref="G282">IF(tblPayrollMaster[[#This Row],[Employee ID]]="","",_xlfn.XLOOKUP(selPayPeriodID,tblPayCalendar[PayPeriodID],tblPayCalendar[PeriodStart],""))</f>
        <v/>
      </c>
      <c r="H282" s="26" t="str" cm="1">
        <f t="array" ref="H282">IF(tblPayrollMaster[[#This Row],[Employee ID]]="","",_xlfn.XLOOKUP(selPayPeriodID,tblPayCalendar[PayPeriodID],tblPayCalendar[PeriodEnd],""))</f>
        <v/>
      </c>
      <c r="I282" s="24" t="e" cm="1" vm="1">
        <f t="array" aca="1" ref="I282" ca="1">Table18[Employer Name]</f>
        <v>#VALUE!</v>
      </c>
      <c r="J282" s="3" cm="1">
        <f t="array" ref="J28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82" s="25" t="str">
        <f>_xlfn.XLOOKUP(tblPayrollMaster[[#This Row],[Employee Position]],tblPositionandPayRate[Employee Position],tblPositionandPayRate[Overtime], " ")</f>
        <v xml:space="preserve"> </v>
      </c>
      <c r="L282" s="25">
        <f>_xlfn.XLOOKUP(tblPayrollMaster[[#This Row],[Employee Position]],tblPositionandPayRate[Employee Position],tblPositionandPayRate[Allowance 1],0)*tblPayrollMaster[[#This Row],[Pay Factor]]</f>
        <v>0</v>
      </c>
      <c r="M282" s="25">
        <f>_xlfn.XLOOKUP(tblPayrollMaster[[#This Row],[Employee Position]],tblPositionandPayRate[Employee Position],tblPositionandPayRate[Allowance 2],0)*tblPayrollMaster[[#This Row],[Pay Factor]]</f>
        <v>0</v>
      </c>
      <c r="N282" s="25">
        <f>_xlfn.XLOOKUP(tblPayrollMaster[[#This Row],[Employee Position]],tblPositionandPayRate[Employee Position],tblPositionandPayRate[Allowance 3],0)*tblPayrollMaster[[#This Row],[Pay Factor]]</f>
        <v>0</v>
      </c>
      <c r="O282" s="25">
        <f>_xlfn.XLOOKUP(tblPayrollMaster[[#This Row],[Employee Position]],tblPositionandPayRate[Employee Position],tblPositionandPayRate[Allowance 4],0)*tblPayrollMaster[[#This Row],[Pay Factor]]</f>
        <v>0</v>
      </c>
      <c r="P282" s="25">
        <f>_xlfn.XLOOKUP(tblPayrollMaster[[#This Row],[Employee Position]],tblPositionandPayRate[Employee Position],tblPositionandPayRate[Allowance 5],0)*tblPayrollMaster[[#This Row],[Pay Factor]]</f>
        <v>0</v>
      </c>
      <c r="Q282" s="25">
        <f>SUM(tblPayrollMaster[[#This Row],[Basic Pay]:[Allowance 5]])</f>
        <v>0</v>
      </c>
      <c r="R28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82" s="51" cm="1">
        <f t="array" ref="S2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82" s="3" cm="1">
        <f t="array" ref="T2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82" s="25">
        <f>_xlfn.LET(
_xlpm.tos, _xlfn.XLOOKUP(tblPayrollMaster[[#This Row],[Employee ID]], tblEmployee[Employee ID], tblEmployee[Type of Service], ""),
IF(_xlpm.tos="Contract of Service", 8.25, 0)
)</f>
        <v>0</v>
      </c>
      <c r="V282" s="25">
        <f>tblPayrollMaster[[#This Row],[Basic Earnings]]-tblPayrollMaster[[#This Row],[Tax]]-tblPayrollMaster[[#This Row],[NIS - Employee]]-tblPayrollMaster[[#This Row],[Health Surcharge]]</f>
        <v>0</v>
      </c>
      <c r="W282" s="25">
        <f>tblPayrollMaster[[#This Row],[Net Pay]]</f>
        <v>0</v>
      </c>
      <c r="X282" s="25"/>
    </row>
    <row r="283" spans="1:24" x14ac:dyDescent="0.25">
      <c r="A283" s="24"/>
      <c r="B283" s="24" t="str">
        <f>_xlfn.XLOOKUP(tblPayrollMaster[[#This Row],[Employee ID]],tblEmployee[Employee ID],tblEmployee[Employee Name],"")</f>
        <v/>
      </c>
      <c r="C283" s="24" t="str">
        <f>_xlfn.XLOOKUP(tblPayrollMaster[[#This Row],[Employee ID]],tblEmployee[Employee ID],tblEmployee[Employee Position],"")</f>
        <v/>
      </c>
      <c r="D283" s="24" t="str">
        <f>_xlfn.XLOOKUP(tblPayrollMaster[[#This Row],[Employee ID]], tblEmployee[Employee ID], tblEmployee[Pay Status], "Pay")</f>
        <v>Pay</v>
      </c>
      <c r="E283" s="24" t="str">
        <f>_xlfn.XLOOKUP(tblPayrollMaster[[#This Row],[Employee ID]], tblEmployee[Employee ID], tblEmployee[Payable Flag], "Y")</f>
        <v>Y</v>
      </c>
      <c r="F283" s="45">
        <f>IF(tblPayrollMaster[[#This Row],[Payable Flag]]="N",0,_xlfn.XLOOKUP(tblPayrollMaster[[#This Row],[Employee ID]],tblEmployee[Employee ID],tblEmployee[Pay Factor],1))</f>
        <v>1</v>
      </c>
      <c r="G283" s="26" t="str" cm="1">
        <f t="array" ref="G283">IF(tblPayrollMaster[[#This Row],[Employee ID]]="","",_xlfn.XLOOKUP(selPayPeriodID,tblPayCalendar[PayPeriodID],tblPayCalendar[PeriodStart],""))</f>
        <v/>
      </c>
      <c r="H283" s="26" t="str" cm="1">
        <f t="array" ref="H283">IF(tblPayrollMaster[[#This Row],[Employee ID]]="","",_xlfn.XLOOKUP(selPayPeriodID,tblPayCalendar[PayPeriodID],tblPayCalendar[PeriodEnd],""))</f>
        <v/>
      </c>
      <c r="I283" s="24" t="e" cm="1" vm="1">
        <f t="array" aca="1" ref="I283" ca="1">Table18[Employer Name]</f>
        <v>#VALUE!</v>
      </c>
      <c r="J283" s="3" cm="1">
        <f t="array" ref="J28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83" s="25" t="str">
        <f>_xlfn.XLOOKUP(tblPayrollMaster[[#This Row],[Employee Position]],tblPositionandPayRate[Employee Position],tblPositionandPayRate[Overtime], " ")</f>
        <v xml:space="preserve"> </v>
      </c>
      <c r="L283" s="25">
        <f>_xlfn.XLOOKUP(tblPayrollMaster[[#This Row],[Employee Position]],tblPositionandPayRate[Employee Position],tblPositionandPayRate[Allowance 1],0)*tblPayrollMaster[[#This Row],[Pay Factor]]</f>
        <v>0</v>
      </c>
      <c r="M283" s="25">
        <f>_xlfn.XLOOKUP(tblPayrollMaster[[#This Row],[Employee Position]],tblPositionandPayRate[Employee Position],tblPositionandPayRate[Allowance 2],0)*tblPayrollMaster[[#This Row],[Pay Factor]]</f>
        <v>0</v>
      </c>
      <c r="N283" s="25">
        <f>_xlfn.XLOOKUP(tblPayrollMaster[[#This Row],[Employee Position]],tblPositionandPayRate[Employee Position],tblPositionandPayRate[Allowance 3],0)*tblPayrollMaster[[#This Row],[Pay Factor]]</f>
        <v>0</v>
      </c>
      <c r="O283" s="25">
        <f>_xlfn.XLOOKUP(tblPayrollMaster[[#This Row],[Employee Position]],tblPositionandPayRate[Employee Position],tblPositionandPayRate[Allowance 4],0)*tblPayrollMaster[[#This Row],[Pay Factor]]</f>
        <v>0</v>
      </c>
      <c r="P283" s="25">
        <f>_xlfn.XLOOKUP(tblPayrollMaster[[#This Row],[Employee Position]],tblPositionandPayRate[Employee Position],tblPositionandPayRate[Allowance 5],0)*tblPayrollMaster[[#This Row],[Pay Factor]]</f>
        <v>0</v>
      </c>
      <c r="Q283" s="25">
        <f>SUM(tblPayrollMaster[[#This Row],[Basic Pay]:[Allowance 5]])</f>
        <v>0</v>
      </c>
      <c r="R28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83" s="51" cm="1">
        <f t="array" ref="S2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83" s="3" cm="1">
        <f t="array" ref="T2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83" s="25">
        <f>_xlfn.LET(
_xlpm.tos, _xlfn.XLOOKUP(tblPayrollMaster[[#This Row],[Employee ID]], tblEmployee[Employee ID], tblEmployee[Type of Service], ""),
IF(_xlpm.tos="Contract of Service", 8.25, 0)
)</f>
        <v>0</v>
      </c>
      <c r="V283" s="25">
        <f>tblPayrollMaster[[#This Row],[Basic Earnings]]-tblPayrollMaster[[#This Row],[Tax]]-tblPayrollMaster[[#This Row],[NIS - Employee]]-tblPayrollMaster[[#This Row],[Health Surcharge]]</f>
        <v>0</v>
      </c>
      <c r="W283" s="25">
        <f>tblPayrollMaster[[#This Row],[Net Pay]]</f>
        <v>0</v>
      </c>
      <c r="X283" s="25"/>
    </row>
    <row r="284" spans="1:24" x14ac:dyDescent="0.25">
      <c r="A284" s="24"/>
      <c r="B284" s="24" t="str">
        <f>_xlfn.XLOOKUP(tblPayrollMaster[[#This Row],[Employee ID]],tblEmployee[Employee ID],tblEmployee[Employee Name],"")</f>
        <v/>
      </c>
      <c r="C284" s="24" t="str">
        <f>_xlfn.XLOOKUP(tblPayrollMaster[[#This Row],[Employee ID]],tblEmployee[Employee ID],tblEmployee[Employee Position],"")</f>
        <v/>
      </c>
      <c r="D284" s="24" t="str">
        <f>_xlfn.XLOOKUP(tblPayrollMaster[[#This Row],[Employee ID]], tblEmployee[Employee ID], tblEmployee[Pay Status], "Pay")</f>
        <v>Pay</v>
      </c>
      <c r="E284" s="24" t="str">
        <f>_xlfn.XLOOKUP(tblPayrollMaster[[#This Row],[Employee ID]], tblEmployee[Employee ID], tblEmployee[Payable Flag], "Y")</f>
        <v>Y</v>
      </c>
      <c r="F284" s="45">
        <f>IF(tblPayrollMaster[[#This Row],[Payable Flag]]="N",0,_xlfn.XLOOKUP(tblPayrollMaster[[#This Row],[Employee ID]],tblEmployee[Employee ID],tblEmployee[Pay Factor],1))</f>
        <v>1</v>
      </c>
      <c r="G284" s="26" t="str" cm="1">
        <f t="array" ref="G284">IF(tblPayrollMaster[[#This Row],[Employee ID]]="","",_xlfn.XLOOKUP(selPayPeriodID,tblPayCalendar[PayPeriodID],tblPayCalendar[PeriodStart],""))</f>
        <v/>
      </c>
      <c r="H284" s="26" t="str" cm="1">
        <f t="array" ref="H284">IF(tblPayrollMaster[[#This Row],[Employee ID]]="","",_xlfn.XLOOKUP(selPayPeriodID,tblPayCalendar[PayPeriodID],tblPayCalendar[PeriodEnd],""))</f>
        <v/>
      </c>
      <c r="I284" s="24" t="e" cm="1" vm="1">
        <f t="array" aca="1" ref="I284" ca="1">Table18[Employer Name]</f>
        <v>#VALUE!</v>
      </c>
      <c r="J284" s="3" cm="1">
        <f t="array" ref="J28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84" s="25" t="str">
        <f>_xlfn.XLOOKUP(tblPayrollMaster[[#This Row],[Employee Position]],tblPositionandPayRate[Employee Position],tblPositionandPayRate[Overtime], " ")</f>
        <v xml:space="preserve"> </v>
      </c>
      <c r="L284" s="25">
        <f>_xlfn.XLOOKUP(tblPayrollMaster[[#This Row],[Employee Position]],tblPositionandPayRate[Employee Position],tblPositionandPayRate[Allowance 1],0)*tblPayrollMaster[[#This Row],[Pay Factor]]</f>
        <v>0</v>
      </c>
      <c r="M284" s="25">
        <f>_xlfn.XLOOKUP(tblPayrollMaster[[#This Row],[Employee Position]],tblPositionandPayRate[Employee Position],tblPositionandPayRate[Allowance 2],0)*tblPayrollMaster[[#This Row],[Pay Factor]]</f>
        <v>0</v>
      </c>
      <c r="N284" s="25">
        <f>_xlfn.XLOOKUP(tblPayrollMaster[[#This Row],[Employee Position]],tblPositionandPayRate[Employee Position],tblPositionandPayRate[Allowance 3],0)*tblPayrollMaster[[#This Row],[Pay Factor]]</f>
        <v>0</v>
      </c>
      <c r="O284" s="25">
        <f>_xlfn.XLOOKUP(tblPayrollMaster[[#This Row],[Employee Position]],tblPositionandPayRate[Employee Position],tblPositionandPayRate[Allowance 4],0)*tblPayrollMaster[[#This Row],[Pay Factor]]</f>
        <v>0</v>
      </c>
      <c r="P284" s="25">
        <f>_xlfn.XLOOKUP(tblPayrollMaster[[#This Row],[Employee Position]],tblPositionandPayRate[Employee Position],tblPositionandPayRate[Allowance 5],0)*tblPayrollMaster[[#This Row],[Pay Factor]]</f>
        <v>0</v>
      </c>
      <c r="Q284" s="25">
        <f>SUM(tblPayrollMaster[[#This Row],[Basic Pay]:[Allowance 5]])</f>
        <v>0</v>
      </c>
      <c r="R28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84" s="51" cm="1">
        <f t="array" ref="S2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84" s="3" cm="1">
        <f t="array" ref="T2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84" s="25">
        <f>_xlfn.LET(
_xlpm.tos, _xlfn.XLOOKUP(tblPayrollMaster[[#This Row],[Employee ID]], tblEmployee[Employee ID], tblEmployee[Type of Service], ""),
IF(_xlpm.tos="Contract of Service", 8.25, 0)
)</f>
        <v>0</v>
      </c>
      <c r="V284" s="25">
        <f>tblPayrollMaster[[#This Row],[Basic Earnings]]-tblPayrollMaster[[#This Row],[Tax]]-tblPayrollMaster[[#This Row],[NIS - Employee]]-tblPayrollMaster[[#This Row],[Health Surcharge]]</f>
        <v>0</v>
      </c>
      <c r="W284" s="25">
        <f>tblPayrollMaster[[#This Row],[Net Pay]]</f>
        <v>0</v>
      </c>
      <c r="X284" s="25"/>
    </row>
    <row r="285" spans="1:24" x14ac:dyDescent="0.25">
      <c r="A285" s="24"/>
      <c r="B285" s="24" t="str">
        <f>_xlfn.XLOOKUP(tblPayrollMaster[[#This Row],[Employee ID]],tblEmployee[Employee ID],tblEmployee[Employee Name],"")</f>
        <v/>
      </c>
      <c r="C285" s="24" t="str">
        <f>_xlfn.XLOOKUP(tblPayrollMaster[[#This Row],[Employee ID]],tblEmployee[Employee ID],tblEmployee[Employee Position],"")</f>
        <v/>
      </c>
      <c r="D285" s="24" t="str">
        <f>_xlfn.XLOOKUP(tblPayrollMaster[[#This Row],[Employee ID]], tblEmployee[Employee ID], tblEmployee[Pay Status], "Pay")</f>
        <v>Pay</v>
      </c>
      <c r="E285" s="24" t="str">
        <f>_xlfn.XLOOKUP(tblPayrollMaster[[#This Row],[Employee ID]], tblEmployee[Employee ID], tblEmployee[Payable Flag], "Y")</f>
        <v>Y</v>
      </c>
      <c r="F285" s="45">
        <f>IF(tblPayrollMaster[[#This Row],[Payable Flag]]="N",0,_xlfn.XLOOKUP(tblPayrollMaster[[#This Row],[Employee ID]],tblEmployee[Employee ID],tblEmployee[Pay Factor],1))</f>
        <v>1</v>
      </c>
      <c r="G285" s="26" t="str" cm="1">
        <f t="array" ref="G285">IF(tblPayrollMaster[[#This Row],[Employee ID]]="","",_xlfn.XLOOKUP(selPayPeriodID,tblPayCalendar[PayPeriodID],tblPayCalendar[PeriodStart],""))</f>
        <v/>
      </c>
      <c r="H285" s="26" t="str" cm="1">
        <f t="array" ref="H285">IF(tblPayrollMaster[[#This Row],[Employee ID]]="","",_xlfn.XLOOKUP(selPayPeriodID,tblPayCalendar[PayPeriodID],tblPayCalendar[PeriodEnd],""))</f>
        <v/>
      </c>
      <c r="I285" s="24" t="e" cm="1" vm="1">
        <f t="array" aca="1" ref="I285" ca="1">Table18[Employer Name]</f>
        <v>#VALUE!</v>
      </c>
      <c r="J285" s="3" cm="1">
        <f t="array" ref="J28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85" s="25" t="str">
        <f>_xlfn.XLOOKUP(tblPayrollMaster[[#This Row],[Employee Position]],tblPositionandPayRate[Employee Position],tblPositionandPayRate[Overtime], " ")</f>
        <v xml:space="preserve"> </v>
      </c>
      <c r="L285" s="25">
        <f>_xlfn.XLOOKUP(tblPayrollMaster[[#This Row],[Employee Position]],tblPositionandPayRate[Employee Position],tblPositionandPayRate[Allowance 1],0)*tblPayrollMaster[[#This Row],[Pay Factor]]</f>
        <v>0</v>
      </c>
      <c r="M285" s="25">
        <f>_xlfn.XLOOKUP(tblPayrollMaster[[#This Row],[Employee Position]],tblPositionandPayRate[Employee Position],tblPositionandPayRate[Allowance 2],0)*tblPayrollMaster[[#This Row],[Pay Factor]]</f>
        <v>0</v>
      </c>
      <c r="N285" s="25">
        <f>_xlfn.XLOOKUP(tblPayrollMaster[[#This Row],[Employee Position]],tblPositionandPayRate[Employee Position],tblPositionandPayRate[Allowance 3],0)*tblPayrollMaster[[#This Row],[Pay Factor]]</f>
        <v>0</v>
      </c>
      <c r="O285" s="25">
        <f>_xlfn.XLOOKUP(tblPayrollMaster[[#This Row],[Employee Position]],tblPositionandPayRate[Employee Position],tblPositionandPayRate[Allowance 4],0)*tblPayrollMaster[[#This Row],[Pay Factor]]</f>
        <v>0</v>
      </c>
      <c r="P285" s="25">
        <f>_xlfn.XLOOKUP(tblPayrollMaster[[#This Row],[Employee Position]],tblPositionandPayRate[Employee Position],tblPositionandPayRate[Allowance 5],0)*tblPayrollMaster[[#This Row],[Pay Factor]]</f>
        <v>0</v>
      </c>
      <c r="Q285" s="25">
        <f>SUM(tblPayrollMaster[[#This Row],[Basic Pay]:[Allowance 5]])</f>
        <v>0</v>
      </c>
      <c r="R28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85" s="51" cm="1">
        <f t="array" ref="S2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85" s="3" cm="1">
        <f t="array" ref="T2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85" s="25">
        <f>_xlfn.LET(
_xlpm.tos, _xlfn.XLOOKUP(tblPayrollMaster[[#This Row],[Employee ID]], tblEmployee[Employee ID], tblEmployee[Type of Service], ""),
IF(_xlpm.tos="Contract of Service", 8.25, 0)
)</f>
        <v>0</v>
      </c>
      <c r="V285" s="25">
        <f>tblPayrollMaster[[#This Row],[Basic Earnings]]-tblPayrollMaster[[#This Row],[Tax]]-tblPayrollMaster[[#This Row],[NIS - Employee]]-tblPayrollMaster[[#This Row],[Health Surcharge]]</f>
        <v>0</v>
      </c>
      <c r="W285" s="25">
        <f>tblPayrollMaster[[#This Row],[Net Pay]]</f>
        <v>0</v>
      </c>
      <c r="X285" s="25"/>
    </row>
    <row r="286" spans="1:24" x14ac:dyDescent="0.25">
      <c r="A286" s="24"/>
      <c r="B286" s="24" t="str">
        <f>_xlfn.XLOOKUP(tblPayrollMaster[[#This Row],[Employee ID]],tblEmployee[Employee ID],tblEmployee[Employee Name],"")</f>
        <v/>
      </c>
      <c r="C286" s="24" t="str">
        <f>_xlfn.XLOOKUP(tblPayrollMaster[[#This Row],[Employee ID]],tblEmployee[Employee ID],tblEmployee[Employee Position],"")</f>
        <v/>
      </c>
      <c r="D286" s="24" t="str">
        <f>_xlfn.XLOOKUP(tblPayrollMaster[[#This Row],[Employee ID]], tblEmployee[Employee ID], tblEmployee[Pay Status], "Pay")</f>
        <v>Pay</v>
      </c>
      <c r="E286" s="24" t="str">
        <f>_xlfn.XLOOKUP(tblPayrollMaster[[#This Row],[Employee ID]], tblEmployee[Employee ID], tblEmployee[Payable Flag], "Y")</f>
        <v>Y</v>
      </c>
      <c r="F286" s="45">
        <f>IF(tblPayrollMaster[[#This Row],[Payable Flag]]="N",0,_xlfn.XLOOKUP(tblPayrollMaster[[#This Row],[Employee ID]],tblEmployee[Employee ID],tblEmployee[Pay Factor],1))</f>
        <v>1</v>
      </c>
      <c r="G286" s="26" t="str" cm="1">
        <f t="array" ref="G286">IF(tblPayrollMaster[[#This Row],[Employee ID]]="","",_xlfn.XLOOKUP(selPayPeriodID,tblPayCalendar[PayPeriodID],tblPayCalendar[PeriodStart],""))</f>
        <v/>
      </c>
      <c r="H286" s="26" t="str" cm="1">
        <f t="array" ref="H286">IF(tblPayrollMaster[[#This Row],[Employee ID]]="","",_xlfn.XLOOKUP(selPayPeriodID,tblPayCalendar[PayPeriodID],tblPayCalendar[PeriodEnd],""))</f>
        <v/>
      </c>
      <c r="I286" s="24" t="e" cm="1" vm="1">
        <f t="array" aca="1" ref="I286" ca="1">Table18[Employer Name]</f>
        <v>#VALUE!</v>
      </c>
      <c r="J286" s="3" cm="1">
        <f t="array" ref="J28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86" s="25" t="str">
        <f>_xlfn.XLOOKUP(tblPayrollMaster[[#This Row],[Employee Position]],tblPositionandPayRate[Employee Position],tblPositionandPayRate[Overtime], " ")</f>
        <v xml:space="preserve"> </v>
      </c>
      <c r="L286" s="25">
        <f>_xlfn.XLOOKUP(tblPayrollMaster[[#This Row],[Employee Position]],tblPositionandPayRate[Employee Position],tblPositionandPayRate[Allowance 1],0)*tblPayrollMaster[[#This Row],[Pay Factor]]</f>
        <v>0</v>
      </c>
      <c r="M286" s="25">
        <f>_xlfn.XLOOKUP(tblPayrollMaster[[#This Row],[Employee Position]],tblPositionandPayRate[Employee Position],tblPositionandPayRate[Allowance 2],0)*tblPayrollMaster[[#This Row],[Pay Factor]]</f>
        <v>0</v>
      </c>
      <c r="N286" s="25">
        <f>_xlfn.XLOOKUP(tblPayrollMaster[[#This Row],[Employee Position]],tblPositionandPayRate[Employee Position],tblPositionandPayRate[Allowance 3],0)*tblPayrollMaster[[#This Row],[Pay Factor]]</f>
        <v>0</v>
      </c>
      <c r="O286" s="25">
        <f>_xlfn.XLOOKUP(tblPayrollMaster[[#This Row],[Employee Position]],tblPositionandPayRate[Employee Position],tblPositionandPayRate[Allowance 4],0)*tblPayrollMaster[[#This Row],[Pay Factor]]</f>
        <v>0</v>
      </c>
      <c r="P286" s="25">
        <f>_xlfn.XLOOKUP(tblPayrollMaster[[#This Row],[Employee Position]],tblPositionandPayRate[Employee Position],tblPositionandPayRate[Allowance 5],0)*tblPayrollMaster[[#This Row],[Pay Factor]]</f>
        <v>0</v>
      </c>
      <c r="Q286" s="25">
        <f>SUM(tblPayrollMaster[[#This Row],[Basic Pay]:[Allowance 5]])</f>
        <v>0</v>
      </c>
      <c r="R28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86" s="51" cm="1">
        <f t="array" ref="S2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86" s="3" cm="1">
        <f t="array" ref="T2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86" s="25">
        <f>_xlfn.LET(
_xlpm.tos, _xlfn.XLOOKUP(tblPayrollMaster[[#This Row],[Employee ID]], tblEmployee[Employee ID], tblEmployee[Type of Service], ""),
IF(_xlpm.tos="Contract of Service", 8.25, 0)
)</f>
        <v>0</v>
      </c>
      <c r="V286" s="25">
        <f>tblPayrollMaster[[#This Row],[Basic Earnings]]-tblPayrollMaster[[#This Row],[Tax]]-tblPayrollMaster[[#This Row],[NIS - Employee]]-tblPayrollMaster[[#This Row],[Health Surcharge]]</f>
        <v>0</v>
      </c>
      <c r="W286" s="25">
        <f>tblPayrollMaster[[#This Row],[Net Pay]]</f>
        <v>0</v>
      </c>
      <c r="X286" s="25"/>
    </row>
    <row r="287" spans="1:24" x14ac:dyDescent="0.25">
      <c r="A287" s="24"/>
      <c r="B287" s="24" t="str">
        <f>_xlfn.XLOOKUP(tblPayrollMaster[[#This Row],[Employee ID]],tblEmployee[Employee ID],tblEmployee[Employee Name],"")</f>
        <v/>
      </c>
      <c r="C287" s="24" t="str">
        <f>_xlfn.XLOOKUP(tblPayrollMaster[[#This Row],[Employee ID]],tblEmployee[Employee ID],tblEmployee[Employee Position],"")</f>
        <v/>
      </c>
      <c r="D287" s="24" t="str">
        <f>_xlfn.XLOOKUP(tblPayrollMaster[[#This Row],[Employee ID]], tblEmployee[Employee ID], tblEmployee[Pay Status], "Pay")</f>
        <v>Pay</v>
      </c>
      <c r="E287" s="24" t="str">
        <f>_xlfn.XLOOKUP(tblPayrollMaster[[#This Row],[Employee ID]], tblEmployee[Employee ID], tblEmployee[Payable Flag], "Y")</f>
        <v>Y</v>
      </c>
      <c r="F287" s="45">
        <f>IF(tblPayrollMaster[[#This Row],[Payable Flag]]="N",0,_xlfn.XLOOKUP(tblPayrollMaster[[#This Row],[Employee ID]],tblEmployee[Employee ID],tblEmployee[Pay Factor],1))</f>
        <v>1</v>
      </c>
      <c r="G287" s="26" t="str" cm="1">
        <f t="array" ref="G287">IF(tblPayrollMaster[[#This Row],[Employee ID]]="","",_xlfn.XLOOKUP(selPayPeriodID,tblPayCalendar[PayPeriodID],tblPayCalendar[PeriodStart],""))</f>
        <v/>
      </c>
      <c r="H287" s="26" t="str" cm="1">
        <f t="array" ref="H287">IF(tblPayrollMaster[[#This Row],[Employee ID]]="","",_xlfn.XLOOKUP(selPayPeriodID,tblPayCalendar[PayPeriodID],tblPayCalendar[PeriodEnd],""))</f>
        <v/>
      </c>
      <c r="I287" s="24" t="e" cm="1" vm="1">
        <f t="array" aca="1" ref="I287" ca="1">Table18[Employer Name]</f>
        <v>#VALUE!</v>
      </c>
      <c r="J287" s="3" cm="1">
        <f t="array" ref="J28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87" s="25" t="str">
        <f>_xlfn.XLOOKUP(tblPayrollMaster[[#This Row],[Employee Position]],tblPositionandPayRate[Employee Position],tblPositionandPayRate[Overtime], " ")</f>
        <v xml:space="preserve"> </v>
      </c>
      <c r="L287" s="25">
        <f>_xlfn.XLOOKUP(tblPayrollMaster[[#This Row],[Employee Position]],tblPositionandPayRate[Employee Position],tblPositionandPayRate[Allowance 1],0)*tblPayrollMaster[[#This Row],[Pay Factor]]</f>
        <v>0</v>
      </c>
      <c r="M287" s="25">
        <f>_xlfn.XLOOKUP(tblPayrollMaster[[#This Row],[Employee Position]],tblPositionandPayRate[Employee Position],tblPositionandPayRate[Allowance 2],0)*tblPayrollMaster[[#This Row],[Pay Factor]]</f>
        <v>0</v>
      </c>
      <c r="N287" s="25">
        <f>_xlfn.XLOOKUP(tblPayrollMaster[[#This Row],[Employee Position]],tblPositionandPayRate[Employee Position],tblPositionandPayRate[Allowance 3],0)*tblPayrollMaster[[#This Row],[Pay Factor]]</f>
        <v>0</v>
      </c>
      <c r="O287" s="25">
        <f>_xlfn.XLOOKUP(tblPayrollMaster[[#This Row],[Employee Position]],tblPositionandPayRate[Employee Position],tblPositionandPayRate[Allowance 4],0)*tblPayrollMaster[[#This Row],[Pay Factor]]</f>
        <v>0</v>
      </c>
      <c r="P287" s="25">
        <f>_xlfn.XLOOKUP(tblPayrollMaster[[#This Row],[Employee Position]],tblPositionandPayRate[Employee Position],tblPositionandPayRate[Allowance 5],0)*tblPayrollMaster[[#This Row],[Pay Factor]]</f>
        <v>0</v>
      </c>
      <c r="Q287" s="25">
        <f>SUM(tblPayrollMaster[[#This Row],[Basic Pay]:[Allowance 5]])</f>
        <v>0</v>
      </c>
      <c r="R28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87" s="51" cm="1">
        <f t="array" ref="S2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87" s="3" cm="1">
        <f t="array" ref="T2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87" s="25">
        <f>_xlfn.LET(
_xlpm.tos, _xlfn.XLOOKUP(tblPayrollMaster[[#This Row],[Employee ID]], tblEmployee[Employee ID], tblEmployee[Type of Service], ""),
IF(_xlpm.tos="Contract of Service", 8.25, 0)
)</f>
        <v>0</v>
      </c>
      <c r="V287" s="25">
        <f>tblPayrollMaster[[#This Row],[Basic Earnings]]-tblPayrollMaster[[#This Row],[Tax]]-tblPayrollMaster[[#This Row],[NIS - Employee]]-tblPayrollMaster[[#This Row],[Health Surcharge]]</f>
        <v>0</v>
      </c>
      <c r="W287" s="25">
        <f>tblPayrollMaster[[#This Row],[Net Pay]]</f>
        <v>0</v>
      </c>
      <c r="X287" s="25"/>
    </row>
    <row r="288" spans="1:24" x14ac:dyDescent="0.25">
      <c r="A288" s="24"/>
      <c r="B288" s="24" t="str">
        <f>_xlfn.XLOOKUP(tblPayrollMaster[[#This Row],[Employee ID]],tblEmployee[Employee ID],tblEmployee[Employee Name],"")</f>
        <v/>
      </c>
      <c r="C288" s="24" t="str">
        <f>_xlfn.XLOOKUP(tblPayrollMaster[[#This Row],[Employee ID]],tblEmployee[Employee ID],tblEmployee[Employee Position],"")</f>
        <v/>
      </c>
      <c r="D288" s="24" t="str">
        <f>_xlfn.XLOOKUP(tblPayrollMaster[[#This Row],[Employee ID]], tblEmployee[Employee ID], tblEmployee[Pay Status], "Pay")</f>
        <v>Pay</v>
      </c>
      <c r="E288" s="24" t="str">
        <f>_xlfn.XLOOKUP(tblPayrollMaster[[#This Row],[Employee ID]], tblEmployee[Employee ID], tblEmployee[Payable Flag], "Y")</f>
        <v>Y</v>
      </c>
      <c r="F288" s="45">
        <f>IF(tblPayrollMaster[[#This Row],[Payable Flag]]="N",0,_xlfn.XLOOKUP(tblPayrollMaster[[#This Row],[Employee ID]],tblEmployee[Employee ID],tblEmployee[Pay Factor],1))</f>
        <v>1</v>
      </c>
      <c r="G288" s="26" t="str" cm="1">
        <f t="array" ref="G288">IF(tblPayrollMaster[[#This Row],[Employee ID]]="","",_xlfn.XLOOKUP(selPayPeriodID,tblPayCalendar[PayPeriodID],tblPayCalendar[PeriodStart],""))</f>
        <v/>
      </c>
      <c r="H288" s="26" t="str" cm="1">
        <f t="array" ref="H288">IF(tblPayrollMaster[[#This Row],[Employee ID]]="","",_xlfn.XLOOKUP(selPayPeriodID,tblPayCalendar[PayPeriodID],tblPayCalendar[PeriodEnd],""))</f>
        <v/>
      </c>
      <c r="I288" s="24" t="e" cm="1" vm="1">
        <f t="array" aca="1" ref="I288" ca="1">Table18[Employer Name]</f>
        <v>#VALUE!</v>
      </c>
      <c r="J288" s="3" cm="1">
        <f t="array" ref="J28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88" s="25" t="str">
        <f>_xlfn.XLOOKUP(tblPayrollMaster[[#This Row],[Employee Position]],tblPositionandPayRate[Employee Position],tblPositionandPayRate[Overtime], " ")</f>
        <v xml:space="preserve"> </v>
      </c>
      <c r="L288" s="25">
        <f>_xlfn.XLOOKUP(tblPayrollMaster[[#This Row],[Employee Position]],tblPositionandPayRate[Employee Position],tblPositionandPayRate[Allowance 1],0)*tblPayrollMaster[[#This Row],[Pay Factor]]</f>
        <v>0</v>
      </c>
      <c r="M288" s="25">
        <f>_xlfn.XLOOKUP(tblPayrollMaster[[#This Row],[Employee Position]],tblPositionandPayRate[Employee Position],tblPositionandPayRate[Allowance 2],0)*tblPayrollMaster[[#This Row],[Pay Factor]]</f>
        <v>0</v>
      </c>
      <c r="N288" s="25">
        <f>_xlfn.XLOOKUP(tblPayrollMaster[[#This Row],[Employee Position]],tblPositionandPayRate[Employee Position],tblPositionandPayRate[Allowance 3],0)*tblPayrollMaster[[#This Row],[Pay Factor]]</f>
        <v>0</v>
      </c>
      <c r="O288" s="25">
        <f>_xlfn.XLOOKUP(tblPayrollMaster[[#This Row],[Employee Position]],tblPositionandPayRate[Employee Position],tblPositionandPayRate[Allowance 4],0)*tblPayrollMaster[[#This Row],[Pay Factor]]</f>
        <v>0</v>
      </c>
      <c r="P288" s="25">
        <f>_xlfn.XLOOKUP(tblPayrollMaster[[#This Row],[Employee Position]],tblPositionandPayRate[Employee Position],tblPositionandPayRate[Allowance 5],0)*tblPayrollMaster[[#This Row],[Pay Factor]]</f>
        <v>0</v>
      </c>
      <c r="Q288" s="25">
        <f>SUM(tblPayrollMaster[[#This Row],[Basic Pay]:[Allowance 5]])</f>
        <v>0</v>
      </c>
      <c r="R28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88" s="51" cm="1">
        <f t="array" ref="S2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88" s="3" cm="1">
        <f t="array" ref="T2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88" s="25">
        <f>_xlfn.LET(
_xlpm.tos, _xlfn.XLOOKUP(tblPayrollMaster[[#This Row],[Employee ID]], tblEmployee[Employee ID], tblEmployee[Type of Service], ""),
IF(_xlpm.tos="Contract of Service", 8.25, 0)
)</f>
        <v>0</v>
      </c>
      <c r="V288" s="25">
        <f>tblPayrollMaster[[#This Row],[Basic Earnings]]-tblPayrollMaster[[#This Row],[Tax]]-tblPayrollMaster[[#This Row],[NIS - Employee]]-tblPayrollMaster[[#This Row],[Health Surcharge]]</f>
        <v>0</v>
      </c>
      <c r="W288" s="25">
        <f>tblPayrollMaster[[#This Row],[Net Pay]]</f>
        <v>0</v>
      </c>
      <c r="X288" s="25"/>
    </row>
    <row r="289" spans="1:24" x14ac:dyDescent="0.25">
      <c r="A289" s="24"/>
      <c r="B289" s="24" t="str">
        <f>_xlfn.XLOOKUP(tblPayrollMaster[[#This Row],[Employee ID]],tblEmployee[Employee ID],tblEmployee[Employee Name],"")</f>
        <v/>
      </c>
      <c r="C289" s="24" t="str">
        <f>_xlfn.XLOOKUP(tblPayrollMaster[[#This Row],[Employee ID]],tblEmployee[Employee ID],tblEmployee[Employee Position],"")</f>
        <v/>
      </c>
      <c r="D289" s="24" t="str">
        <f>_xlfn.XLOOKUP(tblPayrollMaster[[#This Row],[Employee ID]], tblEmployee[Employee ID], tblEmployee[Pay Status], "Pay")</f>
        <v>Pay</v>
      </c>
      <c r="E289" s="24" t="str">
        <f>_xlfn.XLOOKUP(tblPayrollMaster[[#This Row],[Employee ID]], tblEmployee[Employee ID], tblEmployee[Payable Flag], "Y")</f>
        <v>Y</v>
      </c>
      <c r="F289" s="45">
        <f>IF(tblPayrollMaster[[#This Row],[Payable Flag]]="N",0,_xlfn.XLOOKUP(tblPayrollMaster[[#This Row],[Employee ID]],tblEmployee[Employee ID],tblEmployee[Pay Factor],1))</f>
        <v>1</v>
      </c>
      <c r="G289" s="26" t="str" cm="1">
        <f t="array" ref="G289">IF(tblPayrollMaster[[#This Row],[Employee ID]]="","",_xlfn.XLOOKUP(selPayPeriodID,tblPayCalendar[PayPeriodID],tblPayCalendar[PeriodStart],""))</f>
        <v/>
      </c>
      <c r="H289" s="26" t="str" cm="1">
        <f t="array" ref="H289">IF(tblPayrollMaster[[#This Row],[Employee ID]]="","",_xlfn.XLOOKUP(selPayPeriodID,tblPayCalendar[PayPeriodID],tblPayCalendar[PeriodEnd],""))</f>
        <v/>
      </c>
      <c r="I289" s="24" t="e" cm="1" vm="1">
        <f t="array" aca="1" ref="I289" ca="1">Table18[Employer Name]</f>
        <v>#VALUE!</v>
      </c>
      <c r="J289" s="3" cm="1">
        <f t="array" ref="J28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89" s="25" t="str">
        <f>_xlfn.XLOOKUP(tblPayrollMaster[[#This Row],[Employee Position]],tblPositionandPayRate[Employee Position],tblPositionandPayRate[Overtime], " ")</f>
        <v xml:space="preserve"> </v>
      </c>
      <c r="L289" s="25">
        <f>_xlfn.XLOOKUP(tblPayrollMaster[[#This Row],[Employee Position]],tblPositionandPayRate[Employee Position],tblPositionandPayRate[Allowance 1],0)*tblPayrollMaster[[#This Row],[Pay Factor]]</f>
        <v>0</v>
      </c>
      <c r="M289" s="25">
        <f>_xlfn.XLOOKUP(tblPayrollMaster[[#This Row],[Employee Position]],tblPositionandPayRate[Employee Position],tblPositionandPayRate[Allowance 2],0)*tblPayrollMaster[[#This Row],[Pay Factor]]</f>
        <v>0</v>
      </c>
      <c r="N289" s="25">
        <f>_xlfn.XLOOKUP(tblPayrollMaster[[#This Row],[Employee Position]],tblPositionandPayRate[Employee Position],tblPositionandPayRate[Allowance 3],0)*tblPayrollMaster[[#This Row],[Pay Factor]]</f>
        <v>0</v>
      </c>
      <c r="O289" s="25">
        <f>_xlfn.XLOOKUP(tblPayrollMaster[[#This Row],[Employee Position]],tblPositionandPayRate[Employee Position],tblPositionandPayRate[Allowance 4],0)*tblPayrollMaster[[#This Row],[Pay Factor]]</f>
        <v>0</v>
      </c>
      <c r="P289" s="25">
        <f>_xlfn.XLOOKUP(tblPayrollMaster[[#This Row],[Employee Position]],tblPositionandPayRate[Employee Position],tblPositionandPayRate[Allowance 5],0)*tblPayrollMaster[[#This Row],[Pay Factor]]</f>
        <v>0</v>
      </c>
      <c r="Q289" s="25">
        <f>SUM(tblPayrollMaster[[#This Row],[Basic Pay]:[Allowance 5]])</f>
        <v>0</v>
      </c>
      <c r="R28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89" s="51" cm="1">
        <f t="array" ref="S2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89" s="3" cm="1">
        <f t="array" ref="T2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89" s="25">
        <f>_xlfn.LET(
_xlpm.tos, _xlfn.XLOOKUP(tblPayrollMaster[[#This Row],[Employee ID]], tblEmployee[Employee ID], tblEmployee[Type of Service], ""),
IF(_xlpm.tos="Contract of Service", 8.25, 0)
)</f>
        <v>0</v>
      </c>
      <c r="V289" s="25">
        <f>tblPayrollMaster[[#This Row],[Basic Earnings]]-tblPayrollMaster[[#This Row],[Tax]]-tblPayrollMaster[[#This Row],[NIS - Employee]]-tblPayrollMaster[[#This Row],[Health Surcharge]]</f>
        <v>0</v>
      </c>
      <c r="W289" s="25">
        <f>tblPayrollMaster[[#This Row],[Net Pay]]</f>
        <v>0</v>
      </c>
      <c r="X289" s="25"/>
    </row>
    <row r="290" spans="1:24" x14ac:dyDescent="0.25">
      <c r="A290" s="24"/>
      <c r="B290" s="24" t="str">
        <f>_xlfn.XLOOKUP(tblPayrollMaster[[#This Row],[Employee ID]],tblEmployee[Employee ID],tblEmployee[Employee Name],"")</f>
        <v/>
      </c>
      <c r="C290" s="24" t="str">
        <f>_xlfn.XLOOKUP(tblPayrollMaster[[#This Row],[Employee ID]],tblEmployee[Employee ID],tblEmployee[Employee Position],"")</f>
        <v/>
      </c>
      <c r="D290" s="24" t="str">
        <f>_xlfn.XLOOKUP(tblPayrollMaster[[#This Row],[Employee ID]], tblEmployee[Employee ID], tblEmployee[Pay Status], "Pay")</f>
        <v>Pay</v>
      </c>
      <c r="E290" s="24" t="str">
        <f>_xlfn.XLOOKUP(tblPayrollMaster[[#This Row],[Employee ID]], tblEmployee[Employee ID], tblEmployee[Payable Flag], "Y")</f>
        <v>Y</v>
      </c>
      <c r="F290" s="45">
        <f>IF(tblPayrollMaster[[#This Row],[Payable Flag]]="N",0,_xlfn.XLOOKUP(tblPayrollMaster[[#This Row],[Employee ID]],tblEmployee[Employee ID],tblEmployee[Pay Factor],1))</f>
        <v>1</v>
      </c>
      <c r="G290" s="26" t="str" cm="1">
        <f t="array" ref="G290">IF(tblPayrollMaster[[#This Row],[Employee ID]]="","",_xlfn.XLOOKUP(selPayPeriodID,tblPayCalendar[PayPeriodID],tblPayCalendar[PeriodStart],""))</f>
        <v/>
      </c>
      <c r="H290" s="26" t="str" cm="1">
        <f t="array" ref="H290">IF(tblPayrollMaster[[#This Row],[Employee ID]]="","",_xlfn.XLOOKUP(selPayPeriodID,tblPayCalendar[PayPeriodID],tblPayCalendar[PeriodEnd],""))</f>
        <v/>
      </c>
      <c r="I290" s="24" t="e" cm="1" vm="1">
        <f t="array" aca="1" ref="I290" ca="1">Table18[Employer Name]</f>
        <v>#VALUE!</v>
      </c>
      <c r="J290" s="3" cm="1">
        <f t="array" ref="J29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90" s="25" t="str">
        <f>_xlfn.XLOOKUP(tblPayrollMaster[[#This Row],[Employee Position]],tblPositionandPayRate[Employee Position],tblPositionandPayRate[Overtime], " ")</f>
        <v xml:space="preserve"> </v>
      </c>
      <c r="L290" s="25">
        <f>_xlfn.XLOOKUP(tblPayrollMaster[[#This Row],[Employee Position]],tblPositionandPayRate[Employee Position],tblPositionandPayRate[Allowance 1],0)*tblPayrollMaster[[#This Row],[Pay Factor]]</f>
        <v>0</v>
      </c>
      <c r="M290" s="25">
        <f>_xlfn.XLOOKUP(tblPayrollMaster[[#This Row],[Employee Position]],tblPositionandPayRate[Employee Position],tblPositionandPayRate[Allowance 2],0)*tblPayrollMaster[[#This Row],[Pay Factor]]</f>
        <v>0</v>
      </c>
      <c r="N290" s="25">
        <f>_xlfn.XLOOKUP(tblPayrollMaster[[#This Row],[Employee Position]],tblPositionandPayRate[Employee Position],tblPositionandPayRate[Allowance 3],0)*tblPayrollMaster[[#This Row],[Pay Factor]]</f>
        <v>0</v>
      </c>
      <c r="O290" s="25">
        <f>_xlfn.XLOOKUP(tblPayrollMaster[[#This Row],[Employee Position]],tblPositionandPayRate[Employee Position],tblPositionandPayRate[Allowance 4],0)*tblPayrollMaster[[#This Row],[Pay Factor]]</f>
        <v>0</v>
      </c>
      <c r="P290" s="25">
        <f>_xlfn.XLOOKUP(tblPayrollMaster[[#This Row],[Employee Position]],tblPositionandPayRate[Employee Position],tblPositionandPayRate[Allowance 5],0)*tblPayrollMaster[[#This Row],[Pay Factor]]</f>
        <v>0</v>
      </c>
      <c r="Q290" s="25">
        <f>SUM(tblPayrollMaster[[#This Row],[Basic Pay]:[Allowance 5]])</f>
        <v>0</v>
      </c>
      <c r="R29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90" s="51" cm="1">
        <f t="array" ref="S2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90" s="3" cm="1">
        <f t="array" ref="T2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90" s="25">
        <f>_xlfn.LET(
_xlpm.tos, _xlfn.XLOOKUP(tblPayrollMaster[[#This Row],[Employee ID]], tblEmployee[Employee ID], tblEmployee[Type of Service], ""),
IF(_xlpm.tos="Contract of Service", 8.25, 0)
)</f>
        <v>0</v>
      </c>
      <c r="V290" s="25">
        <f>tblPayrollMaster[[#This Row],[Basic Earnings]]-tblPayrollMaster[[#This Row],[Tax]]-tblPayrollMaster[[#This Row],[NIS - Employee]]-tblPayrollMaster[[#This Row],[Health Surcharge]]</f>
        <v>0</v>
      </c>
      <c r="W290" s="25">
        <f>tblPayrollMaster[[#This Row],[Net Pay]]</f>
        <v>0</v>
      </c>
      <c r="X290" s="25"/>
    </row>
    <row r="291" spans="1:24" x14ac:dyDescent="0.25">
      <c r="A291" s="24"/>
      <c r="B291" s="24" t="str">
        <f>_xlfn.XLOOKUP(tblPayrollMaster[[#This Row],[Employee ID]],tblEmployee[Employee ID],tblEmployee[Employee Name],"")</f>
        <v/>
      </c>
      <c r="C291" s="24" t="str">
        <f>_xlfn.XLOOKUP(tblPayrollMaster[[#This Row],[Employee ID]],tblEmployee[Employee ID],tblEmployee[Employee Position],"")</f>
        <v/>
      </c>
      <c r="D291" s="24" t="str">
        <f>_xlfn.XLOOKUP(tblPayrollMaster[[#This Row],[Employee ID]], tblEmployee[Employee ID], tblEmployee[Pay Status], "Pay")</f>
        <v>Pay</v>
      </c>
      <c r="E291" s="24" t="str">
        <f>_xlfn.XLOOKUP(tblPayrollMaster[[#This Row],[Employee ID]], tblEmployee[Employee ID], tblEmployee[Payable Flag], "Y")</f>
        <v>Y</v>
      </c>
      <c r="F291" s="45">
        <f>IF(tblPayrollMaster[[#This Row],[Payable Flag]]="N",0,_xlfn.XLOOKUP(tblPayrollMaster[[#This Row],[Employee ID]],tblEmployee[Employee ID],tblEmployee[Pay Factor],1))</f>
        <v>1</v>
      </c>
      <c r="G291" s="26" t="str" cm="1">
        <f t="array" ref="G291">IF(tblPayrollMaster[[#This Row],[Employee ID]]="","",_xlfn.XLOOKUP(selPayPeriodID,tblPayCalendar[PayPeriodID],tblPayCalendar[PeriodStart],""))</f>
        <v/>
      </c>
      <c r="H291" s="26" t="str" cm="1">
        <f t="array" ref="H291">IF(tblPayrollMaster[[#This Row],[Employee ID]]="","",_xlfn.XLOOKUP(selPayPeriodID,tblPayCalendar[PayPeriodID],tblPayCalendar[PeriodEnd],""))</f>
        <v/>
      </c>
      <c r="I291" s="24" t="e" cm="1" vm="1">
        <f t="array" aca="1" ref="I291" ca="1">Table18[Employer Name]</f>
        <v>#VALUE!</v>
      </c>
      <c r="J291" s="3" cm="1">
        <f t="array" ref="J29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91" s="25" t="str">
        <f>_xlfn.XLOOKUP(tblPayrollMaster[[#This Row],[Employee Position]],tblPositionandPayRate[Employee Position],tblPositionandPayRate[Overtime], " ")</f>
        <v xml:space="preserve"> </v>
      </c>
      <c r="L291" s="25">
        <f>_xlfn.XLOOKUP(tblPayrollMaster[[#This Row],[Employee Position]],tblPositionandPayRate[Employee Position],tblPositionandPayRate[Allowance 1],0)*tblPayrollMaster[[#This Row],[Pay Factor]]</f>
        <v>0</v>
      </c>
      <c r="M291" s="25">
        <f>_xlfn.XLOOKUP(tblPayrollMaster[[#This Row],[Employee Position]],tblPositionandPayRate[Employee Position],tblPositionandPayRate[Allowance 2],0)*tblPayrollMaster[[#This Row],[Pay Factor]]</f>
        <v>0</v>
      </c>
      <c r="N291" s="25">
        <f>_xlfn.XLOOKUP(tblPayrollMaster[[#This Row],[Employee Position]],tblPositionandPayRate[Employee Position],tblPositionandPayRate[Allowance 3],0)*tblPayrollMaster[[#This Row],[Pay Factor]]</f>
        <v>0</v>
      </c>
      <c r="O291" s="25">
        <f>_xlfn.XLOOKUP(tblPayrollMaster[[#This Row],[Employee Position]],tblPositionandPayRate[Employee Position],tblPositionandPayRate[Allowance 4],0)*tblPayrollMaster[[#This Row],[Pay Factor]]</f>
        <v>0</v>
      </c>
      <c r="P291" s="25">
        <f>_xlfn.XLOOKUP(tblPayrollMaster[[#This Row],[Employee Position]],tblPositionandPayRate[Employee Position],tblPositionandPayRate[Allowance 5],0)*tblPayrollMaster[[#This Row],[Pay Factor]]</f>
        <v>0</v>
      </c>
      <c r="Q291" s="25">
        <f>SUM(tblPayrollMaster[[#This Row],[Basic Pay]:[Allowance 5]])</f>
        <v>0</v>
      </c>
      <c r="R29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91" s="51" cm="1">
        <f t="array" ref="S2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91" s="3" cm="1">
        <f t="array" ref="T2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91" s="25">
        <f>_xlfn.LET(
_xlpm.tos, _xlfn.XLOOKUP(tblPayrollMaster[[#This Row],[Employee ID]], tblEmployee[Employee ID], tblEmployee[Type of Service], ""),
IF(_xlpm.tos="Contract of Service", 8.25, 0)
)</f>
        <v>0</v>
      </c>
      <c r="V291" s="25">
        <f>tblPayrollMaster[[#This Row],[Basic Earnings]]-tblPayrollMaster[[#This Row],[Tax]]-tblPayrollMaster[[#This Row],[NIS - Employee]]-tblPayrollMaster[[#This Row],[Health Surcharge]]</f>
        <v>0</v>
      </c>
      <c r="W291" s="25">
        <f>tblPayrollMaster[[#This Row],[Net Pay]]</f>
        <v>0</v>
      </c>
      <c r="X291" s="25"/>
    </row>
    <row r="292" spans="1:24" x14ac:dyDescent="0.25">
      <c r="A292" s="24"/>
      <c r="B292" s="24" t="str">
        <f>_xlfn.XLOOKUP(tblPayrollMaster[[#This Row],[Employee ID]],tblEmployee[Employee ID],tblEmployee[Employee Name],"")</f>
        <v/>
      </c>
      <c r="C292" s="24" t="str">
        <f>_xlfn.XLOOKUP(tblPayrollMaster[[#This Row],[Employee ID]],tblEmployee[Employee ID],tblEmployee[Employee Position],"")</f>
        <v/>
      </c>
      <c r="D292" s="24" t="str">
        <f>_xlfn.XLOOKUP(tblPayrollMaster[[#This Row],[Employee ID]], tblEmployee[Employee ID], tblEmployee[Pay Status], "Pay")</f>
        <v>Pay</v>
      </c>
      <c r="E292" s="24" t="str">
        <f>_xlfn.XLOOKUP(tblPayrollMaster[[#This Row],[Employee ID]], tblEmployee[Employee ID], tblEmployee[Payable Flag], "Y")</f>
        <v>Y</v>
      </c>
      <c r="F292" s="45">
        <f>IF(tblPayrollMaster[[#This Row],[Payable Flag]]="N",0,_xlfn.XLOOKUP(tblPayrollMaster[[#This Row],[Employee ID]],tblEmployee[Employee ID],tblEmployee[Pay Factor],1))</f>
        <v>1</v>
      </c>
      <c r="G292" s="26" t="str" cm="1">
        <f t="array" ref="G292">IF(tblPayrollMaster[[#This Row],[Employee ID]]="","",_xlfn.XLOOKUP(selPayPeriodID,tblPayCalendar[PayPeriodID],tblPayCalendar[PeriodStart],""))</f>
        <v/>
      </c>
      <c r="H292" s="26" t="str" cm="1">
        <f t="array" ref="H292">IF(tblPayrollMaster[[#This Row],[Employee ID]]="","",_xlfn.XLOOKUP(selPayPeriodID,tblPayCalendar[PayPeriodID],tblPayCalendar[PeriodEnd],""))</f>
        <v/>
      </c>
      <c r="I292" s="24" t="e" cm="1" vm="1">
        <f t="array" aca="1" ref="I292" ca="1">Table18[Employer Name]</f>
        <v>#VALUE!</v>
      </c>
      <c r="J292" s="3" cm="1">
        <f t="array" ref="J29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92" s="25" t="str">
        <f>_xlfn.XLOOKUP(tblPayrollMaster[[#This Row],[Employee Position]],tblPositionandPayRate[Employee Position],tblPositionandPayRate[Overtime], " ")</f>
        <v xml:space="preserve"> </v>
      </c>
      <c r="L292" s="25">
        <f>_xlfn.XLOOKUP(tblPayrollMaster[[#This Row],[Employee Position]],tblPositionandPayRate[Employee Position],tblPositionandPayRate[Allowance 1],0)*tblPayrollMaster[[#This Row],[Pay Factor]]</f>
        <v>0</v>
      </c>
      <c r="M292" s="25">
        <f>_xlfn.XLOOKUP(tblPayrollMaster[[#This Row],[Employee Position]],tblPositionandPayRate[Employee Position],tblPositionandPayRate[Allowance 2],0)*tblPayrollMaster[[#This Row],[Pay Factor]]</f>
        <v>0</v>
      </c>
      <c r="N292" s="25">
        <f>_xlfn.XLOOKUP(tblPayrollMaster[[#This Row],[Employee Position]],tblPositionandPayRate[Employee Position],tblPositionandPayRate[Allowance 3],0)*tblPayrollMaster[[#This Row],[Pay Factor]]</f>
        <v>0</v>
      </c>
      <c r="O292" s="25">
        <f>_xlfn.XLOOKUP(tblPayrollMaster[[#This Row],[Employee Position]],tblPositionandPayRate[Employee Position],tblPositionandPayRate[Allowance 4],0)*tblPayrollMaster[[#This Row],[Pay Factor]]</f>
        <v>0</v>
      </c>
      <c r="P292" s="25">
        <f>_xlfn.XLOOKUP(tblPayrollMaster[[#This Row],[Employee Position]],tblPositionandPayRate[Employee Position],tblPositionandPayRate[Allowance 5],0)*tblPayrollMaster[[#This Row],[Pay Factor]]</f>
        <v>0</v>
      </c>
      <c r="Q292" s="25">
        <f>SUM(tblPayrollMaster[[#This Row],[Basic Pay]:[Allowance 5]])</f>
        <v>0</v>
      </c>
      <c r="R29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92" s="51" cm="1">
        <f t="array" ref="S2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92" s="3" cm="1">
        <f t="array" ref="T2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92" s="25">
        <f>_xlfn.LET(
_xlpm.tos, _xlfn.XLOOKUP(tblPayrollMaster[[#This Row],[Employee ID]], tblEmployee[Employee ID], tblEmployee[Type of Service], ""),
IF(_xlpm.tos="Contract of Service", 8.25, 0)
)</f>
        <v>0</v>
      </c>
      <c r="V292" s="25">
        <f>tblPayrollMaster[[#This Row],[Basic Earnings]]-tblPayrollMaster[[#This Row],[Tax]]-tblPayrollMaster[[#This Row],[NIS - Employee]]-tblPayrollMaster[[#This Row],[Health Surcharge]]</f>
        <v>0</v>
      </c>
      <c r="W292" s="25">
        <f>tblPayrollMaster[[#This Row],[Net Pay]]</f>
        <v>0</v>
      </c>
      <c r="X292" s="25"/>
    </row>
    <row r="293" spans="1:24" x14ac:dyDescent="0.25">
      <c r="A293" s="24"/>
      <c r="B293" s="24" t="str">
        <f>_xlfn.XLOOKUP(tblPayrollMaster[[#This Row],[Employee ID]],tblEmployee[Employee ID],tblEmployee[Employee Name],"")</f>
        <v/>
      </c>
      <c r="C293" s="24" t="str">
        <f>_xlfn.XLOOKUP(tblPayrollMaster[[#This Row],[Employee ID]],tblEmployee[Employee ID],tblEmployee[Employee Position],"")</f>
        <v/>
      </c>
      <c r="D293" s="24" t="str">
        <f>_xlfn.XLOOKUP(tblPayrollMaster[[#This Row],[Employee ID]], tblEmployee[Employee ID], tblEmployee[Pay Status], "Pay")</f>
        <v>Pay</v>
      </c>
      <c r="E293" s="24" t="str">
        <f>_xlfn.XLOOKUP(tblPayrollMaster[[#This Row],[Employee ID]], tblEmployee[Employee ID], tblEmployee[Payable Flag], "Y")</f>
        <v>Y</v>
      </c>
      <c r="F293" s="45">
        <f>IF(tblPayrollMaster[[#This Row],[Payable Flag]]="N",0,_xlfn.XLOOKUP(tblPayrollMaster[[#This Row],[Employee ID]],tblEmployee[Employee ID],tblEmployee[Pay Factor],1))</f>
        <v>1</v>
      </c>
      <c r="G293" s="26" t="str" cm="1">
        <f t="array" ref="G293">IF(tblPayrollMaster[[#This Row],[Employee ID]]="","",_xlfn.XLOOKUP(selPayPeriodID,tblPayCalendar[PayPeriodID],tblPayCalendar[PeriodStart],""))</f>
        <v/>
      </c>
      <c r="H293" s="26" t="str" cm="1">
        <f t="array" ref="H293">IF(tblPayrollMaster[[#This Row],[Employee ID]]="","",_xlfn.XLOOKUP(selPayPeriodID,tblPayCalendar[PayPeriodID],tblPayCalendar[PeriodEnd],""))</f>
        <v/>
      </c>
      <c r="I293" s="24" t="e" cm="1" vm="1">
        <f t="array" aca="1" ref="I293" ca="1">Table18[Employer Name]</f>
        <v>#VALUE!</v>
      </c>
      <c r="J293" s="3" cm="1">
        <f t="array" ref="J29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93" s="25" t="str">
        <f>_xlfn.XLOOKUP(tblPayrollMaster[[#This Row],[Employee Position]],tblPositionandPayRate[Employee Position],tblPositionandPayRate[Overtime], " ")</f>
        <v xml:space="preserve"> </v>
      </c>
      <c r="L293" s="25">
        <f>_xlfn.XLOOKUP(tblPayrollMaster[[#This Row],[Employee Position]],tblPositionandPayRate[Employee Position],tblPositionandPayRate[Allowance 1],0)*tblPayrollMaster[[#This Row],[Pay Factor]]</f>
        <v>0</v>
      </c>
      <c r="M293" s="25">
        <f>_xlfn.XLOOKUP(tblPayrollMaster[[#This Row],[Employee Position]],tblPositionandPayRate[Employee Position],tblPositionandPayRate[Allowance 2],0)*tblPayrollMaster[[#This Row],[Pay Factor]]</f>
        <v>0</v>
      </c>
      <c r="N293" s="25">
        <f>_xlfn.XLOOKUP(tblPayrollMaster[[#This Row],[Employee Position]],tblPositionandPayRate[Employee Position],tblPositionandPayRate[Allowance 3],0)*tblPayrollMaster[[#This Row],[Pay Factor]]</f>
        <v>0</v>
      </c>
      <c r="O293" s="25">
        <f>_xlfn.XLOOKUP(tblPayrollMaster[[#This Row],[Employee Position]],tblPositionandPayRate[Employee Position],tblPositionandPayRate[Allowance 4],0)*tblPayrollMaster[[#This Row],[Pay Factor]]</f>
        <v>0</v>
      </c>
      <c r="P293" s="25">
        <f>_xlfn.XLOOKUP(tblPayrollMaster[[#This Row],[Employee Position]],tblPositionandPayRate[Employee Position],tblPositionandPayRate[Allowance 5],0)*tblPayrollMaster[[#This Row],[Pay Factor]]</f>
        <v>0</v>
      </c>
      <c r="Q293" s="25">
        <f>SUM(tblPayrollMaster[[#This Row],[Basic Pay]:[Allowance 5]])</f>
        <v>0</v>
      </c>
      <c r="R29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93" s="51" cm="1">
        <f t="array" ref="S2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93" s="3" cm="1">
        <f t="array" ref="T2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93" s="25">
        <f>_xlfn.LET(
_xlpm.tos, _xlfn.XLOOKUP(tblPayrollMaster[[#This Row],[Employee ID]], tblEmployee[Employee ID], tblEmployee[Type of Service], ""),
IF(_xlpm.tos="Contract of Service", 8.25, 0)
)</f>
        <v>0</v>
      </c>
      <c r="V293" s="25">
        <f>tblPayrollMaster[[#This Row],[Basic Earnings]]-tblPayrollMaster[[#This Row],[Tax]]-tblPayrollMaster[[#This Row],[NIS - Employee]]-tblPayrollMaster[[#This Row],[Health Surcharge]]</f>
        <v>0</v>
      </c>
      <c r="W293" s="25">
        <f>tblPayrollMaster[[#This Row],[Net Pay]]</f>
        <v>0</v>
      </c>
      <c r="X293" s="25"/>
    </row>
    <row r="294" spans="1:24" x14ac:dyDescent="0.25">
      <c r="A294" s="24"/>
      <c r="B294" s="24" t="str">
        <f>_xlfn.XLOOKUP(tblPayrollMaster[[#This Row],[Employee ID]],tblEmployee[Employee ID],tblEmployee[Employee Name],"")</f>
        <v/>
      </c>
      <c r="C294" s="24" t="str">
        <f>_xlfn.XLOOKUP(tblPayrollMaster[[#This Row],[Employee ID]],tblEmployee[Employee ID],tblEmployee[Employee Position],"")</f>
        <v/>
      </c>
      <c r="D294" s="24" t="str">
        <f>_xlfn.XLOOKUP(tblPayrollMaster[[#This Row],[Employee ID]], tblEmployee[Employee ID], tblEmployee[Pay Status], "Pay")</f>
        <v>Pay</v>
      </c>
      <c r="E294" s="24" t="str">
        <f>_xlfn.XLOOKUP(tblPayrollMaster[[#This Row],[Employee ID]], tblEmployee[Employee ID], tblEmployee[Payable Flag], "Y")</f>
        <v>Y</v>
      </c>
      <c r="F294" s="45">
        <f>IF(tblPayrollMaster[[#This Row],[Payable Flag]]="N",0,_xlfn.XLOOKUP(tblPayrollMaster[[#This Row],[Employee ID]],tblEmployee[Employee ID],tblEmployee[Pay Factor],1))</f>
        <v>1</v>
      </c>
      <c r="G294" s="26" t="str" cm="1">
        <f t="array" ref="G294">IF(tblPayrollMaster[[#This Row],[Employee ID]]="","",_xlfn.XLOOKUP(selPayPeriodID,tblPayCalendar[PayPeriodID],tblPayCalendar[PeriodStart],""))</f>
        <v/>
      </c>
      <c r="H294" s="26" t="str" cm="1">
        <f t="array" ref="H294">IF(tblPayrollMaster[[#This Row],[Employee ID]]="","",_xlfn.XLOOKUP(selPayPeriodID,tblPayCalendar[PayPeriodID],tblPayCalendar[PeriodEnd],""))</f>
        <v/>
      </c>
      <c r="I294" s="24" t="e" cm="1" vm="1">
        <f t="array" aca="1" ref="I294" ca="1">Table18[Employer Name]</f>
        <v>#VALUE!</v>
      </c>
      <c r="J294" s="3" cm="1">
        <f t="array" ref="J29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94" s="25" t="str">
        <f>_xlfn.XLOOKUP(tblPayrollMaster[[#This Row],[Employee Position]],tblPositionandPayRate[Employee Position],tblPositionandPayRate[Overtime], " ")</f>
        <v xml:space="preserve"> </v>
      </c>
      <c r="L294" s="25">
        <f>_xlfn.XLOOKUP(tblPayrollMaster[[#This Row],[Employee Position]],tblPositionandPayRate[Employee Position],tblPositionandPayRate[Allowance 1],0)*tblPayrollMaster[[#This Row],[Pay Factor]]</f>
        <v>0</v>
      </c>
      <c r="M294" s="25">
        <f>_xlfn.XLOOKUP(tblPayrollMaster[[#This Row],[Employee Position]],tblPositionandPayRate[Employee Position],tblPositionandPayRate[Allowance 2],0)*tblPayrollMaster[[#This Row],[Pay Factor]]</f>
        <v>0</v>
      </c>
      <c r="N294" s="25">
        <f>_xlfn.XLOOKUP(tblPayrollMaster[[#This Row],[Employee Position]],tblPositionandPayRate[Employee Position],tblPositionandPayRate[Allowance 3],0)*tblPayrollMaster[[#This Row],[Pay Factor]]</f>
        <v>0</v>
      </c>
      <c r="O294" s="25">
        <f>_xlfn.XLOOKUP(tblPayrollMaster[[#This Row],[Employee Position]],tblPositionandPayRate[Employee Position],tblPositionandPayRate[Allowance 4],0)*tblPayrollMaster[[#This Row],[Pay Factor]]</f>
        <v>0</v>
      </c>
      <c r="P294" s="25">
        <f>_xlfn.XLOOKUP(tblPayrollMaster[[#This Row],[Employee Position]],tblPositionandPayRate[Employee Position],tblPositionandPayRate[Allowance 5],0)*tblPayrollMaster[[#This Row],[Pay Factor]]</f>
        <v>0</v>
      </c>
      <c r="Q294" s="25">
        <f>SUM(tblPayrollMaster[[#This Row],[Basic Pay]:[Allowance 5]])</f>
        <v>0</v>
      </c>
      <c r="R29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94" s="51" cm="1">
        <f t="array" ref="S2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94" s="3" cm="1">
        <f t="array" ref="T2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94" s="25">
        <f>_xlfn.LET(
_xlpm.tos, _xlfn.XLOOKUP(tblPayrollMaster[[#This Row],[Employee ID]], tblEmployee[Employee ID], tblEmployee[Type of Service], ""),
IF(_xlpm.tos="Contract of Service", 8.25, 0)
)</f>
        <v>0</v>
      </c>
      <c r="V294" s="25">
        <f>tblPayrollMaster[[#This Row],[Basic Earnings]]-tblPayrollMaster[[#This Row],[Tax]]-tblPayrollMaster[[#This Row],[NIS - Employee]]-tblPayrollMaster[[#This Row],[Health Surcharge]]</f>
        <v>0</v>
      </c>
      <c r="W294" s="25">
        <f>tblPayrollMaster[[#This Row],[Net Pay]]</f>
        <v>0</v>
      </c>
      <c r="X294" s="25"/>
    </row>
    <row r="295" spans="1:24" x14ac:dyDescent="0.25">
      <c r="A295" s="24"/>
      <c r="B295" s="24" t="str">
        <f>_xlfn.XLOOKUP(tblPayrollMaster[[#This Row],[Employee ID]],tblEmployee[Employee ID],tblEmployee[Employee Name],"")</f>
        <v/>
      </c>
      <c r="C295" s="24" t="str">
        <f>_xlfn.XLOOKUP(tblPayrollMaster[[#This Row],[Employee ID]],tblEmployee[Employee ID],tblEmployee[Employee Position],"")</f>
        <v/>
      </c>
      <c r="D295" s="24" t="str">
        <f>_xlfn.XLOOKUP(tblPayrollMaster[[#This Row],[Employee ID]], tblEmployee[Employee ID], tblEmployee[Pay Status], "Pay")</f>
        <v>Pay</v>
      </c>
      <c r="E295" s="24" t="str">
        <f>_xlfn.XLOOKUP(tblPayrollMaster[[#This Row],[Employee ID]], tblEmployee[Employee ID], tblEmployee[Payable Flag], "Y")</f>
        <v>Y</v>
      </c>
      <c r="F295" s="45">
        <f>IF(tblPayrollMaster[[#This Row],[Payable Flag]]="N",0,_xlfn.XLOOKUP(tblPayrollMaster[[#This Row],[Employee ID]],tblEmployee[Employee ID],tblEmployee[Pay Factor],1))</f>
        <v>1</v>
      </c>
      <c r="G295" s="26" t="str" cm="1">
        <f t="array" ref="G295">IF(tblPayrollMaster[[#This Row],[Employee ID]]="","",_xlfn.XLOOKUP(selPayPeriodID,tblPayCalendar[PayPeriodID],tblPayCalendar[PeriodStart],""))</f>
        <v/>
      </c>
      <c r="H295" s="26" t="str" cm="1">
        <f t="array" ref="H295">IF(tblPayrollMaster[[#This Row],[Employee ID]]="","",_xlfn.XLOOKUP(selPayPeriodID,tblPayCalendar[PayPeriodID],tblPayCalendar[PeriodEnd],""))</f>
        <v/>
      </c>
      <c r="I295" s="24" t="e" cm="1" vm="1">
        <f t="array" aca="1" ref="I295" ca="1">Table18[Employer Name]</f>
        <v>#VALUE!</v>
      </c>
      <c r="J295" s="3" cm="1">
        <f t="array" ref="J29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95" s="25" t="str">
        <f>_xlfn.XLOOKUP(tblPayrollMaster[[#This Row],[Employee Position]],tblPositionandPayRate[Employee Position],tblPositionandPayRate[Overtime], " ")</f>
        <v xml:space="preserve"> </v>
      </c>
      <c r="L295" s="25">
        <f>_xlfn.XLOOKUP(tblPayrollMaster[[#This Row],[Employee Position]],tblPositionandPayRate[Employee Position],tblPositionandPayRate[Allowance 1],0)*tblPayrollMaster[[#This Row],[Pay Factor]]</f>
        <v>0</v>
      </c>
      <c r="M295" s="25">
        <f>_xlfn.XLOOKUP(tblPayrollMaster[[#This Row],[Employee Position]],tblPositionandPayRate[Employee Position],tblPositionandPayRate[Allowance 2],0)*tblPayrollMaster[[#This Row],[Pay Factor]]</f>
        <v>0</v>
      </c>
      <c r="N295" s="25">
        <f>_xlfn.XLOOKUP(tblPayrollMaster[[#This Row],[Employee Position]],tblPositionandPayRate[Employee Position],tblPositionandPayRate[Allowance 3],0)*tblPayrollMaster[[#This Row],[Pay Factor]]</f>
        <v>0</v>
      </c>
      <c r="O295" s="25">
        <f>_xlfn.XLOOKUP(tblPayrollMaster[[#This Row],[Employee Position]],tblPositionandPayRate[Employee Position],tblPositionandPayRate[Allowance 4],0)*tblPayrollMaster[[#This Row],[Pay Factor]]</f>
        <v>0</v>
      </c>
      <c r="P295" s="25">
        <f>_xlfn.XLOOKUP(tblPayrollMaster[[#This Row],[Employee Position]],tblPositionandPayRate[Employee Position],tblPositionandPayRate[Allowance 5],0)*tblPayrollMaster[[#This Row],[Pay Factor]]</f>
        <v>0</v>
      </c>
      <c r="Q295" s="25">
        <f>SUM(tblPayrollMaster[[#This Row],[Basic Pay]:[Allowance 5]])</f>
        <v>0</v>
      </c>
      <c r="R29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95" s="51" cm="1">
        <f t="array" ref="S2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95" s="3" cm="1">
        <f t="array" ref="T2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95" s="25">
        <f>_xlfn.LET(
_xlpm.tos, _xlfn.XLOOKUP(tblPayrollMaster[[#This Row],[Employee ID]], tblEmployee[Employee ID], tblEmployee[Type of Service], ""),
IF(_xlpm.tos="Contract of Service", 8.25, 0)
)</f>
        <v>0</v>
      </c>
      <c r="V295" s="25">
        <f>tblPayrollMaster[[#This Row],[Basic Earnings]]-tblPayrollMaster[[#This Row],[Tax]]-tblPayrollMaster[[#This Row],[NIS - Employee]]-tblPayrollMaster[[#This Row],[Health Surcharge]]</f>
        <v>0</v>
      </c>
      <c r="W295" s="25">
        <f>tblPayrollMaster[[#This Row],[Net Pay]]</f>
        <v>0</v>
      </c>
      <c r="X295" s="25"/>
    </row>
    <row r="296" spans="1:24" x14ac:dyDescent="0.25">
      <c r="A296" s="24"/>
      <c r="B296" s="24" t="str">
        <f>_xlfn.XLOOKUP(tblPayrollMaster[[#This Row],[Employee ID]],tblEmployee[Employee ID],tblEmployee[Employee Name],"")</f>
        <v/>
      </c>
      <c r="C296" s="24" t="str">
        <f>_xlfn.XLOOKUP(tblPayrollMaster[[#This Row],[Employee ID]],tblEmployee[Employee ID],tblEmployee[Employee Position],"")</f>
        <v/>
      </c>
      <c r="D296" s="24" t="str">
        <f>_xlfn.XLOOKUP(tblPayrollMaster[[#This Row],[Employee ID]], tblEmployee[Employee ID], tblEmployee[Pay Status], "Pay")</f>
        <v>Pay</v>
      </c>
      <c r="E296" s="24" t="str">
        <f>_xlfn.XLOOKUP(tblPayrollMaster[[#This Row],[Employee ID]], tblEmployee[Employee ID], tblEmployee[Payable Flag], "Y")</f>
        <v>Y</v>
      </c>
      <c r="F296" s="45">
        <f>IF(tblPayrollMaster[[#This Row],[Payable Flag]]="N",0,_xlfn.XLOOKUP(tblPayrollMaster[[#This Row],[Employee ID]],tblEmployee[Employee ID],tblEmployee[Pay Factor],1))</f>
        <v>1</v>
      </c>
      <c r="G296" s="26" t="str" cm="1">
        <f t="array" ref="G296">IF(tblPayrollMaster[[#This Row],[Employee ID]]="","",_xlfn.XLOOKUP(selPayPeriodID,tblPayCalendar[PayPeriodID],tblPayCalendar[PeriodStart],""))</f>
        <v/>
      </c>
      <c r="H296" s="26" t="str" cm="1">
        <f t="array" ref="H296">IF(tblPayrollMaster[[#This Row],[Employee ID]]="","",_xlfn.XLOOKUP(selPayPeriodID,tblPayCalendar[PayPeriodID],tblPayCalendar[PeriodEnd],""))</f>
        <v/>
      </c>
      <c r="I296" s="24" t="e" cm="1" vm="1">
        <f t="array" aca="1" ref="I296" ca="1">Table18[Employer Name]</f>
        <v>#VALUE!</v>
      </c>
      <c r="J296" s="3" cm="1">
        <f t="array" ref="J29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96" s="25" t="str">
        <f>_xlfn.XLOOKUP(tblPayrollMaster[[#This Row],[Employee Position]],tblPositionandPayRate[Employee Position],tblPositionandPayRate[Overtime], " ")</f>
        <v xml:space="preserve"> </v>
      </c>
      <c r="L296" s="25">
        <f>_xlfn.XLOOKUP(tblPayrollMaster[[#This Row],[Employee Position]],tblPositionandPayRate[Employee Position],tblPositionandPayRate[Allowance 1],0)*tblPayrollMaster[[#This Row],[Pay Factor]]</f>
        <v>0</v>
      </c>
      <c r="M296" s="25">
        <f>_xlfn.XLOOKUP(tblPayrollMaster[[#This Row],[Employee Position]],tblPositionandPayRate[Employee Position],tblPositionandPayRate[Allowance 2],0)*tblPayrollMaster[[#This Row],[Pay Factor]]</f>
        <v>0</v>
      </c>
      <c r="N296" s="25">
        <f>_xlfn.XLOOKUP(tblPayrollMaster[[#This Row],[Employee Position]],tblPositionandPayRate[Employee Position],tblPositionandPayRate[Allowance 3],0)*tblPayrollMaster[[#This Row],[Pay Factor]]</f>
        <v>0</v>
      </c>
      <c r="O296" s="25">
        <f>_xlfn.XLOOKUP(tblPayrollMaster[[#This Row],[Employee Position]],tblPositionandPayRate[Employee Position],tblPositionandPayRate[Allowance 4],0)*tblPayrollMaster[[#This Row],[Pay Factor]]</f>
        <v>0</v>
      </c>
      <c r="P296" s="25">
        <f>_xlfn.XLOOKUP(tblPayrollMaster[[#This Row],[Employee Position]],tblPositionandPayRate[Employee Position],tblPositionandPayRate[Allowance 5],0)*tblPayrollMaster[[#This Row],[Pay Factor]]</f>
        <v>0</v>
      </c>
      <c r="Q296" s="25">
        <f>SUM(tblPayrollMaster[[#This Row],[Basic Pay]:[Allowance 5]])</f>
        <v>0</v>
      </c>
      <c r="R29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96" s="51" cm="1">
        <f t="array" ref="S2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96" s="3" cm="1">
        <f t="array" ref="T2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96" s="25">
        <f>_xlfn.LET(
_xlpm.tos, _xlfn.XLOOKUP(tblPayrollMaster[[#This Row],[Employee ID]], tblEmployee[Employee ID], tblEmployee[Type of Service], ""),
IF(_xlpm.tos="Contract of Service", 8.25, 0)
)</f>
        <v>0</v>
      </c>
      <c r="V296" s="25">
        <f>tblPayrollMaster[[#This Row],[Basic Earnings]]-tblPayrollMaster[[#This Row],[Tax]]-tblPayrollMaster[[#This Row],[NIS - Employee]]-tblPayrollMaster[[#This Row],[Health Surcharge]]</f>
        <v>0</v>
      </c>
      <c r="W296" s="25">
        <f>tblPayrollMaster[[#This Row],[Net Pay]]</f>
        <v>0</v>
      </c>
      <c r="X296" s="25"/>
    </row>
    <row r="297" spans="1:24" x14ac:dyDescent="0.25">
      <c r="A297" s="24"/>
      <c r="B297" s="24" t="str">
        <f>_xlfn.XLOOKUP(tblPayrollMaster[[#This Row],[Employee ID]],tblEmployee[Employee ID],tblEmployee[Employee Name],"")</f>
        <v/>
      </c>
      <c r="C297" s="24" t="str">
        <f>_xlfn.XLOOKUP(tblPayrollMaster[[#This Row],[Employee ID]],tblEmployee[Employee ID],tblEmployee[Employee Position],"")</f>
        <v/>
      </c>
      <c r="D297" s="24" t="str">
        <f>_xlfn.XLOOKUP(tblPayrollMaster[[#This Row],[Employee ID]], tblEmployee[Employee ID], tblEmployee[Pay Status], "Pay")</f>
        <v>Pay</v>
      </c>
      <c r="E297" s="24" t="str">
        <f>_xlfn.XLOOKUP(tblPayrollMaster[[#This Row],[Employee ID]], tblEmployee[Employee ID], tblEmployee[Payable Flag], "Y")</f>
        <v>Y</v>
      </c>
      <c r="F297" s="45">
        <f>IF(tblPayrollMaster[[#This Row],[Payable Flag]]="N",0,_xlfn.XLOOKUP(tblPayrollMaster[[#This Row],[Employee ID]],tblEmployee[Employee ID],tblEmployee[Pay Factor],1))</f>
        <v>1</v>
      </c>
      <c r="G297" s="26" t="str" cm="1">
        <f t="array" ref="G297">IF(tblPayrollMaster[[#This Row],[Employee ID]]="","",_xlfn.XLOOKUP(selPayPeriodID,tblPayCalendar[PayPeriodID],tblPayCalendar[PeriodStart],""))</f>
        <v/>
      </c>
      <c r="H297" s="26" t="str" cm="1">
        <f t="array" ref="H297">IF(tblPayrollMaster[[#This Row],[Employee ID]]="","",_xlfn.XLOOKUP(selPayPeriodID,tblPayCalendar[PayPeriodID],tblPayCalendar[PeriodEnd],""))</f>
        <v/>
      </c>
      <c r="I297" s="24" t="e" cm="1" vm="1">
        <f t="array" aca="1" ref="I297" ca="1">Table18[Employer Name]</f>
        <v>#VALUE!</v>
      </c>
      <c r="J297" s="3" cm="1">
        <f t="array" ref="J29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97" s="25" t="str">
        <f>_xlfn.XLOOKUP(tblPayrollMaster[[#This Row],[Employee Position]],tblPositionandPayRate[Employee Position],tblPositionandPayRate[Overtime], " ")</f>
        <v xml:space="preserve"> </v>
      </c>
      <c r="L297" s="25">
        <f>_xlfn.XLOOKUP(tblPayrollMaster[[#This Row],[Employee Position]],tblPositionandPayRate[Employee Position],tblPositionandPayRate[Allowance 1],0)*tblPayrollMaster[[#This Row],[Pay Factor]]</f>
        <v>0</v>
      </c>
      <c r="M297" s="25">
        <f>_xlfn.XLOOKUP(tblPayrollMaster[[#This Row],[Employee Position]],tblPositionandPayRate[Employee Position],tblPositionandPayRate[Allowance 2],0)*tblPayrollMaster[[#This Row],[Pay Factor]]</f>
        <v>0</v>
      </c>
      <c r="N297" s="25">
        <f>_xlfn.XLOOKUP(tblPayrollMaster[[#This Row],[Employee Position]],tblPositionandPayRate[Employee Position],tblPositionandPayRate[Allowance 3],0)*tblPayrollMaster[[#This Row],[Pay Factor]]</f>
        <v>0</v>
      </c>
      <c r="O297" s="25">
        <f>_xlfn.XLOOKUP(tblPayrollMaster[[#This Row],[Employee Position]],tblPositionandPayRate[Employee Position],tblPositionandPayRate[Allowance 4],0)*tblPayrollMaster[[#This Row],[Pay Factor]]</f>
        <v>0</v>
      </c>
      <c r="P297" s="25">
        <f>_xlfn.XLOOKUP(tblPayrollMaster[[#This Row],[Employee Position]],tblPositionandPayRate[Employee Position],tblPositionandPayRate[Allowance 5],0)*tblPayrollMaster[[#This Row],[Pay Factor]]</f>
        <v>0</v>
      </c>
      <c r="Q297" s="25">
        <f>SUM(tblPayrollMaster[[#This Row],[Basic Pay]:[Allowance 5]])</f>
        <v>0</v>
      </c>
      <c r="R29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97" s="51" cm="1">
        <f t="array" ref="S2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97" s="3" cm="1">
        <f t="array" ref="T2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97" s="25">
        <f>_xlfn.LET(
_xlpm.tos, _xlfn.XLOOKUP(tblPayrollMaster[[#This Row],[Employee ID]], tblEmployee[Employee ID], tblEmployee[Type of Service], ""),
IF(_xlpm.tos="Contract of Service", 8.25, 0)
)</f>
        <v>0</v>
      </c>
      <c r="V297" s="25">
        <f>tblPayrollMaster[[#This Row],[Basic Earnings]]-tblPayrollMaster[[#This Row],[Tax]]-tblPayrollMaster[[#This Row],[NIS - Employee]]-tblPayrollMaster[[#This Row],[Health Surcharge]]</f>
        <v>0</v>
      </c>
      <c r="W297" s="25">
        <f>tblPayrollMaster[[#This Row],[Net Pay]]</f>
        <v>0</v>
      </c>
      <c r="X297" s="25"/>
    </row>
    <row r="298" spans="1:24" x14ac:dyDescent="0.25">
      <c r="A298" s="24"/>
      <c r="B298" s="24" t="str">
        <f>_xlfn.XLOOKUP(tblPayrollMaster[[#This Row],[Employee ID]],tblEmployee[Employee ID],tblEmployee[Employee Name],"")</f>
        <v/>
      </c>
      <c r="C298" s="24" t="str">
        <f>_xlfn.XLOOKUP(tblPayrollMaster[[#This Row],[Employee ID]],tblEmployee[Employee ID],tblEmployee[Employee Position],"")</f>
        <v/>
      </c>
      <c r="D298" s="24" t="str">
        <f>_xlfn.XLOOKUP(tblPayrollMaster[[#This Row],[Employee ID]], tblEmployee[Employee ID], tblEmployee[Pay Status], "Pay")</f>
        <v>Pay</v>
      </c>
      <c r="E298" s="24" t="str">
        <f>_xlfn.XLOOKUP(tblPayrollMaster[[#This Row],[Employee ID]], tblEmployee[Employee ID], tblEmployee[Payable Flag], "Y")</f>
        <v>Y</v>
      </c>
      <c r="F298" s="45">
        <f>IF(tblPayrollMaster[[#This Row],[Payable Flag]]="N",0,_xlfn.XLOOKUP(tblPayrollMaster[[#This Row],[Employee ID]],tblEmployee[Employee ID],tblEmployee[Pay Factor],1))</f>
        <v>1</v>
      </c>
      <c r="G298" s="26" t="str" cm="1">
        <f t="array" ref="G298">IF(tblPayrollMaster[[#This Row],[Employee ID]]="","",_xlfn.XLOOKUP(selPayPeriodID,tblPayCalendar[PayPeriodID],tblPayCalendar[PeriodStart],""))</f>
        <v/>
      </c>
      <c r="H298" s="26" t="str" cm="1">
        <f t="array" ref="H298">IF(tblPayrollMaster[[#This Row],[Employee ID]]="","",_xlfn.XLOOKUP(selPayPeriodID,tblPayCalendar[PayPeriodID],tblPayCalendar[PeriodEnd],""))</f>
        <v/>
      </c>
      <c r="I298" s="24" t="e" cm="1" vm="1">
        <f t="array" aca="1" ref="I298" ca="1">Table18[Employer Name]</f>
        <v>#VALUE!</v>
      </c>
      <c r="J298" s="3" cm="1">
        <f t="array" ref="J29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98" s="25" t="str">
        <f>_xlfn.XLOOKUP(tblPayrollMaster[[#This Row],[Employee Position]],tblPositionandPayRate[Employee Position],tblPositionandPayRate[Overtime], " ")</f>
        <v xml:space="preserve"> </v>
      </c>
      <c r="L298" s="25">
        <f>_xlfn.XLOOKUP(tblPayrollMaster[[#This Row],[Employee Position]],tblPositionandPayRate[Employee Position],tblPositionandPayRate[Allowance 1],0)*tblPayrollMaster[[#This Row],[Pay Factor]]</f>
        <v>0</v>
      </c>
      <c r="M298" s="25">
        <f>_xlfn.XLOOKUP(tblPayrollMaster[[#This Row],[Employee Position]],tblPositionandPayRate[Employee Position],tblPositionandPayRate[Allowance 2],0)*tblPayrollMaster[[#This Row],[Pay Factor]]</f>
        <v>0</v>
      </c>
      <c r="N298" s="25">
        <f>_xlfn.XLOOKUP(tblPayrollMaster[[#This Row],[Employee Position]],tblPositionandPayRate[Employee Position],tblPositionandPayRate[Allowance 3],0)*tblPayrollMaster[[#This Row],[Pay Factor]]</f>
        <v>0</v>
      </c>
      <c r="O298" s="25">
        <f>_xlfn.XLOOKUP(tblPayrollMaster[[#This Row],[Employee Position]],tblPositionandPayRate[Employee Position],tblPositionandPayRate[Allowance 4],0)*tblPayrollMaster[[#This Row],[Pay Factor]]</f>
        <v>0</v>
      </c>
      <c r="P298" s="25">
        <f>_xlfn.XLOOKUP(tblPayrollMaster[[#This Row],[Employee Position]],tblPositionandPayRate[Employee Position],tblPositionandPayRate[Allowance 5],0)*tblPayrollMaster[[#This Row],[Pay Factor]]</f>
        <v>0</v>
      </c>
      <c r="Q298" s="25">
        <f>SUM(tblPayrollMaster[[#This Row],[Basic Pay]:[Allowance 5]])</f>
        <v>0</v>
      </c>
      <c r="R29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98" s="51" cm="1">
        <f t="array" ref="S2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98" s="3" cm="1">
        <f t="array" ref="T2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98" s="25">
        <f>_xlfn.LET(
_xlpm.tos, _xlfn.XLOOKUP(tblPayrollMaster[[#This Row],[Employee ID]], tblEmployee[Employee ID], tblEmployee[Type of Service], ""),
IF(_xlpm.tos="Contract of Service", 8.25, 0)
)</f>
        <v>0</v>
      </c>
      <c r="V298" s="25">
        <f>tblPayrollMaster[[#This Row],[Basic Earnings]]-tblPayrollMaster[[#This Row],[Tax]]-tblPayrollMaster[[#This Row],[NIS - Employee]]-tblPayrollMaster[[#This Row],[Health Surcharge]]</f>
        <v>0</v>
      </c>
      <c r="W298" s="25">
        <f>tblPayrollMaster[[#This Row],[Net Pay]]</f>
        <v>0</v>
      </c>
      <c r="X298" s="25"/>
    </row>
    <row r="299" spans="1:24" x14ac:dyDescent="0.25">
      <c r="A299" s="24"/>
      <c r="B299" s="24" t="str">
        <f>_xlfn.XLOOKUP(tblPayrollMaster[[#This Row],[Employee ID]],tblEmployee[Employee ID],tblEmployee[Employee Name],"")</f>
        <v/>
      </c>
      <c r="C299" s="24" t="str">
        <f>_xlfn.XLOOKUP(tblPayrollMaster[[#This Row],[Employee ID]],tblEmployee[Employee ID],tblEmployee[Employee Position],"")</f>
        <v/>
      </c>
      <c r="D299" s="24" t="str">
        <f>_xlfn.XLOOKUP(tblPayrollMaster[[#This Row],[Employee ID]], tblEmployee[Employee ID], tblEmployee[Pay Status], "Pay")</f>
        <v>Pay</v>
      </c>
      <c r="E299" s="24" t="str">
        <f>_xlfn.XLOOKUP(tblPayrollMaster[[#This Row],[Employee ID]], tblEmployee[Employee ID], tblEmployee[Payable Flag], "Y")</f>
        <v>Y</v>
      </c>
      <c r="F299" s="45">
        <f>IF(tblPayrollMaster[[#This Row],[Payable Flag]]="N",0,_xlfn.XLOOKUP(tblPayrollMaster[[#This Row],[Employee ID]],tblEmployee[Employee ID],tblEmployee[Pay Factor],1))</f>
        <v>1</v>
      </c>
      <c r="G299" s="26" t="str" cm="1">
        <f t="array" ref="G299">IF(tblPayrollMaster[[#This Row],[Employee ID]]="","",_xlfn.XLOOKUP(selPayPeriodID,tblPayCalendar[PayPeriodID],tblPayCalendar[PeriodStart],""))</f>
        <v/>
      </c>
      <c r="H299" s="26" t="str" cm="1">
        <f t="array" ref="H299">IF(tblPayrollMaster[[#This Row],[Employee ID]]="","",_xlfn.XLOOKUP(selPayPeriodID,tblPayCalendar[PayPeriodID],tblPayCalendar[PeriodEnd],""))</f>
        <v/>
      </c>
      <c r="I299" s="24" t="e" cm="1" vm="1">
        <f t="array" aca="1" ref="I299" ca="1">Table18[Employer Name]</f>
        <v>#VALUE!</v>
      </c>
      <c r="J299" s="3" cm="1">
        <f t="array" ref="J29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299" s="25" t="str">
        <f>_xlfn.XLOOKUP(tblPayrollMaster[[#This Row],[Employee Position]],tblPositionandPayRate[Employee Position],tblPositionandPayRate[Overtime], " ")</f>
        <v xml:space="preserve"> </v>
      </c>
      <c r="L299" s="25">
        <f>_xlfn.XLOOKUP(tblPayrollMaster[[#This Row],[Employee Position]],tblPositionandPayRate[Employee Position],tblPositionandPayRate[Allowance 1],0)*tblPayrollMaster[[#This Row],[Pay Factor]]</f>
        <v>0</v>
      </c>
      <c r="M299" s="25">
        <f>_xlfn.XLOOKUP(tblPayrollMaster[[#This Row],[Employee Position]],tblPositionandPayRate[Employee Position],tblPositionandPayRate[Allowance 2],0)*tblPayrollMaster[[#This Row],[Pay Factor]]</f>
        <v>0</v>
      </c>
      <c r="N299" s="25">
        <f>_xlfn.XLOOKUP(tblPayrollMaster[[#This Row],[Employee Position]],tblPositionandPayRate[Employee Position],tblPositionandPayRate[Allowance 3],0)*tblPayrollMaster[[#This Row],[Pay Factor]]</f>
        <v>0</v>
      </c>
      <c r="O299" s="25">
        <f>_xlfn.XLOOKUP(tblPayrollMaster[[#This Row],[Employee Position]],tblPositionandPayRate[Employee Position],tblPositionandPayRate[Allowance 4],0)*tblPayrollMaster[[#This Row],[Pay Factor]]</f>
        <v>0</v>
      </c>
      <c r="P299" s="25">
        <f>_xlfn.XLOOKUP(tblPayrollMaster[[#This Row],[Employee Position]],tblPositionandPayRate[Employee Position],tblPositionandPayRate[Allowance 5],0)*tblPayrollMaster[[#This Row],[Pay Factor]]</f>
        <v>0</v>
      </c>
      <c r="Q299" s="25">
        <f>SUM(tblPayrollMaster[[#This Row],[Basic Pay]:[Allowance 5]])</f>
        <v>0</v>
      </c>
      <c r="R29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299" s="51" cm="1">
        <f t="array" ref="S2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299" s="3" cm="1">
        <f t="array" ref="T2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299" s="25">
        <f>_xlfn.LET(
_xlpm.tos, _xlfn.XLOOKUP(tblPayrollMaster[[#This Row],[Employee ID]], tblEmployee[Employee ID], tblEmployee[Type of Service], ""),
IF(_xlpm.tos="Contract of Service", 8.25, 0)
)</f>
        <v>0</v>
      </c>
      <c r="V299" s="25">
        <f>tblPayrollMaster[[#This Row],[Basic Earnings]]-tblPayrollMaster[[#This Row],[Tax]]-tblPayrollMaster[[#This Row],[NIS - Employee]]-tblPayrollMaster[[#This Row],[Health Surcharge]]</f>
        <v>0</v>
      </c>
      <c r="W299" s="25">
        <f>tblPayrollMaster[[#This Row],[Net Pay]]</f>
        <v>0</v>
      </c>
      <c r="X299" s="25"/>
    </row>
    <row r="300" spans="1:24" x14ac:dyDescent="0.25">
      <c r="A300" s="24"/>
      <c r="B300" s="24" t="str">
        <f>_xlfn.XLOOKUP(tblPayrollMaster[[#This Row],[Employee ID]],tblEmployee[Employee ID],tblEmployee[Employee Name],"")</f>
        <v/>
      </c>
      <c r="C300" s="24" t="str">
        <f>_xlfn.XLOOKUP(tblPayrollMaster[[#This Row],[Employee ID]],tblEmployee[Employee ID],tblEmployee[Employee Position],"")</f>
        <v/>
      </c>
      <c r="D300" s="24" t="str">
        <f>_xlfn.XLOOKUP(tblPayrollMaster[[#This Row],[Employee ID]], tblEmployee[Employee ID], tblEmployee[Pay Status], "Pay")</f>
        <v>Pay</v>
      </c>
      <c r="E300" s="24" t="str">
        <f>_xlfn.XLOOKUP(tblPayrollMaster[[#This Row],[Employee ID]], tblEmployee[Employee ID], tblEmployee[Payable Flag], "Y")</f>
        <v>Y</v>
      </c>
      <c r="F300" s="45">
        <f>IF(tblPayrollMaster[[#This Row],[Payable Flag]]="N",0,_xlfn.XLOOKUP(tblPayrollMaster[[#This Row],[Employee ID]],tblEmployee[Employee ID],tblEmployee[Pay Factor],1))</f>
        <v>1</v>
      </c>
      <c r="G300" s="26" t="str" cm="1">
        <f t="array" ref="G300">IF(tblPayrollMaster[[#This Row],[Employee ID]]="","",_xlfn.XLOOKUP(selPayPeriodID,tblPayCalendar[PayPeriodID],tblPayCalendar[PeriodStart],""))</f>
        <v/>
      </c>
      <c r="H300" s="26" t="str" cm="1">
        <f t="array" ref="H300">IF(tblPayrollMaster[[#This Row],[Employee ID]]="","",_xlfn.XLOOKUP(selPayPeriodID,tblPayCalendar[PayPeriodID],tblPayCalendar[PeriodEnd],""))</f>
        <v/>
      </c>
      <c r="I300" s="24" t="e" cm="1" vm="1">
        <f t="array" aca="1" ref="I300" ca="1">Table18[Employer Name]</f>
        <v>#VALUE!</v>
      </c>
      <c r="J300" s="3" cm="1">
        <f t="array" ref="J30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00" s="25" t="str">
        <f>_xlfn.XLOOKUP(tblPayrollMaster[[#This Row],[Employee Position]],tblPositionandPayRate[Employee Position],tblPositionandPayRate[Overtime], " ")</f>
        <v xml:space="preserve"> </v>
      </c>
      <c r="L300" s="25">
        <f>_xlfn.XLOOKUP(tblPayrollMaster[[#This Row],[Employee Position]],tblPositionandPayRate[Employee Position],tblPositionandPayRate[Allowance 1],0)*tblPayrollMaster[[#This Row],[Pay Factor]]</f>
        <v>0</v>
      </c>
      <c r="M300" s="25">
        <f>_xlfn.XLOOKUP(tblPayrollMaster[[#This Row],[Employee Position]],tblPositionandPayRate[Employee Position],tblPositionandPayRate[Allowance 2],0)*tblPayrollMaster[[#This Row],[Pay Factor]]</f>
        <v>0</v>
      </c>
      <c r="N300" s="25">
        <f>_xlfn.XLOOKUP(tblPayrollMaster[[#This Row],[Employee Position]],tblPositionandPayRate[Employee Position],tblPositionandPayRate[Allowance 3],0)*tblPayrollMaster[[#This Row],[Pay Factor]]</f>
        <v>0</v>
      </c>
      <c r="O300" s="25">
        <f>_xlfn.XLOOKUP(tblPayrollMaster[[#This Row],[Employee Position]],tblPositionandPayRate[Employee Position],tblPositionandPayRate[Allowance 4],0)*tblPayrollMaster[[#This Row],[Pay Factor]]</f>
        <v>0</v>
      </c>
      <c r="P300" s="25">
        <f>_xlfn.XLOOKUP(tblPayrollMaster[[#This Row],[Employee Position]],tblPositionandPayRate[Employee Position],tblPositionandPayRate[Allowance 5],0)*tblPayrollMaster[[#This Row],[Pay Factor]]</f>
        <v>0</v>
      </c>
      <c r="Q300" s="25">
        <f>SUM(tblPayrollMaster[[#This Row],[Basic Pay]:[Allowance 5]])</f>
        <v>0</v>
      </c>
      <c r="R30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00" s="51" cm="1">
        <f t="array" ref="S3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00" s="3" cm="1">
        <f t="array" ref="T3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00" s="25">
        <f>_xlfn.LET(
_xlpm.tos, _xlfn.XLOOKUP(tblPayrollMaster[[#This Row],[Employee ID]], tblEmployee[Employee ID], tblEmployee[Type of Service], ""),
IF(_xlpm.tos="Contract of Service", 8.25, 0)
)</f>
        <v>0</v>
      </c>
      <c r="V300" s="25">
        <f>tblPayrollMaster[[#This Row],[Basic Earnings]]-tblPayrollMaster[[#This Row],[Tax]]-tblPayrollMaster[[#This Row],[NIS - Employee]]-tblPayrollMaster[[#This Row],[Health Surcharge]]</f>
        <v>0</v>
      </c>
      <c r="W300" s="25">
        <f>tblPayrollMaster[[#This Row],[Net Pay]]</f>
        <v>0</v>
      </c>
      <c r="X300" s="25"/>
    </row>
    <row r="301" spans="1:24" x14ac:dyDescent="0.25">
      <c r="A301" s="24"/>
      <c r="B301" s="24" t="str">
        <f>_xlfn.XLOOKUP(tblPayrollMaster[[#This Row],[Employee ID]],tblEmployee[Employee ID],tblEmployee[Employee Name],"")</f>
        <v/>
      </c>
      <c r="C301" s="24" t="str">
        <f>_xlfn.XLOOKUP(tblPayrollMaster[[#This Row],[Employee ID]],tblEmployee[Employee ID],tblEmployee[Employee Position],"")</f>
        <v/>
      </c>
      <c r="D301" s="24" t="str">
        <f>_xlfn.XLOOKUP(tblPayrollMaster[[#This Row],[Employee ID]], tblEmployee[Employee ID], tblEmployee[Pay Status], "Pay")</f>
        <v>Pay</v>
      </c>
      <c r="E301" s="24" t="str">
        <f>_xlfn.XLOOKUP(tblPayrollMaster[[#This Row],[Employee ID]], tblEmployee[Employee ID], tblEmployee[Payable Flag], "Y")</f>
        <v>Y</v>
      </c>
      <c r="F301" s="45">
        <f>IF(tblPayrollMaster[[#This Row],[Payable Flag]]="N",0,_xlfn.XLOOKUP(tblPayrollMaster[[#This Row],[Employee ID]],tblEmployee[Employee ID],tblEmployee[Pay Factor],1))</f>
        <v>1</v>
      </c>
      <c r="G301" s="26" t="str" cm="1">
        <f t="array" ref="G301">IF(tblPayrollMaster[[#This Row],[Employee ID]]="","",_xlfn.XLOOKUP(selPayPeriodID,tblPayCalendar[PayPeriodID],tblPayCalendar[PeriodStart],""))</f>
        <v/>
      </c>
      <c r="H301" s="26" t="str" cm="1">
        <f t="array" ref="H301">IF(tblPayrollMaster[[#This Row],[Employee ID]]="","",_xlfn.XLOOKUP(selPayPeriodID,tblPayCalendar[PayPeriodID],tblPayCalendar[PeriodEnd],""))</f>
        <v/>
      </c>
      <c r="I301" s="24" t="e" cm="1" vm="1">
        <f t="array" aca="1" ref="I301" ca="1">Table18[Employer Name]</f>
        <v>#VALUE!</v>
      </c>
      <c r="J301" s="3" cm="1">
        <f t="array" ref="J30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01" s="25" t="str">
        <f>_xlfn.XLOOKUP(tblPayrollMaster[[#This Row],[Employee Position]],tblPositionandPayRate[Employee Position],tblPositionandPayRate[Overtime], " ")</f>
        <v xml:space="preserve"> </v>
      </c>
      <c r="L301" s="25">
        <f>_xlfn.XLOOKUP(tblPayrollMaster[[#This Row],[Employee Position]],tblPositionandPayRate[Employee Position],tblPositionandPayRate[Allowance 1],0)*tblPayrollMaster[[#This Row],[Pay Factor]]</f>
        <v>0</v>
      </c>
      <c r="M301" s="25">
        <f>_xlfn.XLOOKUP(tblPayrollMaster[[#This Row],[Employee Position]],tblPositionandPayRate[Employee Position],tblPositionandPayRate[Allowance 2],0)*tblPayrollMaster[[#This Row],[Pay Factor]]</f>
        <v>0</v>
      </c>
      <c r="N301" s="25">
        <f>_xlfn.XLOOKUP(tblPayrollMaster[[#This Row],[Employee Position]],tblPositionandPayRate[Employee Position],tblPositionandPayRate[Allowance 3],0)*tblPayrollMaster[[#This Row],[Pay Factor]]</f>
        <v>0</v>
      </c>
      <c r="O301" s="25">
        <f>_xlfn.XLOOKUP(tblPayrollMaster[[#This Row],[Employee Position]],tblPositionandPayRate[Employee Position],tblPositionandPayRate[Allowance 4],0)*tblPayrollMaster[[#This Row],[Pay Factor]]</f>
        <v>0</v>
      </c>
      <c r="P301" s="25">
        <f>_xlfn.XLOOKUP(tblPayrollMaster[[#This Row],[Employee Position]],tblPositionandPayRate[Employee Position],tblPositionandPayRate[Allowance 5],0)*tblPayrollMaster[[#This Row],[Pay Factor]]</f>
        <v>0</v>
      </c>
      <c r="Q301" s="25">
        <f>SUM(tblPayrollMaster[[#This Row],[Basic Pay]:[Allowance 5]])</f>
        <v>0</v>
      </c>
      <c r="R30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01" s="51" cm="1">
        <f t="array" ref="S3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01" s="3" cm="1">
        <f t="array" ref="T3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01" s="25">
        <f>_xlfn.LET(
_xlpm.tos, _xlfn.XLOOKUP(tblPayrollMaster[[#This Row],[Employee ID]], tblEmployee[Employee ID], tblEmployee[Type of Service], ""),
IF(_xlpm.tos="Contract of Service", 8.25, 0)
)</f>
        <v>0</v>
      </c>
      <c r="V301" s="25">
        <f>tblPayrollMaster[[#This Row],[Basic Earnings]]-tblPayrollMaster[[#This Row],[Tax]]-tblPayrollMaster[[#This Row],[NIS - Employee]]-tblPayrollMaster[[#This Row],[Health Surcharge]]</f>
        <v>0</v>
      </c>
      <c r="W301" s="25">
        <f>tblPayrollMaster[[#This Row],[Net Pay]]</f>
        <v>0</v>
      </c>
      <c r="X301" s="25"/>
    </row>
    <row r="302" spans="1:24" x14ac:dyDescent="0.25">
      <c r="A302" s="24"/>
      <c r="B302" s="24" t="str">
        <f>_xlfn.XLOOKUP(tblPayrollMaster[[#This Row],[Employee ID]],tblEmployee[Employee ID],tblEmployee[Employee Name],"")</f>
        <v/>
      </c>
      <c r="C302" s="24" t="str">
        <f>_xlfn.XLOOKUP(tblPayrollMaster[[#This Row],[Employee ID]],tblEmployee[Employee ID],tblEmployee[Employee Position],"")</f>
        <v/>
      </c>
      <c r="D302" s="24" t="str">
        <f>_xlfn.XLOOKUP(tblPayrollMaster[[#This Row],[Employee ID]], tblEmployee[Employee ID], tblEmployee[Pay Status], "Pay")</f>
        <v>Pay</v>
      </c>
      <c r="E302" s="24" t="str">
        <f>_xlfn.XLOOKUP(tblPayrollMaster[[#This Row],[Employee ID]], tblEmployee[Employee ID], tblEmployee[Payable Flag], "Y")</f>
        <v>Y</v>
      </c>
      <c r="F302" s="45">
        <f>IF(tblPayrollMaster[[#This Row],[Payable Flag]]="N",0,_xlfn.XLOOKUP(tblPayrollMaster[[#This Row],[Employee ID]],tblEmployee[Employee ID],tblEmployee[Pay Factor],1))</f>
        <v>1</v>
      </c>
      <c r="G302" s="26" t="str" cm="1">
        <f t="array" ref="G302">IF(tblPayrollMaster[[#This Row],[Employee ID]]="","",_xlfn.XLOOKUP(selPayPeriodID,tblPayCalendar[PayPeriodID],tblPayCalendar[PeriodStart],""))</f>
        <v/>
      </c>
      <c r="H302" s="26" t="str" cm="1">
        <f t="array" ref="H302">IF(tblPayrollMaster[[#This Row],[Employee ID]]="","",_xlfn.XLOOKUP(selPayPeriodID,tblPayCalendar[PayPeriodID],tblPayCalendar[PeriodEnd],""))</f>
        <v/>
      </c>
      <c r="I302" s="24" t="e" cm="1" vm="1">
        <f t="array" aca="1" ref="I302" ca="1">Table18[Employer Name]</f>
        <v>#VALUE!</v>
      </c>
      <c r="J302" s="3" cm="1">
        <f t="array" ref="J30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02" s="25" t="str">
        <f>_xlfn.XLOOKUP(tblPayrollMaster[[#This Row],[Employee Position]],tblPositionandPayRate[Employee Position],tblPositionandPayRate[Overtime], " ")</f>
        <v xml:space="preserve"> </v>
      </c>
      <c r="L302" s="25">
        <f>_xlfn.XLOOKUP(tblPayrollMaster[[#This Row],[Employee Position]],tblPositionandPayRate[Employee Position],tblPositionandPayRate[Allowance 1],0)*tblPayrollMaster[[#This Row],[Pay Factor]]</f>
        <v>0</v>
      </c>
      <c r="M302" s="25">
        <f>_xlfn.XLOOKUP(tblPayrollMaster[[#This Row],[Employee Position]],tblPositionandPayRate[Employee Position],tblPositionandPayRate[Allowance 2],0)*tblPayrollMaster[[#This Row],[Pay Factor]]</f>
        <v>0</v>
      </c>
      <c r="N302" s="25">
        <f>_xlfn.XLOOKUP(tblPayrollMaster[[#This Row],[Employee Position]],tblPositionandPayRate[Employee Position],tblPositionandPayRate[Allowance 3],0)*tblPayrollMaster[[#This Row],[Pay Factor]]</f>
        <v>0</v>
      </c>
      <c r="O302" s="25">
        <f>_xlfn.XLOOKUP(tblPayrollMaster[[#This Row],[Employee Position]],tblPositionandPayRate[Employee Position],tblPositionandPayRate[Allowance 4],0)*tblPayrollMaster[[#This Row],[Pay Factor]]</f>
        <v>0</v>
      </c>
      <c r="P302" s="25">
        <f>_xlfn.XLOOKUP(tblPayrollMaster[[#This Row],[Employee Position]],tblPositionandPayRate[Employee Position],tblPositionandPayRate[Allowance 5],0)*tblPayrollMaster[[#This Row],[Pay Factor]]</f>
        <v>0</v>
      </c>
      <c r="Q302" s="25">
        <f>SUM(tblPayrollMaster[[#This Row],[Basic Pay]:[Allowance 5]])</f>
        <v>0</v>
      </c>
      <c r="R30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02" s="51" cm="1">
        <f t="array" ref="S3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02" s="3" cm="1">
        <f t="array" ref="T3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02" s="25">
        <f>_xlfn.LET(
_xlpm.tos, _xlfn.XLOOKUP(tblPayrollMaster[[#This Row],[Employee ID]], tblEmployee[Employee ID], tblEmployee[Type of Service], ""),
IF(_xlpm.tos="Contract of Service", 8.25, 0)
)</f>
        <v>0</v>
      </c>
      <c r="V302" s="25">
        <f>tblPayrollMaster[[#This Row],[Basic Earnings]]-tblPayrollMaster[[#This Row],[Tax]]-tblPayrollMaster[[#This Row],[NIS - Employee]]-tblPayrollMaster[[#This Row],[Health Surcharge]]</f>
        <v>0</v>
      </c>
      <c r="W302" s="25">
        <f>tblPayrollMaster[[#This Row],[Net Pay]]</f>
        <v>0</v>
      </c>
      <c r="X302" s="25"/>
    </row>
    <row r="303" spans="1:24" x14ac:dyDescent="0.25">
      <c r="A303" s="24"/>
      <c r="B303" s="24" t="str">
        <f>_xlfn.XLOOKUP(tblPayrollMaster[[#This Row],[Employee ID]],tblEmployee[Employee ID],tblEmployee[Employee Name],"")</f>
        <v/>
      </c>
      <c r="C303" s="24" t="str">
        <f>_xlfn.XLOOKUP(tblPayrollMaster[[#This Row],[Employee ID]],tblEmployee[Employee ID],tblEmployee[Employee Position],"")</f>
        <v/>
      </c>
      <c r="D303" s="24" t="str">
        <f>_xlfn.XLOOKUP(tblPayrollMaster[[#This Row],[Employee ID]], tblEmployee[Employee ID], tblEmployee[Pay Status], "Pay")</f>
        <v>Pay</v>
      </c>
      <c r="E303" s="24" t="str">
        <f>_xlfn.XLOOKUP(tblPayrollMaster[[#This Row],[Employee ID]], tblEmployee[Employee ID], tblEmployee[Payable Flag], "Y")</f>
        <v>Y</v>
      </c>
      <c r="F303" s="45">
        <f>IF(tblPayrollMaster[[#This Row],[Payable Flag]]="N",0,_xlfn.XLOOKUP(tblPayrollMaster[[#This Row],[Employee ID]],tblEmployee[Employee ID],tblEmployee[Pay Factor],1))</f>
        <v>1</v>
      </c>
      <c r="G303" s="26" t="str" cm="1">
        <f t="array" ref="G303">IF(tblPayrollMaster[[#This Row],[Employee ID]]="","",_xlfn.XLOOKUP(selPayPeriodID,tblPayCalendar[PayPeriodID],tblPayCalendar[PeriodStart],""))</f>
        <v/>
      </c>
      <c r="H303" s="26" t="str" cm="1">
        <f t="array" ref="H303">IF(tblPayrollMaster[[#This Row],[Employee ID]]="","",_xlfn.XLOOKUP(selPayPeriodID,tblPayCalendar[PayPeriodID],tblPayCalendar[PeriodEnd],""))</f>
        <v/>
      </c>
      <c r="I303" s="24" t="e" cm="1" vm="1">
        <f t="array" aca="1" ref="I303" ca="1">Table18[Employer Name]</f>
        <v>#VALUE!</v>
      </c>
      <c r="J303" s="3" cm="1">
        <f t="array" ref="J30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03" s="25" t="str">
        <f>_xlfn.XLOOKUP(tblPayrollMaster[[#This Row],[Employee Position]],tblPositionandPayRate[Employee Position],tblPositionandPayRate[Overtime], " ")</f>
        <v xml:space="preserve"> </v>
      </c>
      <c r="L303" s="25">
        <f>_xlfn.XLOOKUP(tblPayrollMaster[[#This Row],[Employee Position]],tblPositionandPayRate[Employee Position],tblPositionandPayRate[Allowance 1],0)*tblPayrollMaster[[#This Row],[Pay Factor]]</f>
        <v>0</v>
      </c>
      <c r="M303" s="25">
        <f>_xlfn.XLOOKUP(tblPayrollMaster[[#This Row],[Employee Position]],tblPositionandPayRate[Employee Position],tblPositionandPayRate[Allowance 2],0)*tblPayrollMaster[[#This Row],[Pay Factor]]</f>
        <v>0</v>
      </c>
      <c r="N303" s="25">
        <f>_xlfn.XLOOKUP(tblPayrollMaster[[#This Row],[Employee Position]],tblPositionandPayRate[Employee Position],tblPositionandPayRate[Allowance 3],0)*tblPayrollMaster[[#This Row],[Pay Factor]]</f>
        <v>0</v>
      </c>
      <c r="O303" s="25">
        <f>_xlfn.XLOOKUP(tblPayrollMaster[[#This Row],[Employee Position]],tblPositionandPayRate[Employee Position],tblPositionandPayRate[Allowance 4],0)*tblPayrollMaster[[#This Row],[Pay Factor]]</f>
        <v>0</v>
      </c>
      <c r="P303" s="25">
        <f>_xlfn.XLOOKUP(tblPayrollMaster[[#This Row],[Employee Position]],tblPositionandPayRate[Employee Position],tblPositionandPayRate[Allowance 5],0)*tblPayrollMaster[[#This Row],[Pay Factor]]</f>
        <v>0</v>
      </c>
      <c r="Q303" s="25">
        <f>SUM(tblPayrollMaster[[#This Row],[Basic Pay]:[Allowance 5]])</f>
        <v>0</v>
      </c>
      <c r="R30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03" s="51" cm="1">
        <f t="array" ref="S3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03" s="3" cm="1">
        <f t="array" ref="T3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03" s="25">
        <f>_xlfn.LET(
_xlpm.tos, _xlfn.XLOOKUP(tblPayrollMaster[[#This Row],[Employee ID]], tblEmployee[Employee ID], tblEmployee[Type of Service], ""),
IF(_xlpm.tos="Contract of Service", 8.25, 0)
)</f>
        <v>0</v>
      </c>
      <c r="V303" s="25">
        <f>tblPayrollMaster[[#This Row],[Basic Earnings]]-tblPayrollMaster[[#This Row],[Tax]]-tblPayrollMaster[[#This Row],[NIS - Employee]]-tblPayrollMaster[[#This Row],[Health Surcharge]]</f>
        <v>0</v>
      </c>
      <c r="W303" s="25">
        <f>tblPayrollMaster[[#This Row],[Net Pay]]</f>
        <v>0</v>
      </c>
      <c r="X303" s="25"/>
    </row>
    <row r="304" spans="1:24" x14ac:dyDescent="0.25">
      <c r="A304" s="24"/>
      <c r="B304" s="24" t="str">
        <f>_xlfn.XLOOKUP(tblPayrollMaster[[#This Row],[Employee ID]],tblEmployee[Employee ID],tblEmployee[Employee Name],"")</f>
        <v/>
      </c>
      <c r="C304" s="24" t="str">
        <f>_xlfn.XLOOKUP(tblPayrollMaster[[#This Row],[Employee ID]],tblEmployee[Employee ID],tblEmployee[Employee Position],"")</f>
        <v/>
      </c>
      <c r="D304" s="24" t="str">
        <f>_xlfn.XLOOKUP(tblPayrollMaster[[#This Row],[Employee ID]], tblEmployee[Employee ID], tblEmployee[Pay Status], "Pay")</f>
        <v>Pay</v>
      </c>
      <c r="E304" s="24" t="str">
        <f>_xlfn.XLOOKUP(tblPayrollMaster[[#This Row],[Employee ID]], tblEmployee[Employee ID], tblEmployee[Payable Flag], "Y")</f>
        <v>Y</v>
      </c>
      <c r="F304" s="45">
        <f>IF(tblPayrollMaster[[#This Row],[Payable Flag]]="N",0,_xlfn.XLOOKUP(tblPayrollMaster[[#This Row],[Employee ID]],tblEmployee[Employee ID],tblEmployee[Pay Factor],1))</f>
        <v>1</v>
      </c>
      <c r="G304" s="26" t="str" cm="1">
        <f t="array" ref="G304">IF(tblPayrollMaster[[#This Row],[Employee ID]]="","",_xlfn.XLOOKUP(selPayPeriodID,tblPayCalendar[PayPeriodID],tblPayCalendar[PeriodStart],""))</f>
        <v/>
      </c>
      <c r="H304" s="26" t="str" cm="1">
        <f t="array" ref="H304">IF(tblPayrollMaster[[#This Row],[Employee ID]]="","",_xlfn.XLOOKUP(selPayPeriodID,tblPayCalendar[PayPeriodID],tblPayCalendar[PeriodEnd],""))</f>
        <v/>
      </c>
      <c r="I304" s="24" t="e" cm="1" vm="1">
        <f t="array" aca="1" ref="I304" ca="1">Table18[Employer Name]</f>
        <v>#VALUE!</v>
      </c>
      <c r="J304" s="3" cm="1">
        <f t="array" ref="J30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04" s="25" t="str">
        <f>_xlfn.XLOOKUP(tblPayrollMaster[[#This Row],[Employee Position]],tblPositionandPayRate[Employee Position],tblPositionandPayRate[Overtime], " ")</f>
        <v xml:space="preserve"> </v>
      </c>
      <c r="L304" s="25">
        <f>_xlfn.XLOOKUP(tblPayrollMaster[[#This Row],[Employee Position]],tblPositionandPayRate[Employee Position],tblPositionandPayRate[Allowance 1],0)*tblPayrollMaster[[#This Row],[Pay Factor]]</f>
        <v>0</v>
      </c>
      <c r="M304" s="25">
        <f>_xlfn.XLOOKUP(tblPayrollMaster[[#This Row],[Employee Position]],tblPositionandPayRate[Employee Position],tblPositionandPayRate[Allowance 2],0)*tblPayrollMaster[[#This Row],[Pay Factor]]</f>
        <v>0</v>
      </c>
      <c r="N304" s="25">
        <f>_xlfn.XLOOKUP(tblPayrollMaster[[#This Row],[Employee Position]],tblPositionandPayRate[Employee Position],tblPositionandPayRate[Allowance 3],0)*tblPayrollMaster[[#This Row],[Pay Factor]]</f>
        <v>0</v>
      </c>
      <c r="O304" s="25">
        <f>_xlfn.XLOOKUP(tblPayrollMaster[[#This Row],[Employee Position]],tblPositionandPayRate[Employee Position],tblPositionandPayRate[Allowance 4],0)*tblPayrollMaster[[#This Row],[Pay Factor]]</f>
        <v>0</v>
      </c>
      <c r="P304" s="25">
        <f>_xlfn.XLOOKUP(tblPayrollMaster[[#This Row],[Employee Position]],tblPositionandPayRate[Employee Position],tblPositionandPayRate[Allowance 5],0)*tblPayrollMaster[[#This Row],[Pay Factor]]</f>
        <v>0</v>
      </c>
      <c r="Q304" s="25">
        <f>SUM(tblPayrollMaster[[#This Row],[Basic Pay]:[Allowance 5]])</f>
        <v>0</v>
      </c>
      <c r="R30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04" s="51" cm="1">
        <f t="array" ref="S3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04" s="3" cm="1">
        <f t="array" ref="T3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04" s="25">
        <f>_xlfn.LET(
_xlpm.tos, _xlfn.XLOOKUP(tblPayrollMaster[[#This Row],[Employee ID]], tblEmployee[Employee ID], tblEmployee[Type of Service], ""),
IF(_xlpm.tos="Contract of Service", 8.25, 0)
)</f>
        <v>0</v>
      </c>
      <c r="V304" s="25">
        <f>tblPayrollMaster[[#This Row],[Basic Earnings]]-tblPayrollMaster[[#This Row],[Tax]]-tblPayrollMaster[[#This Row],[NIS - Employee]]-tblPayrollMaster[[#This Row],[Health Surcharge]]</f>
        <v>0</v>
      </c>
      <c r="W304" s="25">
        <f>tblPayrollMaster[[#This Row],[Net Pay]]</f>
        <v>0</v>
      </c>
      <c r="X304" s="25"/>
    </row>
    <row r="305" spans="1:24" x14ac:dyDescent="0.25">
      <c r="A305" s="24"/>
      <c r="B305" s="24" t="str">
        <f>_xlfn.XLOOKUP(tblPayrollMaster[[#This Row],[Employee ID]],tblEmployee[Employee ID],tblEmployee[Employee Name],"")</f>
        <v/>
      </c>
      <c r="C305" s="24" t="str">
        <f>_xlfn.XLOOKUP(tblPayrollMaster[[#This Row],[Employee ID]],tblEmployee[Employee ID],tblEmployee[Employee Position],"")</f>
        <v/>
      </c>
      <c r="D305" s="24" t="str">
        <f>_xlfn.XLOOKUP(tblPayrollMaster[[#This Row],[Employee ID]], tblEmployee[Employee ID], tblEmployee[Pay Status], "Pay")</f>
        <v>Pay</v>
      </c>
      <c r="E305" s="24" t="str">
        <f>_xlfn.XLOOKUP(tblPayrollMaster[[#This Row],[Employee ID]], tblEmployee[Employee ID], tblEmployee[Payable Flag], "Y")</f>
        <v>Y</v>
      </c>
      <c r="F305" s="45">
        <f>IF(tblPayrollMaster[[#This Row],[Payable Flag]]="N",0,_xlfn.XLOOKUP(tblPayrollMaster[[#This Row],[Employee ID]],tblEmployee[Employee ID],tblEmployee[Pay Factor],1))</f>
        <v>1</v>
      </c>
      <c r="G305" s="26" t="str" cm="1">
        <f t="array" ref="G305">IF(tblPayrollMaster[[#This Row],[Employee ID]]="","",_xlfn.XLOOKUP(selPayPeriodID,tblPayCalendar[PayPeriodID],tblPayCalendar[PeriodStart],""))</f>
        <v/>
      </c>
      <c r="H305" s="26" t="str" cm="1">
        <f t="array" ref="H305">IF(tblPayrollMaster[[#This Row],[Employee ID]]="","",_xlfn.XLOOKUP(selPayPeriodID,tblPayCalendar[PayPeriodID],tblPayCalendar[PeriodEnd],""))</f>
        <v/>
      </c>
      <c r="I305" s="24" t="e" cm="1" vm="1">
        <f t="array" aca="1" ref="I305" ca="1">Table18[Employer Name]</f>
        <v>#VALUE!</v>
      </c>
      <c r="J305" s="3" cm="1">
        <f t="array" ref="J30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05" s="25" t="str">
        <f>_xlfn.XLOOKUP(tblPayrollMaster[[#This Row],[Employee Position]],tblPositionandPayRate[Employee Position],tblPositionandPayRate[Overtime], " ")</f>
        <v xml:space="preserve"> </v>
      </c>
      <c r="L305" s="25">
        <f>_xlfn.XLOOKUP(tblPayrollMaster[[#This Row],[Employee Position]],tblPositionandPayRate[Employee Position],tblPositionandPayRate[Allowance 1],0)*tblPayrollMaster[[#This Row],[Pay Factor]]</f>
        <v>0</v>
      </c>
      <c r="M305" s="25">
        <f>_xlfn.XLOOKUP(tblPayrollMaster[[#This Row],[Employee Position]],tblPositionandPayRate[Employee Position],tblPositionandPayRate[Allowance 2],0)*tblPayrollMaster[[#This Row],[Pay Factor]]</f>
        <v>0</v>
      </c>
      <c r="N305" s="25">
        <f>_xlfn.XLOOKUP(tblPayrollMaster[[#This Row],[Employee Position]],tblPositionandPayRate[Employee Position],tblPositionandPayRate[Allowance 3],0)*tblPayrollMaster[[#This Row],[Pay Factor]]</f>
        <v>0</v>
      </c>
      <c r="O305" s="25">
        <f>_xlfn.XLOOKUP(tblPayrollMaster[[#This Row],[Employee Position]],tblPositionandPayRate[Employee Position],tblPositionandPayRate[Allowance 4],0)*tblPayrollMaster[[#This Row],[Pay Factor]]</f>
        <v>0</v>
      </c>
      <c r="P305" s="25">
        <f>_xlfn.XLOOKUP(tblPayrollMaster[[#This Row],[Employee Position]],tblPositionandPayRate[Employee Position],tblPositionandPayRate[Allowance 5],0)*tblPayrollMaster[[#This Row],[Pay Factor]]</f>
        <v>0</v>
      </c>
      <c r="Q305" s="25">
        <f>SUM(tblPayrollMaster[[#This Row],[Basic Pay]:[Allowance 5]])</f>
        <v>0</v>
      </c>
      <c r="R30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05" s="51" cm="1">
        <f t="array" ref="S3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05" s="3" cm="1">
        <f t="array" ref="T3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05" s="25">
        <f>_xlfn.LET(
_xlpm.tos, _xlfn.XLOOKUP(tblPayrollMaster[[#This Row],[Employee ID]], tblEmployee[Employee ID], tblEmployee[Type of Service], ""),
IF(_xlpm.tos="Contract of Service", 8.25, 0)
)</f>
        <v>0</v>
      </c>
      <c r="V305" s="25">
        <f>tblPayrollMaster[[#This Row],[Basic Earnings]]-tblPayrollMaster[[#This Row],[Tax]]-tblPayrollMaster[[#This Row],[NIS - Employee]]-tblPayrollMaster[[#This Row],[Health Surcharge]]</f>
        <v>0</v>
      </c>
      <c r="W305" s="25">
        <f>tblPayrollMaster[[#This Row],[Net Pay]]</f>
        <v>0</v>
      </c>
      <c r="X305" s="25"/>
    </row>
    <row r="306" spans="1:24" x14ac:dyDescent="0.25">
      <c r="A306" s="24"/>
      <c r="B306" s="24" t="str">
        <f>_xlfn.XLOOKUP(tblPayrollMaster[[#This Row],[Employee ID]],tblEmployee[Employee ID],tblEmployee[Employee Name],"")</f>
        <v/>
      </c>
      <c r="C306" s="24" t="str">
        <f>_xlfn.XLOOKUP(tblPayrollMaster[[#This Row],[Employee ID]],tblEmployee[Employee ID],tblEmployee[Employee Position],"")</f>
        <v/>
      </c>
      <c r="D306" s="24" t="str">
        <f>_xlfn.XLOOKUP(tblPayrollMaster[[#This Row],[Employee ID]], tblEmployee[Employee ID], tblEmployee[Pay Status], "Pay")</f>
        <v>Pay</v>
      </c>
      <c r="E306" s="24" t="str">
        <f>_xlfn.XLOOKUP(tblPayrollMaster[[#This Row],[Employee ID]], tblEmployee[Employee ID], tblEmployee[Payable Flag], "Y")</f>
        <v>Y</v>
      </c>
      <c r="F306" s="45">
        <f>IF(tblPayrollMaster[[#This Row],[Payable Flag]]="N",0,_xlfn.XLOOKUP(tblPayrollMaster[[#This Row],[Employee ID]],tblEmployee[Employee ID],tblEmployee[Pay Factor],1))</f>
        <v>1</v>
      </c>
      <c r="G306" s="26" t="str" cm="1">
        <f t="array" ref="G306">IF(tblPayrollMaster[[#This Row],[Employee ID]]="","",_xlfn.XLOOKUP(selPayPeriodID,tblPayCalendar[PayPeriodID],tblPayCalendar[PeriodStart],""))</f>
        <v/>
      </c>
      <c r="H306" s="26" t="str" cm="1">
        <f t="array" ref="H306">IF(tblPayrollMaster[[#This Row],[Employee ID]]="","",_xlfn.XLOOKUP(selPayPeriodID,tblPayCalendar[PayPeriodID],tblPayCalendar[PeriodEnd],""))</f>
        <v/>
      </c>
      <c r="I306" s="24" t="e" cm="1" vm="1">
        <f t="array" aca="1" ref="I306" ca="1">Table18[Employer Name]</f>
        <v>#VALUE!</v>
      </c>
      <c r="J306" s="3" cm="1">
        <f t="array" ref="J30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06" s="25" t="str">
        <f>_xlfn.XLOOKUP(tblPayrollMaster[[#This Row],[Employee Position]],tblPositionandPayRate[Employee Position],tblPositionandPayRate[Overtime], " ")</f>
        <v xml:space="preserve"> </v>
      </c>
      <c r="L306" s="25">
        <f>_xlfn.XLOOKUP(tblPayrollMaster[[#This Row],[Employee Position]],tblPositionandPayRate[Employee Position],tblPositionandPayRate[Allowance 1],0)*tblPayrollMaster[[#This Row],[Pay Factor]]</f>
        <v>0</v>
      </c>
      <c r="M306" s="25">
        <f>_xlfn.XLOOKUP(tblPayrollMaster[[#This Row],[Employee Position]],tblPositionandPayRate[Employee Position],tblPositionandPayRate[Allowance 2],0)*tblPayrollMaster[[#This Row],[Pay Factor]]</f>
        <v>0</v>
      </c>
      <c r="N306" s="25">
        <f>_xlfn.XLOOKUP(tblPayrollMaster[[#This Row],[Employee Position]],tblPositionandPayRate[Employee Position],tblPositionandPayRate[Allowance 3],0)*tblPayrollMaster[[#This Row],[Pay Factor]]</f>
        <v>0</v>
      </c>
      <c r="O306" s="25">
        <f>_xlfn.XLOOKUP(tblPayrollMaster[[#This Row],[Employee Position]],tblPositionandPayRate[Employee Position],tblPositionandPayRate[Allowance 4],0)*tblPayrollMaster[[#This Row],[Pay Factor]]</f>
        <v>0</v>
      </c>
      <c r="P306" s="25">
        <f>_xlfn.XLOOKUP(tblPayrollMaster[[#This Row],[Employee Position]],tblPositionandPayRate[Employee Position],tblPositionandPayRate[Allowance 5],0)*tblPayrollMaster[[#This Row],[Pay Factor]]</f>
        <v>0</v>
      </c>
      <c r="Q306" s="25">
        <f>SUM(tblPayrollMaster[[#This Row],[Basic Pay]:[Allowance 5]])</f>
        <v>0</v>
      </c>
      <c r="R30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06" s="51" cm="1">
        <f t="array" ref="S3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06" s="3" cm="1">
        <f t="array" ref="T3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06" s="25">
        <f>_xlfn.LET(
_xlpm.tos, _xlfn.XLOOKUP(tblPayrollMaster[[#This Row],[Employee ID]], tblEmployee[Employee ID], tblEmployee[Type of Service], ""),
IF(_xlpm.tos="Contract of Service", 8.25, 0)
)</f>
        <v>0</v>
      </c>
      <c r="V306" s="25">
        <f>tblPayrollMaster[[#This Row],[Basic Earnings]]-tblPayrollMaster[[#This Row],[Tax]]-tblPayrollMaster[[#This Row],[NIS - Employee]]-tblPayrollMaster[[#This Row],[Health Surcharge]]</f>
        <v>0</v>
      </c>
      <c r="W306" s="25">
        <f>tblPayrollMaster[[#This Row],[Net Pay]]</f>
        <v>0</v>
      </c>
      <c r="X306" s="25"/>
    </row>
    <row r="307" spans="1:24" x14ac:dyDescent="0.25">
      <c r="A307" s="24"/>
      <c r="B307" s="24" t="str">
        <f>_xlfn.XLOOKUP(tblPayrollMaster[[#This Row],[Employee ID]],tblEmployee[Employee ID],tblEmployee[Employee Name],"")</f>
        <v/>
      </c>
      <c r="C307" s="24" t="str">
        <f>_xlfn.XLOOKUP(tblPayrollMaster[[#This Row],[Employee ID]],tblEmployee[Employee ID],tblEmployee[Employee Position],"")</f>
        <v/>
      </c>
      <c r="D307" s="24" t="str">
        <f>_xlfn.XLOOKUP(tblPayrollMaster[[#This Row],[Employee ID]], tblEmployee[Employee ID], tblEmployee[Pay Status], "Pay")</f>
        <v>Pay</v>
      </c>
      <c r="E307" s="24" t="str">
        <f>_xlfn.XLOOKUP(tblPayrollMaster[[#This Row],[Employee ID]], tblEmployee[Employee ID], tblEmployee[Payable Flag], "Y")</f>
        <v>Y</v>
      </c>
      <c r="F307" s="45">
        <f>IF(tblPayrollMaster[[#This Row],[Payable Flag]]="N",0,_xlfn.XLOOKUP(tblPayrollMaster[[#This Row],[Employee ID]],tblEmployee[Employee ID],tblEmployee[Pay Factor],1))</f>
        <v>1</v>
      </c>
      <c r="G307" s="26" t="str" cm="1">
        <f t="array" ref="G307">IF(tblPayrollMaster[[#This Row],[Employee ID]]="","",_xlfn.XLOOKUP(selPayPeriodID,tblPayCalendar[PayPeriodID],tblPayCalendar[PeriodStart],""))</f>
        <v/>
      </c>
      <c r="H307" s="26" t="str" cm="1">
        <f t="array" ref="H307">IF(tblPayrollMaster[[#This Row],[Employee ID]]="","",_xlfn.XLOOKUP(selPayPeriodID,tblPayCalendar[PayPeriodID],tblPayCalendar[PeriodEnd],""))</f>
        <v/>
      </c>
      <c r="I307" s="24" t="e" cm="1" vm="1">
        <f t="array" aca="1" ref="I307" ca="1">Table18[Employer Name]</f>
        <v>#VALUE!</v>
      </c>
      <c r="J307" s="3" cm="1">
        <f t="array" ref="J30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07" s="25" t="str">
        <f>_xlfn.XLOOKUP(tblPayrollMaster[[#This Row],[Employee Position]],tblPositionandPayRate[Employee Position],tblPositionandPayRate[Overtime], " ")</f>
        <v xml:space="preserve"> </v>
      </c>
      <c r="L307" s="25">
        <f>_xlfn.XLOOKUP(tblPayrollMaster[[#This Row],[Employee Position]],tblPositionandPayRate[Employee Position],tblPositionandPayRate[Allowance 1],0)*tblPayrollMaster[[#This Row],[Pay Factor]]</f>
        <v>0</v>
      </c>
      <c r="M307" s="25">
        <f>_xlfn.XLOOKUP(tblPayrollMaster[[#This Row],[Employee Position]],tblPositionandPayRate[Employee Position],tblPositionandPayRate[Allowance 2],0)*tblPayrollMaster[[#This Row],[Pay Factor]]</f>
        <v>0</v>
      </c>
      <c r="N307" s="25">
        <f>_xlfn.XLOOKUP(tblPayrollMaster[[#This Row],[Employee Position]],tblPositionandPayRate[Employee Position],tblPositionandPayRate[Allowance 3],0)*tblPayrollMaster[[#This Row],[Pay Factor]]</f>
        <v>0</v>
      </c>
      <c r="O307" s="25">
        <f>_xlfn.XLOOKUP(tblPayrollMaster[[#This Row],[Employee Position]],tblPositionandPayRate[Employee Position],tblPositionandPayRate[Allowance 4],0)*tblPayrollMaster[[#This Row],[Pay Factor]]</f>
        <v>0</v>
      </c>
      <c r="P307" s="25">
        <f>_xlfn.XLOOKUP(tblPayrollMaster[[#This Row],[Employee Position]],tblPositionandPayRate[Employee Position],tblPositionandPayRate[Allowance 5],0)*tblPayrollMaster[[#This Row],[Pay Factor]]</f>
        <v>0</v>
      </c>
      <c r="Q307" s="25">
        <f>SUM(tblPayrollMaster[[#This Row],[Basic Pay]:[Allowance 5]])</f>
        <v>0</v>
      </c>
      <c r="R30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07" s="51" cm="1">
        <f t="array" ref="S3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07" s="3" cm="1">
        <f t="array" ref="T3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07" s="25">
        <f>_xlfn.LET(
_xlpm.tos, _xlfn.XLOOKUP(tblPayrollMaster[[#This Row],[Employee ID]], tblEmployee[Employee ID], tblEmployee[Type of Service], ""),
IF(_xlpm.tos="Contract of Service", 8.25, 0)
)</f>
        <v>0</v>
      </c>
      <c r="V307" s="25">
        <f>tblPayrollMaster[[#This Row],[Basic Earnings]]-tblPayrollMaster[[#This Row],[Tax]]-tblPayrollMaster[[#This Row],[NIS - Employee]]-tblPayrollMaster[[#This Row],[Health Surcharge]]</f>
        <v>0</v>
      </c>
      <c r="W307" s="25">
        <f>tblPayrollMaster[[#This Row],[Net Pay]]</f>
        <v>0</v>
      </c>
      <c r="X307" s="25"/>
    </row>
    <row r="308" spans="1:24" x14ac:dyDescent="0.25">
      <c r="A308" s="24"/>
      <c r="B308" s="24" t="str">
        <f>_xlfn.XLOOKUP(tblPayrollMaster[[#This Row],[Employee ID]],tblEmployee[Employee ID],tblEmployee[Employee Name],"")</f>
        <v/>
      </c>
      <c r="C308" s="24" t="str">
        <f>_xlfn.XLOOKUP(tblPayrollMaster[[#This Row],[Employee ID]],tblEmployee[Employee ID],tblEmployee[Employee Position],"")</f>
        <v/>
      </c>
      <c r="D308" s="24" t="str">
        <f>_xlfn.XLOOKUP(tblPayrollMaster[[#This Row],[Employee ID]], tblEmployee[Employee ID], tblEmployee[Pay Status], "Pay")</f>
        <v>Pay</v>
      </c>
      <c r="E308" s="24" t="str">
        <f>_xlfn.XLOOKUP(tblPayrollMaster[[#This Row],[Employee ID]], tblEmployee[Employee ID], tblEmployee[Payable Flag], "Y")</f>
        <v>Y</v>
      </c>
      <c r="F308" s="45">
        <f>IF(tblPayrollMaster[[#This Row],[Payable Flag]]="N",0,_xlfn.XLOOKUP(tblPayrollMaster[[#This Row],[Employee ID]],tblEmployee[Employee ID],tblEmployee[Pay Factor],1))</f>
        <v>1</v>
      </c>
      <c r="G308" s="26" t="str" cm="1">
        <f t="array" ref="G308">IF(tblPayrollMaster[[#This Row],[Employee ID]]="","",_xlfn.XLOOKUP(selPayPeriodID,tblPayCalendar[PayPeriodID],tblPayCalendar[PeriodStart],""))</f>
        <v/>
      </c>
      <c r="H308" s="26" t="str" cm="1">
        <f t="array" ref="H308">IF(tblPayrollMaster[[#This Row],[Employee ID]]="","",_xlfn.XLOOKUP(selPayPeriodID,tblPayCalendar[PayPeriodID],tblPayCalendar[PeriodEnd],""))</f>
        <v/>
      </c>
      <c r="I308" s="24" t="e" cm="1" vm="1">
        <f t="array" aca="1" ref="I308" ca="1">Table18[Employer Name]</f>
        <v>#VALUE!</v>
      </c>
      <c r="J308" s="3" cm="1">
        <f t="array" ref="J30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08" s="25" t="str">
        <f>_xlfn.XLOOKUP(tblPayrollMaster[[#This Row],[Employee Position]],tblPositionandPayRate[Employee Position],tblPositionandPayRate[Overtime], " ")</f>
        <v xml:space="preserve"> </v>
      </c>
      <c r="L308" s="25">
        <f>_xlfn.XLOOKUP(tblPayrollMaster[[#This Row],[Employee Position]],tblPositionandPayRate[Employee Position],tblPositionandPayRate[Allowance 1],0)*tblPayrollMaster[[#This Row],[Pay Factor]]</f>
        <v>0</v>
      </c>
      <c r="M308" s="25">
        <f>_xlfn.XLOOKUP(tblPayrollMaster[[#This Row],[Employee Position]],tblPositionandPayRate[Employee Position],tblPositionandPayRate[Allowance 2],0)*tblPayrollMaster[[#This Row],[Pay Factor]]</f>
        <v>0</v>
      </c>
      <c r="N308" s="25">
        <f>_xlfn.XLOOKUP(tblPayrollMaster[[#This Row],[Employee Position]],tblPositionandPayRate[Employee Position],tblPositionandPayRate[Allowance 3],0)*tblPayrollMaster[[#This Row],[Pay Factor]]</f>
        <v>0</v>
      </c>
      <c r="O308" s="25">
        <f>_xlfn.XLOOKUP(tblPayrollMaster[[#This Row],[Employee Position]],tblPositionandPayRate[Employee Position],tblPositionandPayRate[Allowance 4],0)*tblPayrollMaster[[#This Row],[Pay Factor]]</f>
        <v>0</v>
      </c>
      <c r="P308" s="25">
        <f>_xlfn.XLOOKUP(tblPayrollMaster[[#This Row],[Employee Position]],tblPositionandPayRate[Employee Position],tblPositionandPayRate[Allowance 5],0)*tblPayrollMaster[[#This Row],[Pay Factor]]</f>
        <v>0</v>
      </c>
      <c r="Q308" s="25">
        <f>SUM(tblPayrollMaster[[#This Row],[Basic Pay]:[Allowance 5]])</f>
        <v>0</v>
      </c>
      <c r="R30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08" s="51" cm="1">
        <f t="array" ref="S3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08" s="3" cm="1">
        <f t="array" ref="T3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08" s="25">
        <f>_xlfn.LET(
_xlpm.tos, _xlfn.XLOOKUP(tblPayrollMaster[[#This Row],[Employee ID]], tblEmployee[Employee ID], tblEmployee[Type of Service], ""),
IF(_xlpm.tos="Contract of Service", 8.25, 0)
)</f>
        <v>0</v>
      </c>
      <c r="V308" s="25">
        <f>tblPayrollMaster[[#This Row],[Basic Earnings]]-tblPayrollMaster[[#This Row],[Tax]]-tblPayrollMaster[[#This Row],[NIS - Employee]]-tblPayrollMaster[[#This Row],[Health Surcharge]]</f>
        <v>0</v>
      </c>
      <c r="W308" s="25">
        <f>tblPayrollMaster[[#This Row],[Net Pay]]</f>
        <v>0</v>
      </c>
      <c r="X308" s="25"/>
    </row>
    <row r="309" spans="1:24" x14ac:dyDescent="0.25">
      <c r="A309" s="24"/>
      <c r="B309" s="24" t="str">
        <f>_xlfn.XLOOKUP(tblPayrollMaster[[#This Row],[Employee ID]],tblEmployee[Employee ID],tblEmployee[Employee Name],"")</f>
        <v/>
      </c>
      <c r="C309" s="24" t="str">
        <f>_xlfn.XLOOKUP(tblPayrollMaster[[#This Row],[Employee ID]],tblEmployee[Employee ID],tblEmployee[Employee Position],"")</f>
        <v/>
      </c>
      <c r="D309" s="24" t="str">
        <f>_xlfn.XLOOKUP(tblPayrollMaster[[#This Row],[Employee ID]], tblEmployee[Employee ID], tblEmployee[Pay Status], "Pay")</f>
        <v>Pay</v>
      </c>
      <c r="E309" s="24" t="str">
        <f>_xlfn.XLOOKUP(tblPayrollMaster[[#This Row],[Employee ID]], tblEmployee[Employee ID], tblEmployee[Payable Flag], "Y")</f>
        <v>Y</v>
      </c>
      <c r="F309" s="45">
        <f>IF(tblPayrollMaster[[#This Row],[Payable Flag]]="N",0,_xlfn.XLOOKUP(tblPayrollMaster[[#This Row],[Employee ID]],tblEmployee[Employee ID],tblEmployee[Pay Factor],1))</f>
        <v>1</v>
      </c>
      <c r="G309" s="26" t="str" cm="1">
        <f t="array" ref="G309">IF(tblPayrollMaster[[#This Row],[Employee ID]]="","",_xlfn.XLOOKUP(selPayPeriodID,tblPayCalendar[PayPeriodID],tblPayCalendar[PeriodStart],""))</f>
        <v/>
      </c>
      <c r="H309" s="26" t="str" cm="1">
        <f t="array" ref="H309">IF(tblPayrollMaster[[#This Row],[Employee ID]]="","",_xlfn.XLOOKUP(selPayPeriodID,tblPayCalendar[PayPeriodID],tblPayCalendar[PeriodEnd],""))</f>
        <v/>
      </c>
      <c r="I309" s="24" t="e" cm="1" vm="1">
        <f t="array" aca="1" ref="I309" ca="1">Table18[Employer Name]</f>
        <v>#VALUE!</v>
      </c>
      <c r="J309" s="3" cm="1">
        <f t="array" ref="J30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09" s="25" t="str">
        <f>_xlfn.XLOOKUP(tblPayrollMaster[[#This Row],[Employee Position]],tblPositionandPayRate[Employee Position],tblPositionandPayRate[Overtime], " ")</f>
        <v xml:space="preserve"> </v>
      </c>
      <c r="L309" s="25">
        <f>_xlfn.XLOOKUP(tblPayrollMaster[[#This Row],[Employee Position]],tblPositionandPayRate[Employee Position],tblPositionandPayRate[Allowance 1],0)*tblPayrollMaster[[#This Row],[Pay Factor]]</f>
        <v>0</v>
      </c>
      <c r="M309" s="25">
        <f>_xlfn.XLOOKUP(tblPayrollMaster[[#This Row],[Employee Position]],tblPositionandPayRate[Employee Position],tblPositionandPayRate[Allowance 2],0)*tblPayrollMaster[[#This Row],[Pay Factor]]</f>
        <v>0</v>
      </c>
      <c r="N309" s="25">
        <f>_xlfn.XLOOKUP(tblPayrollMaster[[#This Row],[Employee Position]],tblPositionandPayRate[Employee Position],tblPositionandPayRate[Allowance 3],0)*tblPayrollMaster[[#This Row],[Pay Factor]]</f>
        <v>0</v>
      </c>
      <c r="O309" s="25">
        <f>_xlfn.XLOOKUP(tblPayrollMaster[[#This Row],[Employee Position]],tblPositionandPayRate[Employee Position],tblPositionandPayRate[Allowance 4],0)*tblPayrollMaster[[#This Row],[Pay Factor]]</f>
        <v>0</v>
      </c>
      <c r="P309" s="25">
        <f>_xlfn.XLOOKUP(tblPayrollMaster[[#This Row],[Employee Position]],tblPositionandPayRate[Employee Position],tblPositionandPayRate[Allowance 5],0)*tblPayrollMaster[[#This Row],[Pay Factor]]</f>
        <v>0</v>
      </c>
      <c r="Q309" s="25">
        <f>SUM(tblPayrollMaster[[#This Row],[Basic Pay]:[Allowance 5]])</f>
        <v>0</v>
      </c>
      <c r="R30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09" s="51" cm="1">
        <f t="array" ref="S3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09" s="3" cm="1">
        <f t="array" ref="T3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09" s="25">
        <f>_xlfn.LET(
_xlpm.tos, _xlfn.XLOOKUP(tblPayrollMaster[[#This Row],[Employee ID]], tblEmployee[Employee ID], tblEmployee[Type of Service], ""),
IF(_xlpm.tos="Contract of Service", 8.25, 0)
)</f>
        <v>0</v>
      </c>
      <c r="V309" s="25">
        <f>tblPayrollMaster[[#This Row],[Basic Earnings]]-tblPayrollMaster[[#This Row],[Tax]]-tblPayrollMaster[[#This Row],[NIS - Employee]]-tblPayrollMaster[[#This Row],[Health Surcharge]]</f>
        <v>0</v>
      </c>
      <c r="W309" s="25">
        <f>tblPayrollMaster[[#This Row],[Net Pay]]</f>
        <v>0</v>
      </c>
      <c r="X309" s="25"/>
    </row>
    <row r="310" spans="1:24" x14ac:dyDescent="0.25">
      <c r="A310" s="24"/>
      <c r="B310" s="24" t="str">
        <f>_xlfn.XLOOKUP(tblPayrollMaster[[#This Row],[Employee ID]],tblEmployee[Employee ID],tblEmployee[Employee Name],"")</f>
        <v/>
      </c>
      <c r="C310" s="24" t="str">
        <f>_xlfn.XLOOKUP(tblPayrollMaster[[#This Row],[Employee ID]],tblEmployee[Employee ID],tblEmployee[Employee Position],"")</f>
        <v/>
      </c>
      <c r="D310" s="24" t="str">
        <f>_xlfn.XLOOKUP(tblPayrollMaster[[#This Row],[Employee ID]], tblEmployee[Employee ID], tblEmployee[Pay Status], "Pay")</f>
        <v>Pay</v>
      </c>
      <c r="E310" s="24" t="str">
        <f>_xlfn.XLOOKUP(tblPayrollMaster[[#This Row],[Employee ID]], tblEmployee[Employee ID], tblEmployee[Payable Flag], "Y")</f>
        <v>Y</v>
      </c>
      <c r="F310" s="45">
        <f>IF(tblPayrollMaster[[#This Row],[Payable Flag]]="N",0,_xlfn.XLOOKUP(tblPayrollMaster[[#This Row],[Employee ID]],tblEmployee[Employee ID],tblEmployee[Pay Factor],1))</f>
        <v>1</v>
      </c>
      <c r="G310" s="26" t="str" cm="1">
        <f t="array" ref="G310">IF(tblPayrollMaster[[#This Row],[Employee ID]]="","",_xlfn.XLOOKUP(selPayPeriodID,tblPayCalendar[PayPeriodID],tblPayCalendar[PeriodStart],""))</f>
        <v/>
      </c>
      <c r="H310" s="26" t="str" cm="1">
        <f t="array" ref="H310">IF(tblPayrollMaster[[#This Row],[Employee ID]]="","",_xlfn.XLOOKUP(selPayPeriodID,tblPayCalendar[PayPeriodID],tblPayCalendar[PeriodEnd],""))</f>
        <v/>
      </c>
      <c r="I310" s="24" t="e" cm="1" vm="1">
        <f t="array" aca="1" ref="I310" ca="1">Table18[Employer Name]</f>
        <v>#VALUE!</v>
      </c>
      <c r="J310" s="3" cm="1">
        <f t="array" ref="J31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10" s="25" t="str">
        <f>_xlfn.XLOOKUP(tblPayrollMaster[[#This Row],[Employee Position]],tblPositionandPayRate[Employee Position],tblPositionandPayRate[Overtime], " ")</f>
        <v xml:space="preserve"> </v>
      </c>
      <c r="L310" s="25">
        <f>_xlfn.XLOOKUP(tblPayrollMaster[[#This Row],[Employee Position]],tblPositionandPayRate[Employee Position],tblPositionandPayRate[Allowance 1],0)*tblPayrollMaster[[#This Row],[Pay Factor]]</f>
        <v>0</v>
      </c>
      <c r="M310" s="25">
        <f>_xlfn.XLOOKUP(tblPayrollMaster[[#This Row],[Employee Position]],tblPositionandPayRate[Employee Position],tblPositionandPayRate[Allowance 2],0)*tblPayrollMaster[[#This Row],[Pay Factor]]</f>
        <v>0</v>
      </c>
      <c r="N310" s="25">
        <f>_xlfn.XLOOKUP(tblPayrollMaster[[#This Row],[Employee Position]],tblPositionandPayRate[Employee Position],tblPositionandPayRate[Allowance 3],0)*tblPayrollMaster[[#This Row],[Pay Factor]]</f>
        <v>0</v>
      </c>
      <c r="O310" s="25">
        <f>_xlfn.XLOOKUP(tblPayrollMaster[[#This Row],[Employee Position]],tblPositionandPayRate[Employee Position],tblPositionandPayRate[Allowance 4],0)*tblPayrollMaster[[#This Row],[Pay Factor]]</f>
        <v>0</v>
      </c>
      <c r="P310" s="25">
        <f>_xlfn.XLOOKUP(tblPayrollMaster[[#This Row],[Employee Position]],tblPositionandPayRate[Employee Position],tblPositionandPayRate[Allowance 5],0)*tblPayrollMaster[[#This Row],[Pay Factor]]</f>
        <v>0</v>
      </c>
      <c r="Q310" s="25">
        <f>SUM(tblPayrollMaster[[#This Row],[Basic Pay]:[Allowance 5]])</f>
        <v>0</v>
      </c>
      <c r="R31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10" s="51" cm="1">
        <f t="array" ref="S3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10" s="3" cm="1">
        <f t="array" ref="T3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10" s="25">
        <f>_xlfn.LET(
_xlpm.tos, _xlfn.XLOOKUP(tblPayrollMaster[[#This Row],[Employee ID]], tblEmployee[Employee ID], tblEmployee[Type of Service], ""),
IF(_xlpm.tos="Contract of Service", 8.25, 0)
)</f>
        <v>0</v>
      </c>
      <c r="V310" s="25">
        <f>tblPayrollMaster[[#This Row],[Basic Earnings]]-tblPayrollMaster[[#This Row],[Tax]]-tblPayrollMaster[[#This Row],[NIS - Employee]]-tblPayrollMaster[[#This Row],[Health Surcharge]]</f>
        <v>0</v>
      </c>
      <c r="W310" s="25">
        <f>tblPayrollMaster[[#This Row],[Net Pay]]</f>
        <v>0</v>
      </c>
      <c r="X310" s="25"/>
    </row>
    <row r="311" spans="1:24" x14ac:dyDescent="0.25">
      <c r="A311" s="24"/>
      <c r="B311" s="24" t="str">
        <f>_xlfn.XLOOKUP(tblPayrollMaster[[#This Row],[Employee ID]],tblEmployee[Employee ID],tblEmployee[Employee Name],"")</f>
        <v/>
      </c>
      <c r="C311" s="24" t="str">
        <f>_xlfn.XLOOKUP(tblPayrollMaster[[#This Row],[Employee ID]],tblEmployee[Employee ID],tblEmployee[Employee Position],"")</f>
        <v/>
      </c>
      <c r="D311" s="24" t="str">
        <f>_xlfn.XLOOKUP(tblPayrollMaster[[#This Row],[Employee ID]], tblEmployee[Employee ID], tblEmployee[Pay Status], "Pay")</f>
        <v>Pay</v>
      </c>
      <c r="E311" s="24" t="str">
        <f>_xlfn.XLOOKUP(tblPayrollMaster[[#This Row],[Employee ID]], tblEmployee[Employee ID], tblEmployee[Payable Flag], "Y")</f>
        <v>Y</v>
      </c>
      <c r="F311" s="45">
        <f>IF(tblPayrollMaster[[#This Row],[Payable Flag]]="N",0,_xlfn.XLOOKUP(tblPayrollMaster[[#This Row],[Employee ID]],tblEmployee[Employee ID],tblEmployee[Pay Factor],1))</f>
        <v>1</v>
      </c>
      <c r="G311" s="26" t="str" cm="1">
        <f t="array" ref="G311">IF(tblPayrollMaster[[#This Row],[Employee ID]]="","",_xlfn.XLOOKUP(selPayPeriodID,tblPayCalendar[PayPeriodID],tblPayCalendar[PeriodStart],""))</f>
        <v/>
      </c>
      <c r="H311" s="26" t="str" cm="1">
        <f t="array" ref="H311">IF(tblPayrollMaster[[#This Row],[Employee ID]]="","",_xlfn.XLOOKUP(selPayPeriodID,tblPayCalendar[PayPeriodID],tblPayCalendar[PeriodEnd],""))</f>
        <v/>
      </c>
      <c r="I311" s="24" t="e" cm="1" vm="1">
        <f t="array" aca="1" ref="I311" ca="1">Table18[Employer Name]</f>
        <v>#VALUE!</v>
      </c>
      <c r="J311" s="3" cm="1">
        <f t="array" ref="J31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11" s="25" t="str">
        <f>_xlfn.XLOOKUP(tblPayrollMaster[[#This Row],[Employee Position]],tblPositionandPayRate[Employee Position],tblPositionandPayRate[Overtime], " ")</f>
        <v xml:space="preserve"> </v>
      </c>
      <c r="L311" s="25">
        <f>_xlfn.XLOOKUP(tblPayrollMaster[[#This Row],[Employee Position]],tblPositionandPayRate[Employee Position],tblPositionandPayRate[Allowance 1],0)*tblPayrollMaster[[#This Row],[Pay Factor]]</f>
        <v>0</v>
      </c>
      <c r="M311" s="25">
        <f>_xlfn.XLOOKUP(tblPayrollMaster[[#This Row],[Employee Position]],tblPositionandPayRate[Employee Position],tblPositionandPayRate[Allowance 2],0)*tblPayrollMaster[[#This Row],[Pay Factor]]</f>
        <v>0</v>
      </c>
      <c r="N311" s="25">
        <f>_xlfn.XLOOKUP(tblPayrollMaster[[#This Row],[Employee Position]],tblPositionandPayRate[Employee Position],tblPositionandPayRate[Allowance 3],0)*tblPayrollMaster[[#This Row],[Pay Factor]]</f>
        <v>0</v>
      </c>
      <c r="O311" s="25">
        <f>_xlfn.XLOOKUP(tblPayrollMaster[[#This Row],[Employee Position]],tblPositionandPayRate[Employee Position],tblPositionandPayRate[Allowance 4],0)*tblPayrollMaster[[#This Row],[Pay Factor]]</f>
        <v>0</v>
      </c>
      <c r="P311" s="25">
        <f>_xlfn.XLOOKUP(tblPayrollMaster[[#This Row],[Employee Position]],tblPositionandPayRate[Employee Position],tblPositionandPayRate[Allowance 5],0)*tblPayrollMaster[[#This Row],[Pay Factor]]</f>
        <v>0</v>
      </c>
      <c r="Q311" s="25">
        <f>SUM(tblPayrollMaster[[#This Row],[Basic Pay]:[Allowance 5]])</f>
        <v>0</v>
      </c>
      <c r="R31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11" s="51" cm="1">
        <f t="array" ref="S3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11" s="3" cm="1">
        <f t="array" ref="T3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11" s="25">
        <f>_xlfn.LET(
_xlpm.tos, _xlfn.XLOOKUP(tblPayrollMaster[[#This Row],[Employee ID]], tblEmployee[Employee ID], tblEmployee[Type of Service], ""),
IF(_xlpm.tos="Contract of Service", 8.25, 0)
)</f>
        <v>0</v>
      </c>
      <c r="V311" s="25">
        <f>tblPayrollMaster[[#This Row],[Basic Earnings]]-tblPayrollMaster[[#This Row],[Tax]]-tblPayrollMaster[[#This Row],[NIS - Employee]]-tblPayrollMaster[[#This Row],[Health Surcharge]]</f>
        <v>0</v>
      </c>
      <c r="W311" s="25">
        <f>tblPayrollMaster[[#This Row],[Net Pay]]</f>
        <v>0</v>
      </c>
      <c r="X311" s="25"/>
    </row>
    <row r="312" spans="1:24" x14ac:dyDescent="0.25">
      <c r="A312" s="24"/>
      <c r="B312" s="24" t="str">
        <f>_xlfn.XLOOKUP(tblPayrollMaster[[#This Row],[Employee ID]],tblEmployee[Employee ID],tblEmployee[Employee Name],"")</f>
        <v/>
      </c>
      <c r="C312" s="24" t="str">
        <f>_xlfn.XLOOKUP(tblPayrollMaster[[#This Row],[Employee ID]],tblEmployee[Employee ID],tblEmployee[Employee Position],"")</f>
        <v/>
      </c>
      <c r="D312" s="24" t="str">
        <f>_xlfn.XLOOKUP(tblPayrollMaster[[#This Row],[Employee ID]], tblEmployee[Employee ID], tblEmployee[Pay Status], "Pay")</f>
        <v>Pay</v>
      </c>
      <c r="E312" s="24" t="str">
        <f>_xlfn.XLOOKUP(tblPayrollMaster[[#This Row],[Employee ID]], tblEmployee[Employee ID], tblEmployee[Payable Flag], "Y")</f>
        <v>Y</v>
      </c>
      <c r="F312" s="45">
        <f>IF(tblPayrollMaster[[#This Row],[Payable Flag]]="N",0,_xlfn.XLOOKUP(tblPayrollMaster[[#This Row],[Employee ID]],tblEmployee[Employee ID],tblEmployee[Pay Factor],1))</f>
        <v>1</v>
      </c>
      <c r="G312" s="26" t="str" cm="1">
        <f t="array" ref="G312">IF(tblPayrollMaster[[#This Row],[Employee ID]]="","",_xlfn.XLOOKUP(selPayPeriodID,tblPayCalendar[PayPeriodID],tblPayCalendar[PeriodStart],""))</f>
        <v/>
      </c>
      <c r="H312" s="26" t="str" cm="1">
        <f t="array" ref="H312">IF(tblPayrollMaster[[#This Row],[Employee ID]]="","",_xlfn.XLOOKUP(selPayPeriodID,tblPayCalendar[PayPeriodID],tblPayCalendar[PeriodEnd],""))</f>
        <v/>
      </c>
      <c r="I312" s="24" t="e" cm="1" vm="1">
        <f t="array" aca="1" ref="I312" ca="1">Table18[Employer Name]</f>
        <v>#VALUE!</v>
      </c>
      <c r="J312" s="3" cm="1">
        <f t="array" ref="J31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12" s="25" t="str">
        <f>_xlfn.XLOOKUP(tblPayrollMaster[[#This Row],[Employee Position]],tblPositionandPayRate[Employee Position],tblPositionandPayRate[Overtime], " ")</f>
        <v xml:space="preserve"> </v>
      </c>
      <c r="L312" s="25">
        <f>_xlfn.XLOOKUP(tblPayrollMaster[[#This Row],[Employee Position]],tblPositionandPayRate[Employee Position],tblPositionandPayRate[Allowance 1],0)*tblPayrollMaster[[#This Row],[Pay Factor]]</f>
        <v>0</v>
      </c>
      <c r="M312" s="25">
        <f>_xlfn.XLOOKUP(tblPayrollMaster[[#This Row],[Employee Position]],tblPositionandPayRate[Employee Position],tblPositionandPayRate[Allowance 2],0)*tblPayrollMaster[[#This Row],[Pay Factor]]</f>
        <v>0</v>
      </c>
      <c r="N312" s="25">
        <f>_xlfn.XLOOKUP(tblPayrollMaster[[#This Row],[Employee Position]],tblPositionandPayRate[Employee Position],tblPositionandPayRate[Allowance 3],0)*tblPayrollMaster[[#This Row],[Pay Factor]]</f>
        <v>0</v>
      </c>
      <c r="O312" s="25">
        <f>_xlfn.XLOOKUP(tblPayrollMaster[[#This Row],[Employee Position]],tblPositionandPayRate[Employee Position],tblPositionandPayRate[Allowance 4],0)*tblPayrollMaster[[#This Row],[Pay Factor]]</f>
        <v>0</v>
      </c>
      <c r="P312" s="25">
        <f>_xlfn.XLOOKUP(tblPayrollMaster[[#This Row],[Employee Position]],tblPositionandPayRate[Employee Position],tblPositionandPayRate[Allowance 5],0)*tblPayrollMaster[[#This Row],[Pay Factor]]</f>
        <v>0</v>
      </c>
      <c r="Q312" s="25">
        <f>SUM(tblPayrollMaster[[#This Row],[Basic Pay]:[Allowance 5]])</f>
        <v>0</v>
      </c>
      <c r="R31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12" s="51" cm="1">
        <f t="array" ref="S3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12" s="3" cm="1">
        <f t="array" ref="T3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12" s="25">
        <f>_xlfn.LET(
_xlpm.tos, _xlfn.XLOOKUP(tblPayrollMaster[[#This Row],[Employee ID]], tblEmployee[Employee ID], tblEmployee[Type of Service], ""),
IF(_xlpm.tos="Contract of Service", 8.25, 0)
)</f>
        <v>0</v>
      </c>
      <c r="V312" s="25">
        <f>tblPayrollMaster[[#This Row],[Basic Earnings]]-tblPayrollMaster[[#This Row],[Tax]]-tblPayrollMaster[[#This Row],[NIS - Employee]]-tblPayrollMaster[[#This Row],[Health Surcharge]]</f>
        <v>0</v>
      </c>
      <c r="W312" s="25">
        <f>tblPayrollMaster[[#This Row],[Net Pay]]</f>
        <v>0</v>
      </c>
      <c r="X312" s="25"/>
    </row>
    <row r="313" spans="1:24" x14ac:dyDescent="0.25">
      <c r="A313" s="24"/>
      <c r="B313" s="24" t="str">
        <f>_xlfn.XLOOKUP(tblPayrollMaster[[#This Row],[Employee ID]],tblEmployee[Employee ID],tblEmployee[Employee Name],"")</f>
        <v/>
      </c>
      <c r="C313" s="24" t="str">
        <f>_xlfn.XLOOKUP(tblPayrollMaster[[#This Row],[Employee ID]],tblEmployee[Employee ID],tblEmployee[Employee Position],"")</f>
        <v/>
      </c>
      <c r="D313" s="24" t="str">
        <f>_xlfn.XLOOKUP(tblPayrollMaster[[#This Row],[Employee ID]], tblEmployee[Employee ID], tblEmployee[Pay Status], "Pay")</f>
        <v>Pay</v>
      </c>
      <c r="E313" s="24" t="str">
        <f>_xlfn.XLOOKUP(tblPayrollMaster[[#This Row],[Employee ID]], tblEmployee[Employee ID], tblEmployee[Payable Flag], "Y")</f>
        <v>Y</v>
      </c>
      <c r="F313" s="45">
        <f>IF(tblPayrollMaster[[#This Row],[Payable Flag]]="N",0,_xlfn.XLOOKUP(tblPayrollMaster[[#This Row],[Employee ID]],tblEmployee[Employee ID],tblEmployee[Pay Factor],1))</f>
        <v>1</v>
      </c>
      <c r="G313" s="26" t="str" cm="1">
        <f t="array" ref="G313">IF(tblPayrollMaster[[#This Row],[Employee ID]]="","",_xlfn.XLOOKUP(selPayPeriodID,tblPayCalendar[PayPeriodID],tblPayCalendar[PeriodStart],""))</f>
        <v/>
      </c>
      <c r="H313" s="26" t="str" cm="1">
        <f t="array" ref="H313">IF(tblPayrollMaster[[#This Row],[Employee ID]]="","",_xlfn.XLOOKUP(selPayPeriodID,tblPayCalendar[PayPeriodID],tblPayCalendar[PeriodEnd],""))</f>
        <v/>
      </c>
      <c r="I313" s="24" t="e" cm="1" vm="1">
        <f t="array" aca="1" ref="I313" ca="1">Table18[Employer Name]</f>
        <v>#VALUE!</v>
      </c>
      <c r="J313" s="3" cm="1">
        <f t="array" ref="J31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13" s="25" t="str">
        <f>_xlfn.XLOOKUP(tblPayrollMaster[[#This Row],[Employee Position]],tblPositionandPayRate[Employee Position],tblPositionandPayRate[Overtime], " ")</f>
        <v xml:space="preserve"> </v>
      </c>
      <c r="L313" s="25">
        <f>_xlfn.XLOOKUP(tblPayrollMaster[[#This Row],[Employee Position]],tblPositionandPayRate[Employee Position],tblPositionandPayRate[Allowance 1],0)*tblPayrollMaster[[#This Row],[Pay Factor]]</f>
        <v>0</v>
      </c>
      <c r="M313" s="25">
        <f>_xlfn.XLOOKUP(tblPayrollMaster[[#This Row],[Employee Position]],tblPositionandPayRate[Employee Position],tblPositionandPayRate[Allowance 2],0)*tblPayrollMaster[[#This Row],[Pay Factor]]</f>
        <v>0</v>
      </c>
      <c r="N313" s="25">
        <f>_xlfn.XLOOKUP(tblPayrollMaster[[#This Row],[Employee Position]],tblPositionandPayRate[Employee Position],tblPositionandPayRate[Allowance 3],0)*tblPayrollMaster[[#This Row],[Pay Factor]]</f>
        <v>0</v>
      </c>
      <c r="O313" s="25">
        <f>_xlfn.XLOOKUP(tblPayrollMaster[[#This Row],[Employee Position]],tblPositionandPayRate[Employee Position],tblPositionandPayRate[Allowance 4],0)*tblPayrollMaster[[#This Row],[Pay Factor]]</f>
        <v>0</v>
      </c>
      <c r="P313" s="25">
        <f>_xlfn.XLOOKUP(tblPayrollMaster[[#This Row],[Employee Position]],tblPositionandPayRate[Employee Position],tblPositionandPayRate[Allowance 5],0)*tblPayrollMaster[[#This Row],[Pay Factor]]</f>
        <v>0</v>
      </c>
      <c r="Q313" s="25">
        <f>SUM(tblPayrollMaster[[#This Row],[Basic Pay]:[Allowance 5]])</f>
        <v>0</v>
      </c>
      <c r="R31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13" s="51" cm="1">
        <f t="array" ref="S3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13" s="3" cm="1">
        <f t="array" ref="T3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13" s="25">
        <f>_xlfn.LET(
_xlpm.tos, _xlfn.XLOOKUP(tblPayrollMaster[[#This Row],[Employee ID]], tblEmployee[Employee ID], tblEmployee[Type of Service], ""),
IF(_xlpm.tos="Contract of Service", 8.25, 0)
)</f>
        <v>0</v>
      </c>
      <c r="V313" s="25">
        <f>tblPayrollMaster[[#This Row],[Basic Earnings]]-tblPayrollMaster[[#This Row],[Tax]]-tblPayrollMaster[[#This Row],[NIS - Employee]]-tblPayrollMaster[[#This Row],[Health Surcharge]]</f>
        <v>0</v>
      </c>
      <c r="W313" s="25">
        <f>tblPayrollMaster[[#This Row],[Net Pay]]</f>
        <v>0</v>
      </c>
      <c r="X313" s="25"/>
    </row>
    <row r="314" spans="1:24" x14ac:dyDescent="0.25">
      <c r="A314" s="24"/>
      <c r="B314" s="24" t="str">
        <f>_xlfn.XLOOKUP(tblPayrollMaster[[#This Row],[Employee ID]],tblEmployee[Employee ID],tblEmployee[Employee Name],"")</f>
        <v/>
      </c>
      <c r="C314" s="24" t="str">
        <f>_xlfn.XLOOKUP(tblPayrollMaster[[#This Row],[Employee ID]],tblEmployee[Employee ID],tblEmployee[Employee Position],"")</f>
        <v/>
      </c>
      <c r="D314" s="24" t="str">
        <f>_xlfn.XLOOKUP(tblPayrollMaster[[#This Row],[Employee ID]], tblEmployee[Employee ID], tblEmployee[Pay Status], "Pay")</f>
        <v>Pay</v>
      </c>
      <c r="E314" s="24" t="str">
        <f>_xlfn.XLOOKUP(tblPayrollMaster[[#This Row],[Employee ID]], tblEmployee[Employee ID], tblEmployee[Payable Flag], "Y")</f>
        <v>Y</v>
      </c>
      <c r="F314" s="45">
        <f>IF(tblPayrollMaster[[#This Row],[Payable Flag]]="N",0,_xlfn.XLOOKUP(tblPayrollMaster[[#This Row],[Employee ID]],tblEmployee[Employee ID],tblEmployee[Pay Factor],1))</f>
        <v>1</v>
      </c>
      <c r="G314" s="26" t="str" cm="1">
        <f t="array" ref="G314">IF(tblPayrollMaster[[#This Row],[Employee ID]]="","",_xlfn.XLOOKUP(selPayPeriodID,tblPayCalendar[PayPeriodID],tblPayCalendar[PeriodStart],""))</f>
        <v/>
      </c>
      <c r="H314" s="26" t="str" cm="1">
        <f t="array" ref="H314">IF(tblPayrollMaster[[#This Row],[Employee ID]]="","",_xlfn.XLOOKUP(selPayPeriodID,tblPayCalendar[PayPeriodID],tblPayCalendar[PeriodEnd],""))</f>
        <v/>
      </c>
      <c r="I314" s="24" t="e" cm="1" vm="1">
        <f t="array" aca="1" ref="I314" ca="1">Table18[Employer Name]</f>
        <v>#VALUE!</v>
      </c>
      <c r="J314" s="3" cm="1">
        <f t="array" ref="J31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14" s="25" t="str">
        <f>_xlfn.XLOOKUP(tblPayrollMaster[[#This Row],[Employee Position]],tblPositionandPayRate[Employee Position],tblPositionandPayRate[Overtime], " ")</f>
        <v xml:space="preserve"> </v>
      </c>
      <c r="L314" s="25">
        <f>_xlfn.XLOOKUP(tblPayrollMaster[[#This Row],[Employee Position]],tblPositionandPayRate[Employee Position],tblPositionandPayRate[Allowance 1],0)*tblPayrollMaster[[#This Row],[Pay Factor]]</f>
        <v>0</v>
      </c>
      <c r="M314" s="25">
        <f>_xlfn.XLOOKUP(tblPayrollMaster[[#This Row],[Employee Position]],tblPositionandPayRate[Employee Position],tblPositionandPayRate[Allowance 2],0)*tblPayrollMaster[[#This Row],[Pay Factor]]</f>
        <v>0</v>
      </c>
      <c r="N314" s="25">
        <f>_xlfn.XLOOKUP(tblPayrollMaster[[#This Row],[Employee Position]],tblPositionandPayRate[Employee Position],tblPositionandPayRate[Allowance 3],0)*tblPayrollMaster[[#This Row],[Pay Factor]]</f>
        <v>0</v>
      </c>
      <c r="O314" s="25">
        <f>_xlfn.XLOOKUP(tblPayrollMaster[[#This Row],[Employee Position]],tblPositionandPayRate[Employee Position],tblPositionandPayRate[Allowance 4],0)*tblPayrollMaster[[#This Row],[Pay Factor]]</f>
        <v>0</v>
      </c>
      <c r="P314" s="25">
        <f>_xlfn.XLOOKUP(tblPayrollMaster[[#This Row],[Employee Position]],tblPositionandPayRate[Employee Position],tblPositionandPayRate[Allowance 5],0)*tblPayrollMaster[[#This Row],[Pay Factor]]</f>
        <v>0</v>
      </c>
      <c r="Q314" s="25">
        <f>SUM(tblPayrollMaster[[#This Row],[Basic Pay]:[Allowance 5]])</f>
        <v>0</v>
      </c>
      <c r="R31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14" s="51" cm="1">
        <f t="array" ref="S3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14" s="3" cm="1">
        <f t="array" ref="T3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14" s="25">
        <f>_xlfn.LET(
_xlpm.tos, _xlfn.XLOOKUP(tblPayrollMaster[[#This Row],[Employee ID]], tblEmployee[Employee ID], tblEmployee[Type of Service], ""),
IF(_xlpm.tos="Contract of Service", 8.25, 0)
)</f>
        <v>0</v>
      </c>
      <c r="V314" s="25">
        <f>tblPayrollMaster[[#This Row],[Basic Earnings]]-tblPayrollMaster[[#This Row],[Tax]]-tblPayrollMaster[[#This Row],[NIS - Employee]]-tblPayrollMaster[[#This Row],[Health Surcharge]]</f>
        <v>0</v>
      </c>
      <c r="W314" s="25">
        <f>tblPayrollMaster[[#This Row],[Net Pay]]</f>
        <v>0</v>
      </c>
      <c r="X314" s="25"/>
    </row>
    <row r="315" spans="1:24" x14ac:dyDescent="0.25">
      <c r="A315" s="24"/>
      <c r="B315" s="24" t="str">
        <f>_xlfn.XLOOKUP(tblPayrollMaster[[#This Row],[Employee ID]],tblEmployee[Employee ID],tblEmployee[Employee Name],"")</f>
        <v/>
      </c>
      <c r="C315" s="24" t="str">
        <f>_xlfn.XLOOKUP(tblPayrollMaster[[#This Row],[Employee ID]],tblEmployee[Employee ID],tblEmployee[Employee Position],"")</f>
        <v/>
      </c>
      <c r="D315" s="24" t="str">
        <f>_xlfn.XLOOKUP(tblPayrollMaster[[#This Row],[Employee ID]], tblEmployee[Employee ID], tblEmployee[Pay Status], "Pay")</f>
        <v>Pay</v>
      </c>
      <c r="E315" s="24" t="str">
        <f>_xlfn.XLOOKUP(tblPayrollMaster[[#This Row],[Employee ID]], tblEmployee[Employee ID], tblEmployee[Payable Flag], "Y")</f>
        <v>Y</v>
      </c>
      <c r="F315" s="45">
        <f>IF(tblPayrollMaster[[#This Row],[Payable Flag]]="N",0,_xlfn.XLOOKUP(tblPayrollMaster[[#This Row],[Employee ID]],tblEmployee[Employee ID],tblEmployee[Pay Factor],1))</f>
        <v>1</v>
      </c>
      <c r="G315" s="26" t="str" cm="1">
        <f t="array" ref="G315">IF(tblPayrollMaster[[#This Row],[Employee ID]]="","",_xlfn.XLOOKUP(selPayPeriodID,tblPayCalendar[PayPeriodID],tblPayCalendar[PeriodStart],""))</f>
        <v/>
      </c>
      <c r="H315" s="26" t="str" cm="1">
        <f t="array" ref="H315">IF(tblPayrollMaster[[#This Row],[Employee ID]]="","",_xlfn.XLOOKUP(selPayPeriodID,tblPayCalendar[PayPeriodID],tblPayCalendar[PeriodEnd],""))</f>
        <v/>
      </c>
      <c r="I315" s="24" t="e" cm="1" vm="1">
        <f t="array" aca="1" ref="I315" ca="1">Table18[Employer Name]</f>
        <v>#VALUE!</v>
      </c>
      <c r="J315" s="3" cm="1">
        <f t="array" ref="J31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15" s="25" t="str">
        <f>_xlfn.XLOOKUP(tblPayrollMaster[[#This Row],[Employee Position]],tblPositionandPayRate[Employee Position],tblPositionandPayRate[Overtime], " ")</f>
        <v xml:space="preserve"> </v>
      </c>
      <c r="L315" s="25">
        <f>_xlfn.XLOOKUP(tblPayrollMaster[[#This Row],[Employee Position]],tblPositionandPayRate[Employee Position],tblPositionandPayRate[Allowance 1],0)*tblPayrollMaster[[#This Row],[Pay Factor]]</f>
        <v>0</v>
      </c>
      <c r="M315" s="25">
        <f>_xlfn.XLOOKUP(tblPayrollMaster[[#This Row],[Employee Position]],tblPositionandPayRate[Employee Position],tblPositionandPayRate[Allowance 2],0)*tblPayrollMaster[[#This Row],[Pay Factor]]</f>
        <v>0</v>
      </c>
      <c r="N315" s="25">
        <f>_xlfn.XLOOKUP(tblPayrollMaster[[#This Row],[Employee Position]],tblPositionandPayRate[Employee Position],tblPositionandPayRate[Allowance 3],0)*tblPayrollMaster[[#This Row],[Pay Factor]]</f>
        <v>0</v>
      </c>
      <c r="O315" s="25">
        <f>_xlfn.XLOOKUP(tblPayrollMaster[[#This Row],[Employee Position]],tblPositionandPayRate[Employee Position],tblPositionandPayRate[Allowance 4],0)*tblPayrollMaster[[#This Row],[Pay Factor]]</f>
        <v>0</v>
      </c>
      <c r="P315" s="25">
        <f>_xlfn.XLOOKUP(tblPayrollMaster[[#This Row],[Employee Position]],tblPositionandPayRate[Employee Position],tblPositionandPayRate[Allowance 5],0)*tblPayrollMaster[[#This Row],[Pay Factor]]</f>
        <v>0</v>
      </c>
      <c r="Q315" s="25">
        <f>SUM(tblPayrollMaster[[#This Row],[Basic Pay]:[Allowance 5]])</f>
        <v>0</v>
      </c>
      <c r="R31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15" s="51" cm="1">
        <f t="array" ref="S3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15" s="3" cm="1">
        <f t="array" ref="T3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15" s="25">
        <f>_xlfn.LET(
_xlpm.tos, _xlfn.XLOOKUP(tblPayrollMaster[[#This Row],[Employee ID]], tblEmployee[Employee ID], tblEmployee[Type of Service], ""),
IF(_xlpm.tos="Contract of Service", 8.25, 0)
)</f>
        <v>0</v>
      </c>
      <c r="V315" s="25">
        <f>tblPayrollMaster[[#This Row],[Basic Earnings]]-tblPayrollMaster[[#This Row],[Tax]]-tblPayrollMaster[[#This Row],[NIS - Employee]]-tblPayrollMaster[[#This Row],[Health Surcharge]]</f>
        <v>0</v>
      </c>
      <c r="W315" s="25">
        <f>tblPayrollMaster[[#This Row],[Net Pay]]</f>
        <v>0</v>
      </c>
      <c r="X315" s="25"/>
    </row>
    <row r="316" spans="1:24" x14ac:dyDescent="0.25">
      <c r="A316" s="24"/>
      <c r="B316" s="24" t="str">
        <f>_xlfn.XLOOKUP(tblPayrollMaster[[#This Row],[Employee ID]],tblEmployee[Employee ID],tblEmployee[Employee Name],"")</f>
        <v/>
      </c>
      <c r="C316" s="24" t="str">
        <f>_xlfn.XLOOKUP(tblPayrollMaster[[#This Row],[Employee ID]],tblEmployee[Employee ID],tblEmployee[Employee Position],"")</f>
        <v/>
      </c>
      <c r="D316" s="24" t="str">
        <f>_xlfn.XLOOKUP(tblPayrollMaster[[#This Row],[Employee ID]], tblEmployee[Employee ID], tblEmployee[Pay Status], "Pay")</f>
        <v>Pay</v>
      </c>
      <c r="E316" s="24" t="str">
        <f>_xlfn.XLOOKUP(tblPayrollMaster[[#This Row],[Employee ID]], tblEmployee[Employee ID], tblEmployee[Payable Flag], "Y")</f>
        <v>Y</v>
      </c>
      <c r="F316" s="45">
        <f>IF(tblPayrollMaster[[#This Row],[Payable Flag]]="N",0,_xlfn.XLOOKUP(tblPayrollMaster[[#This Row],[Employee ID]],tblEmployee[Employee ID],tblEmployee[Pay Factor],1))</f>
        <v>1</v>
      </c>
      <c r="G316" s="26" t="str" cm="1">
        <f t="array" ref="G316">IF(tblPayrollMaster[[#This Row],[Employee ID]]="","",_xlfn.XLOOKUP(selPayPeriodID,tblPayCalendar[PayPeriodID],tblPayCalendar[PeriodStart],""))</f>
        <v/>
      </c>
      <c r="H316" s="26" t="str" cm="1">
        <f t="array" ref="H316">IF(tblPayrollMaster[[#This Row],[Employee ID]]="","",_xlfn.XLOOKUP(selPayPeriodID,tblPayCalendar[PayPeriodID],tblPayCalendar[PeriodEnd],""))</f>
        <v/>
      </c>
      <c r="I316" s="24" t="e" cm="1" vm="1">
        <f t="array" aca="1" ref="I316" ca="1">Table18[Employer Name]</f>
        <v>#VALUE!</v>
      </c>
      <c r="J316" s="3" cm="1">
        <f t="array" ref="J31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16" s="25" t="str">
        <f>_xlfn.XLOOKUP(tblPayrollMaster[[#This Row],[Employee Position]],tblPositionandPayRate[Employee Position],tblPositionandPayRate[Overtime], " ")</f>
        <v xml:space="preserve"> </v>
      </c>
      <c r="L316" s="25">
        <f>_xlfn.XLOOKUP(tblPayrollMaster[[#This Row],[Employee Position]],tblPositionandPayRate[Employee Position],tblPositionandPayRate[Allowance 1],0)*tblPayrollMaster[[#This Row],[Pay Factor]]</f>
        <v>0</v>
      </c>
      <c r="M316" s="25">
        <f>_xlfn.XLOOKUP(tblPayrollMaster[[#This Row],[Employee Position]],tblPositionandPayRate[Employee Position],tblPositionandPayRate[Allowance 2],0)*tblPayrollMaster[[#This Row],[Pay Factor]]</f>
        <v>0</v>
      </c>
      <c r="N316" s="25">
        <f>_xlfn.XLOOKUP(tblPayrollMaster[[#This Row],[Employee Position]],tblPositionandPayRate[Employee Position],tblPositionandPayRate[Allowance 3],0)*tblPayrollMaster[[#This Row],[Pay Factor]]</f>
        <v>0</v>
      </c>
      <c r="O316" s="25">
        <f>_xlfn.XLOOKUP(tblPayrollMaster[[#This Row],[Employee Position]],tblPositionandPayRate[Employee Position],tblPositionandPayRate[Allowance 4],0)*tblPayrollMaster[[#This Row],[Pay Factor]]</f>
        <v>0</v>
      </c>
      <c r="P316" s="25">
        <f>_xlfn.XLOOKUP(tblPayrollMaster[[#This Row],[Employee Position]],tblPositionandPayRate[Employee Position],tblPositionandPayRate[Allowance 5],0)*tblPayrollMaster[[#This Row],[Pay Factor]]</f>
        <v>0</v>
      </c>
      <c r="Q316" s="25">
        <f>SUM(tblPayrollMaster[[#This Row],[Basic Pay]:[Allowance 5]])</f>
        <v>0</v>
      </c>
      <c r="R31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16" s="51" cm="1">
        <f t="array" ref="S3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16" s="3" cm="1">
        <f t="array" ref="T3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16" s="25">
        <f>_xlfn.LET(
_xlpm.tos, _xlfn.XLOOKUP(tblPayrollMaster[[#This Row],[Employee ID]], tblEmployee[Employee ID], tblEmployee[Type of Service], ""),
IF(_xlpm.tos="Contract of Service", 8.25, 0)
)</f>
        <v>0</v>
      </c>
      <c r="V316" s="25">
        <f>tblPayrollMaster[[#This Row],[Basic Earnings]]-tblPayrollMaster[[#This Row],[Tax]]-tblPayrollMaster[[#This Row],[NIS - Employee]]-tblPayrollMaster[[#This Row],[Health Surcharge]]</f>
        <v>0</v>
      </c>
      <c r="W316" s="25">
        <f>tblPayrollMaster[[#This Row],[Net Pay]]</f>
        <v>0</v>
      </c>
      <c r="X316" s="25"/>
    </row>
    <row r="317" spans="1:24" x14ac:dyDescent="0.25">
      <c r="A317" s="24"/>
      <c r="B317" s="24" t="str">
        <f>_xlfn.XLOOKUP(tblPayrollMaster[[#This Row],[Employee ID]],tblEmployee[Employee ID],tblEmployee[Employee Name],"")</f>
        <v/>
      </c>
      <c r="C317" s="24" t="str">
        <f>_xlfn.XLOOKUP(tblPayrollMaster[[#This Row],[Employee ID]],tblEmployee[Employee ID],tblEmployee[Employee Position],"")</f>
        <v/>
      </c>
      <c r="D317" s="24" t="str">
        <f>_xlfn.XLOOKUP(tblPayrollMaster[[#This Row],[Employee ID]], tblEmployee[Employee ID], tblEmployee[Pay Status], "Pay")</f>
        <v>Pay</v>
      </c>
      <c r="E317" s="24" t="str">
        <f>_xlfn.XLOOKUP(tblPayrollMaster[[#This Row],[Employee ID]], tblEmployee[Employee ID], tblEmployee[Payable Flag], "Y")</f>
        <v>Y</v>
      </c>
      <c r="F317" s="45">
        <f>IF(tblPayrollMaster[[#This Row],[Payable Flag]]="N",0,_xlfn.XLOOKUP(tblPayrollMaster[[#This Row],[Employee ID]],tblEmployee[Employee ID],tblEmployee[Pay Factor],1))</f>
        <v>1</v>
      </c>
      <c r="G317" s="26" t="str" cm="1">
        <f t="array" ref="G317">IF(tblPayrollMaster[[#This Row],[Employee ID]]="","",_xlfn.XLOOKUP(selPayPeriodID,tblPayCalendar[PayPeriodID],tblPayCalendar[PeriodStart],""))</f>
        <v/>
      </c>
      <c r="H317" s="26" t="str" cm="1">
        <f t="array" ref="H317">IF(tblPayrollMaster[[#This Row],[Employee ID]]="","",_xlfn.XLOOKUP(selPayPeriodID,tblPayCalendar[PayPeriodID],tblPayCalendar[PeriodEnd],""))</f>
        <v/>
      </c>
      <c r="I317" s="24" t="e" cm="1" vm="1">
        <f t="array" aca="1" ref="I317" ca="1">Table18[Employer Name]</f>
        <v>#VALUE!</v>
      </c>
      <c r="J317" s="3" cm="1">
        <f t="array" ref="J31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17" s="25" t="str">
        <f>_xlfn.XLOOKUP(tblPayrollMaster[[#This Row],[Employee Position]],tblPositionandPayRate[Employee Position],tblPositionandPayRate[Overtime], " ")</f>
        <v xml:space="preserve"> </v>
      </c>
      <c r="L317" s="25">
        <f>_xlfn.XLOOKUP(tblPayrollMaster[[#This Row],[Employee Position]],tblPositionandPayRate[Employee Position],tblPositionandPayRate[Allowance 1],0)*tblPayrollMaster[[#This Row],[Pay Factor]]</f>
        <v>0</v>
      </c>
      <c r="M317" s="25">
        <f>_xlfn.XLOOKUP(tblPayrollMaster[[#This Row],[Employee Position]],tblPositionandPayRate[Employee Position],tblPositionandPayRate[Allowance 2],0)*tblPayrollMaster[[#This Row],[Pay Factor]]</f>
        <v>0</v>
      </c>
      <c r="N317" s="25">
        <f>_xlfn.XLOOKUP(tblPayrollMaster[[#This Row],[Employee Position]],tblPositionandPayRate[Employee Position],tblPositionandPayRate[Allowance 3],0)*tblPayrollMaster[[#This Row],[Pay Factor]]</f>
        <v>0</v>
      </c>
      <c r="O317" s="25">
        <f>_xlfn.XLOOKUP(tblPayrollMaster[[#This Row],[Employee Position]],tblPositionandPayRate[Employee Position],tblPositionandPayRate[Allowance 4],0)*tblPayrollMaster[[#This Row],[Pay Factor]]</f>
        <v>0</v>
      </c>
      <c r="P317" s="25">
        <f>_xlfn.XLOOKUP(tblPayrollMaster[[#This Row],[Employee Position]],tblPositionandPayRate[Employee Position],tblPositionandPayRate[Allowance 5],0)*tblPayrollMaster[[#This Row],[Pay Factor]]</f>
        <v>0</v>
      </c>
      <c r="Q317" s="25">
        <f>SUM(tblPayrollMaster[[#This Row],[Basic Pay]:[Allowance 5]])</f>
        <v>0</v>
      </c>
      <c r="R31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17" s="51" cm="1">
        <f t="array" ref="S3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17" s="3" cm="1">
        <f t="array" ref="T3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17" s="25">
        <f>_xlfn.LET(
_xlpm.tos, _xlfn.XLOOKUP(tblPayrollMaster[[#This Row],[Employee ID]], tblEmployee[Employee ID], tblEmployee[Type of Service], ""),
IF(_xlpm.tos="Contract of Service", 8.25, 0)
)</f>
        <v>0</v>
      </c>
      <c r="V317" s="25">
        <f>tblPayrollMaster[[#This Row],[Basic Earnings]]-tblPayrollMaster[[#This Row],[Tax]]-tblPayrollMaster[[#This Row],[NIS - Employee]]-tblPayrollMaster[[#This Row],[Health Surcharge]]</f>
        <v>0</v>
      </c>
      <c r="W317" s="25">
        <f>tblPayrollMaster[[#This Row],[Net Pay]]</f>
        <v>0</v>
      </c>
      <c r="X317" s="25"/>
    </row>
    <row r="318" spans="1:24" x14ac:dyDescent="0.25">
      <c r="A318" s="24"/>
      <c r="B318" s="24" t="str">
        <f>_xlfn.XLOOKUP(tblPayrollMaster[[#This Row],[Employee ID]],tblEmployee[Employee ID],tblEmployee[Employee Name],"")</f>
        <v/>
      </c>
      <c r="C318" s="24" t="str">
        <f>_xlfn.XLOOKUP(tblPayrollMaster[[#This Row],[Employee ID]],tblEmployee[Employee ID],tblEmployee[Employee Position],"")</f>
        <v/>
      </c>
      <c r="D318" s="24" t="str">
        <f>_xlfn.XLOOKUP(tblPayrollMaster[[#This Row],[Employee ID]], tblEmployee[Employee ID], tblEmployee[Pay Status], "Pay")</f>
        <v>Pay</v>
      </c>
      <c r="E318" s="24" t="str">
        <f>_xlfn.XLOOKUP(tblPayrollMaster[[#This Row],[Employee ID]], tblEmployee[Employee ID], tblEmployee[Payable Flag], "Y")</f>
        <v>Y</v>
      </c>
      <c r="F318" s="45">
        <f>IF(tblPayrollMaster[[#This Row],[Payable Flag]]="N",0,_xlfn.XLOOKUP(tblPayrollMaster[[#This Row],[Employee ID]],tblEmployee[Employee ID],tblEmployee[Pay Factor],1))</f>
        <v>1</v>
      </c>
      <c r="G318" s="26" t="str" cm="1">
        <f t="array" ref="G318">IF(tblPayrollMaster[[#This Row],[Employee ID]]="","",_xlfn.XLOOKUP(selPayPeriodID,tblPayCalendar[PayPeriodID],tblPayCalendar[PeriodStart],""))</f>
        <v/>
      </c>
      <c r="H318" s="26" t="str" cm="1">
        <f t="array" ref="H318">IF(tblPayrollMaster[[#This Row],[Employee ID]]="","",_xlfn.XLOOKUP(selPayPeriodID,tblPayCalendar[PayPeriodID],tblPayCalendar[PeriodEnd],""))</f>
        <v/>
      </c>
      <c r="I318" s="24" t="e" cm="1" vm="1">
        <f t="array" aca="1" ref="I318" ca="1">Table18[Employer Name]</f>
        <v>#VALUE!</v>
      </c>
      <c r="J318" s="3" cm="1">
        <f t="array" ref="J31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18" s="25" t="str">
        <f>_xlfn.XLOOKUP(tblPayrollMaster[[#This Row],[Employee Position]],tblPositionandPayRate[Employee Position],tblPositionandPayRate[Overtime], " ")</f>
        <v xml:space="preserve"> </v>
      </c>
      <c r="L318" s="25">
        <f>_xlfn.XLOOKUP(tblPayrollMaster[[#This Row],[Employee Position]],tblPositionandPayRate[Employee Position],tblPositionandPayRate[Allowance 1],0)*tblPayrollMaster[[#This Row],[Pay Factor]]</f>
        <v>0</v>
      </c>
      <c r="M318" s="25">
        <f>_xlfn.XLOOKUP(tblPayrollMaster[[#This Row],[Employee Position]],tblPositionandPayRate[Employee Position],tblPositionandPayRate[Allowance 2],0)*tblPayrollMaster[[#This Row],[Pay Factor]]</f>
        <v>0</v>
      </c>
      <c r="N318" s="25">
        <f>_xlfn.XLOOKUP(tblPayrollMaster[[#This Row],[Employee Position]],tblPositionandPayRate[Employee Position],tblPositionandPayRate[Allowance 3],0)*tblPayrollMaster[[#This Row],[Pay Factor]]</f>
        <v>0</v>
      </c>
      <c r="O318" s="25">
        <f>_xlfn.XLOOKUP(tblPayrollMaster[[#This Row],[Employee Position]],tblPositionandPayRate[Employee Position],tblPositionandPayRate[Allowance 4],0)*tblPayrollMaster[[#This Row],[Pay Factor]]</f>
        <v>0</v>
      </c>
      <c r="P318" s="25">
        <f>_xlfn.XLOOKUP(tblPayrollMaster[[#This Row],[Employee Position]],tblPositionandPayRate[Employee Position],tblPositionandPayRate[Allowance 5],0)*tblPayrollMaster[[#This Row],[Pay Factor]]</f>
        <v>0</v>
      </c>
      <c r="Q318" s="25">
        <f>SUM(tblPayrollMaster[[#This Row],[Basic Pay]:[Allowance 5]])</f>
        <v>0</v>
      </c>
      <c r="R31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18" s="51" cm="1">
        <f t="array" ref="S3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18" s="3" cm="1">
        <f t="array" ref="T3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18" s="25">
        <f>_xlfn.LET(
_xlpm.tos, _xlfn.XLOOKUP(tblPayrollMaster[[#This Row],[Employee ID]], tblEmployee[Employee ID], tblEmployee[Type of Service], ""),
IF(_xlpm.tos="Contract of Service", 8.25, 0)
)</f>
        <v>0</v>
      </c>
      <c r="V318" s="25">
        <f>tblPayrollMaster[[#This Row],[Basic Earnings]]-tblPayrollMaster[[#This Row],[Tax]]-tblPayrollMaster[[#This Row],[NIS - Employee]]-tblPayrollMaster[[#This Row],[Health Surcharge]]</f>
        <v>0</v>
      </c>
      <c r="W318" s="25">
        <f>tblPayrollMaster[[#This Row],[Net Pay]]</f>
        <v>0</v>
      </c>
      <c r="X318" s="25"/>
    </row>
    <row r="319" spans="1:24" x14ac:dyDescent="0.25">
      <c r="A319" s="24"/>
      <c r="B319" s="24" t="str">
        <f>_xlfn.XLOOKUP(tblPayrollMaster[[#This Row],[Employee ID]],tblEmployee[Employee ID],tblEmployee[Employee Name],"")</f>
        <v/>
      </c>
      <c r="C319" s="24" t="str">
        <f>_xlfn.XLOOKUP(tblPayrollMaster[[#This Row],[Employee ID]],tblEmployee[Employee ID],tblEmployee[Employee Position],"")</f>
        <v/>
      </c>
      <c r="D319" s="24" t="str">
        <f>_xlfn.XLOOKUP(tblPayrollMaster[[#This Row],[Employee ID]], tblEmployee[Employee ID], tblEmployee[Pay Status], "Pay")</f>
        <v>Pay</v>
      </c>
      <c r="E319" s="24" t="str">
        <f>_xlfn.XLOOKUP(tblPayrollMaster[[#This Row],[Employee ID]], tblEmployee[Employee ID], tblEmployee[Payable Flag], "Y")</f>
        <v>Y</v>
      </c>
      <c r="F319" s="45">
        <f>IF(tblPayrollMaster[[#This Row],[Payable Flag]]="N",0,_xlfn.XLOOKUP(tblPayrollMaster[[#This Row],[Employee ID]],tblEmployee[Employee ID],tblEmployee[Pay Factor],1))</f>
        <v>1</v>
      </c>
      <c r="G319" s="26" t="str" cm="1">
        <f t="array" ref="G319">IF(tblPayrollMaster[[#This Row],[Employee ID]]="","",_xlfn.XLOOKUP(selPayPeriodID,tblPayCalendar[PayPeriodID],tblPayCalendar[PeriodStart],""))</f>
        <v/>
      </c>
      <c r="H319" s="26" t="str" cm="1">
        <f t="array" ref="H319">IF(tblPayrollMaster[[#This Row],[Employee ID]]="","",_xlfn.XLOOKUP(selPayPeriodID,tblPayCalendar[PayPeriodID],tblPayCalendar[PeriodEnd],""))</f>
        <v/>
      </c>
      <c r="I319" s="24" t="e" cm="1" vm="1">
        <f t="array" aca="1" ref="I319" ca="1">Table18[Employer Name]</f>
        <v>#VALUE!</v>
      </c>
      <c r="J319" s="3" cm="1">
        <f t="array" ref="J31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19" s="25" t="str">
        <f>_xlfn.XLOOKUP(tblPayrollMaster[[#This Row],[Employee Position]],tblPositionandPayRate[Employee Position],tblPositionandPayRate[Overtime], " ")</f>
        <v xml:space="preserve"> </v>
      </c>
      <c r="L319" s="25">
        <f>_xlfn.XLOOKUP(tblPayrollMaster[[#This Row],[Employee Position]],tblPositionandPayRate[Employee Position],tblPositionandPayRate[Allowance 1],0)*tblPayrollMaster[[#This Row],[Pay Factor]]</f>
        <v>0</v>
      </c>
      <c r="M319" s="25">
        <f>_xlfn.XLOOKUP(tblPayrollMaster[[#This Row],[Employee Position]],tblPositionandPayRate[Employee Position],tblPositionandPayRate[Allowance 2],0)*tblPayrollMaster[[#This Row],[Pay Factor]]</f>
        <v>0</v>
      </c>
      <c r="N319" s="25">
        <f>_xlfn.XLOOKUP(tblPayrollMaster[[#This Row],[Employee Position]],tblPositionandPayRate[Employee Position],tblPositionandPayRate[Allowance 3],0)*tblPayrollMaster[[#This Row],[Pay Factor]]</f>
        <v>0</v>
      </c>
      <c r="O319" s="25">
        <f>_xlfn.XLOOKUP(tblPayrollMaster[[#This Row],[Employee Position]],tblPositionandPayRate[Employee Position],tblPositionandPayRate[Allowance 4],0)*tblPayrollMaster[[#This Row],[Pay Factor]]</f>
        <v>0</v>
      </c>
      <c r="P319" s="25">
        <f>_xlfn.XLOOKUP(tblPayrollMaster[[#This Row],[Employee Position]],tblPositionandPayRate[Employee Position],tblPositionandPayRate[Allowance 5],0)*tblPayrollMaster[[#This Row],[Pay Factor]]</f>
        <v>0</v>
      </c>
      <c r="Q319" s="25">
        <f>SUM(tblPayrollMaster[[#This Row],[Basic Pay]:[Allowance 5]])</f>
        <v>0</v>
      </c>
      <c r="R31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19" s="51" cm="1">
        <f t="array" ref="S3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19" s="3" cm="1">
        <f t="array" ref="T3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19" s="25">
        <f>_xlfn.LET(
_xlpm.tos, _xlfn.XLOOKUP(tblPayrollMaster[[#This Row],[Employee ID]], tblEmployee[Employee ID], tblEmployee[Type of Service], ""),
IF(_xlpm.tos="Contract of Service", 8.25, 0)
)</f>
        <v>0</v>
      </c>
      <c r="V319" s="25">
        <f>tblPayrollMaster[[#This Row],[Basic Earnings]]-tblPayrollMaster[[#This Row],[Tax]]-tblPayrollMaster[[#This Row],[NIS - Employee]]-tblPayrollMaster[[#This Row],[Health Surcharge]]</f>
        <v>0</v>
      </c>
      <c r="W319" s="25">
        <f>tblPayrollMaster[[#This Row],[Net Pay]]</f>
        <v>0</v>
      </c>
      <c r="X319" s="25"/>
    </row>
    <row r="320" spans="1:24" x14ac:dyDescent="0.25">
      <c r="A320" s="24"/>
      <c r="B320" s="24" t="str">
        <f>_xlfn.XLOOKUP(tblPayrollMaster[[#This Row],[Employee ID]],tblEmployee[Employee ID],tblEmployee[Employee Name],"")</f>
        <v/>
      </c>
      <c r="C320" s="24" t="str">
        <f>_xlfn.XLOOKUP(tblPayrollMaster[[#This Row],[Employee ID]],tblEmployee[Employee ID],tblEmployee[Employee Position],"")</f>
        <v/>
      </c>
      <c r="D320" s="24" t="str">
        <f>_xlfn.XLOOKUP(tblPayrollMaster[[#This Row],[Employee ID]], tblEmployee[Employee ID], tblEmployee[Pay Status], "Pay")</f>
        <v>Pay</v>
      </c>
      <c r="E320" s="24" t="str">
        <f>_xlfn.XLOOKUP(tblPayrollMaster[[#This Row],[Employee ID]], tblEmployee[Employee ID], tblEmployee[Payable Flag], "Y")</f>
        <v>Y</v>
      </c>
      <c r="F320" s="45">
        <f>IF(tblPayrollMaster[[#This Row],[Payable Flag]]="N",0,_xlfn.XLOOKUP(tblPayrollMaster[[#This Row],[Employee ID]],tblEmployee[Employee ID],tblEmployee[Pay Factor],1))</f>
        <v>1</v>
      </c>
      <c r="G320" s="26" t="str" cm="1">
        <f t="array" ref="G320">IF(tblPayrollMaster[[#This Row],[Employee ID]]="","",_xlfn.XLOOKUP(selPayPeriodID,tblPayCalendar[PayPeriodID],tblPayCalendar[PeriodStart],""))</f>
        <v/>
      </c>
      <c r="H320" s="26" t="str" cm="1">
        <f t="array" ref="H320">IF(tblPayrollMaster[[#This Row],[Employee ID]]="","",_xlfn.XLOOKUP(selPayPeriodID,tblPayCalendar[PayPeriodID],tblPayCalendar[PeriodEnd],""))</f>
        <v/>
      </c>
      <c r="I320" s="24" t="e" cm="1" vm="1">
        <f t="array" aca="1" ref="I320" ca="1">Table18[Employer Name]</f>
        <v>#VALUE!</v>
      </c>
      <c r="J320" s="3" cm="1">
        <f t="array" ref="J32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20" s="25" t="str">
        <f>_xlfn.XLOOKUP(tblPayrollMaster[[#This Row],[Employee Position]],tblPositionandPayRate[Employee Position],tblPositionandPayRate[Overtime], " ")</f>
        <v xml:space="preserve"> </v>
      </c>
      <c r="L320" s="25">
        <f>_xlfn.XLOOKUP(tblPayrollMaster[[#This Row],[Employee Position]],tblPositionandPayRate[Employee Position],tblPositionandPayRate[Allowance 1],0)*tblPayrollMaster[[#This Row],[Pay Factor]]</f>
        <v>0</v>
      </c>
      <c r="M320" s="25">
        <f>_xlfn.XLOOKUP(tblPayrollMaster[[#This Row],[Employee Position]],tblPositionandPayRate[Employee Position],tblPositionandPayRate[Allowance 2],0)*tblPayrollMaster[[#This Row],[Pay Factor]]</f>
        <v>0</v>
      </c>
      <c r="N320" s="25">
        <f>_xlfn.XLOOKUP(tblPayrollMaster[[#This Row],[Employee Position]],tblPositionandPayRate[Employee Position],tblPositionandPayRate[Allowance 3],0)*tblPayrollMaster[[#This Row],[Pay Factor]]</f>
        <v>0</v>
      </c>
      <c r="O320" s="25">
        <f>_xlfn.XLOOKUP(tblPayrollMaster[[#This Row],[Employee Position]],tblPositionandPayRate[Employee Position],tblPositionandPayRate[Allowance 4],0)*tblPayrollMaster[[#This Row],[Pay Factor]]</f>
        <v>0</v>
      </c>
      <c r="P320" s="25">
        <f>_xlfn.XLOOKUP(tblPayrollMaster[[#This Row],[Employee Position]],tblPositionandPayRate[Employee Position],tblPositionandPayRate[Allowance 5],0)*tblPayrollMaster[[#This Row],[Pay Factor]]</f>
        <v>0</v>
      </c>
      <c r="Q320" s="25">
        <f>SUM(tblPayrollMaster[[#This Row],[Basic Pay]:[Allowance 5]])</f>
        <v>0</v>
      </c>
      <c r="R32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20" s="51" cm="1">
        <f t="array" ref="S3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20" s="3" cm="1">
        <f t="array" ref="T3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20" s="25">
        <f>_xlfn.LET(
_xlpm.tos, _xlfn.XLOOKUP(tblPayrollMaster[[#This Row],[Employee ID]], tblEmployee[Employee ID], tblEmployee[Type of Service], ""),
IF(_xlpm.tos="Contract of Service", 8.25, 0)
)</f>
        <v>0</v>
      </c>
      <c r="V320" s="25">
        <f>tblPayrollMaster[[#This Row],[Basic Earnings]]-tblPayrollMaster[[#This Row],[Tax]]-tblPayrollMaster[[#This Row],[NIS - Employee]]-tblPayrollMaster[[#This Row],[Health Surcharge]]</f>
        <v>0</v>
      </c>
      <c r="W320" s="25">
        <f>tblPayrollMaster[[#This Row],[Net Pay]]</f>
        <v>0</v>
      </c>
      <c r="X320" s="25"/>
    </row>
    <row r="321" spans="1:24" x14ac:dyDescent="0.25">
      <c r="A321" s="24"/>
      <c r="B321" s="24" t="str">
        <f>_xlfn.XLOOKUP(tblPayrollMaster[[#This Row],[Employee ID]],tblEmployee[Employee ID],tblEmployee[Employee Name],"")</f>
        <v/>
      </c>
      <c r="C321" s="24" t="str">
        <f>_xlfn.XLOOKUP(tblPayrollMaster[[#This Row],[Employee ID]],tblEmployee[Employee ID],tblEmployee[Employee Position],"")</f>
        <v/>
      </c>
      <c r="D321" s="24" t="str">
        <f>_xlfn.XLOOKUP(tblPayrollMaster[[#This Row],[Employee ID]], tblEmployee[Employee ID], tblEmployee[Pay Status], "Pay")</f>
        <v>Pay</v>
      </c>
      <c r="E321" s="24" t="str">
        <f>_xlfn.XLOOKUP(tblPayrollMaster[[#This Row],[Employee ID]], tblEmployee[Employee ID], tblEmployee[Payable Flag], "Y")</f>
        <v>Y</v>
      </c>
      <c r="F321" s="45">
        <f>IF(tblPayrollMaster[[#This Row],[Payable Flag]]="N",0,_xlfn.XLOOKUP(tblPayrollMaster[[#This Row],[Employee ID]],tblEmployee[Employee ID],tblEmployee[Pay Factor],1))</f>
        <v>1</v>
      </c>
      <c r="G321" s="26" t="str" cm="1">
        <f t="array" ref="G321">IF(tblPayrollMaster[[#This Row],[Employee ID]]="","",_xlfn.XLOOKUP(selPayPeriodID,tblPayCalendar[PayPeriodID],tblPayCalendar[PeriodStart],""))</f>
        <v/>
      </c>
      <c r="H321" s="26" t="str" cm="1">
        <f t="array" ref="H321">IF(tblPayrollMaster[[#This Row],[Employee ID]]="","",_xlfn.XLOOKUP(selPayPeriodID,tblPayCalendar[PayPeriodID],tblPayCalendar[PeriodEnd],""))</f>
        <v/>
      </c>
      <c r="I321" s="24" t="e" cm="1" vm="1">
        <f t="array" aca="1" ref="I321" ca="1">Table18[Employer Name]</f>
        <v>#VALUE!</v>
      </c>
      <c r="J321" s="3" cm="1">
        <f t="array" ref="J32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21" s="25" t="str">
        <f>_xlfn.XLOOKUP(tblPayrollMaster[[#This Row],[Employee Position]],tblPositionandPayRate[Employee Position],tblPositionandPayRate[Overtime], " ")</f>
        <v xml:space="preserve"> </v>
      </c>
      <c r="L321" s="25">
        <f>_xlfn.XLOOKUP(tblPayrollMaster[[#This Row],[Employee Position]],tblPositionandPayRate[Employee Position],tblPositionandPayRate[Allowance 1],0)*tblPayrollMaster[[#This Row],[Pay Factor]]</f>
        <v>0</v>
      </c>
      <c r="M321" s="25">
        <f>_xlfn.XLOOKUP(tblPayrollMaster[[#This Row],[Employee Position]],tblPositionandPayRate[Employee Position],tblPositionandPayRate[Allowance 2],0)*tblPayrollMaster[[#This Row],[Pay Factor]]</f>
        <v>0</v>
      </c>
      <c r="N321" s="25">
        <f>_xlfn.XLOOKUP(tblPayrollMaster[[#This Row],[Employee Position]],tblPositionandPayRate[Employee Position],tblPositionandPayRate[Allowance 3],0)*tblPayrollMaster[[#This Row],[Pay Factor]]</f>
        <v>0</v>
      </c>
      <c r="O321" s="25">
        <f>_xlfn.XLOOKUP(tblPayrollMaster[[#This Row],[Employee Position]],tblPositionandPayRate[Employee Position],tblPositionandPayRate[Allowance 4],0)*tblPayrollMaster[[#This Row],[Pay Factor]]</f>
        <v>0</v>
      </c>
      <c r="P321" s="25">
        <f>_xlfn.XLOOKUP(tblPayrollMaster[[#This Row],[Employee Position]],tblPositionandPayRate[Employee Position],tblPositionandPayRate[Allowance 5],0)*tblPayrollMaster[[#This Row],[Pay Factor]]</f>
        <v>0</v>
      </c>
      <c r="Q321" s="25">
        <f>SUM(tblPayrollMaster[[#This Row],[Basic Pay]:[Allowance 5]])</f>
        <v>0</v>
      </c>
      <c r="R32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21" s="51" cm="1">
        <f t="array" ref="S3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21" s="3" cm="1">
        <f t="array" ref="T3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21" s="25">
        <f>_xlfn.LET(
_xlpm.tos, _xlfn.XLOOKUP(tblPayrollMaster[[#This Row],[Employee ID]], tblEmployee[Employee ID], tblEmployee[Type of Service], ""),
IF(_xlpm.tos="Contract of Service", 8.25, 0)
)</f>
        <v>0</v>
      </c>
      <c r="V321" s="25">
        <f>tblPayrollMaster[[#This Row],[Basic Earnings]]-tblPayrollMaster[[#This Row],[Tax]]-tblPayrollMaster[[#This Row],[NIS - Employee]]-tblPayrollMaster[[#This Row],[Health Surcharge]]</f>
        <v>0</v>
      </c>
      <c r="W321" s="25">
        <f>tblPayrollMaster[[#This Row],[Net Pay]]</f>
        <v>0</v>
      </c>
      <c r="X321" s="25"/>
    </row>
    <row r="322" spans="1:24" x14ac:dyDescent="0.25">
      <c r="A322" s="24"/>
      <c r="B322" s="24" t="str">
        <f>_xlfn.XLOOKUP(tblPayrollMaster[[#This Row],[Employee ID]],tblEmployee[Employee ID],tblEmployee[Employee Name],"")</f>
        <v/>
      </c>
      <c r="C322" s="24" t="str">
        <f>_xlfn.XLOOKUP(tblPayrollMaster[[#This Row],[Employee ID]],tblEmployee[Employee ID],tblEmployee[Employee Position],"")</f>
        <v/>
      </c>
      <c r="D322" s="24" t="str">
        <f>_xlfn.XLOOKUP(tblPayrollMaster[[#This Row],[Employee ID]], tblEmployee[Employee ID], tblEmployee[Pay Status], "Pay")</f>
        <v>Pay</v>
      </c>
      <c r="E322" s="24" t="str">
        <f>_xlfn.XLOOKUP(tblPayrollMaster[[#This Row],[Employee ID]], tblEmployee[Employee ID], tblEmployee[Payable Flag], "Y")</f>
        <v>Y</v>
      </c>
      <c r="F322" s="45">
        <f>IF(tblPayrollMaster[[#This Row],[Payable Flag]]="N",0,_xlfn.XLOOKUP(tblPayrollMaster[[#This Row],[Employee ID]],tblEmployee[Employee ID],tblEmployee[Pay Factor],1))</f>
        <v>1</v>
      </c>
      <c r="G322" s="26" t="str" cm="1">
        <f t="array" ref="G322">IF(tblPayrollMaster[[#This Row],[Employee ID]]="","",_xlfn.XLOOKUP(selPayPeriodID,tblPayCalendar[PayPeriodID],tblPayCalendar[PeriodStart],""))</f>
        <v/>
      </c>
      <c r="H322" s="26" t="str" cm="1">
        <f t="array" ref="H322">IF(tblPayrollMaster[[#This Row],[Employee ID]]="","",_xlfn.XLOOKUP(selPayPeriodID,tblPayCalendar[PayPeriodID],tblPayCalendar[PeriodEnd],""))</f>
        <v/>
      </c>
      <c r="I322" s="24" t="e" cm="1" vm="1">
        <f t="array" aca="1" ref="I322" ca="1">Table18[Employer Name]</f>
        <v>#VALUE!</v>
      </c>
      <c r="J322" s="3" cm="1">
        <f t="array" ref="J32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22" s="25" t="str">
        <f>_xlfn.XLOOKUP(tblPayrollMaster[[#This Row],[Employee Position]],tblPositionandPayRate[Employee Position],tblPositionandPayRate[Overtime], " ")</f>
        <v xml:space="preserve"> </v>
      </c>
      <c r="L322" s="25">
        <f>_xlfn.XLOOKUP(tblPayrollMaster[[#This Row],[Employee Position]],tblPositionandPayRate[Employee Position],tblPositionandPayRate[Allowance 1],0)*tblPayrollMaster[[#This Row],[Pay Factor]]</f>
        <v>0</v>
      </c>
      <c r="M322" s="25">
        <f>_xlfn.XLOOKUP(tblPayrollMaster[[#This Row],[Employee Position]],tblPositionandPayRate[Employee Position],tblPositionandPayRate[Allowance 2],0)*tblPayrollMaster[[#This Row],[Pay Factor]]</f>
        <v>0</v>
      </c>
      <c r="N322" s="25">
        <f>_xlfn.XLOOKUP(tblPayrollMaster[[#This Row],[Employee Position]],tblPositionandPayRate[Employee Position],tblPositionandPayRate[Allowance 3],0)*tblPayrollMaster[[#This Row],[Pay Factor]]</f>
        <v>0</v>
      </c>
      <c r="O322" s="25">
        <f>_xlfn.XLOOKUP(tblPayrollMaster[[#This Row],[Employee Position]],tblPositionandPayRate[Employee Position],tblPositionandPayRate[Allowance 4],0)*tblPayrollMaster[[#This Row],[Pay Factor]]</f>
        <v>0</v>
      </c>
      <c r="P322" s="25">
        <f>_xlfn.XLOOKUP(tblPayrollMaster[[#This Row],[Employee Position]],tblPositionandPayRate[Employee Position],tblPositionandPayRate[Allowance 5],0)*tblPayrollMaster[[#This Row],[Pay Factor]]</f>
        <v>0</v>
      </c>
      <c r="Q322" s="25">
        <f>SUM(tblPayrollMaster[[#This Row],[Basic Pay]:[Allowance 5]])</f>
        <v>0</v>
      </c>
      <c r="R32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22" s="51" cm="1">
        <f t="array" ref="S3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22" s="3" cm="1">
        <f t="array" ref="T3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22" s="25">
        <f>_xlfn.LET(
_xlpm.tos, _xlfn.XLOOKUP(tblPayrollMaster[[#This Row],[Employee ID]], tblEmployee[Employee ID], tblEmployee[Type of Service], ""),
IF(_xlpm.tos="Contract of Service", 8.25, 0)
)</f>
        <v>0</v>
      </c>
      <c r="V322" s="25">
        <f>tblPayrollMaster[[#This Row],[Basic Earnings]]-tblPayrollMaster[[#This Row],[Tax]]-tblPayrollMaster[[#This Row],[NIS - Employee]]-tblPayrollMaster[[#This Row],[Health Surcharge]]</f>
        <v>0</v>
      </c>
      <c r="W322" s="25">
        <f>tblPayrollMaster[[#This Row],[Net Pay]]</f>
        <v>0</v>
      </c>
      <c r="X322" s="25"/>
    </row>
    <row r="323" spans="1:24" x14ac:dyDescent="0.25">
      <c r="A323" s="24"/>
      <c r="B323" s="24" t="str">
        <f>_xlfn.XLOOKUP(tblPayrollMaster[[#This Row],[Employee ID]],tblEmployee[Employee ID],tblEmployee[Employee Name],"")</f>
        <v/>
      </c>
      <c r="C323" s="24" t="str">
        <f>_xlfn.XLOOKUP(tblPayrollMaster[[#This Row],[Employee ID]],tblEmployee[Employee ID],tblEmployee[Employee Position],"")</f>
        <v/>
      </c>
      <c r="D323" s="24" t="str">
        <f>_xlfn.XLOOKUP(tblPayrollMaster[[#This Row],[Employee ID]], tblEmployee[Employee ID], tblEmployee[Pay Status], "Pay")</f>
        <v>Pay</v>
      </c>
      <c r="E323" s="24" t="str">
        <f>_xlfn.XLOOKUP(tblPayrollMaster[[#This Row],[Employee ID]], tblEmployee[Employee ID], tblEmployee[Payable Flag], "Y")</f>
        <v>Y</v>
      </c>
      <c r="F323" s="45">
        <f>IF(tblPayrollMaster[[#This Row],[Payable Flag]]="N",0,_xlfn.XLOOKUP(tblPayrollMaster[[#This Row],[Employee ID]],tblEmployee[Employee ID],tblEmployee[Pay Factor],1))</f>
        <v>1</v>
      </c>
      <c r="G323" s="26" t="str" cm="1">
        <f t="array" ref="G323">IF(tblPayrollMaster[[#This Row],[Employee ID]]="","",_xlfn.XLOOKUP(selPayPeriodID,tblPayCalendar[PayPeriodID],tblPayCalendar[PeriodStart],""))</f>
        <v/>
      </c>
      <c r="H323" s="26" t="str" cm="1">
        <f t="array" ref="H323">IF(tblPayrollMaster[[#This Row],[Employee ID]]="","",_xlfn.XLOOKUP(selPayPeriodID,tblPayCalendar[PayPeriodID],tblPayCalendar[PeriodEnd],""))</f>
        <v/>
      </c>
      <c r="I323" s="24" t="e" cm="1" vm="1">
        <f t="array" aca="1" ref="I323" ca="1">Table18[Employer Name]</f>
        <v>#VALUE!</v>
      </c>
      <c r="J323" s="3" cm="1">
        <f t="array" ref="J32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23" s="25" t="str">
        <f>_xlfn.XLOOKUP(tblPayrollMaster[[#This Row],[Employee Position]],tblPositionandPayRate[Employee Position],tblPositionandPayRate[Overtime], " ")</f>
        <v xml:space="preserve"> </v>
      </c>
      <c r="L323" s="25">
        <f>_xlfn.XLOOKUP(tblPayrollMaster[[#This Row],[Employee Position]],tblPositionandPayRate[Employee Position],tblPositionandPayRate[Allowance 1],0)*tblPayrollMaster[[#This Row],[Pay Factor]]</f>
        <v>0</v>
      </c>
      <c r="M323" s="25">
        <f>_xlfn.XLOOKUP(tblPayrollMaster[[#This Row],[Employee Position]],tblPositionandPayRate[Employee Position],tblPositionandPayRate[Allowance 2],0)*tblPayrollMaster[[#This Row],[Pay Factor]]</f>
        <v>0</v>
      </c>
      <c r="N323" s="25">
        <f>_xlfn.XLOOKUP(tblPayrollMaster[[#This Row],[Employee Position]],tblPositionandPayRate[Employee Position],tblPositionandPayRate[Allowance 3],0)*tblPayrollMaster[[#This Row],[Pay Factor]]</f>
        <v>0</v>
      </c>
      <c r="O323" s="25">
        <f>_xlfn.XLOOKUP(tblPayrollMaster[[#This Row],[Employee Position]],tblPositionandPayRate[Employee Position],tblPositionandPayRate[Allowance 4],0)*tblPayrollMaster[[#This Row],[Pay Factor]]</f>
        <v>0</v>
      </c>
      <c r="P323" s="25">
        <f>_xlfn.XLOOKUP(tblPayrollMaster[[#This Row],[Employee Position]],tblPositionandPayRate[Employee Position],tblPositionandPayRate[Allowance 5],0)*tblPayrollMaster[[#This Row],[Pay Factor]]</f>
        <v>0</v>
      </c>
      <c r="Q323" s="25">
        <f>SUM(tblPayrollMaster[[#This Row],[Basic Pay]:[Allowance 5]])</f>
        <v>0</v>
      </c>
      <c r="R32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23" s="51" cm="1">
        <f t="array" ref="S3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23" s="3" cm="1">
        <f t="array" ref="T3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23" s="25">
        <f>_xlfn.LET(
_xlpm.tos, _xlfn.XLOOKUP(tblPayrollMaster[[#This Row],[Employee ID]], tblEmployee[Employee ID], tblEmployee[Type of Service], ""),
IF(_xlpm.tos="Contract of Service", 8.25, 0)
)</f>
        <v>0</v>
      </c>
      <c r="V323" s="25">
        <f>tblPayrollMaster[[#This Row],[Basic Earnings]]-tblPayrollMaster[[#This Row],[Tax]]-tblPayrollMaster[[#This Row],[NIS - Employee]]-tblPayrollMaster[[#This Row],[Health Surcharge]]</f>
        <v>0</v>
      </c>
      <c r="W323" s="25">
        <f>tblPayrollMaster[[#This Row],[Net Pay]]</f>
        <v>0</v>
      </c>
      <c r="X323" s="25"/>
    </row>
    <row r="324" spans="1:24" x14ac:dyDescent="0.25">
      <c r="A324" s="24"/>
      <c r="B324" s="24" t="str">
        <f>_xlfn.XLOOKUP(tblPayrollMaster[[#This Row],[Employee ID]],tblEmployee[Employee ID],tblEmployee[Employee Name],"")</f>
        <v/>
      </c>
      <c r="C324" s="24" t="str">
        <f>_xlfn.XLOOKUP(tblPayrollMaster[[#This Row],[Employee ID]],tblEmployee[Employee ID],tblEmployee[Employee Position],"")</f>
        <v/>
      </c>
      <c r="D324" s="24" t="str">
        <f>_xlfn.XLOOKUP(tblPayrollMaster[[#This Row],[Employee ID]], tblEmployee[Employee ID], tblEmployee[Pay Status], "Pay")</f>
        <v>Pay</v>
      </c>
      <c r="E324" s="24" t="str">
        <f>_xlfn.XLOOKUP(tblPayrollMaster[[#This Row],[Employee ID]], tblEmployee[Employee ID], tblEmployee[Payable Flag], "Y")</f>
        <v>Y</v>
      </c>
      <c r="F324" s="45">
        <f>IF(tblPayrollMaster[[#This Row],[Payable Flag]]="N",0,_xlfn.XLOOKUP(tblPayrollMaster[[#This Row],[Employee ID]],tblEmployee[Employee ID],tblEmployee[Pay Factor],1))</f>
        <v>1</v>
      </c>
      <c r="G324" s="26" t="str" cm="1">
        <f t="array" ref="G324">IF(tblPayrollMaster[[#This Row],[Employee ID]]="","",_xlfn.XLOOKUP(selPayPeriodID,tblPayCalendar[PayPeriodID],tblPayCalendar[PeriodStart],""))</f>
        <v/>
      </c>
      <c r="H324" s="26" t="str" cm="1">
        <f t="array" ref="H324">IF(tblPayrollMaster[[#This Row],[Employee ID]]="","",_xlfn.XLOOKUP(selPayPeriodID,tblPayCalendar[PayPeriodID],tblPayCalendar[PeriodEnd],""))</f>
        <v/>
      </c>
      <c r="I324" s="24" t="e" cm="1" vm="1">
        <f t="array" aca="1" ref="I324" ca="1">Table18[Employer Name]</f>
        <v>#VALUE!</v>
      </c>
      <c r="J324" s="3" cm="1">
        <f t="array" ref="J32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24" s="25" t="str">
        <f>_xlfn.XLOOKUP(tblPayrollMaster[[#This Row],[Employee Position]],tblPositionandPayRate[Employee Position],tblPositionandPayRate[Overtime], " ")</f>
        <v xml:space="preserve"> </v>
      </c>
      <c r="L324" s="25">
        <f>_xlfn.XLOOKUP(tblPayrollMaster[[#This Row],[Employee Position]],tblPositionandPayRate[Employee Position],tblPositionandPayRate[Allowance 1],0)*tblPayrollMaster[[#This Row],[Pay Factor]]</f>
        <v>0</v>
      </c>
      <c r="M324" s="25">
        <f>_xlfn.XLOOKUP(tblPayrollMaster[[#This Row],[Employee Position]],tblPositionandPayRate[Employee Position],tblPositionandPayRate[Allowance 2],0)*tblPayrollMaster[[#This Row],[Pay Factor]]</f>
        <v>0</v>
      </c>
      <c r="N324" s="25">
        <f>_xlfn.XLOOKUP(tblPayrollMaster[[#This Row],[Employee Position]],tblPositionandPayRate[Employee Position],tblPositionandPayRate[Allowance 3],0)*tblPayrollMaster[[#This Row],[Pay Factor]]</f>
        <v>0</v>
      </c>
      <c r="O324" s="25">
        <f>_xlfn.XLOOKUP(tblPayrollMaster[[#This Row],[Employee Position]],tblPositionandPayRate[Employee Position],tblPositionandPayRate[Allowance 4],0)*tblPayrollMaster[[#This Row],[Pay Factor]]</f>
        <v>0</v>
      </c>
      <c r="P324" s="25">
        <f>_xlfn.XLOOKUP(tblPayrollMaster[[#This Row],[Employee Position]],tblPositionandPayRate[Employee Position],tblPositionandPayRate[Allowance 5],0)*tblPayrollMaster[[#This Row],[Pay Factor]]</f>
        <v>0</v>
      </c>
      <c r="Q324" s="25">
        <f>SUM(tblPayrollMaster[[#This Row],[Basic Pay]:[Allowance 5]])</f>
        <v>0</v>
      </c>
      <c r="R32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24" s="51" cm="1">
        <f t="array" ref="S3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24" s="3" cm="1">
        <f t="array" ref="T3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24" s="25">
        <f>_xlfn.LET(
_xlpm.tos, _xlfn.XLOOKUP(tblPayrollMaster[[#This Row],[Employee ID]], tblEmployee[Employee ID], tblEmployee[Type of Service], ""),
IF(_xlpm.tos="Contract of Service", 8.25, 0)
)</f>
        <v>0</v>
      </c>
      <c r="V324" s="25">
        <f>tblPayrollMaster[[#This Row],[Basic Earnings]]-tblPayrollMaster[[#This Row],[Tax]]-tblPayrollMaster[[#This Row],[NIS - Employee]]-tblPayrollMaster[[#This Row],[Health Surcharge]]</f>
        <v>0</v>
      </c>
      <c r="W324" s="25">
        <f>tblPayrollMaster[[#This Row],[Net Pay]]</f>
        <v>0</v>
      </c>
      <c r="X324" s="25"/>
    </row>
    <row r="325" spans="1:24" x14ac:dyDescent="0.25">
      <c r="A325" s="24"/>
      <c r="B325" s="24" t="str">
        <f>_xlfn.XLOOKUP(tblPayrollMaster[[#This Row],[Employee ID]],tblEmployee[Employee ID],tblEmployee[Employee Name],"")</f>
        <v/>
      </c>
      <c r="C325" s="24" t="str">
        <f>_xlfn.XLOOKUP(tblPayrollMaster[[#This Row],[Employee ID]],tblEmployee[Employee ID],tblEmployee[Employee Position],"")</f>
        <v/>
      </c>
      <c r="D325" s="24" t="str">
        <f>_xlfn.XLOOKUP(tblPayrollMaster[[#This Row],[Employee ID]], tblEmployee[Employee ID], tblEmployee[Pay Status], "Pay")</f>
        <v>Pay</v>
      </c>
      <c r="E325" s="24" t="str">
        <f>_xlfn.XLOOKUP(tblPayrollMaster[[#This Row],[Employee ID]], tblEmployee[Employee ID], tblEmployee[Payable Flag], "Y")</f>
        <v>Y</v>
      </c>
      <c r="F325" s="45">
        <f>IF(tblPayrollMaster[[#This Row],[Payable Flag]]="N",0,_xlfn.XLOOKUP(tblPayrollMaster[[#This Row],[Employee ID]],tblEmployee[Employee ID],tblEmployee[Pay Factor],1))</f>
        <v>1</v>
      </c>
      <c r="G325" s="26" t="str" cm="1">
        <f t="array" ref="G325">IF(tblPayrollMaster[[#This Row],[Employee ID]]="","",_xlfn.XLOOKUP(selPayPeriodID,tblPayCalendar[PayPeriodID],tblPayCalendar[PeriodStart],""))</f>
        <v/>
      </c>
      <c r="H325" s="26" t="str" cm="1">
        <f t="array" ref="H325">IF(tblPayrollMaster[[#This Row],[Employee ID]]="","",_xlfn.XLOOKUP(selPayPeriodID,tblPayCalendar[PayPeriodID],tblPayCalendar[PeriodEnd],""))</f>
        <v/>
      </c>
      <c r="I325" s="24" t="e" cm="1" vm="1">
        <f t="array" aca="1" ref="I325" ca="1">Table18[Employer Name]</f>
        <v>#VALUE!</v>
      </c>
      <c r="J325" s="3" cm="1">
        <f t="array" ref="J32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25" s="25" t="str">
        <f>_xlfn.XLOOKUP(tblPayrollMaster[[#This Row],[Employee Position]],tblPositionandPayRate[Employee Position],tblPositionandPayRate[Overtime], " ")</f>
        <v xml:space="preserve"> </v>
      </c>
      <c r="L325" s="25">
        <f>_xlfn.XLOOKUP(tblPayrollMaster[[#This Row],[Employee Position]],tblPositionandPayRate[Employee Position],tblPositionandPayRate[Allowance 1],0)*tblPayrollMaster[[#This Row],[Pay Factor]]</f>
        <v>0</v>
      </c>
      <c r="M325" s="25">
        <f>_xlfn.XLOOKUP(tblPayrollMaster[[#This Row],[Employee Position]],tblPositionandPayRate[Employee Position],tblPositionandPayRate[Allowance 2],0)*tblPayrollMaster[[#This Row],[Pay Factor]]</f>
        <v>0</v>
      </c>
      <c r="N325" s="25">
        <f>_xlfn.XLOOKUP(tblPayrollMaster[[#This Row],[Employee Position]],tblPositionandPayRate[Employee Position],tblPositionandPayRate[Allowance 3],0)*tblPayrollMaster[[#This Row],[Pay Factor]]</f>
        <v>0</v>
      </c>
      <c r="O325" s="25">
        <f>_xlfn.XLOOKUP(tblPayrollMaster[[#This Row],[Employee Position]],tblPositionandPayRate[Employee Position],tblPositionandPayRate[Allowance 4],0)*tblPayrollMaster[[#This Row],[Pay Factor]]</f>
        <v>0</v>
      </c>
      <c r="P325" s="25">
        <f>_xlfn.XLOOKUP(tblPayrollMaster[[#This Row],[Employee Position]],tblPositionandPayRate[Employee Position],tblPositionandPayRate[Allowance 5],0)*tblPayrollMaster[[#This Row],[Pay Factor]]</f>
        <v>0</v>
      </c>
      <c r="Q325" s="25">
        <f>SUM(tblPayrollMaster[[#This Row],[Basic Pay]:[Allowance 5]])</f>
        <v>0</v>
      </c>
      <c r="R32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25" s="51" cm="1">
        <f t="array" ref="S3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25" s="3" cm="1">
        <f t="array" ref="T3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25" s="25">
        <f>_xlfn.LET(
_xlpm.tos, _xlfn.XLOOKUP(tblPayrollMaster[[#This Row],[Employee ID]], tblEmployee[Employee ID], tblEmployee[Type of Service], ""),
IF(_xlpm.tos="Contract of Service", 8.25, 0)
)</f>
        <v>0</v>
      </c>
      <c r="V325" s="25">
        <f>tblPayrollMaster[[#This Row],[Basic Earnings]]-tblPayrollMaster[[#This Row],[Tax]]-tblPayrollMaster[[#This Row],[NIS - Employee]]-tblPayrollMaster[[#This Row],[Health Surcharge]]</f>
        <v>0</v>
      </c>
      <c r="W325" s="25">
        <f>tblPayrollMaster[[#This Row],[Net Pay]]</f>
        <v>0</v>
      </c>
      <c r="X325" s="25"/>
    </row>
    <row r="326" spans="1:24" x14ac:dyDescent="0.25">
      <c r="A326" s="24"/>
      <c r="B326" s="24" t="str">
        <f>_xlfn.XLOOKUP(tblPayrollMaster[[#This Row],[Employee ID]],tblEmployee[Employee ID],tblEmployee[Employee Name],"")</f>
        <v/>
      </c>
      <c r="C326" s="24" t="str">
        <f>_xlfn.XLOOKUP(tblPayrollMaster[[#This Row],[Employee ID]],tblEmployee[Employee ID],tblEmployee[Employee Position],"")</f>
        <v/>
      </c>
      <c r="D326" s="24" t="str">
        <f>_xlfn.XLOOKUP(tblPayrollMaster[[#This Row],[Employee ID]], tblEmployee[Employee ID], tblEmployee[Pay Status], "Pay")</f>
        <v>Pay</v>
      </c>
      <c r="E326" s="24" t="str">
        <f>_xlfn.XLOOKUP(tblPayrollMaster[[#This Row],[Employee ID]], tblEmployee[Employee ID], tblEmployee[Payable Flag], "Y")</f>
        <v>Y</v>
      </c>
      <c r="F326" s="45">
        <f>IF(tblPayrollMaster[[#This Row],[Payable Flag]]="N",0,_xlfn.XLOOKUP(tblPayrollMaster[[#This Row],[Employee ID]],tblEmployee[Employee ID],tblEmployee[Pay Factor],1))</f>
        <v>1</v>
      </c>
      <c r="G326" s="26" t="str" cm="1">
        <f t="array" ref="G326">IF(tblPayrollMaster[[#This Row],[Employee ID]]="","",_xlfn.XLOOKUP(selPayPeriodID,tblPayCalendar[PayPeriodID],tblPayCalendar[PeriodStart],""))</f>
        <v/>
      </c>
      <c r="H326" s="26" t="str" cm="1">
        <f t="array" ref="H326">IF(tblPayrollMaster[[#This Row],[Employee ID]]="","",_xlfn.XLOOKUP(selPayPeriodID,tblPayCalendar[PayPeriodID],tblPayCalendar[PeriodEnd],""))</f>
        <v/>
      </c>
      <c r="I326" s="24" t="e" cm="1" vm="1">
        <f t="array" aca="1" ref="I326" ca="1">Table18[Employer Name]</f>
        <v>#VALUE!</v>
      </c>
      <c r="J326" s="3" cm="1">
        <f t="array" ref="J32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26" s="25" t="str">
        <f>_xlfn.XLOOKUP(tblPayrollMaster[[#This Row],[Employee Position]],tblPositionandPayRate[Employee Position],tblPositionandPayRate[Overtime], " ")</f>
        <v xml:space="preserve"> </v>
      </c>
      <c r="L326" s="25">
        <f>_xlfn.XLOOKUP(tblPayrollMaster[[#This Row],[Employee Position]],tblPositionandPayRate[Employee Position],tblPositionandPayRate[Allowance 1],0)*tblPayrollMaster[[#This Row],[Pay Factor]]</f>
        <v>0</v>
      </c>
      <c r="M326" s="25">
        <f>_xlfn.XLOOKUP(tblPayrollMaster[[#This Row],[Employee Position]],tblPositionandPayRate[Employee Position],tblPositionandPayRate[Allowance 2],0)*tblPayrollMaster[[#This Row],[Pay Factor]]</f>
        <v>0</v>
      </c>
      <c r="N326" s="25">
        <f>_xlfn.XLOOKUP(tblPayrollMaster[[#This Row],[Employee Position]],tblPositionandPayRate[Employee Position],tblPositionandPayRate[Allowance 3],0)*tblPayrollMaster[[#This Row],[Pay Factor]]</f>
        <v>0</v>
      </c>
      <c r="O326" s="25">
        <f>_xlfn.XLOOKUP(tblPayrollMaster[[#This Row],[Employee Position]],tblPositionandPayRate[Employee Position],tblPositionandPayRate[Allowance 4],0)*tblPayrollMaster[[#This Row],[Pay Factor]]</f>
        <v>0</v>
      </c>
      <c r="P326" s="25">
        <f>_xlfn.XLOOKUP(tblPayrollMaster[[#This Row],[Employee Position]],tblPositionandPayRate[Employee Position],tblPositionandPayRate[Allowance 5],0)*tblPayrollMaster[[#This Row],[Pay Factor]]</f>
        <v>0</v>
      </c>
      <c r="Q326" s="25">
        <f>SUM(tblPayrollMaster[[#This Row],[Basic Pay]:[Allowance 5]])</f>
        <v>0</v>
      </c>
      <c r="R32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26" s="51" cm="1">
        <f t="array" ref="S3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26" s="3" cm="1">
        <f t="array" ref="T3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26" s="25">
        <f>_xlfn.LET(
_xlpm.tos, _xlfn.XLOOKUP(tblPayrollMaster[[#This Row],[Employee ID]], tblEmployee[Employee ID], tblEmployee[Type of Service], ""),
IF(_xlpm.tos="Contract of Service", 8.25, 0)
)</f>
        <v>0</v>
      </c>
      <c r="V326" s="25">
        <f>tblPayrollMaster[[#This Row],[Basic Earnings]]-tblPayrollMaster[[#This Row],[Tax]]-tblPayrollMaster[[#This Row],[NIS - Employee]]-tblPayrollMaster[[#This Row],[Health Surcharge]]</f>
        <v>0</v>
      </c>
      <c r="W326" s="25">
        <f>tblPayrollMaster[[#This Row],[Net Pay]]</f>
        <v>0</v>
      </c>
      <c r="X326" s="25"/>
    </row>
    <row r="327" spans="1:24" x14ac:dyDescent="0.25">
      <c r="A327" s="24"/>
      <c r="B327" s="24" t="str">
        <f>_xlfn.XLOOKUP(tblPayrollMaster[[#This Row],[Employee ID]],tblEmployee[Employee ID],tblEmployee[Employee Name],"")</f>
        <v/>
      </c>
      <c r="C327" s="24" t="str">
        <f>_xlfn.XLOOKUP(tblPayrollMaster[[#This Row],[Employee ID]],tblEmployee[Employee ID],tblEmployee[Employee Position],"")</f>
        <v/>
      </c>
      <c r="D327" s="24" t="str">
        <f>_xlfn.XLOOKUP(tblPayrollMaster[[#This Row],[Employee ID]], tblEmployee[Employee ID], tblEmployee[Pay Status], "Pay")</f>
        <v>Pay</v>
      </c>
      <c r="E327" s="24" t="str">
        <f>_xlfn.XLOOKUP(tblPayrollMaster[[#This Row],[Employee ID]], tblEmployee[Employee ID], tblEmployee[Payable Flag], "Y")</f>
        <v>Y</v>
      </c>
      <c r="F327" s="45">
        <f>IF(tblPayrollMaster[[#This Row],[Payable Flag]]="N",0,_xlfn.XLOOKUP(tblPayrollMaster[[#This Row],[Employee ID]],tblEmployee[Employee ID],tblEmployee[Pay Factor],1))</f>
        <v>1</v>
      </c>
      <c r="G327" s="26" t="str" cm="1">
        <f t="array" ref="G327">IF(tblPayrollMaster[[#This Row],[Employee ID]]="","",_xlfn.XLOOKUP(selPayPeriodID,tblPayCalendar[PayPeriodID],tblPayCalendar[PeriodStart],""))</f>
        <v/>
      </c>
      <c r="H327" s="26" t="str" cm="1">
        <f t="array" ref="H327">IF(tblPayrollMaster[[#This Row],[Employee ID]]="","",_xlfn.XLOOKUP(selPayPeriodID,tblPayCalendar[PayPeriodID],tblPayCalendar[PeriodEnd],""))</f>
        <v/>
      </c>
      <c r="I327" s="24" t="e" cm="1" vm="1">
        <f t="array" aca="1" ref="I327" ca="1">Table18[Employer Name]</f>
        <v>#VALUE!</v>
      </c>
      <c r="J327" s="3" cm="1">
        <f t="array" ref="J32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27" s="25" t="str">
        <f>_xlfn.XLOOKUP(tblPayrollMaster[[#This Row],[Employee Position]],tblPositionandPayRate[Employee Position],tblPositionandPayRate[Overtime], " ")</f>
        <v xml:space="preserve"> </v>
      </c>
      <c r="L327" s="25">
        <f>_xlfn.XLOOKUP(tblPayrollMaster[[#This Row],[Employee Position]],tblPositionandPayRate[Employee Position],tblPositionandPayRate[Allowance 1],0)*tblPayrollMaster[[#This Row],[Pay Factor]]</f>
        <v>0</v>
      </c>
      <c r="M327" s="25">
        <f>_xlfn.XLOOKUP(tblPayrollMaster[[#This Row],[Employee Position]],tblPositionandPayRate[Employee Position],tblPositionandPayRate[Allowance 2],0)*tblPayrollMaster[[#This Row],[Pay Factor]]</f>
        <v>0</v>
      </c>
      <c r="N327" s="25">
        <f>_xlfn.XLOOKUP(tblPayrollMaster[[#This Row],[Employee Position]],tblPositionandPayRate[Employee Position],tblPositionandPayRate[Allowance 3],0)*tblPayrollMaster[[#This Row],[Pay Factor]]</f>
        <v>0</v>
      </c>
      <c r="O327" s="25">
        <f>_xlfn.XLOOKUP(tblPayrollMaster[[#This Row],[Employee Position]],tblPositionandPayRate[Employee Position],tblPositionandPayRate[Allowance 4],0)*tblPayrollMaster[[#This Row],[Pay Factor]]</f>
        <v>0</v>
      </c>
      <c r="P327" s="25">
        <f>_xlfn.XLOOKUP(tblPayrollMaster[[#This Row],[Employee Position]],tblPositionandPayRate[Employee Position],tblPositionandPayRate[Allowance 5],0)*tblPayrollMaster[[#This Row],[Pay Factor]]</f>
        <v>0</v>
      </c>
      <c r="Q327" s="25">
        <f>SUM(tblPayrollMaster[[#This Row],[Basic Pay]:[Allowance 5]])</f>
        <v>0</v>
      </c>
      <c r="R32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27" s="51" cm="1">
        <f t="array" ref="S3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27" s="3" cm="1">
        <f t="array" ref="T3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27" s="25">
        <f>_xlfn.LET(
_xlpm.tos, _xlfn.XLOOKUP(tblPayrollMaster[[#This Row],[Employee ID]], tblEmployee[Employee ID], tblEmployee[Type of Service], ""),
IF(_xlpm.tos="Contract of Service", 8.25, 0)
)</f>
        <v>0</v>
      </c>
      <c r="V327" s="25">
        <f>tblPayrollMaster[[#This Row],[Basic Earnings]]-tblPayrollMaster[[#This Row],[Tax]]-tblPayrollMaster[[#This Row],[NIS - Employee]]-tblPayrollMaster[[#This Row],[Health Surcharge]]</f>
        <v>0</v>
      </c>
      <c r="W327" s="25">
        <f>tblPayrollMaster[[#This Row],[Net Pay]]</f>
        <v>0</v>
      </c>
      <c r="X327" s="25"/>
    </row>
    <row r="328" spans="1:24" x14ac:dyDescent="0.25">
      <c r="A328" s="24"/>
      <c r="B328" s="24" t="str">
        <f>_xlfn.XLOOKUP(tblPayrollMaster[[#This Row],[Employee ID]],tblEmployee[Employee ID],tblEmployee[Employee Name],"")</f>
        <v/>
      </c>
      <c r="C328" s="24" t="str">
        <f>_xlfn.XLOOKUP(tblPayrollMaster[[#This Row],[Employee ID]],tblEmployee[Employee ID],tblEmployee[Employee Position],"")</f>
        <v/>
      </c>
      <c r="D328" s="24" t="str">
        <f>_xlfn.XLOOKUP(tblPayrollMaster[[#This Row],[Employee ID]], tblEmployee[Employee ID], tblEmployee[Pay Status], "Pay")</f>
        <v>Pay</v>
      </c>
      <c r="E328" s="24" t="str">
        <f>_xlfn.XLOOKUP(tblPayrollMaster[[#This Row],[Employee ID]], tblEmployee[Employee ID], tblEmployee[Payable Flag], "Y")</f>
        <v>Y</v>
      </c>
      <c r="F328" s="45">
        <f>IF(tblPayrollMaster[[#This Row],[Payable Flag]]="N",0,_xlfn.XLOOKUP(tblPayrollMaster[[#This Row],[Employee ID]],tblEmployee[Employee ID],tblEmployee[Pay Factor],1))</f>
        <v>1</v>
      </c>
      <c r="G328" s="26" t="str" cm="1">
        <f t="array" ref="G328">IF(tblPayrollMaster[[#This Row],[Employee ID]]="","",_xlfn.XLOOKUP(selPayPeriodID,tblPayCalendar[PayPeriodID],tblPayCalendar[PeriodStart],""))</f>
        <v/>
      </c>
      <c r="H328" s="26" t="str" cm="1">
        <f t="array" ref="H328">IF(tblPayrollMaster[[#This Row],[Employee ID]]="","",_xlfn.XLOOKUP(selPayPeriodID,tblPayCalendar[PayPeriodID],tblPayCalendar[PeriodEnd],""))</f>
        <v/>
      </c>
      <c r="I328" s="24" t="e" cm="1" vm="1">
        <f t="array" aca="1" ref="I328" ca="1">Table18[Employer Name]</f>
        <v>#VALUE!</v>
      </c>
      <c r="J328" s="3" cm="1">
        <f t="array" ref="J32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28" s="25" t="str">
        <f>_xlfn.XLOOKUP(tblPayrollMaster[[#This Row],[Employee Position]],tblPositionandPayRate[Employee Position],tblPositionandPayRate[Overtime], " ")</f>
        <v xml:space="preserve"> </v>
      </c>
      <c r="L328" s="25">
        <f>_xlfn.XLOOKUP(tblPayrollMaster[[#This Row],[Employee Position]],tblPositionandPayRate[Employee Position],tblPositionandPayRate[Allowance 1],0)*tblPayrollMaster[[#This Row],[Pay Factor]]</f>
        <v>0</v>
      </c>
      <c r="M328" s="25">
        <f>_xlfn.XLOOKUP(tblPayrollMaster[[#This Row],[Employee Position]],tblPositionandPayRate[Employee Position],tblPositionandPayRate[Allowance 2],0)*tblPayrollMaster[[#This Row],[Pay Factor]]</f>
        <v>0</v>
      </c>
      <c r="N328" s="25">
        <f>_xlfn.XLOOKUP(tblPayrollMaster[[#This Row],[Employee Position]],tblPositionandPayRate[Employee Position],tblPositionandPayRate[Allowance 3],0)*tblPayrollMaster[[#This Row],[Pay Factor]]</f>
        <v>0</v>
      </c>
      <c r="O328" s="25">
        <f>_xlfn.XLOOKUP(tblPayrollMaster[[#This Row],[Employee Position]],tblPositionandPayRate[Employee Position],tblPositionandPayRate[Allowance 4],0)*tblPayrollMaster[[#This Row],[Pay Factor]]</f>
        <v>0</v>
      </c>
      <c r="P328" s="25">
        <f>_xlfn.XLOOKUP(tblPayrollMaster[[#This Row],[Employee Position]],tblPositionandPayRate[Employee Position],tblPositionandPayRate[Allowance 5],0)*tblPayrollMaster[[#This Row],[Pay Factor]]</f>
        <v>0</v>
      </c>
      <c r="Q328" s="25">
        <f>SUM(tblPayrollMaster[[#This Row],[Basic Pay]:[Allowance 5]])</f>
        <v>0</v>
      </c>
      <c r="R32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28" s="51" cm="1">
        <f t="array" ref="S3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28" s="3" cm="1">
        <f t="array" ref="T3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28" s="25">
        <f>_xlfn.LET(
_xlpm.tos, _xlfn.XLOOKUP(tblPayrollMaster[[#This Row],[Employee ID]], tblEmployee[Employee ID], tblEmployee[Type of Service], ""),
IF(_xlpm.tos="Contract of Service", 8.25, 0)
)</f>
        <v>0</v>
      </c>
      <c r="V328" s="25">
        <f>tblPayrollMaster[[#This Row],[Basic Earnings]]-tblPayrollMaster[[#This Row],[Tax]]-tblPayrollMaster[[#This Row],[NIS - Employee]]-tblPayrollMaster[[#This Row],[Health Surcharge]]</f>
        <v>0</v>
      </c>
      <c r="W328" s="25">
        <f>tblPayrollMaster[[#This Row],[Net Pay]]</f>
        <v>0</v>
      </c>
      <c r="X328" s="25"/>
    </row>
    <row r="329" spans="1:24" x14ac:dyDescent="0.25">
      <c r="A329" s="24"/>
      <c r="B329" s="24" t="str">
        <f>_xlfn.XLOOKUP(tblPayrollMaster[[#This Row],[Employee ID]],tblEmployee[Employee ID],tblEmployee[Employee Name],"")</f>
        <v/>
      </c>
      <c r="C329" s="24" t="str">
        <f>_xlfn.XLOOKUP(tblPayrollMaster[[#This Row],[Employee ID]],tblEmployee[Employee ID],tblEmployee[Employee Position],"")</f>
        <v/>
      </c>
      <c r="D329" s="24" t="str">
        <f>_xlfn.XLOOKUP(tblPayrollMaster[[#This Row],[Employee ID]], tblEmployee[Employee ID], tblEmployee[Pay Status], "Pay")</f>
        <v>Pay</v>
      </c>
      <c r="E329" s="24" t="str">
        <f>_xlfn.XLOOKUP(tblPayrollMaster[[#This Row],[Employee ID]], tblEmployee[Employee ID], tblEmployee[Payable Flag], "Y")</f>
        <v>Y</v>
      </c>
      <c r="F329" s="45">
        <f>IF(tblPayrollMaster[[#This Row],[Payable Flag]]="N",0,_xlfn.XLOOKUP(tblPayrollMaster[[#This Row],[Employee ID]],tblEmployee[Employee ID],tblEmployee[Pay Factor],1))</f>
        <v>1</v>
      </c>
      <c r="G329" s="26" t="str" cm="1">
        <f t="array" ref="G329">IF(tblPayrollMaster[[#This Row],[Employee ID]]="","",_xlfn.XLOOKUP(selPayPeriodID,tblPayCalendar[PayPeriodID],tblPayCalendar[PeriodStart],""))</f>
        <v/>
      </c>
      <c r="H329" s="26" t="str" cm="1">
        <f t="array" ref="H329">IF(tblPayrollMaster[[#This Row],[Employee ID]]="","",_xlfn.XLOOKUP(selPayPeriodID,tblPayCalendar[PayPeriodID],tblPayCalendar[PeriodEnd],""))</f>
        <v/>
      </c>
      <c r="I329" s="24" t="e" cm="1" vm="1">
        <f t="array" aca="1" ref="I329" ca="1">Table18[Employer Name]</f>
        <v>#VALUE!</v>
      </c>
      <c r="J329" s="3" cm="1">
        <f t="array" ref="J32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29" s="25" t="str">
        <f>_xlfn.XLOOKUP(tblPayrollMaster[[#This Row],[Employee Position]],tblPositionandPayRate[Employee Position],tblPositionandPayRate[Overtime], " ")</f>
        <v xml:space="preserve"> </v>
      </c>
      <c r="L329" s="25">
        <f>_xlfn.XLOOKUP(tblPayrollMaster[[#This Row],[Employee Position]],tblPositionandPayRate[Employee Position],tblPositionandPayRate[Allowance 1],0)*tblPayrollMaster[[#This Row],[Pay Factor]]</f>
        <v>0</v>
      </c>
      <c r="M329" s="25">
        <f>_xlfn.XLOOKUP(tblPayrollMaster[[#This Row],[Employee Position]],tblPositionandPayRate[Employee Position],tblPositionandPayRate[Allowance 2],0)*tblPayrollMaster[[#This Row],[Pay Factor]]</f>
        <v>0</v>
      </c>
      <c r="N329" s="25">
        <f>_xlfn.XLOOKUP(tblPayrollMaster[[#This Row],[Employee Position]],tblPositionandPayRate[Employee Position],tblPositionandPayRate[Allowance 3],0)*tblPayrollMaster[[#This Row],[Pay Factor]]</f>
        <v>0</v>
      </c>
      <c r="O329" s="25">
        <f>_xlfn.XLOOKUP(tblPayrollMaster[[#This Row],[Employee Position]],tblPositionandPayRate[Employee Position],tblPositionandPayRate[Allowance 4],0)*tblPayrollMaster[[#This Row],[Pay Factor]]</f>
        <v>0</v>
      </c>
      <c r="P329" s="25">
        <f>_xlfn.XLOOKUP(tblPayrollMaster[[#This Row],[Employee Position]],tblPositionandPayRate[Employee Position],tblPositionandPayRate[Allowance 5],0)*tblPayrollMaster[[#This Row],[Pay Factor]]</f>
        <v>0</v>
      </c>
      <c r="Q329" s="25">
        <f>SUM(tblPayrollMaster[[#This Row],[Basic Pay]:[Allowance 5]])</f>
        <v>0</v>
      </c>
      <c r="R32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29" s="51" cm="1">
        <f t="array" ref="S3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29" s="3" cm="1">
        <f t="array" ref="T3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29" s="25">
        <f>_xlfn.LET(
_xlpm.tos, _xlfn.XLOOKUP(tblPayrollMaster[[#This Row],[Employee ID]], tblEmployee[Employee ID], tblEmployee[Type of Service], ""),
IF(_xlpm.tos="Contract of Service", 8.25, 0)
)</f>
        <v>0</v>
      </c>
      <c r="V329" s="25">
        <f>tblPayrollMaster[[#This Row],[Basic Earnings]]-tblPayrollMaster[[#This Row],[Tax]]-tblPayrollMaster[[#This Row],[NIS - Employee]]-tblPayrollMaster[[#This Row],[Health Surcharge]]</f>
        <v>0</v>
      </c>
      <c r="W329" s="25">
        <f>tblPayrollMaster[[#This Row],[Net Pay]]</f>
        <v>0</v>
      </c>
      <c r="X329" s="25"/>
    </row>
    <row r="330" spans="1:24" x14ac:dyDescent="0.25">
      <c r="A330" s="24"/>
      <c r="B330" s="24" t="str">
        <f>_xlfn.XLOOKUP(tblPayrollMaster[[#This Row],[Employee ID]],tblEmployee[Employee ID],tblEmployee[Employee Name],"")</f>
        <v/>
      </c>
      <c r="C330" s="24" t="str">
        <f>_xlfn.XLOOKUP(tblPayrollMaster[[#This Row],[Employee ID]],tblEmployee[Employee ID],tblEmployee[Employee Position],"")</f>
        <v/>
      </c>
      <c r="D330" s="24" t="str">
        <f>_xlfn.XLOOKUP(tblPayrollMaster[[#This Row],[Employee ID]], tblEmployee[Employee ID], tblEmployee[Pay Status], "Pay")</f>
        <v>Pay</v>
      </c>
      <c r="E330" s="24" t="str">
        <f>_xlfn.XLOOKUP(tblPayrollMaster[[#This Row],[Employee ID]], tblEmployee[Employee ID], tblEmployee[Payable Flag], "Y")</f>
        <v>Y</v>
      </c>
      <c r="F330" s="45">
        <f>IF(tblPayrollMaster[[#This Row],[Payable Flag]]="N",0,_xlfn.XLOOKUP(tblPayrollMaster[[#This Row],[Employee ID]],tblEmployee[Employee ID],tblEmployee[Pay Factor],1))</f>
        <v>1</v>
      </c>
      <c r="G330" s="26" t="str" cm="1">
        <f t="array" ref="G330">IF(tblPayrollMaster[[#This Row],[Employee ID]]="","",_xlfn.XLOOKUP(selPayPeriodID,tblPayCalendar[PayPeriodID],tblPayCalendar[PeriodStart],""))</f>
        <v/>
      </c>
      <c r="H330" s="26" t="str" cm="1">
        <f t="array" ref="H330">IF(tblPayrollMaster[[#This Row],[Employee ID]]="","",_xlfn.XLOOKUP(selPayPeriodID,tblPayCalendar[PayPeriodID],tblPayCalendar[PeriodEnd],""))</f>
        <v/>
      </c>
      <c r="I330" s="24" t="e" cm="1" vm="1">
        <f t="array" aca="1" ref="I330" ca="1">Table18[Employer Name]</f>
        <v>#VALUE!</v>
      </c>
      <c r="J330" s="3" cm="1">
        <f t="array" ref="J33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30" s="25" t="str">
        <f>_xlfn.XLOOKUP(tblPayrollMaster[[#This Row],[Employee Position]],tblPositionandPayRate[Employee Position],tblPositionandPayRate[Overtime], " ")</f>
        <v xml:space="preserve"> </v>
      </c>
      <c r="L330" s="25">
        <f>_xlfn.XLOOKUP(tblPayrollMaster[[#This Row],[Employee Position]],tblPositionandPayRate[Employee Position],tblPositionandPayRate[Allowance 1],0)*tblPayrollMaster[[#This Row],[Pay Factor]]</f>
        <v>0</v>
      </c>
      <c r="M330" s="25">
        <f>_xlfn.XLOOKUP(tblPayrollMaster[[#This Row],[Employee Position]],tblPositionandPayRate[Employee Position],tblPositionandPayRate[Allowance 2],0)*tblPayrollMaster[[#This Row],[Pay Factor]]</f>
        <v>0</v>
      </c>
      <c r="N330" s="25">
        <f>_xlfn.XLOOKUP(tblPayrollMaster[[#This Row],[Employee Position]],tblPositionandPayRate[Employee Position],tblPositionandPayRate[Allowance 3],0)*tblPayrollMaster[[#This Row],[Pay Factor]]</f>
        <v>0</v>
      </c>
      <c r="O330" s="25">
        <f>_xlfn.XLOOKUP(tblPayrollMaster[[#This Row],[Employee Position]],tblPositionandPayRate[Employee Position],tblPositionandPayRate[Allowance 4],0)*tblPayrollMaster[[#This Row],[Pay Factor]]</f>
        <v>0</v>
      </c>
      <c r="P330" s="25">
        <f>_xlfn.XLOOKUP(tblPayrollMaster[[#This Row],[Employee Position]],tblPositionandPayRate[Employee Position],tblPositionandPayRate[Allowance 5],0)*tblPayrollMaster[[#This Row],[Pay Factor]]</f>
        <v>0</v>
      </c>
      <c r="Q330" s="25">
        <f>SUM(tblPayrollMaster[[#This Row],[Basic Pay]:[Allowance 5]])</f>
        <v>0</v>
      </c>
      <c r="R33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30" s="51" cm="1">
        <f t="array" ref="S3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30" s="3" cm="1">
        <f t="array" ref="T3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30" s="25">
        <f>_xlfn.LET(
_xlpm.tos, _xlfn.XLOOKUP(tblPayrollMaster[[#This Row],[Employee ID]], tblEmployee[Employee ID], tblEmployee[Type of Service], ""),
IF(_xlpm.tos="Contract of Service", 8.25, 0)
)</f>
        <v>0</v>
      </c>
      <c r="V330" s="25">
        <f>tblPayrollMaster[[#This Row],[Basic Earnings]]-tblPayrollMaster[[#This Row],[Tax]]-tblPayrollMaster[[#This Row],[NIS - Employee]]-tblPayrollMaster[[#This Row],[Health Surcharge]]</f>
        <v>0</v>
      </c>
      <c r="W330" s="25">
        <f>tblPayrollMaster[[#This Row],[Net Pay]]</f>
        <v>0</v>
      </c>
      <c r="X330" s="25"/>
    </row>
    <row r="331" spans="1:24" x14ac:dyDescent="0.25">
      <c r="A331" s="24"/>
      <c r="B331" s="24" t="str">
        <f>_xlfn.XLOOKUP(tblPayrollMaster[[#This Row],[Employee ID]],tblEmployee[Employee ID],tblEmployee[Employee Name],"")</f>
        <v/>
      </c>
      <c r="C331" s="24" t="str">
        <f>_xlfn.XLOOKUP(tblPayrollMaster[[#This Row],[Employee ID]],tblEmployee[Employee ID],tblEmployee[Employee Position],"")</f>
        <v/>
      </c>
      <c r="D331" s="24" t="str">
        <f>_xlfn.XLOOKUP(tblPayrollMaster[[#This Row],[Employee ID]], tblEmployee[Employee ID], tblEmployee[Pay Status], "Pay")</f>
        <v>Pay</v>
      </c>
      <c r="E331" s="24" t="str">
        <f>_xlfn.XLOOKUP(tblPayrollMaster[[#This Row],[Employee ID]], tblEmployee[Employee ID], tblEmployee[Payable Flag], "Y")</f>
        <v>Y</v>
      </c>
      <c r="F331" s="45">
        <f>IF(tblPayrollMaster[[#This Row],[Payable Flag]]="N",0,_xlfn.XLOOKUP(tblPayrollMaster[[#This Row],[Employee ID]],tblEmployee[Employee ID],tblEmployee[Pay Factor],1))</f>
        <v>1</v>
      </c>
      <c r="G331" s="26" t="str" cm="1">
        <f t="array" ref="G331">IF(tblPayrollMaster[[#This Row],[Employee ID]]="","",_xlfn.XLOOKUP(selPayPeriodID,tblPayCalendar[PayPeriodID],tblPayCalendar[PeriodStart],""))</f>
        <v/>
      </c>
      <c r="H331" s="26" t="str" cm="1">
        <f t="array" ref="H331">IF(tblPayrollMaster[[#This Row],[Employee ID]]="","",_xlfn.XLOOKUP(selPayPeriodID,tblPayCalendar[PayPeriodID],tblPayCalendar[PeriodEnd],""))</f>
        <v/>
      </c>
      <c r="I331" s="24" t="e" cm="1" vm="1">
        <f t="array" aca="1" ref="I331" ca="1">Table18[Employer Name]</f>
        <v>#VALUE!</v>
      </c>
      <c r="J331" s="3" cm="1">
        <f t="array" ref="J33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31" s="25" t="str">
        <f>_xlfn.XLOOKUP(tblPayrollMaster[[#This Row],[Employee Position]],tblPositionandPayRate[Employee Position],tblPositionandPayRate[Overtime], " ")</f>
        <v xml:space="preserve"> </v>
      </c>
      <c r="L331" s="25">
        <f>_xlfn.XLOOKUP(tblPayrollMaster[[#This Row],[Employee Position]],tblPositionandPayRate[Employee Position],tblPositionandPayRate[Allowance 1],0)*tblPayrollMaster[[#This Row],[Pay Factor]]</f>
        <v>0</v>
      </c>
      <c r="M331" s="25">
        <f>_xlfn.XLOOKUP(tblPayrollMaster[[#This Row],[Employee Position]],tblPositionandPayRate[Employee Position],tblPositionandPayRate[Allowance 2],0)*tblPayrollMaster[[#This Row],[Pay Factor]]</f>
        <v>0</v>
      </c>
      <c r="N331" s="25">
        <f>_xlfn.XLOOKUP(tblPayrollMaster[[#This Row],[Employee Position]],tblPositionandPayRate[Employee Position],tblPositionandPayRate[Allowance 3],0)*tblPayrollMaster[[#This Row],[Pay Factor]]</f>
        <v>0</v>
      </c>
      <c r="O331" s="25">
        <f>_xlfn.XLOOKUP(tblPayrollMaster[[#This Row],[Employee Position]],tblPositionandPayRate[Employee Position],tblPositionandPayRate[Allowance 4],0)*tblPayrollMaster[[#This Row],[Pay Factor]]</f>
        <v>0</v>
      </c>
      <c r="P331" s="25">
        <f>_xlfn.XLOOKUP(tblPayrollMaster[[#This Row],[Employee Position]],tblPositionandPayRate[Employee Position],tblPositionandPayRate[Allowance 5],0)*tblPayrollMaster[[#This Row],[Pay Factor]]</f>
        <v>0</v>
      </c>
      <c r="Q331" s="25">
        <f>SUM(tblPayrollMaster[[#This Row],[Basic Pay]:[Allowance 5]])</f>
        <v>0</v>
      </c>
      <c r="R33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31" s="51" cm="1">
        <f t="array" ref="S3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31" s="3" cm="1">
        <f t="array" ref="T3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31" s="25">
        <f>_xlfn.LET(
_xlpm.tos, _xlfn.XLOOKUP(tblPayrollMaster[[#This Row],[Employee ID]], tblEmployee[Employee ID], tblEmployee[Type of Service], ""),
IF(_xlpm.tos="Contract of Service", 8.25, 0)
)</f>
        <v>0</v>
      </c>
      <c r="V331" s="25">
        <f>tblPayrollMaster[[#This Row],[Basic Earnings]]-tblPayrollMaster[[#This Row],[Tax]]-tblPayrollMaster[[#This Row],[NIS - Employee]]-tblPayrollMaster[[#This Row],[Health Surcharge]]</f>
        <v>0</v>
      </c>
      <c r="W331" s="25">
        <f>tblPayrollMaster[[#This Row],[Net Pay]]</f>
        <v>0</v>
      </c>
      <c r="X331" s="25"/>
    </row>
    <row r="332" spans="1:24" x14ac:dyDescent="0.25">
      <c r="A332" s="24"/>
      <c r="B332" s="24" t="str">
        <f>_xlfn.XLOOKUP(tblPayrollMaster[[#This Row],[Employee ID]],tblEmployee[Employee ID],tblEmployee[Employee Name],"")</f>
        <v/>
      </c>
      <c r="C332" s="24" t="str">
        <f>_xlfn.XLOOKUP(tblPayrollMaster[[#This Row],[Employee ID]],tblEmployee[Employee ID],tblEmployee[Employee Position],"")</f>
        <v/>
      </c>
      <c r="D332" s="24" t="str">
        <f>_xlfn.XLOOKUP(tblPayrollMaster[[#This Row],[Employee ID]], tblEmployee[Employee ID], tblEmployee[Pay Status], "Pay")</f>
        <v>Pay</v>
      </c>
      <c r="E332" s="24" t="str">
        <f>_xlfn.XLOOKUP(tblPayrollMaster[[#This Row],[Employee ID]], tblEmployee[Employee ID], tblEmployee[Payable Flag], "Y")</f>
        <v>Y</v>
      </c>
      <c r="F332" s="45">
        <f>IF(tblPayrollMaster[[#This Row],[Payable Flag]]="N",0,_xlfn.XLOOKUP(tblPayrollMaster[[#This Row],[Employee ID]],tblEmployee[Employee ID],tblEmployee[Pay Factor],1))</f>
        <v>1</v>
      </c>
      <c r="G332" s="26" t="str" cm="1">
        <f t="array" ref="G332">IF(tblPayrollMaster[[#This Row],[Employee ID]]="","",_xlfn.XLOOKUP(selPayPeriodID,tblPayCalendar[PayPeriodID],tblPayCalendar[PeriodStart],""))</f>
        <v/>
      </c>
      <c r="H332" s="26" t="str" cm="1">
        <f t="array" ref="H332">IF(tblPayrollMaster[[#This Row],[Employee ID]]="","",_xlfn.XLOOKUP(selPayPeriodID,tblPayCalendar[PayPeriodID],tblPayCalendar[PeriodEnd],""))</f>
        <v/>
      </c>
      <c r="I332" s="24" t="e" cm="1" vm="1">
        <f t="array" aca="1" ref="I332" ca="1">Table18[Employer Name]</f>
        <v>#VALUE!</v>
      </c>
      <c r="J332" s="3" cm="1">
        <f t="array" ref="J33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32" s="25" t="str">
        <f>_xlfn.XLOOKUP(tblPayrollMaster[[#This Row],[Employee Position]],tblPositionandPayRate[Employee Position],tblPositionandPayRate[Overtime], " ")</f>
        <v xml:space="preserve"> </v>
      </c>
      <c r="L332" s="25">
        <f>_xlfn.XLOOKUP(tblPayrollMaster[[#This Row],[Employee Position]],tblPositionandPayRate[Employee Position],tblPositionandPayRate[Allowance 1],0)*tblPayrollMaster[[#This Row],[Pay Factor]]</f>
        <v>0</v>
      </c>
      <c r="M332" s="25">
        <f>_xlfn.XLOOKUP(tblPayrollMaster[[#This Row],[Employee Position]],tblPositionandPayRate[Employee Position],tblPositionandPayRate[Allowance 2],0)*tblPayrollMaster[[#This Row],[Pay Factor]]</f>
        <v>0</v>
      </c>
      <c r="N332" s="25">
        <f>_xlfn.XLOOKUP(tblPayrollMaster[[#This Row],[Employee Position]],tblPositionandPayRate[Employee Position],tblPositionandPayRate[Allowance 3],0)*tblPayrollMaster[[#This Row],[Pay Factor]]</f>
        <v>0</v>
      </c>
      <c r="O332" s="25">
        <f>_xlfn.XLOOKUP(tblPayrollMaster[[#This Row],[Employee Position]],tblPositionandPayRate[Employee Position],tblPositionandPayRate[Allowance 4],0)*tblPayrollMaster[[#This Row],[Pay Factor]]</f>
        <v>0</v>
      </c>
      <c r="P332" s="25">
        <f>_xlfn.XLOOKUP(tblPayrollMaster[[#This Row],[Employee Position]],tblPositionandPayRate[Employee Position],tblPositionandPayRate[Allowance 5],0)*tblPayrollMaster[[#This Row],[Pay Factor]]</f>
        <v>0</v>
      </c>
      <c r="Q332" s="25">
        <f>SUM(tblPayrollMaster[[#This Row],[Basic Pay]:[Allowance 5]])</f>
        <v>0</v>
      </c>
      <c r="R33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32" s="51" cm="1">
        <f t="array" ref="S3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32" s="3" cm="1">
        <f t="array" ref="T3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32" s="25">
        <f>_xlfn.LET(
_xlpm.tos, _xlfn.XLOOKUP(tblPayrollMaster[[#This Row],[Employee ID]], tblEmployee[Employee ID], tblEmployee[Type of Service], ""),
IF(_xlpm.tos="Contract of Service", 8.25, 0)
)</f>
        <v>0</v>
      </c>
      <c r="V332" s="25">
        <f>tblPayrollMaster[[#This Row],[Basic Earnings]]-tblPayrollMaster[[#This Row],[Tax]]-tblPayrollMaster[[#This Row],[NIS - Employee]]-tblPayrollMaster[[#This Row],[Health Surcharge]]</f>
        <v>0</v>
      </c>
      <c r="W332" s="25">
        <f>tblPayrollMaster[[#This Row],[Net Pay]]</f>
        <v>0</v>
      </c>
      <c r="X332" s="25"/>
    </row>
    <row r="333" spans="1:24" x14ac:dyDescent="0.25">
      <c r="A333" s="24"/>
      <c r="B333" s="24" t="str">
        <f>_xlfn.XLOOKUP(tblPayrollMaster[[#This Row],[Employee ID]],tblEmployee[Employee ID],tblEmployee[Employee Name],"")</f>
        <v/>
      </c>
      <c r="C333" s="24" t="str">
        <f>_xlfn.XLOOKUP(tblPayrollMaster[[#This Row],[Employee ID]],tblEmployee[Employee ID],tblEmployee[Employee Position],"")</f>
        <v/>
      </c>
      <c r="D333" s="24" t="str">
        <f>_xlfn.XLOOKUP(tblPayrollMaster[[#This Row],[Employee ID]], tblEmployee[Employee ID], tblEmployee[Pay Status], "Pay")</f>
        <v>Pay</v>
      </c>
      <c r="E333" s="24" t="str">
        <f>_xlfn.XLOOKUP(tblPayrollMaster[[#This Row],[Employee ID]], tblEmployee[Employee ID], tblEmployee[Payable Flag], "Y")</f>
        <v>Y</v>
      </c>
      <c r="F333" s="45">
        <f>IF(tblPayrollMaster[[#This Row],[Payable Flag]]="N",0,_xlfn.XLOOKUP(tblPayrollMaster[[#This Row],[Employee ID]],tblEmployee[Employee ID],tblEmployee[Pay Factor],1))</f>
        <v>1</v>
      </c>
      <c r="G333" s="26" t="str" cm="1">
        <f t="array" ref="G333">IF(tblPayrollMaster[[#This Row],[Employee ID]]="","",_xlfn.XLOOKUP(selPayPeriodID,tblPayCalendar[PayPeriodID],tblPayCalendar[PeriodStart],""))</f>
        <v/>
      </c>
      <c r="H333" s="26" t="str" cm="1">
        <f t="array" ref="H333">IF(tblPayrollMaster[[#This Row],[Employee ID]]="","",_xlfn.XLOOKUP(selPayPeriodID,tblPayCalendar[PayPeriodID],tblPayCalendar[PeriodEnd],""))</f>
        <v/>
      </c>
      <c r="I333" s="24" t="e" cm="1" vm="1">
        <f t="array" aca="1" ref="I333" ca="1">Table18[Employer Name]</f>
        <v>#VALUE!</v>
      </c>
      <c r="J333" s="3" cm="1">
        <f t="array" ref="J33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33" s="25" t="str">
        <f>_xlfn.XLOOKUP(tblPayrollMaster[[#This Row],[Employee Position]],tblPositionandPayRate[Employee Position],tblPositionandPayRate[Overtime], " ")</f>
        <v xml:space="preserve"> </v>
      </c>
      <c r="L333" s="25">
        <f>_xlfn.XLOOKUP(tblPayrollMaster[[#This Row],[Employee Position]],tblPositionandPayRate[Employee Position],tblPositionandPayRate[Allowance 1],0)*tblPayrollMaster[[#This Row],[Pay Factor]]</f>
        <v>0</v>
      </c>
      <c r="M333" s="25">
        <f>_xlfn.XLOOKUP(tblPayrollMaster[[#This Row],[Employee Position]],tblPositionandPayRate[Employee Position],tblPositionandPayRate[Allowance 2],0)*tblPayrollMaster[[#This Row],[Pay Factor]]</f>
        <v>0</v>
      </c>
      <c r="N333" s="25">
        <f>_xlfn.XLOOKUP(tblPayrollMaster[[#This Row],[Employee Position]],tblPositionandPayRate[Employee Position],tblPositionandPayRate[Allowance 3],0)*tblPayrollMaster[[#This Row],[Pay Factor]]</f>
        <v>0</v>
      </c>
      <c r="O333" s="25">
        <f>_xlfn.XLOOKUP(tblPayrollMaster[[#This Row],[Employee Position]],tblPositionandPayRate[Employee Position],tblPositionandPayRate[Allowance 4],0)*tblPayrollMaster[[#This Row],[Pay Factor]]</f>
        <v>0</v>
      </c>
      <c r="P333" s="25">
        <f>_xlfn.XLOOKUP(tblPayrollMaster[[#This Row],[Employee Position]],tblPositionandPayRate[Employee Position],tblPositionandPayRate[Allowance 5],0)*tblPayrollMaster[[#This Row],[Pay Factor]]</f>
        <v>0</v>
      </c>
      <c r="Q333" s="25">
        <f>SUM(tblPayrollMaster[[#This Row],[Basic Pay]:[Allowance 5]])</f>
        <v>0</v>
      </c>
      <c r="R33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33" s="51" cm="1">
        <f t="array" ref="S3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33" s="3" cm="1">
        <f t="array" ref="T3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33" s="25">
        <f>_xlfn.LET(
_xlpm.tos, _xlfn.XLOOKUP(tblPayrollMaster[[#This Row],[Employee ID]], tblEmployee[Employee ID], tblEmployee[Type of Service], ""),
IF(_xlpm.tos="Contract of Service", 8.25, 0)
)</f>
        <v>0</v>
      </c>
      <c r="V333" s="25">
        <f>tblPayrollMaster[[#This Row],[Basic Earnings]]-tblPayrollMaster[[#This Row],[Tax]]-tblPayrollMaster[[#This Row],[NIS - Employee]]-tblPayrollMaster[[#This Row],[Health Surcharge]]</f>
        <v>0</v>
      </c>
      <c r="W333" s="25">
        <f>tblPayrollMaster[[#This Row],[Net Pay]]</f>
        <v>0</v>
      </c>
      <c r="X333" s="25"/>
    </row>
    <row r="334" spans="1:24" x14ac:dyDescent="0.25">
      <c r="A334" s="24"/>
      <c r="B334" s="24" t="str">
        <f>_xlfn.XLOOKUP(tblPayrollMaster[[#This Row],[Employee ID]],tblEmployee[Employee ID],tblEmployee[Employee Name],"")</f>
        <v/>
      </c>
      <c r="C334" s="24" t="str">
        <f>_xlfn.XLOOKUP(tblPayrollMaster[[#This Row],[Employee ID]],tblEmployee[Employee ID],tblEmployee[Employee Position],"")</f>
        <v/>
      </c>
      <c r="D334" s="24" t="str">
        <f>_xlfn.XLOOKUP(tblPayrollMaster[[#This Row],[Employee ID]], tblEmployee[Employee ID], tblEmployee[Pay Status], "Pay")</f>
        <v>Pay</v>
      </c>
      <c r="E334" s="24" t="str">
        <f>_xlfn.XLOOKUP(tblPayrollMaster[[#This Row],[Employee ID]], tblEmployee[Employee ID], tblEmployee[Payable Flag], "Y")</f>
        <v>Y</v>
      </c>
      <c r="F334" s="45">
        <f>IF(tblPayrollMaster[[#This Row],[Payable Flag]]="N",0,_xlfn.XLOOKUP(tblPayrollMaster[[#This Row],[Employee ID]],tblEmployee[Employee ID],tblEmployee[Pay Factor],1))</f>
        <v>1</v>
      </c>
      <c r="G334" s="26" t="str" cm="1">
        <f t="array" ref="G334">IF(tblPayrollMaster[[#This Row],[Employee ID]]="","",_xlfn.XLOOKUP(selPayPeriodID,tblPayCalendar[PayPeriodID],tblPayCalendar[PeriodStart],""))</f>
        <v/>
      </c>
      <c r="H334" s="26" t="str" cm="1">
        <f t="array" ref="H334">IF(tblPayrollMaster[[#This Row],[Employee ID]]="","",_xlfn.XLOOKUP(selPayPeriodID,tblPayCalendar[PayPeriodID],tblPayCalendar[PeriodEnd],""))</f>
        <v/>
      </c>
      <c r="I334" s="24" t="e" cm="1" vm="1">
        <f t="array" aca="1" ref="I334" ca="1">Table18[Employer Name]</f>
        <v>#VALUE!</v>
      </c>
      <c r="J334" s="3" cm="1">
        <f t="array" ref="J33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34" s="25" t="str">
        <f>_xlfn.XLOOKUP(tblPayrollMaster[[#This Row],[Employee Position]],tblPositionandPayRate[Employee Position],tblPositionandPayRate[Overtime], " ")</f>
        <v xml:space="preserve"> </v>
      </c>
      <c r="L334" s="25">
        <f>_xlfn.XLOOKUP(tblPayrollMaster[[#This Row],[Employee Position]],tblPositionandPayRate[Employee Position],tblPositionandPayRate[Allowance 1],0)*tblPayrollMaster[[#This Row],[Pay Factor]]</f>
        <v>0</v>
      </c>
      <c r="M334" s="25">
        <f>_xlfn.XLOOKUP(tblPayrollMaster[[#This Row],[Employee Position]],tblPositionandPayRate[Employee Position],tblPositionandPayRate[Allowance 2],0)*tblPayrollMaster[[#This Row],[Pay Factor]]</f>
        <v>0</v>
      </c>
      <c r="N334" s="25">
        <f>_xlfn.XLOOKUP(tblPayrollMaster[[#This Row],[Employee Position]],tblPositionandPayRate[Employee Position],tblPositionandPayRate[Allowance 3],0)*tblPayrollMaster[[#This Row],[Pay Factor]]</f>
        <v>0</v>
      </c>
      <c r="O334" s="25">
        <f>_xlfn.XLOOKUP(tblPayrollMaster[[#This Row],[Employee Position]],tblPositionandPayRate[Employee Position],tblPositionandPayRate[Allowance 4],0)*tblPayrollMaster[[#This Row],[Pay Factor]]</f>
        <v>0</v>
      </c>
      <c r="P334" s="25">
        <f>_xlfn.XLOOKUP(tblPayrollMaster[[#This Row],[Employee Position]],tblPositionandPayRate[Employee Position],tblPositionandPayRate[Allowance 5],0)*tblPayrollMaster[[#This Row],[Pay Factor]]</f>
        <v>0</v>
      </c>
      <c r="Q334" s="25">
        <f>SUM(tblPayrollMaster[[#This Row],[Basic Pay]:[Allowance 5]])</f>
        <v>0</v>
      </c>
      <c r="R33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34" s="51" cm="1">
        <f t="array" ref="S3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34" s="3" cm="1">
        <f t="array" ref="T3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34" s="25">
        <f>_xlfn.LET(
_xlpm.tos, _xlfn.XLOOKUP(tblPayrollMaster[[#This Row],[Employee ID]], tblEmployee[Employee ID], tblEmployee[Type of Service], ""),
IF(_xlpm.tos="Contract of Service", 8.25, 0)
)</f>
        <v>0</v>
      </c>
      <c r="V334" s="25">
        <f>tblPayrollMaster[[#This Row],[Basic Earnings]]-tblPayrollMaster[[#This Row],[Tax]]-tblPayrollMaster[[#This Row],[NIS - Employee]]-tblPayrollMaster[[#This Row],[Health Surcharge]]</f>
        <v>0</v>
      </c>
      <c r="W334" s="25">
        <f>tblPayrollMaster[[#This Row],[Net Pay]]</f>
        <v>0</v>
      </c>
      <c r="X334" s="25"/>
    </row>
    <row r="335" spans="1:24" x14ac:dyDescent="0.25">
      <c r="A335" s="24"/>
      <c r="B335" s="24" t="str">
        <f>_xlfn.XLOOKUP(tblPayrollMaster[[#This Row],[Employee ID]],tblEmployee[Employee ID],tblEmployee[Employee Name],"")</f>
        <v/>
      </c>
      <c r="C335" s="24" t="str">
        <f>_xlfn.XLOOKUP(tblPayrollMaster[[#This Row],[Employee ID]],tblEmployee[Employee ID],tblEmployee[Employee Position],"")</f>
        <v/>
      </c>
      <c r="D335" s="24" t="str">
        <f>_xlfn.XLOOKUP(tblPayrollMaster[[#This Row],[Employee ID]], tblEmployee[Employee ID], tblEmployee[Pay Status], "Pay")</f>
        <v>Pay</v>
      </c>
      <c r="E335" s="24" t="str">
        <f>_xlfn.XLOOKUP(tblPayrollMaster[[#This Row],[Employee ID]], tblEmployee[Employee ID], tblEmployee[Payable Flag], "Y")</f>
        <v>Y</v>
      </c>
      <c r="F335" s="45">
        <f>IF(tblPayrollMaster[[#This Row],[Payable Flag]]="N",0,_xlfn.XLOOKUP(tblPayrollMaster[[#This Row],[Employee ID]],tblEmployee[Employee ID],tblEmployee[Pay Factor],1))</f>
        <v>1</v>
      </c>
      <c r="G335" s="26" t="str" cm="1">
        <f t="array" ref="G335">IF(tblPayrollMaster[[#This Row],[Employee ID]]="","",_xlfn.XLOOKUP(selPayPeriodID,tblPayCalendar[PayPeriodID],tblPayCalendar[PeriodStart],""))</f>
        <v/>
      </c>
      <c r="H335" s="26" t="str" cm="1">
        <f t="array" ref="H335">IF(tblPayrollMaster[[#This Row],[Employee ID]]="","",_xlfn.XLOOKUP(selPayPeriodID,tblPayCalendar[PayPeriodID],tblPayCalendar[PeriodEnd],""))</f>
        <v/>
      </c>
      <c r="I335" s="24" t="e" cm="1" vm="1">
        <f t="array" aca="1" ref="I335" ca="1">Table18[Employer Name]</f>
        <v>#VALUE!</v>
      </c>
      <c r="J335" s="3" cm="1">
        <f t="array" ref="J33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35" s="25" t="str">
        <f>_xlfn.XLOOKUP(tblPayrollMaster[[#This Row],[Employee Position]],tblPositionandPayRate[Employee Position],tblPositionandPayRate[Overtime], " ")</f>
        <v xml:space="preserve"> </v>
      </c>
      <c r="L335" s="25">
        <f>_xlfn.XLOOKUP(tblPayrollMaster[[#This Row],[Employee Position]],tblPositionandPayRate[Employee Position],tblPositionandPayRate[Allowance 1],0)*tblPayrollMaster[[#This Row],[Pay Factor]]</f>
        <v>0</v>
      </c>
      <c r="M335" s="25">
        <f>_xlfn.XLOOKUP(tblPayrollMaster[[#This Row],[Employee Position]],tblPositionandPayRate[Employee Position],tblPositionandPayRate[Allowance 2],0)*tblPayrollMaster[[#This Row],[Pay Factor]]</f>
        <v>0</v>
      </c>
      <c r="N335" s="25">
        <f>_xlfn.XLOOKUP(tblPayrollMaster[[#This Row],[Employee Position]],tblPositionandPayRate[Employee Position],tblPositionandPayRate[Allowance 3],0)*tblPayrollMaster[[#This Row],[Pay Factor]]</f>
        <v>0</v>
      </c>
      <c r="O335" s="25">
        <f>_xlfn.XLOOKUP(tblPayrollMaster[[#This Row],[Employee Position]],tblPositionandPayRate[Employee Position],tblPositionandPayRate[Allowance 4],0)*tblPayrollMaster[[#This Row],[Pay Factor]]</f>
        <v>0</v>
      </c>
      <c r="P335" s="25">
        <f>_xlfn.XLOOKUP(tblPayrollMaster[[#This Row],[Employee Position]],tblPositionandPayRate[Employee Position],tblPositionandPayRate[Allowance 5],0)*tblPayrollMaster[[#This Row],[Pay Factor]]</f>
        <v>0</v>
      </c>
      <c r="Q335" s="25">
        <f>SUM(tblPayrollMaster[[#This Row],[Basic Pay]:[Allowance 5]])</f>
        <v>0</v>
      </c>
      <c r="R33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35" s="51" cm="1">
        <f t="array" ref="S3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35" s="3" cm="1">
        <f t="array" ref="T3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35" s="25">
        <f>_xlfn.LET(
_xlpm.tos, _xlfn.XLOOKUP(tblPayrollMaster[[#This Row],[Employee ID]], tblEmployee[Employee ID], tblEmployee[Type of Service], ""),
IF(_xlpm.tos="Contract of Service", 8.25, 0)
)</f>
        <v>0</v>
      </c>
      <c r="V335" s="25">
        <f>tblPayrollMaster[[#This Row],[Basic Earnings]]-tblPayrollMaster[[#This Row],[Tax]]-tblPayrollMaster[[#This Row],[NIS - Employee]]-tblPayrollMaster[[#This Row],[Health Surcharge]]</f>
        <v>0</v>
      </c>
      <c r="W335" s="25">
        <f>tblPayrollMaster[[#This Row],[Net Pay]]</f>
        <v>0</v>
      </c>
      <c r="X335" s="25"/>
    </row>
    <row r="336" spans="1:24" x14ac:dyDescent="0.25">
      <c r="A336" s="24"/>
      <c r="B336" s="24" t="str">
        <f>_xlfn.XLOOKUP(tblPayrollMaster[[#This Row],[Employee ID]],tblEmployee[Employee ID],tblEmployee[Employee Name],"")</f>
        <v/>
      </c>
      <c r="C336" s="24" t="str">
        <f>_xlfn.XLOOKUP(tblPayrollMaster[[#This Row],[Employee ID]],tblEmployee[Employee ID],tblEmployee[Employee Position],"")</f>
        <v/>
      </c>
      <c r="D336" s="24" t="str">
        <f>_xlfn.XLOOKUP(tblPayrollMaster[[#This Row],[Employee ID]], tblEmployee[Employee ID], tblEmployee[Pay Status], "Pay")</f>
        <v>Pay</v>
      </c>
      <c r="E336" s="24" t="str">
        <f>_xlfn.XLOOKUP(tblPayrollMaster[[#This Row],[Employee ID]], tblEmployee[Employee ID], tblEmployee[Payable Flag], "Y")</f>
        <v>Y</v>
      </c>
      <c r="F336" s="45">
        <f>IF(tblPayrollMaster[[#This Row],[Payable Flag]]="N",0,_xlfn.XLOOKUP(tblPayrollMaster[[#This Row],[Employee ID]],tblEmployee[Employee ID],tblEmployee[Pay Factor],1))</f>
        <v>1</v>
      </c>
      <c r="G336" s="26" t="str" cm="1">
        <f t="array" ref="G336">IF(tblPayrollMaster[[#This Row],[Employee ID]]="","",_xlfn.XLOOKUP(selPayPeriodID,tblPayCalendar[PayPeriodID],tblPayCalendar[PeriodStart],""))</f>
        <v/>
      </c>
      <c r="H336" s="26" t="str" cm="1">
        <f t="array" ref="H336">IF(tblPayrollMaster[[#This Row],[Employee ID]]="","",_xlfn.XLOOKUP(selPayPeriodID,tblPayCalendar[PayPeriodID],tblPayCalendar[PeriodEnd],""))</f>
        <v/>
      </c>
      <c r="I336" s="24" t="e" cm="1" vm="1">
        <f t="array" aca="1" ref="I336" ca="1">Table18[Employer Name]</f>
        <v>#VALUE!</v>
      </c>
      <c r="J336" s="3" cm="1">
        <f t="array" ref="J33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36" s="25" t="str">
        <f>_xlfn.XLOOKUP(tblPayrollMaster[[#This Row],[Employee Position]],tblPositionandPayRate[Employee Position],tblPositionandPayRate[Overtime], " ")</f>
        <v xml:space="preserve"> </v>
      </c>
      <c r="L336" s="25">
        <f>_xlfn.XLOOKUP(tblPayrollMaster[[#This Row],[Employee Position]],tblPositionandPayRate[Employee Position],tblPositionandPayRate[Allowance 1],0)*tblPayrollMaster[[#This Row],[Pay Factor]]</f>
        <v>0</v>
      </c>
      <c r="M336" s="25">
        <f>_xlfn.XLOOKUP(tblPayrollMaster[[#This Row],[Employee Position]],tblPositionandPayRate[Employee Position],tblPositionandPayRate[Allowance 2],0)*tblPayrollMaster[[#This Row],[Pay Factor]]</f>
        <v>0</v>
      </c>
      <c r="N336" s="25">
        <f>_xlfn.XLOOKUP(tblPayrollMaster[[#This Row],[Employee Position]],tblPositionandPayRate[Employee Position],tblPositionandPayRate[Allowance 3],0)*tblPayrollMaster[[#This Row],[Pay Factor]]</f>
        <v>0</v>
      </c>
      <c r="O336" s="25">
        <f>_xlfn.XLOOKUP(tblPayrollMaster[[#This Row],[Employee Position]],tblPositionandPayRate[Employee Position],tblPositionandPayRate[Allowance 4],0)*tblPayrollMaster[[#This Row],[Pay Factor]]</f>
        <v>0</v>
      </c>
      <c r="P336" s="25">
        <f>_xlfn.XLOOKUP(tblPayrollMaster[[#This Row],[Employee Position]],tblPositionandPayRate[Employee Position],tblPositionandPayRate[Allowance 5],0)*tblPayrollMaster[[#This Row],[Pay Factor]]</f>
        <v>0</v>
      </c>
      <c r="Q336" s="25">
        <f>SUM(tblPayrollMaster[[#This Row],[Basic Pay]:[Allowance 5]])</f>
        <v>0</v>
      </c>
      <c r="R33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36" s="51" cm="1">
        <f t="array" ref="S3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36" s="3" cm="1">
        <f t="array" ref="T3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36" s="25">
        <f>_xlfn.LET(
_xlpm.tos, _xlfn.XLOOKUP(tblPayrollMaster[[#This Row],[Employee ID]], tblEmployee[Employee ID], tblEmployee[Type of Service], ""),
IF(_xlpm.tos="Contract of Service", 8.25, 0)
)</f>
        <v>0</v>
      </c>
      <c r="V336" s="25">
        <f>tblPayrollMaster[[#This Row],[Basic Earnings]]-tblPayrollMaster[[#This Row],[Tax]]-tblPayrollMaster[[#This Row],[NIS - Employee]]-tblPayrollMaster[[#This Row],[Health Surcharge]]</f>
        <v>0</v>
      </c>
      <c r="W336" s="25">
        <f>tblPayrollMaster[[#This Row],[Net Pay]]</f>
        <v>0</v>
      </c>
      <c r="X336" s="25"/>
    </row>
    <row r="337" spans="1:24" x14ac:dyDescent="0.25">
      <c r="A337" s="24"/>
      <c r="B337" s="24" t="str">
        <f>_xlfn.XLOOKUP(tblPayrollMaster[[#This Row],[Employee ID]],tblEmployee[Employee ID],tblEmployee[Employee Name],"")</f>
        <v/>
      </c>
      <c r="C337" s="24" t="str">
        <f>_xlfn.XLOOKUP(tblPayrollMaster[[#This Row],[Employee ID]],tblEmployee[Employee ID],tblEmployee[Employee Position],"")</f>
        <v/>
      </c>
      <c r="D337" s="24" t="str">
        <f>_xlfn.XLOOKUP(tblPayrollMaster[[#This Row],[Employee ID]], tblEmployee[Employee ID], tblEmployee[Pay Status], "Pay")</f>
        <v>Pay</v>
      </c>
      <c r="E337" s="24" t="str">
        <f>_xlfn.XLOOKUP(tblPayrollMaster[[#This Row],[Employee ID]], tblEmployee[Employee ID], tblEmployee[Payable Flag], "Y")</f>
        <v>Y</v>
      </c>
      <c r="F337" s="45">
        <f>IF(tblPayrollMaster[[#This Row],[Payable Flag]]="N",0,_xlfn.XLOOKUP(tblPayrollMaster[[#This Row],[Employee ID]],tblEmployee[Employee ID],tblEmployee[Pay Factor],1))</f>
        <v>1</v>
      </c>
      <c r="G337" s="26" t="str" cm="1">
        <f t="array" ref="G337">IF(tblPayrollMaster[[#This Row],[Employee ID]]="","",_xlfn.XLOOKUP(selPayPeriodID,tblPayCalendar[PayPeriodID],tblPayCalendar[PeriodStart],""))</f>
        <v/>
      </c>
      <c r="H337" s="26" t="str" cm="1">
        <f t="array" ref="H337">IF(tblPayrollMaster[[#This Row],[Employee ID]]="","",_xlfn.XLOOKUP(selPayPeriodID,tblPayCalendar[PayPeriodID],tblPayCalendar[PeriodEnd],""))</f>
        <v/>
      </c>
      <c r="I337" s="24" t="e" cm="1" vm="1">
        <f t="array" aca="1" ref="I337" ca="1">Table18[Employer Name]</f>
        <v>#VALUE!</v>
      </c>
      <c r="J337" s="3" cm="1">
        <f t="array" ref="J33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37" s="25" t="str">
        <f>_xlfn.XLOOKUP(tblPayrollMaster[[#This Row],[Employee Position]],tblPositionandPayRate[Employee Position],tblPositionandPayRate[Overtime], " ")</f>
        <v xml:space="preserve"> </v>
      </c>
      <c r="L337" s="25">
        <f>_xlfn.XLOOKUP(tblPayrollMaster[[#This Row],[Employee Position]],tblPositionandPayRate[Employee Position],tblPositionandPayRate[Allowance 1],0)*tblPayrollMaster[[#This Row],[Pay Factor]]</f>
        <v>0</v>
      </c>
      <c r="M337" s="25">
        <f>_xlfn.XLOOKUP(tblPayrollMaster[[#This Row],[Employee Position]],tblPositionandPayRate[Employee Position],tblPositionandPayRate[Allowance 2],0)*tblPayrollMaster[[#This Row],[Pay Factor]]</f>
        <v>0</v>
      </c>
      <c r="N337" s="25">
        <f>_xlfn.XLOOKUP(tblPayrollMaster[[#This Row],[Employee Position]],tblPositionandPayRate[Employee Position],tblPositionandPayRate[Allowance 3],0)*tblPayrollMaster[[#This Row],[Pay Factor]]</f>
        <v>0</v>
      </c>
      <c r="O337" s="25">
        <f>_xlfn.XLOOKUP(tblPayrollMaster[[#This Row],[Employee Position]],tblPositionandPayRate[Employee Position],tblPositionandPayRate[Allowance 4],0)*tblPayrollMaster[[#This Row],[Pay Factor]]</f>
        <v>0</v>
      </c>
      <c r="P337" s="25">
        <f>_xlfn.XLOOKUP(tblPayrollMaster[[#This Row],[Employee Position]],tblPositionandPayRate[Employee Position],tblPositionandPayRate[Allowance 5],0)*tblPayrollMaster[[#This Row],[Pay Factor]]</f>
        <v>0</v>
      </c>
      <c r="Q337" s="25">
        <f>SUM(tblPayrollMaster[[#This Row],[Basic Pay]:[Allowance 5]])</f>
        <v>0</v>
      </c>
      <c r="R33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37" s="51" cm="1">
        <f t="array" ref="S3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37" s="3" cm="1">
        <f t="array" ref="T3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37" s="25">
        <f>_xlfn.LET(
_xlpm.tos, _xlfn.XLOOKUP(tblPayrollMaster[[#This Row],[Employee ID]], tblEmployee[Employee ID], tblEmployee[Type of Service], ""),
IF(_xlpm.tos="Contract of Service", 8.25, 0)
)</f>
        <v>0</v>
      </c>
      <c r="V337" s="25">
        <f>tblPayrollMaster[[#This Row],[Basic Earnings]]-tblPayrollMaster[[#This Row],[Tax]]-tblPayrollMaster[[#This Row],[NIS - Employee]]-tblPayrollMaster[[#This Row],[Health Surcharge]]</f>
        <v>0</v>
      </c>
      <c r="W337" s="25">
        <f>tblPayrollMaster[[#This Row],[Net Pay]]</f>
        <v>0</v>
      </c>
      <c r="X337" s="25"/>
    </row>
    <row r="338" spans="1:24" x14ac:dyDescent="0.25">
      <c r="A338" s="24"/>
      <c r="B338" s="24" t="str">
        <f>_xlfn.XLOOKUP(tblPayrollMaster[[#This Row],[Employee ID]],tblEmployee[Employee ID],tblEmployee[Employee Name],"")</f>
        <v/>
      </c>
      <c r="C338" s="24" t="str">
        <f>_xlfn.XLOOKUP(tblPayrollMaster[[#This Row],[Employee ID]],tblEmployee[Employee ID],tblEmployee[Employee Position],"")</f>
        <v/>
      </c>
      <c r="D338" s="24" t="str">
        <f>_xlfn.XLOOKUP(tblPayrollMaster[[#This Row],[Employee ID]], tblEmployee[Employee ID], tblEmployee[Pay Status], "Pay")</f>
        <v>Pay</v>
      </c>
      <c r="E338" s="24" t="str">
        <f>_xlfn.XLOOKUP(tblPayrollMaster[[#This Row],[Employee ID]], tblEmployee[Employee ID], tblEmployee[Payable Flag], "Y")</f>
        <v>Y</v>
      </c>
      <c r="F338" s="45">
        <f>IF(tblPayrollMaster[[#This Row],[Payable Flag]]="N",0,_xlfn.XLOOKUP(tblPayrollMaster[[#This Row],[Employee ID]],tblEmployee[Employee ID],tblEmployee[Pay Factor],1))</f>
        <v>1</v>
      </c>
      <c r="G338" s="26" t="str" cm="1">
        <f t="array" ref="G338">IF(tblPayrollMaster[[#This Row],[Employee ID]]="","",_xlfn.XLOOKUP(selPayPeriodID,tblPayCalendar[PayPeriodID],tblPayCalendar[PeriodStart],""))</f>
        <v/>
      </c>
      <c r="H338" s="26" t="str" cm="1">
        <f t="array" ref="H338">IF(tblPayrollMaster[[#This Row],[Employee ID]]="","",_xlfn.XLOOKUP(selPayPeriodID,tblPayCalendar[PayPeriodID],tblPayCalendar[PeriodEnd],""))</f>
        <v/>
      </c>
      <c r="I338" s="24" t="e" cm="1" vm="1">
        <f t="array" aca="1" ref="I338" ca="1">Table18[Employer Name]</f>
        <v>#VALUE!</v>
      </c>
      <c r="J338" s="3" cm="1">
        <f t="array" ref="J33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38" s="25" t="str">
        <f>_xlfn.XLOOKUP(tblPayrollMaster[[#This Row],[Employee Position]],tblPositionandPayRate[Employee Position],tblPositionandPayRate[Overtime], " ")</f>
        <v xml:space="preserve"> </v>
      </c>
      <c r="L338" s="25">
        <f>_xlfn.XLOOKUP(tblPayrollMaster[[#This Row],[Employee Position]],tblPositionandPayRate[Employee Position],tblPositionandPayRate[Allowance 1],0)*tblPayrollMaster[[#This Row],[Pay Factor]]</f>
        <v>0</v>
      </c>
      <c r="M338" s="25">
        <f>_xlfn.XLOOKUP(tblPayrollMaster[[#This Row],[Employee Position]],tblPositionandPayRate[Employee Position],tblPositionandPayRate[Allowance 2],0)*tblPayrollMaster[[#This Row],[Pay Factor]]</f>
        <v>0</v>
      </c>
      <c r="N338" s="25">
        <f>_xlfn.XLOOKUP(tblPayrollMaster[[#This Row],[Employee Position]],tblPositionandPayRate[Employee Position],tblPositionandPayRate[Allowance 3],0)*tblPayrollMaster[[#This Row],[Pay Factor]]</f>
        <v>0</v>
      </c>
      <c r="O338" s="25">
        <f>_xlfn.XLOOKUP(tblPayrollMaster[[#This Row],[Employee Position]],tblPositionandPayRate[Employee Position],tblPositionandPayRate[Allowance 4],0)*tblPayrollMaster[[#This Row],[Pay Factor]]</f>
        <v>0</v>
      </c>
      <c r="P338" s="25">
        <f>_xlfn.XLOOKUP(tblPayrollMaster[[#This Row],[Employee Position]],tblPositionandPayRate[Employee Position],tblPositionandPayRate[Allowance 5],0)*tblPayrollMaster[[#This Row],[Pay Factor]]</f>
        <v>0</v>
      </c>
      <c r="Q338" s="25">
        <f>SUM(tblPayrollMaster[[#This Row],[Basic Pay]:[Allowance 5]])</f>
        <v>0</v>
      </c>
      <c r="R33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38" s="51" cm="1">
        <f t="array" ref="S3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38" s="3" cm="1">
        <f t="array" ref="T3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38" s="25">
        <f>_xlfn.LET(
_xlpm.tos, _xlfn.XLOOKUP(tblPayrollMaster[[#This Row],[Employee ID]], tblEmployee[Employee ID], tblEmployee[Type of Service], ""),
IF(_xlpm.tos="Contract of Service", 8.25, 0)
)</f>
        <v>0</v>
      </c>
      <c r="V338" s="25">
        <f>tblPayrollMaster[[#This Row],[Basic Earnings]]-tblPayrollMaster[[#This Row],[Tax]]-tblPayrollMaster[[#This Row],[NIS - Employee]]-tblPayrollMaster[[#This Row],[Health Surcharge]]</f>
        <v>0</v>
      </c>
      <c r="W338" s="25">
        <f>tblPayrollMaster[[#This Row],[Net Pay]]</f>
        <v>0</v>
      </c>
      <c r="X338" s="25"/>
    </row>
    <row r="339" spans="1:24" x14ac:dyDescent="0.25">
      <c r="A339" s="24"/>
      <c r="B339" s="24" t="str">
        <f>_xlfn.XLOOKUP(tblPayrollMaster[[#This Row],[Employee ID]],tblEmployee[Employee ID],tblEmployee[Employee Name],"")</f>
        <v/>
      </c>
      <c r="C339" s="24" t="str">
        <f>_xlfn.XLOOKUP(tblPayrollMaster[[#This Row],[Employee ID]],tblEmployee[Employee ID],tblEmployee[Employee Position],"")</f>
        <v/>
      </c>
      <c r="D339" s="24" t="str">
        <f>_xlfn.XLOOKUP(tblPayrollMaster[[#This Row],[Employee ID]], tblEmployee[Employee ID], tblEmployee[Pay Status], "Pay")</f>
        <v>Pay</v>
      </c>
      <c r="E339" s="24" t="str">
        <f>_xlfn.XLOOKUP(tblPayrollMaster[[#This Row],[Employee ID]], tblEmployee[Employee ID], tblEmployee[Payable Flag], "Y")</f>
        <v>Y</v>
      </c>
      <c r="F339" s="45">
        <f>IF(tblPayrollMaster[[#This Row],[Payable Flag]]="N",0,_xlfn.XLOOKUP(tblPayrollMaster[[#This Row],[Employee ID]],tblEmployee[Employee ID],tblEmployee[Pay Factor],1))</f>
        <v>1</v>
      </c>
      <c r="G339" s="26" t="str" cm="1">
        <f t="array" ref="G339">IF(tblPayrollMaster[[#This Row],[Employee ID]]="","",_xlfn.XLOOKUP(selPayPeriodID,tblPayCalendar[PayPeriodID],tblPayCalendar[PeriodStart],""))</f>
        <v/>
      </c>
      <c r="H339" s="26" t="str" cm="1">
        <f t="array" ref="H339">IF(tblPayrollMaster[[#This Row],[Employee ID]]="","",_xlfn.XLOOKUP(selPayPeriodID,tblPayCalendar[PayPeriodID],tblPayCalendar[PeriodEnd],""))</f>
        <v/>
      </c>
      <c r="I339" s="24" t="e" cm="1" vm="1">
        <f t="array" aca="1" ref="I339" ca="1">Table18[Employer Name]</f>
        <v>#VALUE!</v>
      </c>
      <c r="J339" s="3" cm="1">
        <f t="array" ref="J33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39" s="25" t="str">
        <f>_xlfn.XLOOKUP(tblPayrollMaster[[#This Row],[Employee Position]],tblPositionandPayRate[Employee Position],tblPositionandPayRate[Overtime], " ")</f>
        <v xml:space="preserve"> </v>
      </c>
      <c r="L339" s="25">
        <f>_xlfn.XLOOKUP(tblPayrollMaster[[#This Row],[Employee Position]],tblPositionandPayRate[Employee Position],tblPositionandPayRate[Allowance 1],0)*tblPayrollMaster[[#This Row],[Pay Factor]]</f>
        <v>0</v>
      </c>
      <c r="M339" s="25">
        <f>_xlfn.XLOOKUP(tblPayrollMaster[[#This Row],[Employee Position]],tblPositionandPayRate[Employee Position],tblPositionandPayRate[Allowance 2],0)*tblPayrollMaster[[#This Row],[Pay Factor]]</f>
        <v>0</v>
      </c>
      <c r="N339" s="25">
        <f>_xlfn.XLOOKUP(tblPayrollMaster[[#This Row],[Employee Position]],tblPositionandPayRate[Employee Position],tblPositionandPayRate[Allowance 3],0)*tblPayrollMaster[[#This Row],[Pay Factor]]</f>
        <v>0</v>
      </c>
      <c r="O339" s="25">
        <f>_xlfn.XLOOKUP(tblPayrollMaster[[#This Row],[Employee Position]],tblPositionandPayRate[Employee Position],tblPositionandPayRate[Allowance 4],0)*tblPayrollMaster[[#This Row],[Pay Factor]]</f>
        <v>0</v>
      </c>
      <c r="P339" s="25">
        <f>_xlfn.XLOOKUP(tblPayrollMaster[[#This Row],[Employee Position]],tblPositionandPayRate[Employee Position],tblPositionandPayRate[Allowance 5],0)*tblPayrollMaster[[#This Row],[Pay Factor]]</f>
        <v>0</v>
      </c>
      <c r="Q339" s="25">
        <f>SUM(tblPayrollMaster[[#This Row],[Basic Pay]:[Allowance 5]])</f>
        <v>0</v>
      </c>
      <c r="R33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39" s="51" cm="1">
        <f t="array" ref="S3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39" s="3" cm="1">
        <f t="array" ref="T3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39" s="25">
        <f>_xlfn.LET(
_xlpm.tos, _xlfn.XLOOKUP(tblPayrollMaster[[#This Row],[Employee ID]], tblEmployee[Employee ID], tblEmployee[Type of Service], ""),
IF(_xlpm.tos="Contract of Service", 8.25, 0)
)</f>
        <v>0</v>
      </c>
      <c r="V339" s="25">
        <f>tblPayrollMaster[[#This Row],[Basic Earnings]]-tblPayrollMaster[[#This Row],[Tax]]-tblPayrollMaster[[#This Row],[NIS - Employee]]-tblPayrollMaster[[#This Row],[Health Surcharge]]</f>
        <v>0</v>
      </c>
      <c r="W339" s="25">
        <f>tblPayrollMaster[[#This Row],[Net Pay]]</f>
        <v>0</v>
      </c>
      <c r="X339" s="25"/>
    </row>
    <row r="340" spans="1:24" x14ac:dyDescent="0.25">
      <c r="A340" s="24"/>
      <c r="B340" s="24" t="str">
        <f>_xlfn.XLOOKUP(tblPayrollMaster[[#This Row],[Employee ID]],tblEmployee[Employee ID],tblEmployee[Employee Name],"")</f>
        <v/>
      </c>
      <c r="C340" s="24" t="str">
        <f>_xlfn.XLOOKUP(tblPayrollMaster[[#This Row],[Employee ID]],tblEmployee[Employee ID],tblEmployee[Employee Position],"")</f>
        <v/>
      </c>
      <c r="D340" s="24" t="str">
        <f>_xlfn.XLOOKUP(tblPayrollMaster[[#This Row],[Employee ID]], tblEmployee[Employee ID], tblEmployee[Pay Status], "Pay")</f>
        <v>Pay</v>
      </c>
      <c r="E340" s="24" t="str">
        <f>_xlfn.XLOOKUP(tblPayrollMaster[[#This Row],[Employee ID]], tblEmployee[Employee ID], tblEmployee[Payable Flag], "Y")</f>
        <v>Y</v>
      </c>
      <c r="F340" s="45">
        <f>IF(tblPayrollMaster[[#This Row],[Payable Flag]]="N",0,_xlfn.XLOOKUP(tblPayrollMaster[[#This Row],[Employee ID]],tblEmployee[Employee ID],tblEmployee[Pay Factor],1))</f>
        <v>1</v>
      </c>
      <c r="G340" s="26" t="str" cm="1">
        <f t="array" ref="G340">IF(tblPayrollMaster[[#This Row],[Employee ID]]="","",_xlfn.XLOOKUP(selPayPeriodID,tblPayCalendar[PayPeriodID],tblPayCalendar[PeriodStart],""))</f>
        <v/>
      </c>
      <c r="H340" s="26" t="str" cm="1">
        <f t="array" ref="H340">IF(tblPayrollMaster[[#This Row],[Employee ID]]="","",_xlfn.XLOOKUP(selPayPeriodID,tblPayCalendar[PayPeriodID],tblPayCalendar[PeriodEnd],""))</f>
        <v/>
      </c>
      <c r="I340" s="24" t="e" cm="1" vm="1">
        <f t="array" aca="1" ref="I340" ca="1">Table18[Employer Name]</f>
        <v>#VALUE!</v>
      </c>
      <c r="J340" s="3" cm="1">
        <f t="array" ref="J34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40" s="25" t="str">
        <f>_xlfn.XLOOKUP(tblPayrollMaster[[#This Row],[Employee Position]],tblPositionandPayRate[Employee Position],tblPositionandPayRate[Overtime], " ")</f>
        <v xml:space="preserve"> </v>
      </c>
      <c r="L340" s="25">
        <f>_xlfn.XLOOKUP(tblPayrollMaster[[#This Row],[Employee Position]],tblPositionandPayRate[Employee Position],tblPositionandPayRate[Allowance 1],0)*tblPayrollMaster[[#This Row],[Pay Factor]]</f>
        <v>0</v>
      </c>
      <c r="M340" s="25">
        <f>_xlfn.XLOOKUP(tblPayrollMaster[[#This Row],[Employee Position]],tblPositionandPayRate[Employee Position],tblPositionandPayRate[Allowance 2],0)*tblPayrollMaster[[#This Row],[Pay Factor]]</f>
        <v>0</v>
      </c>
      <c r="N340" s="25">
        <f>_xlfn.XLOOKUP(tblPayrollMaster[[#This Row],[Employee Position]],tblPositionandPayRate[Employee Position],tblPositionandPayRate[Allowance 3],0)*tblPayrollMaster[[#This Row],[Pay Factor]]</f>
        <v>0</v>
      </c>
      <c r="O340" s="25">
        <f>_xlfn.XLOOKUP(tblPayrollMaster[[#This Row],[Employee Position]],tblPositionandPayRate[Employee Position],tblPositionandPayRate[Allowance 4],0)*tblPayrollMaster[[#This Row],[Pay Factor]]</f>
        <v>0</v>
      </c>
      <c r="P340" s="25">
        <f>_xlfn.XLOOKUP(tblPayrollMaster[[#This Row],[Employee Position]],tblPositionandPayRate[Employee Position],tblPositionandPayRate[Allowance 5],0)*tblPayrollMaster[[#This Row],[Pay Factor]]</f>
        <v>0</v>
      </c>
      <c r="Q340" s="25">
        <f>SUM(tblPayrollMaster[[#This Row],[Basic Pay]:[Allowance 5]])</f>
        <v>0</v>
      </c>
      <c r="R34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40" s="51" cm="1">
        <f t="array" ref="S3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40" s="3" cm="1">
        <f t="array" ref="T3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40" s="25">
        <f>_xlfn.LET(
_xlpm.tos, _xlfn.XLOOKUP(tblPayrollMaster[[#This Row],[Employee ID]], tblEmployee[Employee ID], tblEmployee[Type of Service], ""),
IF(_xlpm.tos="Contract of Service", 8.25, 0)
)</f>
        <v>0</v>
      </c>
      <c r="V340" s="25">
        <f>tblPayrollMaster[[#This Row],[Basic Earnings]]-tblPayrollMaster[[#This Row],[Tax]]-tblPayrollMaster[[#This Row],[NIS - Employee]]-tblPayrollMaster[[#This Row],[Health Surcharge]]</f>
        <v>0</v>
      </c>
      <c r="W340" s="25">
        <f>tblPayrollMaster[[#This Row],[Net Pay]]</f>
        <v>0</v>
      </c>
      <c r="X340" s="25"/>
    </row>
    <row r="341" spans="1:24" x14ac:dyDescent="0.25">
      <c r="A341" s="24"/>
      <c r="B341" s="24" t="str">
        <f>_xlfn.XLOOKUP(tblPayrollMaster[[#This Row],[Employee ID]],tblEmployee[Employee ID],tblEmployee[Employee Name],"")</f>
        <v/>
      </c>
      <c r="C341" s="24" t="str">
        <f>_xlfn.XLOOKUP(tblPayrollMaster[[#This Row],[Employee ID]],tblEmployee[Employee ID],tblEmployee[Employee Position],"")</f>
        <v/>
      </c>
      <c r="D341" s="24" t="str">
        <f>_xlfn.XLOOKUP(tblPayrollMaster[[#This Row],[Employee ID]], tblEmployee[Employee ID], tblEmployee[Pay Status], "Pay")</f>
        <v>Pay</v>
      </c>
      <c r="E341" s="24" t="str">
        <f>_xlfn.XLOOKUP(tblPayrollMaster[[#This Row],[Employee ID]], tblEmployee[Employee ID], tblEmployee[Payable Flag], "Y")</f>
        <v>Y</v>
      </c>
      <c r="F341" s="45">
        <f>IF(tblPayrollMaster[[#This Row],[Payable Flag]]="N",0,_xlfn.XLOOKUP(tblPayrollMaster[[#This Row],[Employee ID]],tblEmployee[Employee ID],tblEmployee[Pay Factor],1))</f>
        <v>1</v>
      </c>
      <c r="G341" s="26" t="str" cm="1">
        <f t="array" ref="G341">IF(tblPayrollMaster[[#This Row],[Employee ID]]="","",_xlfn.XLOOKUP(selPayPeriodID,tblPayCalendar[PayPeriodID],tblPayCalendar[PeriodStart],""))</f>
        <v/>
      </c>
      <c r="H341" s="26" t="str" cm="1">
        <f t="array" ref="H341">IF(tblPayrollMaster[[#This Row],[Employee ID]]="","",_xlfn.XLOOKUP(selPayPeriodID,tblPayCalendar[PayPeriodID],tblPayCalendar[PeriodEnd],""))</f>
        <v/>
      </c>
      <c r="I341" s="24" t="e" cm="1" vm="1">
        <f t="array" aca="1" ref="I341" ca="1">Table18[Employer Name]</f>
        <v>#VALUE!</v>
      </c>
      <c r="J341" s="3" cm="1">
        <f t="array" ref="J34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41" s="25" t="str">
        <f>_xlfn.XLOOKUP(tblPayrollMaster[[#This Row],[Employee Position]],tblPositionandPayRate[Employee Position],tblPositionandPayRate[Overtime], " ")</f>
        <v xml:space="preserve"> </v>
      </c>
      <c r="L341" s="25">
        <f>_xlfn.XLOOKUP(tblPayrollMaster[[#This Row],[Employee Position]],tblPositionandPayRate[Employee Position],tblPositionandPayRate[Allowance 1],0)*tblPayrollMaster[[#This Row],[Pay Factor]]</f>
        <v>0</v>
      </c>
      <c r="M341" s="25">
        <f>_xlfn.XLOOKUP(tblPayrollMaster[[#This Row],[Employee Position]],tblPositionandPayRate[Employee Position],tblPositionandPayRate[Allowance 2],0)*tblPayrollMaster[[#This Row],[Pay Factor]]</f>
        <v>0</v>
      </c>
      <c r="N341" s="25">
        <f>_xlfn.XLOOKUP(tblPayrollMaster[[#This Row],[Employee Position]],tblPositionandPayRate[Employee Position],tblPositionandPayRate[Allowance 3],0)*tblPayrollMaster[[#This Row],[Pay Factor]]</f>
        <v>0</v>
      </c>
      <c r="O341" s="25">
        <f>_xlfn.XLOOKUP(tblPayrollMaster[[#This Row],[Employee Position]],tblPositionandPayRate[Employee Position],tblPositionandPayRate[Allowance 4],0)*tblPayrollMaster[[#This Row],[Pay Factor]]</f>
        <v>0</v>
      </c>
      <c r="P341" s="25">
        <f>_xlfn.XLOOKUP(tblPayrollMaster[[#This Row],[Employee Position]],tblPositionandPayRate[Employee Position],tblPositionandPayRate[Allowance 5],0)*tblPayrollMaster[[#This Row],[Pay Factor]]</f>
        <v>0</v>
      </c>
      <c r="Q341" s="25">
        <f>SUM(tblPayrollMaster[[#This Row],[Basic Pay]:[Allowance 5]])</f>
        <v>0</v>
      </c>
      <c r="R34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41" s="51" cm="1">
        <f t="array" ref="S3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41" s="3" cm="1">
        <f t="array" ref="T3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41" s="25">
        <f>_xlfn.LET(
_xlpm.tos, _xlfn.XLOOKUP(tblPayrollMaster[[#This Row],[Employee ID]], tblEmployee[Employee ID], tblEmployee[Type of Service], ""),
IF(_xlpm.tos="Contract of Service", 8.25, 0)
)</f>
        <v>0</v>
      </c>
      <c r="V341" s="25">
        <f>tblPayrollMaster[[#This Row],[Basic Earnings]]-tblPayrollMaster[[#This Row],[Tax]]-tblPayrollMaster[[#This Row],[NIS - Employee]]-tblPayrollMaster[[#This Row],[Health Surcharge]]</f>
        <v>0</v>
      </c>
      <c r="W341" s="25">
        <f>tblPayrollMaster[[#This Row],[Net Pay]]</f>
        <v>0</v>
      </c>
      <c r="X341" s="25"/>
    </row>
    <row r="342" spans="1:24" x14ac:dyDescent="0.25">
      <c r="A342" s="24"/>
      <c r="B342" s="24" t="str">
        <f>_xlfn.XLOOKUP(tblPayrollMaster[[#This Row],[Employee ID]],tblEmployee[Employee ID],tblEmployee[Employee Name],"")</f>
        <v/>
      </c>
      <c r="C342" s="24" t="str">
        <f>_xlfn.XLOOKUP(tblPayrollMaster[[#This Row],[Employee ID]],tblEmployee[Employee ID],tblEmployee[Employee Position],"")</f>
        <v/>
      </c>
      <c r="D342" s="24" t="str">
        <f>_xlfn.XLOOKUP(tblPayrollMaster[[#This Row],[Employee ID]], tblEmployee[Employee ID], tblEmployee[Pay Status], "Pay")</f>
        <v>Pay</v>
      </c>
      <c r="E342" s="24" t="str">
        <f>_xlfn.XLOOKUP(tblPayrollMaster[[#This Row],[Employee ID]], tblEmployee[Employee ID], tblEmployee[Payable Flag], "Y")</f>
        <v>Y</v>
      </c>
      <c r="F342" s="45">
        <f>IF(tblPayrollMaster[[#This Row],[Payable Flag]]="N",0,_xlfn.XLOOKUP(tblPayrollMaster[[#This Row],[Employee ID]],tblEmployee[Employee ID],tblEmployee[Pay Factor],1))</f>
        <v>1</v>
      </c>
      <c r="G342" s="26" t="str" cm="1">
        <f t="array" ref="G342">IF(tblPayrollMaster[[#This Row],[Employee ID]]="","",_xlfn.XLOOKUP(selPayPeriodID,tblPayCalendar[PayPeriodID],tblPayCalendar[PeriodStart],""))</f>
        <v/>
      </c>
      <c r="H342" s="26" t="str" cm="1">
        <f t="array" ref="H342">IF(tblPayrollMaster[[#This Row],[Employee ID]]="","",_xlfn.XLOOKUP(selPayPeriodID,tblPayCalendar[PayPeriodID],tblPayCalendar[PeriodEnd],""))</f>
        <v/>
      </c>
      <c r="I342" s="24" t="e" cm="1" vm="1">
        <f t="array" aca="1" ref="I342" ca="1">Table18[Employer Name]</f>
        <v>#VALUE!</v>
      </c>
      <c r="J342" s="3" cm="1">
        <f t="array" ref="J34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42" s="25" t="str">
        <f>_xlfn.XLOOKUP(tblPayrollMaster[[#This Row],[Employee Position]],tblPositionandPayRate[Employee Position],tblPositionandPayRate[Overtime], " ")</f>
        <v xml:space="preserve"> </v>
      </c>
      <c r="L342" s="25">
        <f>_xlfn.XLOOKUP(tblPayrollMaster[[#This Row],[Employee Position]],tblPositionandPayRate[Employee Position],tblPositionandPayRate[Allowance 1],0)*tblPayrollMaster[[#This Row],[Pay Factor]]</f>
        <v>0</v>
      </c>
      <c r="M342" s="25">
        <f>_xlfn.XLOOKUP(tblPayrollMaster[[#This Row],[Employee Position]],tblPositionandPayRate[Employee Position],tblPositionandPayRate[Allowance 2],0)*tblPayrollMaster[[#This Row],[Pay Factor]]</f>
        <v>0</v>
      </c>
      <c r="N342" s="25">
        <f>_xlfn.XLOOKUP(tblPayrollMaster[[#This Row],[Employee Position]],tblPositionandPayRate[Employee Position],tblPositionandPayRate[Allowance 3],0)*tblPayrollMaster[[#This Row],[Pay Factor]]</f>
        <v>0</v>
      </c>
      <c r="O342" s="25">
        <f>_xlfn.XLOOKUP(tblPayrollMaster[[#This Row],[Employee Position]],tblPositionandPayRate[Employee Position],tblPositionandPayRate[Allowance 4],0)*tblPayrollMaster[[#This Row],[Pay Factor]]</f>
        <v>0</v>
      </c>
      <c r="P342" s="25">
        <f>_xlfn.XLOOKUP(tblPayrollMaster[[#This Row],[Employee Position]],tblPositionandPayRate[Employee Position],tblPositionandPayRate[Allowance 5],0)*tblPayrollMaster[[#This Row],[Pay Factor]]</f>
        <v>0</v>
      </c>
      <c r="Q342" s="25">
        <f>SUM(tblPayrollMaster[[#This Row],[Basic Pay]:[Allowance 5]])</f>
        <v>0</v>
      </c>
      <c r="R34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42" s="51" cm="1">
        <f t="array" ref="S3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42" s="3" cm="1">
        <f t="array" ref="T3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42" s="25">
        <f>_xlfn.LET(
_xlpm.tos, _xlfn.XLOOKUP(tblPayrollMaster[[#This Row],[Employee ID]], tblEmployee[Employee ID], tblEmployee[Type of Service], ""),
IF(_xlpm.tos="Contract of Service", 8.25, 0)
)</f>
        <v>0</v>
      </c>
      <c r="V342" s="25">
        <f>tblPayrollMaster[[#This Row],[Basic Earnings]]-tblPayrollMaster[[#This Row],[Tax]]-tblPayrollMaster[[#This Row],[NIS - Employee]]-tblPayrollMaster[[#This Row],[Health Surcharge]]</f>
        <v>0</v>
      </c>
      <c r="W342" s="25">
        <f>tblPayrollMaster[[#This Row],[Net Pay]]</f>
        <v>0</v>
      </c>
      <c r="X342" s="25"/>
    </row>
    <row r="343" spans="1:24" x14ac:dyDescent="0.25">
      <c r="A343" s="24"/>
      <c r="B343" s="24" t="str">
        <f>_xlfn.XLOOKUP(tblPayrollMaster[[#This Row],[Employee ID]],tblEmployee[Employee ID],tblEmployee[Employee Name],"")</f>
        <v/>
      </c>
      <c r="C343" s="24" t="str">
        <f>_xlfn.XLOOKUP(tblPayrollMaster[[#This Row],[Employee ID]],tblEmployee[Employee ID],tblEmployee[Employee Position],"")</f>
        <v/>
      </c>
      <c r="D343" s="24" t="str">
        <f>_xlfn.XLOOKUP(tblPayrollMaster[[#This Row],[Employee ID]], tblEmployee[Employee ID], tblEmployee[Pay Status], "Pay")</f>
        <v>Pay</v>
      </c>
      <c r="E343" s="24" t="str">
        <f>_xlfn.XLOOKUP(tblPayrollMaster[[#This Row],[Employee ID]], tblEmployee[Employee ID], tblEmployee[Payable Flag], "Y")</f>
        <v>Y</v>
      </c>
      <c r="F343" s="45">
        <f>IF(tblPayrollMaster[[#This Row],[Payable Flag]]="N",0,_xlfn.XLOOKUP(tblPayrollMaster[[#This Row],[Employee ID]],tblEmployee[Employee ID],tblEmployee[Pay Factor],1))</f>
        <v>1</v>
      </c>
      <c r="G343" s="26" t="str" cm="1">
        <f t="array" ref="G343">IF(tblPayrollMaster[[#This Row],[Employee ID]]="","",_xlfn.XLOOKUP(selPayPeriodID,tblPayCalendar[PayPeriodID],tblPayCalendar[PeriodStart],""))</f>
        <v/>
      </c>
      <c r="H343" s="26" t="str" cm="1">
        <f t="array" ref="H343">IF(tblPayrollMaster[[#This Row],[Employee ID]]="","",_xlfn.XLOOKUP(selPayPeriodID,tblPayCalendar[PayPeriodID],tblPayCalendar[PeriodEnd],""))</f>
        <v/>
      </c>
      <c r="I343" s="24" t="e" cm="1" vm="1">
        <f t="array" aca="1" ref="I343" ca="1">Table18[Employer Name]</f>
        <v>#VALUE!</v>
      </c>
      <c r="J343" s="3" cm="1">
        <f t="array" ref="J34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43" s="25" t="str">
        <f>_xlfn.XLOOKUP(tblPayrollMaster[[#This Row],[Employee Position]],tblPositionandPayRate[Employee Position],tblPositionandPayRate[Overtime], " ")</f>
        <v xml:space="preserve"> </v>
      </c>
      <c r="L343" s="25">
        <f>_xlfn.XLOOKUP(tblPayrollMaster[[#This Row],[Employee Position]],tblPositionandPayRate[Employee Position],tblPositionandPayRate[Allowance 1],0)*tblPayrollMaster[[#This Row],[Pay Factor]]</f>
        <v>0</v>
      </c>
      <c r="M343" s="25">
        <f>_xlfn.XLOOKUP(tblPayrollMaster[[#This Row],[Employee Position]],tblPositionandPayRate[Employee Position],tblPositionandPayRate[Allowance 2],0)*tblPayrollMaster[[#This Row],[Pay Factor]]</f>
        <v>0</v>
      </c>
      <c r="N343" s="25">
        <f>_xlfn.XLOOKUP(tblPayrollMaster[[#This Row],[Employee Position]],tblPositionandPayRate[Employee Position],tblPositionandPayRate[Allowance 3],0)*tblPayrollMaster[[#This Row],[Pay Factor]]</f>
        <v>0</v>
      </c>
      <c r="O343" s="25">
        <f>_xlfn.XLOOKUP(tblPayrollMaster[[#This Row],[Employee Position]],tblPositionandPayRate[Employee Position],tblPositionandPayRate[Allowance 4],0)*tblPayrollMaster[[#This Row],[Pay Factor]]</f>
        <v>0</v>
      </c>
      <c r="P343" s="25">
        <f>_xlfn.XLOOKUP(tblPayrollMaster[[#This Row],[Employee Position]],tblPositionandPayRate[Employee Position],tblPositionandPayRate[Allowance 5],0)*tblPayrollMaster[[#This Row],[Pay Factor]]</f>
        <v>0</v>
      </c>
      <c r="Q343" s="25">
        <f>SUM(tblPayrollMaster[[#This Row],[Basic Pay]:[Allowance 5]])</f>
        <v>0</v>
      </c>
      <c r="R34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43" s="51" cm="1">
        <f t="array" ref="S3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43" s="3" cm="1">
        <f t="array" ref="T3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43" s="25">
        <f>_xlfn.LET(
_xlpm.tos, _xlfn.XLOOKUP(tblPayrollMaster[[#This Row],[Employee ID]], tblEmployee[Employee ID], tblEmployee[Type of Service], ""),
IF(_xlpm.tos="Contract of Service", 8.25, 0)
)</f>
        <v>0</v>
      </c>
      <c r="V343" s="25">
        <f>tblPayrollMaster[[#This Row],[Basic Earnings]]-tblPayrollMaster[[#This Row],[Tax]]-tblPayrollMaster[[#This Row],[NIS - Employee]]-tblPayrollMaster[[#This Row],[Health Surcharge]]</f>
        <v>0</v>
      </c>
      <c r="W343" s="25">
        <f>tblPayrollMaster[[#This Row],[Net Pay]]</f>
        <v>0</v>
      </c>
      <c r="X343" s="25"/>
    </row>
    <row r="344" spans="1:24" x14ac:dyDescent="0.25">
      <c r="A344" s="24"/>
      <c r="B344" s="24" t="str">
        <f>_xlfn.XLOOKUP(tblPayrollMaster[[#This Row],[Employee ID]],tblEmployee[Employee ID],tblEmployee[Employee Name],"")</f>
        <v/>
      </c>
      <c r="C344" s="24" t="str">
        <f>_xlfn.XLOOKUP(tblPayrollMaster[[#This Row],[Employee ID]],tblEmployee[Employee ID],tblEmployee[Employee Position],"")</f>
        <v/>
      </c>
      <c r="D344" s="24" t="str">
        <f>_xlfn.XLOOKUP(tblPayrollMaster[[#This Row],[Employee ID]], tblEmployee[Employee ID], tblEmployee[Pay Status], "Pay")</f>
        <v>Pay</v>
      </c>
      <c r="E344" s="24" t="str">
        <f>_xlfn.XLOOKUP(tblPayrollMaster[[#This Row],[Employee ID]], tblEmployee[Employee ID], tblEmployee[Payable Flag], "Y")</f>
        <v>Y</v>
      </c>
      <c r="F344" s="45">
        <f>IF(tblPayrollMaster[[#This Row],[Payable Flag]]="N",0,_xlfn.XLOOKUP(tblPayrollMaster[[#This Row],[Employee ID]],tblEmployee[Employee ID],tblEmployee[Pay Factor],1))</f>
        <v>1</v>
      </c>
      <c r="G344" s="26" t="str" cm="1">
        <f t="array" ref="G344">IF(tblPayrollMaster[[#This Row],[Employee ID]]="","",_xlfn.XLOOKUP(selPayPeriodID,tblPayCalendar[PayPeriodID],tblPayCalendar[PeriodStart],""))</f>
        <v/>
      </c>
      <c r="H344" s="26" t="str" cm="1">
        <f t="array" ref="H344">IF(tblPayrollMaster[[#This Row],[Employee ID]]="","",_xlfn.XLOOKUP(selPayPeriodID,tblPayCalendar[PayPeriodID],tblPayCalendar[PeriodEnd],""))</f>
        <v/>
      </c>
      <c r="I344" s="24" t="e" cm="1" vm="1">
        <f t="array" aca="1" ref="I344" ca="1">Table18[Employer Name]</f>
        <v>#VALUE!</v>
      </c>
      <c r="J344" s="3" cm="1">
        <f t="array" ref="J34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44" s="25" t="str">
        <f>_xlfn.XLOOKUP(tblPayrollMaster[[#This Row],[Employee Position]],tblPositionandPayRate[Employee Position],tblPositionandPayRate[Overtime], " ")</f>
        <v xml:space="preserve"> </v>
      </c>
      <c r="L344" s="25">
        <f>_xlfn.XLOOKUP(tblPayrollMaster[[#This Row],[Employee Position]],tblPositionandPayRate[Employee Position],tblPositionandPayRate[Allowance 1],0)*tblPayrollMaster[[#This Row],[Pay Factor]]</f>
        <v>0</v>
      </c>
      <c r="M344" s="25">
        <f>_xlfn.XLOOKUP(tblPayrollMaster[[#This Row],[Employee Position]],tblPositionandPayRate[Employee Position],tblPositionandPayRate[Allowance 2],0)*tblPayrollMaster[[#This Row],[Pay Factor]]</f>
        <v>0</v>
      </c>
      <c r="N344" s="25">
        <f>_xlfn.XLOOKUP(tblPayrollMaster[[#This Row],[Employee Position]],tblPositionandPayRate[Employee Position],tblPositionandPayRate[Allowance 3],0)*tblPayrollMaster[[#This Row],[Pay Factor]]</f>
        <v>0</v>
      </c>
      <c r="O344" s="25">
        <f>_xlfn.XLOOKUP(tblPayrollMaster[[#This Row],[Employee Position]],tblPositionandPayRate[Employee Position],tblPositionandPayRate[Allowance 4],0)*tblPayrollMaster[[#This Row],[Pay Factor]]</f>
        <v>0</v>
      </c>
      <c r="P344" s="25">
        <f>_xlfn.XLOOKUP(tblPayrollMaster[[#This Row],[Employee Position]],tblPositionandPayRate[Employee Position],tblPositionandPayRate[Allowance 5],0)*tblPayrollMaster[[#This Row],[Pay Factor]]</f>
        <v>0</v>
      </c>
      <c r="Q344" s="25">
        <f>SUM(tblPayrollMaster[[#This Row],[Basic Pay]:[Allowance 5]])</f>
        <v>0</v>
      </c>
      <c r="R34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44" s="51" cm="1">
        <f t="array" ref="S3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44" s="3" cm="1">
        <f t="array" ref="T3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44" s="25">
        <f>_xlfn.LET(
_xlpm.tos, _xlfn.XLOOKUP(tblPayrollMaster[[#This Row],[Employee ID]], tblEmployee[Employee ID], tblEmployee[Type of Service], ""),
IF(_xlpm.tos="Contract of Service", 8.25, 0)
)</f>
        <v>0</v>
      </c>
      <c r="V344" s="25">
        <f>tblPayrollMaster[[#This Row],[Basic Earnings]]-tblPayrollMaster[[#This Row],[Tax]]-tblPayrollMaster[[#This Row],[NIS - Employee]]-tblPayrollMaster[[#This Row],[Health Surcharge]]</f>
        <v>0</v>
      </c>
      <c r="W344" s="25">
        <f>tblPayrollMaster[[#This Row],[Net Pay]]</f>
        <v>0</v>
      </c>
      <c r="X344" s="25"/>
    </row>
    <row r="345" spans="1:24" x14ac:dyDescent="0.25">
      <c r="A345" s="24"/>
      <c r="B345" s="24" t="str">
        <f>_xlfn.XLOOKUP(tblPayrollMaster[[#This Row],[Employee ID]],tblEmployee[Employee ID],tblEmployee[Employee Name],"")</f>
        <v/>
      </c>
      <c r="C345" s="24" t="str">
        <f>_xlfn.XLOOKUP(tblPayrollMaster[[#This Row],[Employee ID]],tblEmployee[Employee ID],tblEmployee[Employee Position],"")</f>
        <v/>
      </c>
      <c r="D345" s="24" t="str">
        <f>_xlfn.XLOOKUP(tblPayrollMaster[[#This Row],[Employee ID]], tblEmployee[Employee ID], tblEmployee[Pay Status], "Pay")</f>
        <v>Pay</v>
      </c>
      <c r="E345" s="24" t="str">
        <f>_xlfn.XLOOKUP(tblPayrollMaster[[#This Row],[Employee ID]], tblEmployee[Employee ID], tblEmployee[Payable Flag], "Y")</f>
        <v>Y</v>
      </c>
      <c r="F345" s="45">
        <f>IF(tblPayrollMaster[[#This Row],[Payable Flag]]="N",0,_xlfn.XLOOKUP(tblPayrollMaster[[#This Row],[Employee ID]],tblEmployee[Employee ID],tblEmployee[Pay Factor],1))</f>
        <v>1</v>
      </c>
      <c r="G345" s="26" t="str" cm="1">
        <f t="array" ref="G345">IF(tblPayrollMaster[[#This Row],[Employee ID]]="","",_xlfn.XLOOKUP(selPayPeriodID,tblPayCalendar[PayPeriodID],tblPayCalendar[PeriodStart],""))</f>
        <v/>
      </c>
      <c r="H345" s="26" t="str" cm="1">
        <f t="array" ref="H345">IF(tblPayrollMaster[[#This Row],[Employee ID]]="","",_xlfn.XLOOKUP(selPayPeriodID,tblPayCalendar[PayPeriodID],tblPayCalendar[PeriodEnd],""))</f>
        <v/>
      </c>
      <c r="I345" s="24" t="e" cm="1" vm="1">
        <f t="array" aca="1" ref="I345" ca="1">Table18[Employer Name]</f>
        <v>#VALUE!</v>
      </c>
      <c r="J345" s="3" cm="1">
        <f t="array" ref="J34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45" s="25" t="str">
        <f>_xlfn.XLOOKUP(tblPayrollMaster[[#This Row],[Employee Position]],tblPositionandPayRate[Employee Position],tblPositionandPayRate[Overtime], " ")</f>
        <v xml:space="preserve"> </v>
      </c>
      <c r="L345" s="25">
        <f>_xlfn.XLOOKUP(tblPayrollMaster[[#This Row],[Employee Position]],tblPositionandPayRate[Employee Position],tblPositionandPayRate[Allowance 1],0)*tblPayrollMaster[[#This Row],[Pay Factor]]</f>
        <v>0</v>
      </c>
      <c r="M345" s="25">
        <f>_xlfn.XLOOKUP(tblPayrollMaster[[#This Row],[Employee Position]],tblPositionandPayRate[Employee Position],tblPositionandPayRate[Allowance 2],0)*tblPayrollMaster[[#This Row],[Pay Factor]]</f>
        <v>0</v>
      </c>
      <c r="N345" s="25">
        <f>_xlfn.XLOOKUP(tblPayrollMaster[[#This Row],[Employee Position]],tblPositionandPayRate[Employee Position],tblPositionandPayRate[Allowance 3],0)*tblPayrollMaster[[#This Row],[Pay Factor]]</f>
        <v>0</v>
      </c>
      <c r="O345" s="25">
        <f>_xlfn.XLOOKUP(tblPayrollMaster[[#This Row],[Employee Position]],tblPositionandPayRate[Employee Position],tblPositionandPayRate[Allowance 4],0)*tblPayrollMaster[[#This Row],[Pay Factor]]</f>
        <v>0</v>
      </c>
      <c r="P345" s="25">
        <f>_xlfn.XLOOKUP(tblPayrollMaster[[#This Row],[Employee Position]],tblPositionandPayRate[Employee Position],tblPositionandPayRate[Allowance 5],0)*tblPayrollMaster[[#This Row],[Pay Factor]]</f>
        <v>0</v>
      </c>
      <c r="Q345" s="25">
        <f>SUM(tblPayrollMaster[[#This Row],[Basic Pay]:[Allowance 5]])</f>
        <v>0</v>
      </c>
      <c r="R34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45" s="51" cm="1">
        <f t="array" ref="S3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45" s="3" cm="1">
        <f t="array" ref="T3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45" s="25">
        <f>_xlfn.LET(
_xlpm.tos, _xlfn.XLOOKUP(tblPayrollMaster[[#This Row],[Employee ID]], tblEmployee[Employee ID], tblEmployee[Type of Service], ""),
IF(_xlpm.tos="Contract of Service", 8.25, 0)
)</f>
        <v>0</v>
      </c>
      <c r="V345" s="25">
        <f>tblPayrollMaster[[#This Row],[Basic Earnings]]-tblPayrollMaster[[#This Row],[Tax]]-tblPayrollMaster[[#This Row],[NIS - Employee]]-tblPayrollMaster[[#This Row],[Health Surcharge]]</f>
        <v>0</v>
      </c>
      <c r="W345" s="25">
        <f>tblPayrollMaster[[#This Row],[Net Pay]]</f>
        <v>0</v>
      </c>
      <c r="X345" s="25"/>
    </row>
    <row r="346" spans="1:24" x14ac:dyDescent="0.25">
      <c r="A346" s="24"/>
      <c r="B346" s="24" t="str">
        <f>_xlfn.XLOOKUP(tblPayrollMaster[[#This Row],[Employee ID]],tblEmployee[Employee ID],tblEmployee[Employee Name],"")</f>
        <v/>
      </c>
      <c r="C346" s="24" t="str">
        <f>_xlfn.XLOOKUP(tblPayrollMaster[[#This Row],[Employee ID]],tblEmployee[Employee ID],tblEmployee[Employee Position],"")</f>
        <v/>
      </c>
      <c r="D346" s="24" t="str">
        <f>_xlfn.XLOOKUP(tblPayrollMaster[[#This Row],[Employee ID]], tblEmployee[Employee ID], tblEmployee[Pay Status], "Pay")</f>
        <v>Pay</v>
      </c>
      <c r="E346" s="24" t="str">
        <f>_xlfn.XLOOKUP(tblPayrollMaster[[#This Row],[Employee ID]], tblEmployee[Employee ID], tblEmployee[Payable Flag], "Y")</f>
        <v>Y</v>
      </c>
      <c r="F346" s="45">
        <f>IF(tblPayrollMaster[[#This Row],[Payable Flag]]="N",0,_xlfn.XLOOKUP(tblPayrollMaster[[#This Row],[Employee ID]],tblEmployee[Employee ID],tblEmployee[Pay Factor],1))</f>
        <v>1</v>
      </c>
      <c r="G346" s="26" t="str" cm="1">
        <f t="array" ref="G346">IF(tblPayrollMaster[[#This Row],[Employee ID]]="","",_xlfn.XLOOKUP(selPayPeriodID,tblPayCalendar[PayPeriodID],tblPayCalendar[PeriodStart],""))</f>
        <v/>
      </c>
      <c r="H346" s="26" t="str" cm="1">
        <f t="array" ref="H346">IF(tblPayrollMaster[[#This Row],[Employee ID]]="","",_xlfn.XLOOKUP(selPayPeriodID,tblPayCalendar[PayPeriodID],tblPayCalendar[PeriodEnd],""))</f>
        <v/>
      </c>
      <c r="I346" s="24" t="e" cm="1" vm="1">
        <f t="array" aca="1" ref="I346" ca="1">Table18[Employer Name]</f>
        <v>#VALUE!</v>
      </c>
      <c r="J346" s="3" cm="1">
        <f t="array" ref="J34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46" s="25" t="str">
        <f>_xlfn.XLOOKUP(tblPayrollMaster[[#This Row],[Employee Position]],tblPositionandPayRate[Employee Position],tblPositionandPayRate[Overtime], " ")</f>
        <v xml:space="preserve"> </v>
      </c>
      <c r="L346" s="25">
        <f>_xlfn.XLOOKUP(tblPayrollMaster[[#This Row],[Employee Position]],tblPositionandPayRate[Employee Position],tblPositionandPayRate[Allowance 1],0)*tblPayrollMaster[[#This Row],[Pay Factor]]</f>
        <v>0</v>
      </c>
      <c r="M346" s="25">
        <f>_xlfn.XLOOKUP(tblPayrollMaster[[#This Row],[Employee Position]],tblPositionandPayRate[Employee Position],tblPositionandPayRate[Allowance 2],0)*tblPayrollMaster[[#This Row],[Pay Factor]]</f>
        <v>0</v>
      </c>
      <c r="N346" s="25">
        <f>_xlfn.XLOOKUP(tblPayrollMaster[[#This Row],[Employee Position]],tblPositionandPayRate[Employee Position],tblPositionandPayRate[Allowance 3],0)*tblPayrollMaster[[#This Row],[Pay Factor]]</f>
        <v>0</v>
      </c>
      <c r="O346" s="25">
        <f>_xlfn.XLOOKUP(tblPayrollMaster[[#This Row],[Employee Position]],tblPositionandPayRate[Employee Position],tblPositionandPayRate[Allowance 4],0)*tblPayrollMaster[[#This Row],[Pay Factor]]</f>
        <v>0</v>
      </c>
      <c r="P346" s="25">
        <f>_xlfn.XLOOKUP(tblPayrollMaster[[#This Row],[Employee Position]],tblPositionandPayRate[Employee Position],tblPositionandPayRate[Allowance 5],0)*tblPayrollMaster[[#This Row],[Pay Factor]]</f>
        <v>0</v>
      </c>
      <c r="Q346" s="25">
        <f>SUM(tblPayrollMaster[[#This Row],[Basic Pay]:[Allowance 5]])</f>
        <v>0</v>
      </c>
      <c r="R34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46" s="51" cm="1">
        <f t="array" ref="S3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46" s="3" cm="1">
        <f t="array" ref="T3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46" s="25">
        <f>_xlfn.LET(
_xlpm.tos, _xlfn.XLOOKUP(tblPayrollMaster[[#This Row],[Employee ID]], tblEmployee[Employee ID], tblEmployee[Type of Service], ""),
IF(_xlpm.tos="Contract of Service", 8.25, 0)
)</f>
        <v>0</v>
      </c>
      <c r="V346" s="25">
        <f>tblPayrollMaster[[#This Row],[Basic Earnings]]-tblPayrollMaster[[#This Row],[Tax]]-tblPayrollMaster[[#This Row],[NIS - Employee]]-tblPayrollMaster[[#This Row],[Health Surcharge]]</f>
        <v>0</v>
      </c>
      <c r="W346" s="25">
        <f>tblPayrollMaster[[#This Row],[Net Pay]]</f>
        <v>0</v>
      </c>
      <c r="X346" s="25"/>
    </row>
    <row r="347" spans="1:24" x14ac:dyDescent="0.25">
      <c r="A347" s="24"/>
      <c r="B347" s="24" t="str">
        <f>_xlfn.XLOOKUP(tblPayrollMaster[[#This Row],[Employee ID]],tblEmployee[Employee ID],tblEmployee[Employee Name],"")</f>
        <v/>
      </c>
      <c r="C347" s="24" t="str">
        <f>_xlfn.XLOOKUP(tblPayrollMaster[[#This Row],[Employee ID]],tblEmployee[Employee ID],tblEmployee[Employee Position],"")</f>
        <v/>
      </c>
      <c r="D347" s="24" t="str">
        <f>_xlfn.XLOOKUP(tblPayrollMaster[[#This Row],[Employee ID]], tblEmployee[Employee ID], tblEmployee[Pay Status], "Pay")</f>
        <v>Pay</v>
      </c>
      <c r="E347" s="24" t="str">
        <f>_xlfn.XLOOKUP(tblPayrollMaster[[#This Row],[Employee ID]], tblEmployee[Employee ID], tblEmployee[Payable Flag], "Y")</f>
        <v>Y</v>
      </c>
      <c r="F347" s="45">
        <f>IF(tblPayrollMaster[[#This Row],[Payable Flag]]="N",0,_xlfn.XLOOKUP(tblPayrollMaster[[#This Row],[Employee ID]],tblEmployee[Employee ID],tblEmployee[Pay Factor],1))</f>
        <v>1</v>
      </c>
      <c r="G347" s="26" t="str" cm="1">
        <f t="array" ref="G347">IF(tblPayrollMaster[[#This Row],[Employee ID]]="","",_xlfn.XLOOKUP(selPayPeriodID,tblPayCalendar[PayPeriodID],tblPayCalendar[PeriodStart],""))</f>
        <v/>
      </c>
      <c r="H347" s="26" t="str" cm="1">
        <f t="array" ref="H347">IF(tblPayrollMaster[[#This Row],[Employee ID]]="","",_xlfn.XLOOKUP(selPayPeriodID,tblPayCalendar[PayPeriodID],tblPayCalendar[PeriodEnd],""))</f>
        <v/>
      </c>
      <c r="I347" s="24" t="e" cm="1" vm="1">
        <f t="array" aca="1" ref="I347" ca="1">Table18[Employer Name]</f>
        <v>#VALUE!</v>
      </c>
      <c r="J347" s="3" cm="1">
        <f t="array" ref="J34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47" s="25" t="str">
        <f>_xlfn.XLOOKUP(tblPayrollMaster[[#This Row],[Employee Position]],tblPositionandPayRate[Employee Position],tblPositionandPayRate[Overtime], " ")</f>
        <v xml:space="preserve"> </v>
      </c>
      <c r="L347" s="25">
        <f>_xlfn.XLOOKUP(tblPayrollMaster[[#This Row],[Employee Position]],tblPositionandPayRate[Employee Position],tblPositionandPayRate[Allowance 1],0)*tblPayrollMaster[[#This Row],[Pay Factor]]</f>
        <v>0</v>
      </c>
      <c r="M347" s="25">
        <f>_xlfn.XLOOKUP(tblPayrollMaster[[#This Row],[Employee Position]],tblPositionandPayRate[Employee Position],tblPositionandPayRate[Allowance 2],0)*tblPayrollMaster[[#This Row],[Pay Factor]]</f>
        <v>0</v>
      </c>
      <c r="N347" s="25">
        <f>_xlfn.XLOOKUP(tblPayrollMaster[[#This Row],[Employee Position]],tblPositionandPayRate[Employee Position],tblPositionandPayRate[Allowance 3],0)*tblPayrollMaster[[#This Row],[Pay Factor]]</f>
        <v>0</v>
      </c>
      <c r="O347" s="25">
        <f>_xlfn.XLOOKUP(tblPayrollMaster[[#This Row],[Employee Position]],tblPositionandPayRate[Employee Position],tblPositionandPayRate[Allowance 4],0)*tblPayrollMaster[[#This Row],[Pay Factor]]</f>
        <v>0</v>
      </c>
      <c r="P347" s="25">
        <f>_xlfn.XLOOKUP(tblPayrollMaster[[#This Row],[Employee Position]],tblPositionandPayRate[Employee Position],tblPositionandPayRate[Allowance 5],0)*tblPayrollMaster[[#This Row],[Pay Factor]]</f>
        <v>0</v>
      </c>
      <c r="Q347" s="25">
        <f>SUM(tblPayrollMaster[[#This Row],[Basic Pay]:[Allowance 5]])</f>
        <v>0</v>
      </c>
      <c r="R34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47" s="51" cm="1">
        <f t="array" ref="S3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47" s="3" cm="1">
        <f t="array" ref="T3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47" s="25">
        <f>_xlfn.LET(
_xlpm.tos, _xlfn.XLOOKUP(tblPayrollMaster[[#This Row],[Employee ID]], tblEmployee[Employee ID], tblEmployee[Type of Service], ""),
IF(_xlpm.tos="Contract of Service", 8.25, 0)
)</f>
        <v>0</v>
      </c>
      <c r="V347" s="25">
        <f>tblPayrollMaster[[#This Row],[Basic Earnings]]-tblPayrollMaster[[#This Row],[Tax]]-tblPayrollMaster[[#This Row],[NIS - Employee]]-tblPayrollMaster[[#This Row],[Health Surcharge]]</f>
        <v>0</v>
      </c>
      <c r="W347" s="25">
        <f>tblPayrollMaster[[#This Row],[Net Pay]]</f>
        <v>0</v>
      </c>
      <c r="X347" s="25"/>
    </row>
    <row r="348" spans="1:24" x14ac:dyDescent="0.25">
      <c r="A348" s="24"/>
      <c r="B348" s="24" t="str">
        <f>_xlfn.XLOOKUP(tblPayrollMaster[[#This Row],[Employee ID]],tblEmployee[Employee ID],tblEmployee[Employee Name],"")</f>
        <v/>
      </c>
      <c r="C348" s="24" t="str">
        <f>_xlfn.XLOOKUP(tblPayrollMaster[[#This Row],[Employee ID]],tblEmployee[Employee ID],tblEmployee[Employee Position],"")</f>
        <v/>
      </c>
      <c r="D348" s="24" t="str">
        <f>_xlfn.XLOOKUP(tblPayrollMaster[[#This Row],[Employee ID]], tblEmployee[Employee ID], tblEmployee[Pay Status], "Pay")</f>
        <v>Pay</v>
      </c>
      <c r="E348" s="24" t="str">
        <f>_xlfn.XLOOKUP(tblPayrollMaster[[#This Row],[Employee ID]], tblEmployee[Employee ID], tblEmployee[Payable Flag], "Y")</f>
        <v>Y</v>
      </c>
      <c r="F348" s="45">
        <f>IF(tblPayrollMaster[[#This Row],[Payable Flag]]="N",0,_xlfn.XLOOKUP(tblPayrollMaster[[#This Row],[Employee ID]],tblEmployee[Employee ID],tblEmployee[Pay Factor],1))</f>
        <v>1</v>
      </c>
      <c r="G348" s="26" t="str" cm="1">
        <f t="array" ref="G348">IF(tblPayrollMaster[[#This Row],[Employee ID]]="","",_xlfn.XLOOKUP(selPayPeriodID,tblPayCalendar[PayPeriodID],tblPayCalendar[PeriodStart],""))</f>
        <v/>
      </c>
      <c r="H348" s="26" t="str" cm="1">
        <f t="array" ref="H348">IF(tblPayrollMaster[[#This Row],[Employee ID]]="","",_xlfn.XLOOKUP(selPayPeriodID,tblPayCalendar[PayPeriodID],tblPayCalendar[PeriodEnd],""))</f>
        <v/>
      </c>
      <c r="I348" s="24" t="e" cm="1" vm="1">
        <f t="array" aca="1" ref="I348" ca="1">Table18[Employer Name]</f>
        <v>#VALUE!</v>
      </c>
      <c r="J348" s="3" cm="1">
        <f t="array" ref="J34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48" s="25" t="str">
        <f>_xlfn.XLOOKUP(tblPayrollMaster[[#This Row],[Employee Position]],tblPositionandPayRate[Employee Position],tblPositionandPayRate[Overtime], " ")</f>
        <v xml:space="preserve"> </v>
      </c>
      <c r="L348" s="25">
        <f>_xlfn.XLOOKUP(tblPayrollMaster[[#This Row],[Employee Position]],tblPositionandPayRate[Employee Position],tblPositionandPayRate[Allowance 1],0)*tblPayrollMaster[[#This Row],[Pay Factor]]</f>
        <v>0</v>
      </c>
      <c r="M348" s="25">
        <f>_xlfn.XLOOKUP(tblPayrollMaster[[#This Row],[Employee Position]],tblPositionandPayRate[Employee Position],tblPositionandPayRate[Allowance 2],0)*tblPayrollMaster[[#This Row],[Pay Factor]]</f>
        <v>0</v>
      </c>
      <c r="N348" s="25">
        <f>_xlfn.XLOOKUP(tblPayrollMaster[[#This Row],[Employee Position]],tblPositionandPayRate[Employee Position],tblPositionandPayRate[Allowance 3],0)*tblPayrollMaster[[#This Row],[Pay Factor]]</f>
        <v>0</v>
      </c>
      <c r="O348" s="25">
        <f>_xlfn.XLOOKUP(tblPayrollMaster[[#This Row],[Employee Position]],tblPositionandPayRate[Employee Position],tblPositionandPayRate[Allowance 4],0)*tblPayrollMaster[[#This Row],[Pay Factor]]</f>
        <v>0</v>
      </c>
      <c r="P348" s="25">
        <f>_xlfn.XLOOKUP(tblPayrollMaster[[#This Row],[Employee Position]],tblPositionandPayRate[Employee Position],tblPositionandPayRate[Allowance 5],0)*tblPayrollMaster[[#This Row],[Pay Factor]]</f>
        <v>0</v>
      </c>
      <c r="Q348" s="25">
        <f>SUM(tblPayrollMaster[[#This Row],[Basic Pay]:[Allowance 5]])</f>
        <v>0</v>
      </c>
      <c r="R34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48" s="51" cm="1">
        <f t="array" ref="S3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48" s="3" cm="1">
        <f t="array" ref="T3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48" s="25">
        <f>_xlfn.LET(
_xlpm.tos, _xlfn.XLOOKUP(tblPayrollMaster[[#This Row],[Employee ID]], tblEmployee[Employee ID], tblEmployee[Type of Service], ""),
IF(_xlpm.tos="Contract of Service", 8.25, 0)
)</f>
        <v>0</v>
      </c>
      <c r="V348" s="25">
        <f>tblPayrollMaster[[#This Row],[Basic Earnings]]-tblPayrollMaster[[#This Row],[Tax]]-tblPayrollMaster[[#This Row],[NIS - Employee]]-tblPayrollMaster[[#This Row],[Health Surcharge]]</f>
        <v>0</v>
      </c>
      <c r="W348" s="25">
        <f>tblPayrollMaster[[#This Row],[Net Pay]]</f>
        <v>0</v>
      </c>
      <c r="X348" s="25"/>
    </row>
    <row r="349" spans="1:24" x14ac:dyDescent="0.25">
      <c r="A349" s="24"/>
      <c r="B349" s="24" t="str">
        <f>_xlfn.XLOOKUP(tblPayrollMaster[[#This Row],[Employee ID]],tblEmployee[Employee ID],tblEmployee[Employee Name],"")</f>
        <v/>
      </c>
      <c r="C349" s="24" t="str">
        <f>_xlfn.XLOOKUP(tblPayrollMaster[[#This Row],[Employee ID]],tblEmployee[Employee ID],tblEmployee[Employee Position],"")</f>
        <v/>
      </c>
      <c r="D349" s="24" t="str">
        <f>_xlfn.XLOOKUP(tblPayrollMaster[[#This Row],[Employee ID]], tblEmployee[Employee ID], tblEmployee[Pay Status], "Pay")</f>
        <v>Pay</v>
      </c>
      <c r="E349" s="24" t="str">
        <f>_xlfn.XLOOKUP(tblPayrollMaster[[#This Row],[Employee ID]], tblEmployee[Employee ID], tblEmployee[Payable Flag], "Y")</f>
        <v>Y</v>
      </c>
      <c r="F349" s="45">
        <f>IF(tblPayrollMaster[[#This Row],[Payable Flag]]="N",0,_xlfn.XLOOKUP(tblPayrollMaster[[#This Row],[Employee ID]],tblEmployee[Employee ID],tblEmployee[Pay Factor],1))</f>
        <v>1</v>
      </c>
      <c r="G349" s="26" t="str" cm="1">
        <f t="array" ref="G349">IF(tblPayrollMaster[[#This Row],[Employee ID]]="","",_xlfn.XLOOKUP(selPayPeriodID,tblPayCalendar[PayPeriodID],tblPayCalendar[PeriodStart],""))</f>
        <v/>
      </c>
      <c r="H349" s="26" t="str" cm="1">
        <f t="array" ref="H349">IF(tblPayrollMaster[[#This Row],[Employee ID]]="","",_xlfn.XLOOKUP(selPayPeriodID,tblPayCalendar[PayPeriodID],tblPayCalendar[PeriodEnd],""))</f>
        <v/>
      </c>
      <c r="I349" s="24" t="e" cm="1" vm="1">
        <f t="array" aca="1" ref="I349" ca="1">Table18[Employer Name]</f>
        <v>#VALUE!</v>
      </c>
      <c r="J349" s="3" cm="1">
        <f t="array" ref="J34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49" s="25" t="str">
        <f>_xlfn.XLOOKUP(tblPayrollMaster[[#This Row],[Employee Position]],tblPositionandPayRate[Employee Position],tblPositionandPayRate[Overtime], " ")</f>
        <v xml:space="preserve"> </v>
      </c>
      <c r="L349" s="25">
        <f>_xlfn.XLOOKUP(tblPayrollMaster[[#This Row],[Employee Position]],tblPositionandPayRate[Employee Position],tblPositionandPayRate[Allowance 1],0)*tblPayrollMaster[[#This Row],[Pay Factor]]</f>
        <v>0</v>
      </c>
      <c r="M349" s="25">
        <f>_xlfn.XLOOKUP(tblPayrollMaster[[#This Row],[Employee Position]],tblPositionandPayRate[Employee Position],tblPositionandPayRate[Allowance 2],0)*tblPayrollMaster[[#This Row],[Pay Factor]]</f>
        <v>0</v>
      </c>
      <c r="N349" s="25">
        <f>_xlfn.XLOOKUP(tblPayrollMaster[[#This Row],[Employee Position]],tblPositionandPayRate[Employee Position],tblPositionandPayRate[Allowance 3],0)*tblPayrollMaster[[#This Row],[Pay Factor]]</f>
        <v>0</v>
      </c>
      <c r="O349" s="25">
        <f>_xlfn.XLOOKUP(tblPayrollMaster[[#This Row],[Employee Position]],tblPositionandPayRate[Employee Position],tblPositionandPayRate[Allowance 4],0)*tblPayrollMaster[[#This Row],[Pay Factor]]</f>
        <v>0</v>
      </c>
      <c r="P349" s="25">
        <f>_xlfn.XLOOKUP(tblPayrollMaster[[#This Row],[Employee Position]],tblPositionandPayRate[Employee Position],tblPositionandPayRate[Allowance 5],0)*tblPayrollMaster[[#This Row],[Pay Factor]]</f>
        <v>0</v>
      </c>
      <c r="Q349" s="25">
        <f>SUM(tblPayrollMaster[[#This Row],[Basic Pay]:[Allowance 5]])</f>
        <v>0</v>
      </c>
      <c r="R34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49" s="51" cm="1">
        <f t="array" ref="S3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49" s="3" cm="1">
        <f t="array" ref="T3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49" s="25">
        <f>_xlfn.LET(
_xlpm.tos, _xlfn.XLOOKUP(tblPayrollMaster[[#This Row],[Employee ID]], tblEmployee[Employee ID], tblEmployee[Type of Service], ""),
IF(_xlpm.tos="Contract of Service", 8.25, 0)
)</f>
        <v>0</v>
      </c>
      <c r="V349" s="25">
        <f>tblPayrollMaster[[#This Row],[Basic Earnings]]-tblPayrollMaster[[#This Row],[Tax]]-tblPayrollMaster[[#This Row],[NIS - Employee]]-tblPayrollMaster[[#This Row],[Health Surcharge]]</f>
        <v>0</v>
      </c>
      <c r="W349" s="25">
        <f>tblPayrollMaster[[#This Row],[Net Pay]]</f>
        <v>0</v>
      </c>
      <c r="X349" s="25"/>
    </row>
    <row r="350" spans="1:24" x14ac:dyDescent="0.25">
      <c r="A350" s="24"/>
      <c r="B350" s="24" t="str">
        <f>_xlfn.XLOOKUP(tblPayrollMaster[[#This Row],[Employee ID]],tblEmployee[Employee ID],tblEmployee[Employee Name],"")</f>
        <v/>
      </c>
      <c r="C350" s="24" t="str">
        <f>_xlfn.XLOOKUP(tblPayrollMaster[[#This Row],[Employee ID]],tblEmployee[Employee ID],tblEmployee[Employee Position],"")</f>
        <v/>
      </c>
      <c r="D350" s="24" t="str">
        <f>_xlfn.XLOOKUP(tblPayrollMaster[[#This Row],[Employee ID]], tblEmployee[Employee ID], tblEmployee[Pay Status], "Pay")</f>
        <v>Pay</v>
      </c>
      <c r="E350" s="24" t="str">
        <f>_xlfn.XLOOKUP(tblPayrollMaster[[#This Row],[Employee ID]], tblEmployee[Employee ID], tblEmployee[Payable Flag], "Y")</f>
        <v>Y</v>
      </c>
      <c r="F350" s="45">
        <f>IF(tblPayrollMaster[[#This Row],[Payable Flag]]="N",0,_xlfn.XLOOKUP(tblPayrollMaster[[#This Row],[Employee ID]],tblEmployee[Employee ID],tblEmployee[Pay Factor],1))</f>
        <v>1</v>
      </c>
      <c r="G350" s="26" t="str" cm="1">
        <f t="array" ref="G350">IF(tblPayrollMaster[[#This Row],[Employee ID]]="","",_xlfn.XLOOKUP(selPayPeriodID,tblPayCalendar[PayPeriodID],tblPayCalendar[PeriodStart],""))</f>
        <v/>
      </c>
      <c r="H350" s="26" t="str" cm="1">
        <f t="array" ref="H350">IF(tblPayrollMaster[[#This Row],[Employee ID]]="","",_xlfn.XLOOKUP(selPayPeriodID,tblPayCalendar[PayPeriodID],tblPayCalendar[PeriodEnd],""))</f>
        <v/>
      </c>
      <c r="I350" s="24" t="e" cm="1" vm="1">
        <f t="array" aca="1" ref="I350" ca="1">Table18[Employer Name]</f>
        <v>#VALUE!</v>
      </c>
      <c r="J350" s="3" cm="1">
        <f t="array" ref="J35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50" s="25" t="str">
        <f>_xlfn.XLOOKUP(tblPayrollMaster[[#This Row],[Employee Position]],tblPositionandPayRate[Employee Position],tblPositionandPayRate[Overtime], " ")</f>
        <v xml:space="preserve"> </v>
      </c>
      <c r="L350" s="25">
        <f>_xlfn.XLOOKUP(tblPayrollMaster[[#This Row],[Employee Position]],tblPositionandPayRate[Employee Position],tblPositionandPayRate[Allowance 1],0)*tblPayrollMaster[[#This Row],[Pay Factor]]</f>
        <v>0</v>
      </c>
      <c r="M350" s="25">
        <f>_xlfn.XLOOKUP(tblPayrollMaster[[#This Row],[Employee Position]],tblPositionandPayRate[Employee Position],tblPositionandPayRate[Allowance 2],0)*tblPayrollMaster[[#This Row],[Pay Factor]]</f>
        <v>0</v>
      </c>
      <c r="N350" s="25">
        <f>_xlfn.XLOOKUP(tblPayrollMaster[[#This Row],[Employee Position]],tblPositionandPayRate[Employee Position],tblPositionandPayRate[Allowance 3],0)*tblPayrollMaster[[#This Row],[Pay Factor]]</f>
        <v>0</v>
      </c>
      <c r="O350" s="25">
        <f>_xlfn.XLOOKUP(tblPayrollMaster[[#This Row],[Employee Position]],tblPositionandPayRate[Employee Position],tblPositionandPayRate[Allowance 4],0)*tblPayrollMaster[[#This Row],[Pay Factor]]</f>
        <v>0</v>
      </c>
      <c r="P350" s="25">
        <f>_xlfn.XLOOKUP(tblPayrollMaster[[#This Row],[Employee Position]],tblPositionandPayRate[Employee Position],tblPositionandPayRate[Allowance 5],0)*tblPayrollMaster[[#This Row],[Pay Factor]]</f>
        <v>0</v>
      </c>
      <c r="Q350" s="25">
        <f>SUM(tblPayrollMaster[[#This Row],[Basic Pay]:[Allowance 5]])</f>
        <v>0</v>
      </c>
      <c r="R35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50" s="51" cm="1">
        <f t="array" ref="S3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50" s="3" cm="1">
        <f t="array" ref="T3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50" s="25">
        <f>_xlfn.LET(
_xlpm.tos, _xlfn.XLOOKUP(tblPayrollMaster[[#This Row],[Employee ID]], tblEmployee[Employee ID], tblEmployee[Type of Service], ""),
IF(_xlpm.tos="Contract of Service", 8.25, 0)
)</f>
        <v>0</v>
      </c>
      <c r="V350" s="25">
        <f>tblPayrollMaster[[#This Row],[Basic Earnings]]-tblPayrollMaster[[#This Row],[Tax]]-tblPayrollMaster[[#This Row],[NIS - Employee]]-tblPayrollMaster[[#This Row],[Health Surcharge]]</f>
        <v>0</v>
      </c>
      <c r="W350" s="25">
        <f>tblPayrollMaster[[#This Row],[Net Pay]]</f>
        <v>0</v>
      </c>
      <c r="X350" s="25"/>
    </row>
    <row r="351" spans="1:24" x14ac:dyDescent="0.25">
      <c r="A351" s="24"/>
      <c r="B351" s="24" t="str">
        <f>_xlfn.XLOOKUP(tblPayrollMaster[[#This Row],[Employee ID]],tblEmployee[Employee ID],tblEmployee[Employee Name],"")</f>
        <v/>
      </c>
      <c r="C351" s="24" t="str">
        <f>_xlfn.XLOOKUP(tblPayrollMaster[[#This Row],[Employee ID]],tblEmployee[Employee ID],tblEmployee[Employee Position],"")</f>
        <v/>
      </c>
      <c r="D351" s="24" t="str">
        <f>_xlfn.XLOOKUP(tblPayrollMaster[[#This Row],[Employee ID]], tblEmployee[Employee ID], tblEmployee[Pay Status], "Pay")</f>
        <v>Pay</v>
      </c>
      <c r="E351" s="24" t="str">
        <f>_xlfn.XLOOKUP(tblPayrollMaster[[#This Row],[Employee ID]], tblEmployee[Employee ID], tblEmployee[Payable Flag], "Y")</f>
        <v>Y</v>
      </c>
      <c r="F351" s="45">
        <f>IF(tblPayrollMaster[[#This Row],[Payable Flag]]="N",0,_xlfn.XLOOKUP(tblPayrollMaster[[#This Row],[Employee ID]],tblEmployee[Employee ID],tblEmployee[Pay Factor],1))</f>
        <v>1</v>
      </c>
      <c r="G351" s="26" t="str" cm="1">
        <f t="array" ref="G351">IF(tblPayrollMaster[[#This Row],[Employee ID]]="","",_xlfn.XLOOKUP(selPayPeriodID,tblPayCalendar[PayPeriodID],tblPayCalendar[PeriodStart],""))</f>
        <v/>
      </c>
      <c r="H351" s="26" t="str" cm="1">
        <f t="array" ref="H351">IF(tblPayrollMaster[[#This Row],[Employee ID]]="","",_xlfn.XLOOKUP(selPayPeriodID,tblPayCalendar[PayPeriodID],tblPayCalendar[PeriodEnd],""))</f>
        <v/>
      </c>
      <c r="I351" s="24" t="e" cm="1" vm="1">
        <f t="array" aca="1" ref="I351" ca="1">Table18[Employer Name]</f>
        <v>#VALUE!</v>
      </c>
      <c r="J351" s="3" cm="1">
        <f t="array" ref="J35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51" s="25" t="str">
        <f>_xlfn.XLOOKUP(tblPayrollMaster[[#This Row],[Employee Position]],tblPositionandPayRate[Employee Position],tblPositionandPayRate[Overtime], " ")</f>
        <v xml:space="preserve"> </v>
      </c>
      <c r="L351" s="25">
        <f>_xlfn.XLOOKUP(tblPayrollMaster[[#This Row],[Employee Position]],tblPositionandPayRate[Employee Position],tblPositionandPayRate[Allowance 1],0)*tblPayrollMaster[[#This Row],[Pay Factor]]</f>
        <v>0</v>
      </c>
      <c r="M351" s="25">
        <f>_xlfn.XLOOKUP(tblPayrollMaster[[#This Row],[Employee Position]],tblPositionandPayRate[Employee Position],tblPositionandPayRate[Allowance 2],0)*tblPayrollMaster[[#This Row],[Pay Factor]]</f>
        <v>0</v>
      </c>
      <c r="N351" s="25">
        <f>_xlfn.XLOOKUP(tblPayrollMaster[[#This Row],[Employee Position]],tblPositionandPayRate[Employee Position],tblPositionandPayRate[Allowance 3],0)*tblPayrollMaster[[#This Row],[Pay Factor]]</f>
        <v>0</v>
      </c>
      <c r="O351" s="25">
        <f>_xlfn.XLOOKUP(tblPayrollMaster[[#This Row],[Employee Position]],tblPositionandPayRate[Employee Position],tblPositionandPayRate[Allowance 4],0)*tblPayrollMaster[[#This Row],[Pay Factor]]</f>
        <v>0</v>
      </c>
      <c r="P351" s="25">
        <f>_xlfn.XLOOKUP(tblPayrollMaster[[#This Row],[Employee Position]],tblPositionandPayRate[Employee Position],tblPositionandPayRate[Allowance 5],0)*tblPayrollMaster[[#This Row],[Pay Factor]]</f>
        <v>0</v>
      </c>
      <c r="Q351" s="25">
        <f>SUM(tblPayrollMaster[[#This Row],[Basic Pay]:[Allowance 5]])</f>
        <v>0</v>
      </c>
      <c r="R35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51" s="51" cm="1">
        <f t="array" ref="S3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51" s="3" cm="1">
        <f t="array" ref="T3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51" s="25">
        <f>_xlfn.LET(
_xlpm.tos, _xlfn.XLOOKUP(tblPayrollMaster[[#This Row],[Employee ID]], tblEmployee[Employee ID], tblEmployee[Type of Service], ""),
IF(_xlpm.tos="Contract of Service", 8.25, 0)
)</f>
        <v>0</v>
      </c>
      <c r="V351" s="25">
        <f>tblPayrollMaster[[#This Row],[Basic Earnings]]-tblPayrollMaster[[#This Row],[Tax]]-tblPayrollMaster[[#This Row],[NIS - Employee]]-tblPayrollMaster[[#This Row],[Health Surcharge]]</f>
        <v>0</v>
      </c>
      <c r="W351" s="25">
        <f>tblPayrollMaster[[#This Row],[Net Pay]]</f>
        <v>0</v>
      </c>
      <c r="X351" s="25"/>
    </row>
    <row r="352" spans="1:24" x14ac:dyDescent="0.25">
      <c r="A352" s="24"/>
      <c r="B352" s="24" t="str">
        <f>_xlfn.XLOOKUP(tblPayrollMaster[[#This Row],[Employee ID]],tblEmployee[Employee ID],tblEmployee[Employee Name],"")</f>
        <v/>
      </c>
      <c r="C352" s="24" t="str">
        <f>_xlfn.XLOOKUP(tblPayrollMaster[[#This Row],[Employee ID]],tblEmployee[Employee ID],tblEmployee[Employee Position],"")</f>
        <v/>
      </c>
      <c r="D352" s="24" t="str">
        <f>_xlfn.XLOOKUP(tblPayrollMaster[[#This Row],[Employee ID]], tblEmployee[Employee ID], tblEmployee[Pay Status], "Pay")</f>
        <v>Pay</v>
      </c>
      <c r="E352" s="24" t="str">
        <f>_xlfn.XLOOKUP(tblPayrollMaster[[#This Row],[Employee ID]], tblEmployee[Employee ID], tblEmployee[Payable Flag], "Y")</f>
        <v>Y</v>
      </c>
      <c r="F352" s="45">
        <f>IF(tblPayrollMaster[[#This Row],[Payable Flag]]="N",0,_xlfn.XLOOKUP(tblPayrollMaster[[#This Row],[Employee ID]],tblEmployee[Employee ID],tblEmployee[Pay Factor],1))</f>
        <v>1</v>
      </c>
      <c r="G352" s="26" t="str" cm="1">
        <f t="array" ref="G352">IF(tblPayrollMaster[[#This Row],[Employee ID]]="","",_xlfn.XLOOKUP(selPayPeriodID,tblPayCalendar[PayPeriodID],tblPayCalendar[PeriodStart],""))</f>
        <v/>
      </c>
      <c r="H352" s="26" t="str" cm="1">
        <f t="array" ref="H352">IF(tblPayrollMaster[[#This Row],[Employee ID]]="","",_xlfn.XLOOKUP(selPayPeriodID,tblPayCalendar[PayPeriodID],tblPayCalendar[PeriodEnd],""))</f>
        <v/>
      </c>
      <c r="I352" s="24" t="e" cm="1" vm="1">
        <f t="array" aca="1" ref="I352" ca="1">Table18[Employer Name]</f>
        <v>#VALUE!</v>
      </c>
      <c r="J352" s="3" cm="1">
        <f t="array" ref="J35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52" s="25" t="str">
        <f>_xlfn.XLOOKUP(tblPayrollMaster[[#This Row],[Employee Position]],tblPositionandPayRate[Employee Position],tblPositionandPayRate[Overtime], " ")</f>
        <v xml:space="preserve"> </v>
      </c>
      <c r="L352" s="25">
        <f>_xlfn.XLOOKUP(tblPayrollMaster[[#This Row],[Employee Position]],tblPositionandPayRate[Employee Position],tblPositionandPayRate[Allowance 1],0)*tblPayrollMaster[[#This Row],[Pay Factor]]</f>
        <v>0</v>
      </c>
      <c r="M352" s="25">
        <f>_xlfn.XLOOKUP(tblPayrollMaster[[#This Row],[Employee Position]],tblPositionandPayRate[Employee Position],tblPositionandPayRate[Allowance 2],0)*tblPayrollMaster[[#This Row],[Pay Factor]]</f>
        <v>0</v>
      </c>
      <c r="N352" s="25">
        <f>_xlfn.XLOOKUP(tblPayrollMaster[[#This Row],[Employee Position]],tblPositionandPayRate[Employee Position],tblPositionandPayRate[Allowance 3],0)*tblPayrollMaster[[#This Row],[Pay Factor]]</f>
        <v>0</v>
      </c>
      <c r="O352" s="25">
        <f>_xlfn.XLOOKUP(tblPayrollMaster[[#This Row],[Employee Position]],tblPositionandPayRate[Employee Position],tblPositionandPayRate[Allowance 4],0)*tblPayrollMaster[[#This Row],[Pay Factor]]</f>
        <v>0</v>
      </c>
      <c r="P352" s="25">
        <f>_xlfn.XLOOKUP(tblPayrollMaster[[#This Row],[Employee Position]],tblPositionandPayRate[Employee Position],tblPositionandPayRate[Allowance 5],0)*tblPayrollMaster[[#This Row],[Pay Factor]]</f>
        <v>0</v>
      </c>
      <c r="Q352" s="25">
        <f>SUM(tblPayrollMaster[[#This Row],[Basic Pay]:[Allowance 5]])</f>
        <v>0</v>
      </c>
      <c r="R35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52" s="51" cm="1">
        <f t="array" ref="S3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52" s="3" cm="1">
        <f t="array" ref="T3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52" s="25">
        <f>_xlfn.LET(
_xlpm.tos, _xlfn.XLOOKUP(tblPayrollMaster[[#This Row],[Employee ID]], tblEmployee[Employee ID], tblEmployee[Type of Service], ""),
IF(_xlpm.tos="Contract of Service", 8.25, 0)
)</f>
        <v>0</v>
      </c>
      <c r="V352" s="25">
        <f>tblPayrollMaster[[#This Row],[Basic Earnings]]-tblPayrollMaster[[#This Row],[Tax]]-tblPayrollMaster[[#This Row],[NIS - Employee]]-tblPayrollMaster[[#This Row],[Health Surcharge]]</f>
        <v>0</v>
      </c>
      <c r="W352" s="25">
        <f>tblPayrollMaster[[#This Row],[Net Pay]]</f>
        <v>0</v>
      </c>
      <c r="X352" s="25"/>
    </row>
    <row r="353" spans="1:24" x14ac:dyDescent="0.25">
      <c r="A353" s="24"/>
      <c r="B353" s="24" t="str">
        <f>_xlfn.XLOOKUP(tblPayrollMaster[[#This Row],[Employee ID]],tblEmployee[Employee ID],tblEmployee[Employee Name],"")</f>
        <v/>
      </c>
      <c r="C353" s="24" t="str">
        <f>_xlfn.XLOOKUP(tblPayrollMaster[[#This Row],[Employee ID]],tblEmployee[Employee ID],tblEmployee[Employee Position],"")</f>
        <v/>
      </c>
      <c r="D353" s="24" t="str">
        <f>_xlfn.XLOOKUP(tblPayrollMaster[[#This Row],[Employee ID]], tblEmployee[Employee ID], tblEmployee[Pay Status], "Pay")</f>
        <v>Pay</v>
      </c>
      <c r="E353" s="24" t="str">
        <f>_xlfn.XLOOKUP(tblPayrollMaster[[#This Row],[Employee ID]], tblEmployee[Employee ID], tblEmployee[Payable Flag], "Y")</f>
        <v>Y</v>
      </c>
      <c r="F353" s="45">
        <f>IF(tblPayrollMaster[[#This Row],[Payable Flag]]="N",0,_xlfn.XLOOKUP(tblPayrollMaster[[#This Row],[Employee ID]],tblEmployee[Employee ID],tblEmployee[Pay Factor],1))</f>
        <v>1</v>
      </c>
      <c r="G353" s="26" t="str" cm="1">
        <f t="array" ref="G353">IF(tblPayrollMaster[[#This Row],[Employee ID]]="","",_xlfn.XLOOKUP(selPayPeriodID,tblPayCalendar[PayPeriodID],tblPayCalendar[PeriodStart],""))</f>
        <v/>
      </c>
      <c r="H353" s="26" t="str" cm="1">
        <f t="array" ref="H353">IF(tblPayrollMaster[[#This Row],[Employee ID]]="","",_xlfn.XLOOKUP(selPayPeriodID,tblPayCalendar[PayPeriodID],tblPayCalendar[PeriodEnd],""))</f>
        <v/>
      </c>
      <c r="I353" s="24" t="e" cm="1" vm="1">
        <f t="array" aca="1" ref="I353" ca="1">Table18[Employer Name]</f>
        <v>#VALUE!</v>
      </c>
      <c r="J353" s="3" cm="1">
        <f t="array" ref="J35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53" s="25" t="str">
        <f>_xlfn.XLOOKUP(tblPayrollMaster[[#This Row],[Employee Position]],tblPositionandPayRate[Employee Position],tblPositionandPayRate[Overtime], " ")</f>
        <v xml:space="preserve"> </v>
      </c>
      <c r="L353" s="25">
        <f>_xlfn.XLOOKUP(tblPayrollMaster[[#This Row],[Employee Position]],tblPositionandPayRate[Employee Position],tblPositionandPayRate[Allowance 1],0)*tblPayrollMaster[[#This Row],[Pay Factor]]</f>
        <v>0</v>
      </c>
      <c r="M353" s="25">
        <f>_xlfn.XLOOKUP(tblPayrollMaster[[#This Row],[Employee Position]],tblPositionandPayRate[Employee Position],tblPositionandPayRate[Allowance 2],0)*tblPayrollMaster[[#This Row],[Pay Factor]]</f>
        <v>0</v>
      </c>
      <c r="N353" s="25">
        <f>_xlfn.XLOOKUP(tblPayrollMaster[[#This Row],[Employee Position]],tblPositionandPayRate[Employee Position],tblPositionandPayRate[Allowance 3],0)*tblPayrollMaster[[#This Row],[Pay Factor]]</f>
        <v>0</v>
      </c>
      <c r="O353" s="25">
        <f>_xlfn.XLOOKUP(tblPayrollMaster[[#This Row],[Employee Position]],tblPositionandPayRate[Employee Position],tblPositionandPayRate[Allowance 4],0)*tblPayrollMaster[[#This Row],[Pay Factor]]</f>
        <v>0</v>
      </c>
      <c r="P353" s="25">
        <f>_xlfn.XLOOKUP(tblPayrollMaster[[#This Row],[Employee Position]],tblPositionandPayRate[Employee Position],tblPositionandPayRate[Allowance 5],0)*tblPayrollMaster[[#This Row],[Pay Factor]]</f>
        <v>0</v>
      </c>
      <c r="Q353" s="25">
        <f>SUM(tblPayrollMaster[[#This Row],[Basic Pay]:[Allowance 5]])</f>
        <v>0</v>
      </c>
      <c r="R35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53" s="51" cm="1">
        <f t="array" ref="S3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53" s="3" cm="1">
        <f t="array" ref="T3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53" s="25">
        <f>_xlfn.LET(
_xlpm.tos, _xlfn.XLOOKUP(tblPayrollMaster[[#This Row],[Employee ID]], tblEmployee[Employee ID], tblEmployee[Type of Service], ""),
IF(_xlpm.tos="Contract of Service", 8.25, 0)
)</f>
        <v>0</v>
      </c>
      <c r="V353" s="25">
        <f>tblPayrollMaster[[#This Row],[Basic Earnings]]-tblPayrollMaster[[#This Row],[Tax]]-tblPayrollMaster[[#This Row],[NIS - Employee]]-tblPayrollMaster[[#This Row],[Health Surcharge]]</f>
        <v>0</v>
      </c>
      <c r="W353" s="25">
        <f>tblPayrollMaster[[#This Row],[Net Pay]]</f>
        <v>0</v>
      </c>
      <c r="X353" s="25"/>
    </row>
    <row r="354" spans="1:24" x14ac:dyDescent="0.25">
      <c r="A354" s="24"/>
      <c r="B354" s="24" t="str">
        <f>_xlfn.XLOOKUP(tblPayrollMaster[[#This Row],[Employee ID]],tblEmployee[Employee ID],tblEmployee[Employee Name],"")</f>
        <v/>
      </c>
      <c r="C354" s="24" t="str">
        <f>_xlfn.XLOOKUP(tblPayrollMaster[[#This Row],[Employee ID]],tblEmployee[Employee ID],tblEmployee[Employee Position],"")</f>
        <v/>
      </c>
      <c r="D354" s="24" t="str">
        <f>_xlfn.XLOOKUP(tblPayrollMaster[[#This Row],[Employee ID]], tblEmployee[Employee ID], tblEmployee[Pay Status], "Pay")</f>
        <v>Pay</v>
      </c>
      <c r="E354" s="24" t="str">
        <f>_xlfn.XLOOKUP(tblPayrollMaster[[#This Row],[Employee ID]], tblEmployee[Employee ID], tblEmployee[Payable Flag], "Y")</f>
        <v>Y</v>
      </c>
      <c r="F354" s="45">
        <f>IF(tblPayrollMaster[[#This Row],[Payable Flag]]="N",0,_xlfn.XLOOKUP(tblPayrollMaster[[#This Row],[Employee ID]],tblEmployee[Employee ID],tblEmployee[Pay Factor],1))</f>
        <v>1</v>
      </c>
      <c r="G354" s="26" t="str" cm="1">
        <f t="array" ref="G354">IF(tblPayrollMaster[[#This Row],[Employee ID]]="","",_xlfn.XLOOKUP(selPayPeriodID,tblPayCalendar[PayPeriodID],tblPayCalendar[PeriodStart],""))</f>
        <v/>
      </c>
      <c r="H354" s="26" t="str" cm="1">
        <f t="array" ref="H354">IF(tblPayrollMaster[[#This Row],[Employee ID]]="","",_xlfn.XLOOKUP(selPayPeriodID,tblPayCalendar[PayPeriodID],tblPayCalendar[PeriodEnd],""))</f>
        <v/>
      </c>
      <c r="I354" s="24" t="e" cm="1" vm="1">
        <f t="array" aca="1" ref="I354" ca="1">Table18[Employer Name]</f>
        <v>#VALUE!</v>
      </c>
      <c r="J354" s="3" cm="1">
        <f t="array" ref="J35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54" s="25" t="str">
        <f>_xlfn.XLOOKUP(tblPayrollMaster[[#This Row],[Employee Position]],tblPositionandPayRate[Employee Position],tblPositionandPayRate[Overtime], " ")</f>
        <v xml:space="preserve"> </v>
      </c>
      <c r="L354" s="25">
        <f>_xlfn.XLOOKUP(tblPayrollMaster[[#This Row],[Employee Position]],tblPositionandPayRate[Employee Position],tblPositionandPayRate[Allowance 1],0)*tblPayrollMaster[[#This Row],[Pay Factor]]</f>
        <v>0</v>
      </c>
      <c r="M354" s="25">
        <f>_xlfn.XLOOKUP(tblPayrollMaster[[#This Row],[Employee Position]],tblPositionandPayRate[Employee Position],tblPositionandPayRate[Allowance 2],0)*tblPayrollMaster[[#This Row],[Pay Factor]]</f>
        <v>0</v>
      </c>
      <c r="N354" s="25">
        <f>_xlfn.XLOOKUP(tblPayrollMaster[[#This Row],[Employee Position]],tblPositionandPayRate[Employee Position],tblPositionandPayRate[Allowance 3],0)*tblPayrollMaster[[#This Row],[Pay Factor]]</f>
        <v>0</v>
      </c>
      <c r="O354" s="25">
        <f>_xlfn.XLOOKUP(tblPayrollMaster[[#This Row],[Employee Position]],tblPositionandPayRate[Employee Position],tblPositionandPayRate[Allowance 4],0)*tblPayrollMaster[[#This Row],[Pay Factor]]</f>
        <v>0</v>
      </c>
      <c r="P354" s="25">
        <f>_xlfn.XLOOKUP(tblPayrollMaster[[#This Row],[Employee Position]],tblPositionandPayRate[Employee Position],tblPositionandPayRate[Allowance 5],0)*tblPayrollMaster[[#This Row],[Pay Factor]]</f>
        <v>0</v>
      </c>
      <c r="Q354" s="25">
        <f>SUM(tblPayrollMaster[[#This Row],[Basic Pay]:[Allowance 5]])</f>
        <v>0</v>
      </c>
      <c r="R35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54" s="51" cm="1">
        <f t="array" ref="S3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54" s="3" cm="1">
        <f t="array" ref="T3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54" s="25">
        <f>_xlfn.LET(
_xlpm.tos, _xlfn.XLOOKUP(tblPayrollMaster[[#This Row],[Employee ID]], tblEmployee[Employee ID], tblEmployee[Type of Service], ""),
IF(_xlpm.tos="Contract of Service", 8.25, 0)
)</f>
        <v>0</v>
      </c>
      <c r="V354" s="25">
        <f>tblPayrollMaster[[#This Row],[Basic Earnings]]-tblPayrollMaster[[#This Row],[Tax]]-tblPayrollMaster[[#This Row],[NIS - Employee]]-tblPayrollMaster[[#This Row],[Health Surcharge]]</f>
        <v>0</v>
      </c>
      <c r="W354" s="25">
        <f>tblPayrollMaster[[#This Row],[Net Pay]]</f>
        <v>0</v>
      </c>
      <c r="X354" s="25"/>
    </row>
    <row r="355" spans="1:24" x14ac:dyDescent="0.25">
      <c r="A355" s="24"/>
      <c r="B355" s="24" t="str">
        <f>_xlfn.XLOOKUP(tblPayrollMaster[[#This Row],[Employee ID]],tblEmployee[Employee ID],tblEmployee[Employee Name],"")</f>
        <v/>
      </c>
      <c r="C355" s="24" t="str">
        <f>_xlfn.XLOOKUP(tblPayrollMaster[[#This Row],[Employee ID]],tblEmployee[Employee ID],tblEmployee[Employee Position],"")</f>
        <v/>
      </c>
      <c r="D355" s="24" t="str">
        <f>_xlfn.XLOOKUP(tblPayrollMaster[[#This Row],[Employee ID]], tblEmployee[Employee ID], tblEmployee[Pay Status], "Pay")</f>
        <v>Pay</v>
      </c>
      <c r="E355" s="24" t="str">
        <f>_xlfn.XLOOKUP(tblPayrollMaster[[#This Row],[Employee ID]], tblEmployee[Employee ID], tblEmployee[Payable Flag], "Y")</f>
        <v>Y</v>
      </c>
      <c r="F355" s="45">
        <f>IF(tblPayrollMaster[[#This Row],[Payable Flag]]="N",0,_xlfn.XLOOKUP(tblPayrollMaster[[#This Row],[Employee ID]],tblEmployee[Employee ID],tblEmployee[Pay Factor],1))</f>
        <v>1</v>
      </c>
      <c r="G355" s="26" t="str" cm="1">
        <f t="array" ref="G355">IF(tblPayrollMaster[[#This Row],[Employee ID]]="","",_xlfn.XLOOKUP(selPayPeriodID,tblPayCalendar[PayPeriodID],tblPayCalendar[PeriodStart],""))</f>
        <v/>
      </c>
      <c r="H355" s="26" t="str" cm="1">
        <f t="array" ref="H355">IF(tblPayrollMaster[[#This Row],[Employee ID]]="","",_xlfn.XLOOKUP(selPayPeriodID,tblPayCalendar[PayPeriodID],tblPayCalendar[PeriodEnd],""))</f>
        <v/>
      </c>
      <c r="I355" s="24" t="e" cm="1" vm="1">
        <f t="array" aca="1" ref="I355" ca="1">Table18[Employer Name]</f>
        <v>#VALUE!</v>
      </c>
      <c r="J355" s="3" cm="1">
        <f t="array" ref="J35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55" s="25" t="str">
        <f>_xlfn.XLOOKUP(tblPayrollMaster[[#This Row],[Employee Position]],tblPositionandPayRate[Employee Position],tblPositionandPayRate[Overtime], " ")</f>
        <v xml:space="preserve"> </v>
      </c>
      <c r="L355" s="25">
        <f>_xlfn.XLOOKUP(tblPayrollMaster[[#This Row],[Employee Position]],tblPositionandPayRate[Employee Position],tblPositionandPayRate[Allowance 1],0)*tblPayrollMaster[[#This Row],[Pay Factor]]</f>
        <v>0</v>
      </c>
      <c r="M355" s="25">
        <f>_xlfn.XLOOKUP(tblPayrollMaster[[#This Row],[Employee Position]],tblPositionandPayRate[Employee Position],tblPositionandPayRate[Allowance 2],0)*tblPayrollMaster[[#This Row],[Pay Factor]]</f>
        <v>0</v>
      </c>
      <c r="N355" s="25">
        <f>_xlfn.XLOOKUP(tblPayrollMaster[[#This Row],[Employee Position]],tblPositionandPayRate[Employee Position],tblPositionandPayRate[Allowance 3],0)*tblPayrollMaster[[#This Row],[Pay Factor]]</f>
        <v>0</v>
      </c>
      <c r="O355" s="25">
        <f>_xlfn.XLOOKUP(tblPayrollMaster[[#This Row],[Employee Position]],tblPositionandPayRate[Employee Position],tblPositionandPayRate[Allowance 4],0)*tblPayrollMaster[[#This Row],[Pay Factor]]</f>
        <v>0</v>
      </c>
      <c r="P355" s="25">
        <f>_xlfn.XLOOKUP(tblPayrollMaster[[#This Row],[Employee Position]],tblPositionandPayRate[Employee Position],tblPositionandPayRate[Allowance 5],0)*tblPayrollMaster[[#This Row],[Pay Factor]]</f>
        <v>0</v>
      </c>
      <c r="Q355" s="25">
        <f>SUM(tblPayrollMaster[[#This Row],[Basic Pay]:[Allowance 5]])</f>
        <v>0</v>
      </c>
      <c r="R35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55" s="51" cm="1">
        <f t="array" ref="S3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55" s="3" cm="1">
        <f t="array" ref="T3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55" s="25">
        <f>_xlfn.LET(
_xlpm.tos, _xlfn.XLOOKUP(tblPayrollMaster[[#This Row],[Employee ID]], tblEmployee[Employee ID], tblEmployee[Type of Service], ""),
IF(_xlpm.tos="Contract of Service", 8.25, 0)
)</f>
        <v>0</v>
      </c>
      <c r="V355" s="25">
        <f>tblPayrollMaster[[#This Row],[Basic Earnings]]-tblPayrollMaster[[#This Row],[Tax]]-tblPayrollMaster[[#This Row],[NIS - Employee]]-tblPayrollMaster[[#This Row],[Health Surcharge]]</f>
        <v>0</v>
      </c>
      <c r="W355" s="25">
        <f>tblPayrollMaster[[#This Row],[Net Pay]]</f>
        <v>0</v>
      </c>
      <c r="X355" s="25"/>
    </row>
    <row r="356" spans="1:24" x14ac:dyDescent="0.25">
      <c r="A356" s="24"/>
      <c r="B356" s="24" t="str">
        <f>_xlfn.XLOOKUP(tblPayrollMaster[[#This Row],[Employee ID]],tblEmployee[Employee ID],tblEmployee[Employee Name],"")</f>
        <v/>
      </c>
      <c r="C356" s="24" t="str">
        <f>_xlfn.XLOOKUP(tblPayrollMaster[[#This Row],[Employee ID]],tblEmployee[Employee ID],tblEmployee[Employee Position],"")</f>
        <v/>
      </c>
      <c r="D356" s="24" t="str">
        <f>_xlfn.XLOOKUP(tblPayrollMaster[[#This Row],[Employee ID]], tblEmployee[Employee ID], tblEmployee[Pay Status], "Pay")</f>
        <v>Pay</v>
      </c>
      <c r="E356" s="24" t="str">
        <f>_xlfn.XLOOKUP(tblPayrollMaster[[#This Row],[Employee ID]], tblEmployee[Employee ID], tblEmployee[Payable Flag], "Y")</f>
        <v>Y</v>
      </c>
      <c r="F356" s="45">
        <f>IF(tblPayrollMaster[[#This Row],[Payable Flag]]="N",0,_xlfn.XLOOKUP(tblPayrollMaster[[#This Row],[Employee ID]],tblEmployee[Employee ID],tblEmployee[Pay Factor],1))</f>
        <v>1</v>
      </c>
      <c r="G356" s="26" t="str" cm="1">
        <f t="array" ref="G356">IF(tblPayrollMaster[[#This Row],[Employee ID]]="","",_xlfn.XLOOKUP(selPayPeriodID,tblPayCalendar[PayPeriodID],tblPayCalendar[PeriodStart],""))</f>
        <v/>
      </c>
      <c r="H356" s="26" t="str" cm="1">
        <f t="array" ref="H356">IF(tblPayrollMaster[[#This Row],[Employee ID]]="","",_xlfn.XLOOKUP(selPayPeriodID,tblPayCalendar[PayPeriodID],tblPayCalendar[PeriodEnd],""))</f>
        <v/>
      </c>
      <c r="I356" s="24" t="e" cm="1" vm="1">
        <f t="array" aca="1" ref="I356" ca="1">Table18[Employer Name]</f>
        <v>#VALUE!</v>
      </c>
      <c r="J356" s="3" cm="1">
        <f t="array" ref="J35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56" s="25" t="str">
        <f>_xlfn.XLOOKUP(tblPayrollMaster[[#This Row],[Employee Position]],tblPositionandPayRate[Employee Position],tblPositionandPayRate[Overtime], " ")</f>
        <v xml:space="preserve"> </v>
      </c>
      <c r="L356" s="25">
        <f>_xlfn.XLOOKUP(tblPayrollMaster[[#This Row],[Employee Position]],tblPositionandPayRate[Employee Position],tblPositionandPayRate[Allowance 1],0)*tblPayrollMaster[[#This Row],[Pay Factor]]</f>
        <v>0</v>
      </c>
      <c r="M356" s="25">
        <f>_xlfn.XLOOKUP(tblPayrollMaster[[#This Row],[Employee Position]],tblPositionandPayRate[Employee Position],tblPositionandPayRate[Allowance 2],0)*tblPayrollMaster[[#This Row],[Pay Factor]]</f>
        <v>0</v>
      </c>
      <c r="N356" s="25">
        <f>_xlfn.XLOOKUP(tblPayrollMaster[[#This Row],[Employee Position]],tblPositionandPayRate[Employee Position],tblPositionandPayRate[Allowance 3],0)*tblPayrollMaster[[#This Row],[Pay Factor]]</f>
        <v>0</v>
      </c>
      <c r="O356" s="25">
        <f>_xlfn.XLOOKUP(tblPayrollMaster[[#This Row],[Employee Position]],tblPositionandPayRate[Employee Position],tblPositionandPayRate[Allowance 4],0)*tblPayrollMaster[[#This Row],[Pay Factor]]</f>
        <v>0</v>
      </c>
      <c r="P356" s="25">
        <f>_xlfn.XLOOKUP(tblPayrollMaster[[#This Row],[Employee Position]],tblPositionandPayRate[Employee Position],tblPositionandPayRate[Allowance 5],0)*tblPayrollMaster[[#This Row],[Pay Factor]]</f>
        <v>0</v>
      </c>
      <c r="Q356" s="25">
        <f>SUM(tblPayrollMaster[[#This Row],[Basic Pay]:[Allowance 5]])</f>
        <v>0</v>
      </c>
      <c r="R35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56" s="51" cm="1">
        <f t="array" ref="S3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56" s="3" cm="1">
        <f t="array" ref="T3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56" s="25">
        <f>_xlfn.LET(
_xlpm.tos, _xlfn.XLOOKUP(tblPayrollMaster[[#This Row],[Employee ID]], tblEmployee[Employee ID], tblEmployee[Type of Service], ""),
IF(_xlpm.tos="Contract of Service", 8.25, 0)
)</f>
        <v>0</v>
      </c>
      <c r="V356" s="25">
        <f>tblPayrollMaster[[#This Row],[Basic Earnings]]-tblPayrollMaster[[#This Row],[Tax]]-tblPayrollMaster[[#This Row],[NIS - Employee]]-tblPayrollMaster[[#This Row],[Health Surcharge]]</f>
        <v>0</v>
      </c>
      <c r="W356" s="25">
        <f>tblPayrollMaster[[#This Row],[Net Pay]]</f>
        <v>0</v>
      </c>
      <c r="X356" s="25"/>
    </row>
    <row r="357" spans="1:24" x14ac:dyDescent="0.25">
      <c r="A357" s="24"/>
      <c r="B357" s="24" t="str">
        <f>_xlfn.XLOOKUP(tblPayrollMaster[[#This Row],[Employee ID]],tblEmployee[Employee ID],tblEmployee[Employee Name],"")</f>
        <v/>
      </c>
      <c r="C357" s="24" t="str">
        <f>_xlfn.XLOOKUP(tblPayrollMaster[[#This Row],[Employee ID]],tblEmployee[Employee ID],tblEmployee[Employee Position],"")</f>
        <v/>
      </c>
      <c r="D357" s="24" t="str">
        <f>_xlfn.XLOOKUP(tblPayrollMaster[[#This Row],[Employee ID]], tblEmployee[Employee ID], tblEmployee[Pay Status], "Pay")</f>
        <v>Pay</v>
      </c>
      <c r="E357" s="24" t="str">
        <f>_xlfn.XLOOKUP(tblPayrollMaster[[#This Row],[Employee ID]], tblEmployee[Employee ID], tblEmployee[Payable Flag], "Y")</f>
        <v>Y</v>
      </c>
      <c r="F357" s="45">
        <f>IF(tblPayrollMaster[[#This Row],[Payable Flag]]="N",0,_xlfn.XLOOKUP(tblPayrollMaster[[#This Row],[Employee ID]],tblEmployee[Employee ID],tblEmployee[Pay Factor],1))</f>
        <v>1</v>
      </c>
      <c r="G357" s="26" t="str" cm="1">
        <f t="array" ref="G357">IF(tblPayrollMaster[[#This Row],[Employee ID]]="","",_xlfn.XLOOKUP(selPayPeriodID,tblPayCalendar[PayPeriodID],tblPayCalendar[PeriodStart],""))</f>
        <v/>
      </c>
      <c r="H357" s="26" t="str" cm="1">
        <f t="array" ref="H357">IF(tblPayrollMaster[[#This Row],[Employee ID]]="","",_xlfn.XLOOKUP(selPayPeriodID,tblPayCalendar[PayPeriodID],tblPayCalendar[PeriodEnd],""))</f>
        <v/>
      </c>
      <c r="I357" s="24" t="e" cm="1" vm="1">
        <f t="array" aca="1" ref="I357" ca="1">Table18[Employer Name]</f>
        <v>#VALUE!</v>
      </c>
      <c r="J357" s="3" cm="1">
        <f t="array" ref="J35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57" s="25" t="str">
        <f>_xlfn.XLOOKUP(tblPayrollMaster[[#This Row],[Employee Position]],tblPositionandPayRate[Employee Position],tblPositionandPayRate[Overtime], " ")</f>
        <v xml:space="preserve"> </v>
      </c>
      <c r="L357" s="25">
        <f>_xlfn.XLOOKUP(tblPayrollMaster[[#This Row],[Employee Position]],tblPositionandPayRate[Employee Position],tblPositionandPayRate[Allowance 1],0)*tblPayrollMaster[[#This Row],[Pay Factor]]</f>
        <v>0</v>
      </c>
      <c r="M357" s="25">
        <f>_xlfn.XLOOKUP(tblPayrollMaster[[#This Row],[Employee Position]],tblPositionandPayRate[Employee Position],tblPositionandPayRate[Allowance 2],0)*tblPayrollMaster[[#This Row],[Pay Factor]]</f>
        <v>0</v>
      </c>
      <c r="N357" s="25">
        <f>_xlfn.XLOOKUP(tblPayrollMaster[[#This Row],[Employee Position]],tblPositionandPayRate[Employee Position],tblPositionandPayRate[Allowance 3],0)*tblPayrollMaster[[#This Row],[Pay Factor]]</f>
        <v>0</v>
      </c>
      <c r="O357" s="25">
        <f>_xlfn.XLOOKUP(tblPayrollMaster[[#This Row],[Employee Position]],tblPositionandPayRate[Employee Position],tblPositionandPayRate[Allowance 4],0)*tblPayrollMaster[[#This Row],[Pay Factor]]</f>
        <v>0</v>
      </c>
      <c r="P357" s="25">
        <f>_xlfn.XLOOKUP(tblPayrollMaster[[#This Row],[Employee Position]],tblPositionandPayRate[Employee Position],tblPositionandPayRate[Allowance 5],0)*tblPayrollMaster[[#This Row],[Pay Factor]]</f>
        <v>0</v>
      </c>
      <c r="Q357" s="25">
        <f>SUM(tblPayrollMaster[[#This Row],[Basic Pay]:[Allowance 5]])</f>
        <v>0</v>
      </c>
      <c r="R35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57" s="51" cm="1">
        <f t="array" ref="S3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57" s="3" cm="1">
        <f t="array" ref="T3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57" s="25">
        <f>_xlfn.LET(
_xlpm.tos, _xlfn.XLOOKUP(tblPayrollMaster[[#This Row],[Employee ID]], tblEmployee[Employee ID], tblEmployee[Type of Service], ""),
IF(_xlpm.tos="Contract of Service", 8.25, 0)
)</f>
        <v>0</v>
      </c>
      <c r="V357" s="25">
        <f>tblPayrollMaster[[#This Row],[Basic Earnings]]-tblPayrollMaster[[#This Row],[Tax]]-tblPayrollMaster[[#This Row],[NIS - Employee]]-tblPayrollMaster[[#This Row],[Health Surcharge]]</f>
        <v>0</v>
      </c>
      <c r="W357" s="25">
        <f>tblPayrollMaster[[#This Row],[Net Pay]]</f>
        <v>0</v>
      </c>
      <c r="X357" s="25"/>
    </row>
    <row r="358" spans="1:24" x14ac:dyDescent="0.25">
      <c r="A358" s="24"/>
      <c r="B358" s="24" t="str">
        <f>_xlfn.XLOOKUP(tblPayrollMaster[[#This Row],[Employee ID]],tblEmployee[Employee ID],tblEmployee[Employee Name],"")</f>
        <v/>
      </c>
      <c r="C358" s="24" t="str">
        <f>_xlfn.XLOOKUP(tblPayrollMaster[[#This Row],[Employee ID]],tblEmployee[Employee ID],tblEmployee[Employee Position],"")</f>
        <v/>
      </c>
      <c r="D358" s="24" t="str">
        <f>_xlfn.XLOOKUP(tblPayrollMaster[[#This Row],[Employee ID]], tblEmployee[Employee ID], tblEmployee[Pay Status], "Pay")</f>
        <v>Pay</v>
      </c>
      <c r="E358" s="24" t="str">
        <f>_xlfn.XLOOKUP(tblPayrollMaster[[#This Row],[Employee ID]], tblEmployee[Employee ID], tblEmployee[Payable Flag], "Y")</f>
        <v>Y</v>
      </c>
      <c r="F358" s="45">
        <f>IF(tblPayrollMaster[[#This Row],[Payable Flag]]="N",0,_xlfn.XLOOKUP(tblPayrollMaster[[#This Row],[Employee ID]],tblEmployee[Employee ID],tblEmployee[Pay Factor],1))</f>
        <v>1</v>
      </c>
      <c r="G358" s="26" t="str" cm="1">
        <f t="array" ref="G358">IF(tblPayrollMaster[[#This Row],[Employee ID]]="","",_xlfn.XLOOKUP(selPayPeriodID,tblPayCalendar[PayPeriodID],tblPayCalendar[PeriodStart],""))</f>
        <v/>
      </c>
      <c r="H358" s="26" t="str" cm="1">
        <f t="array" ref="H358">IF(tblPayrollMaster[[#This Row],[Employee ID]]="","",_xlfn.XLOOKUP(selPayPeriodID,tblPayCalendar[PayPeriodID],tblPayCalendar[PeriodEnd],""))</f>
        <v/>
      </c>
      <c r="I358" s="24" t="e" cm="1" vm="1">
        <f t="array" aca="1" ref="I358" ca="1">Table18[Employer Name]</f>
        <v>#VALUE!</v>
      </c>
      <c r="J358" s="3" cm="1">
        <f t="array" ref="J35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58" s="25" t="str">
        <f>_xlfn.XLOOKUP(tblPayrollMaster[[#This Row],[Employee Position]],tblPositionandPayRate[Employee Position],tblPositionandPayRate[Overtime], " ")</f>
        <v xml:space="preserve"> </v>
      </c>
      <c r="L358" s="25">
        <f>_xlfn.XLOOKUP(tblPayrollMaster[[#This Row],[Employee Position]],tblPositionandPayRate[Employee Position],tblPositionandPayRate[Allowance 1],0)*tblPayrollMaster[[#This Row],[Pay Factor]]</f>
        <v>0</v>
      </c>
      <c r="M358" s="25">
        <f>_xlfn.XLOOKUP(tblPayrollMaster[[#This Row],[Employee Position]],tblPositionandPayRate[Employee Position],tblPositionandPayRate[Allowance 2],0)*tblPayrollMaster[[#This Row],[Pay Factor]]</f>
        <v>0</v>
      </c>
      <c r="N358" s="25">
        <f>_xlfn.XLOOKUP(tblPayrollMaster[[#This Row],[Employee Position]],tblPositionandPayRate[Employee Position],tblPositionandPayRate[Allowance 3],0)*tblPayrollMaster[[#This Row],[Pay Factor]]</f>
        <v>0</v>
      </c>
      <c r="O358" s="25">
        <f>_xlfn.XLOOKUP(tblPayrollMaster[[#This Row],[Employee Position]],tblPositionandPayRate[Employee Position],tblPositionandPayRate[Allowance 4],0)*tblPayrollMaster[[#This Row],[Pay Factor]]</f>
        <v>0</v>
      </c>
      <c r="P358" s="25">
        <f>_xlfn.XLOOKUP(tblPayrollMaster[[#This Row],[Employee Position]],tblPositionandPayRate[Employee Position],tblPositionandPayRate[Allowance 5],0)*tblPayrollMaster[[#This Row],[Pay Factor]]</f>
        <v>0</v>
      </c>
      <c r="Q358" s="25">
        <f>SUM(tblPayrollMaster[[#This Row],[Basic Pay]:[Allowance 5]])</f>
        <v>0</v>
      </c>
      <c r="R35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58" s="51" cm="1">
        <f t="array" ref="S3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58" s="3" cm="1">
        <f t="array" ref="T3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58" s="25">
        <f>_xlfn.LET(
_xlpm.tos, _xlfn.XLOOKUP(tblPayrollMaster[[#This Row],[Employee ID]], tblEmployee[Employee ID], tblEmployee[Type of Service], ""),
IF(_xlpm.tos="Contract of Service", 8.25, 0)
)</f>
        <v>0</v>
      </c>
      <c r="V358" s="25">
        <f>tblPayrollMaster[[#This Row],[Basic Earnings]]-tblPayrollMaster[[#This Row],[Tax]]-tblPayrollMaster[[#This Row],[NIS - Employee]]-tblPayrollMaster[[#This Row],[Health Surcharge]]</f>
        <v>0</v>
      </c>
      <c r="W358" s="25">
        <f>tblPayrollMaster[[#This Row],[Net Pay]]</f>
        <v>0</v>
      </c>
      <c r="X358" s="25"/>
    </row>
    <row r="359" spans="1:24" x14ac:dyDescent="0.25">
      <c r="A359" s="24"/>
      <c r="B359" s="24" t="str">
        <f>_xlfn.XLOOKUP(tblPayrollMaster[[#This Row],[Employee ID]],tblEmployee[Employee ID],tblEmployee[Employee Name],"")</f>
        <v/>
      </c>
      <c r="C359" s="24" t="str">
        <f>_xlfn.XLOOKUP(tblPayrollMaster[[#This Row],[Employee ID]],tblEmployee[Employee ID],tblEmployee[Employee Position],"")</f>
        <v/>
      </c>
      <c r="D359" s="24" t="str">
        <f>_xlfn.XLOOKUP(tblPayrollMaster[[#This Row],[Employee ID]], tblEmployee[Employee ID], tblEmployee[Pay Status], "Pay")</f>
        <v>Pay</v>
      </c>
      <c r="E359" s="24" t="str">
        <f>_xlfn.XLOOKUP(tblPayrollMaster[[#This Row],[Employee ID]], tblEmployee[Employee ID], tblEmployee[Payable Flag], "Y")</f>
        <v>Y</v>
      </c>
      <c r="F359" s="45">
        <f>IF(tblPayrollMaster[[#This Row],[Payable Flag]]="N",0,_xlfn.XLOOKUP(tblPayrollMaster[[#This Row],[Employee ID]],tblEmployee[Employee ID],tblEmployee[Pay Factor],1))</f>
        <v>1</v>
      </c>
      <c r="G359" s="26" t="str" cm="1">
        <f t="array" ref="G359">IF(tblPayrollMaster[[#This Row],[Employee ID]]="","",_xlfn.XLOOKUP(selPayPeriodID,tblPayCalendar[PayPeriodID],tblPayCalendar[PeriodStart],""))</f>
        <v/>
      </c>
      <c r="H359" s="26" t="str" cm="1">
        <f t="array" ref="H359">IF(tblPayrollMaster[[#This Row],[Employee ID]]="","",_xlfn.XLOOKUP(selPayPeriodID,tblPayCalendar[PayPeriodID],tblPayCalendar[PeriodEnd],""))</f>
        <v/>
      </c>
      <c r="I359" s="24" t="e" cm="1" vm="1">
        <f t="array" aca="1" ref="I359" ca="1">Table18[Employer Name]</f>
        <v>#VALUE!</v>
      </c>
      <c r="J359" s="3" cm="1">
        <f t="array" ref="J35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59" s="25" t="str">
        <f>_xlfn.XLOOKUP(tblPayrollMaster[[#This Row],[Employee Position]],tblPositionandPayRate[Employee Position],tblPositionandPayRate[Overtime], " ")</f>
        <v xml:space="preserve"> </v>
      </c>
      <c r="L359" s="25">
        <f>_xlfn.XLOOKUP(tblPayrollMaster[[#This Row],[Employee Position]],tblPositionandPayRate[Employee Position],tblPositionandPayRate[Allowance 1],0)*tblPayrollMaster[[#This Row],[Pay Factor]]</f>
        <v>0</v>
      </c>
      <c r="M359" s="25">
        <f>_xlfn.XLOOKUP(tblPayrollMaster[[#This Row],[Employee Position]],tblPositionandPayRate[Employee Position],tblPositionandPayRate[Allowance 2],0)*tblPayrollMaster[[#This Row],[Pay Factor]]</f>
        <v>0</v>
      </c>
      <c r="N359" s="25">
        <f>_xlfn.XLOOKUP(tblPayrollMaster[[#This Row],[Employee Position]],tblPositionandPayRate[Employee Position],tblPositionandPayRate[Allowance 3],0)*tblPayrollMaster[[#This Row],[Pay Factor]]</f>
        <v>0</v>
      </c>
      <c r="O359" s="25">
        <f>_xlfn.XLOOKUP(tblPayrollMaster[[#This Row],[Employee Position]],tblPositionandPayRate[Employee Position],tblPositionandPayRate[Allowance 4],0)*tblPayrollMaster[[#This Row],[Pay Factor]]</f>
        <v>0</v>
      </c>
      <c r="P359" s="25">
        <f>_xlfn.XLOOKUP(tblPayrollMaster[[#This Row],[Employee Position]],tblPositionandPayRate[Employee Position],tblPositionandPayRate[Allowance 5],0)*tblPayrollMaster[[#This Row],[Pay Factor]]</f>
        <v>0</v>
      </c>
      <c r="Q359" s="25">
        <f>SUM(tblPayrollMaster[[#This Row],[Basic Pay]:[Allowance 5]])</f>
        <v>0</v>
      </c>
      <c r="R35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59" s="51" cm="1">
        <f t="array" ref="S3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59" s="3" cm="1">
        <f t="array" ref="T3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59" s="25">
        <f>_xlfn.LET(
_xlpm.tos, _xlfn.XLOOKUP(tblPayrollMaster[[#This Row],[Employee ID]], tblEmployee[Employee ID], tblEmployee[Type of Service], ""),
IF(_xlpm.tos="Contract of Service", 8.25, 0)
)</f>
        <v>0</v>
      </c>
      <c r="V359" s="25">
        <f>tblPayrollMaster[[#This Row],[Basic Earnings]]-tblPayrollMaster[[#This Row],[Tax]]-tblPayrollMaster[[#This Row],[NIS - Employee]]-tblPayrollMaster[[#This Row],[Health Surcharge]]</f>
        <v>0</v>
      </c>
      <c r="W359" s="25">
        <f>tblPayrollMaster[[#This Row],[Net Pay]]</f>
        <v>0</v>
      </c>
      <c r="X359" s="25"/>
    </row>
    <row r="360" spans="1:24" x14ac:dyDescent="0.25">
      <c r="A360" s="24"/>
      <c r="B360" s="24" t="str">
        <f>_xlfn.XLOOKUP(tblPayrollMaster[[#This Row],[Employee ID]],tblEmployee[Employee ID],tblEmployee[Employee Name],"")</f>
        <v/>
      </c>
      <c r="C360" s="24" t="str">
        <f>_xlfn.XLOOKUP(tblPayrollMaster[[#This Row],[Employee ID]],tblEmployee[Employee ID],tblEmployee[Employee Position],"")</f>
        <v/>
      </c>
      <c r="D360" s="24" t="str">
        <f>_xlfn.XLOOKUP(tblPayrollMaster[[#This Row],[Employee ID]], tblEmployee[Employee ID], tblEmployee[Pay Status], "Pay")</f>
        <v>Pay</v>
      </c>
      <c r="E360" s="24" t="str">
        <f>_xlfn.XLOOKUP(tblPayrollMaster[[#This Row],[Employee ID]], tblEmployee[Employee ID], tblEmployee[Payable Flag], "Y")</f>
        <v>Y</v>
      </c>
      <c r="F360" s="45">
        <f>IF(tblPayrollMaster[[#This Row],[Payable Flag]]="N",0,_xlfn.XLOOKUP(tblPayrollMaster[[#This Row],[Employee ID]],tblEmployee[Employee ID],tblEmployee[Pay Factor],1))</f>
        <v>1</v>
      </c>
      <c r="G360" s="26" t="str" cm="1">
        <f t="array" ref="G360">IF(tblPayrollMaster[[#This Row],[Employee ID]]="","",_xlfn.XLOOKUP(selPayPeriodID,tblPayCalendar[PayPeriodID],tblPayCalendar[PeriodStart],""))</f>
        <v/>
      </c>
      <c r="H360" s="26" t="str" cm="1">
        <f t="array" ref="H360">IF(tblPayrollMaster[[#This Row],[Employee ID]]="","",_xlfn.XLOOKUP(selPayPeriodID,tblPayCalendar[PayPeriodID],tblPayCalendar[PeriodEnd],""))</f>
        <v/>
      </c>
      <c r="I360" s="24" t="e" cm="1" vm="1">
        <f t="array" aca="1" ref="I360" ca="1">Table18[Employer Name]</f>
        <v>#VALUE!</v>
      </c>
      <c r="J360" s="3" cm="1">
        <f t="array" ref="J36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60" s="25" t="str">
        <f>_xlfn.XLOOKUP(tblPayrollMaster[[#This Row],[Employee Position]],tblPositionandPayRate[Employee Position],tblPositionandPayRate[Overtime], " ")</f>
        <v xml:space="preserve"> </v>
      </c>
      <c r="L360" s="25">
        <f>_xlfn.XLOOKUP(tblPayrollMaster[[#This Row],[Employee Position]],tblPositionandPayRate[Employee Position],tblPositionandPayRate[Allowance 1],0)*tblPayrollMaster[[#This Row],[Pay Factor]]</f>
        <v>0</v>
      </c>
      <c r="M360" s="25">
        <f>_xlfn.XLOOKUP(tblPayrollMaster[[#This Row],[Employee Position]],tblPositionandPayRate[Employee Position],tblPositionandPayRate[Allowance 2],0)*tblPayrollMaster[[#This Row],[Pay Factor]]</f>
        <v>0</v>
      </c>
      <c r="N360" s="25">
        <f>_xlfn.XLOOKUP(tblPayrollMaster[[#This Row],[Employee Position]],tblPositionandPayRate[Employee Position],tblPositionandPayRate[Allowance 3],0)*tblPayrollMaster[[#This Row],[Pay Factor]]</f>
        <v>0</v>
      </c>
      <c r="O360" s="25">
        <f>_xlfn.XLOOKUP(tblPayrollMaster[[#This Row],[Employee Position]],tblPositionandPayRate[Employee Position],tblPositionandPayRate[Allowance 4],0)*tblPayrollMaster[[#This Row],[Pay Factor]]</f>
        <v>0</v>
      </c>
      <c r="P360" s="25">
        <f>_xlfn.XLOOKUP(tblPayrollMaster[[#This Row],[Employee Position]],tblPositionandPayRate[Employee Position],tblPositionandPayRate[Allowance 5],0)*tblPayrollMaster[[#This Row],[Pay Factor]]</f>
        <v>0</v>
      </c>
      <c r="Q360" s="25">
        <f>SUM(tblPayrollMaster[[#This Row],[Basic Pay]:[Allowance 5]])</f>
        <v>0</v>
      </c>
      <c r="R36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60" s="51" cm="1">
        <f t="array" ref="S3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60" s="3" cm="1">
        <f t="array" ref="T3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60" s="25">
        <f>_xlfn.LET(
_xlpm.tos, _xlfn.XLOOKUP(tblPayrollMaster[[#This Row],[Employee ID]], tblEmployee[Employee ID], tblEmployee[Type of Service], ""),
IF(_xlpm.tos="Contract of Service", 8.25, 0)
)</f>
        <v>0</v>
      </c>
      <c r="V360" s="25">
        <f>tblPayrollMaster[[#This Row],[Basic Earnings]]-tblPayrollMaster[[#This Row],[Tax]]-tblPayrollMaster[[#This Row],[NIS - Employee]]-tblPayrollMaster[[#This Row],[Health Surcharge]]</f>
        <v>0</v>
      </c>
      <c r="W360" s="25">
        <f>tblPayrollMaster[[#This Row],[Net Pay]]</f>
        <v>0</v>
      </c>
      <c r="X360" s="25"/>
    </row>
    <row r="361" spans="1:24" x14ac:dyDescent="0.25">
      <c r="A361" s="24"/>
      <c r="B361" s="24" t="str">
        <f>_xlfn.XLOOKUP(tblPayrollMaster[[#This Row],[Employee ID]],tblEmployee[Employee ID],tblEmployee[Employee Name],"")</f>
        <v/>
      </c>
      <c r="C361" s="24" t="str">
        <f>_xlfn.XLOOKUP(tblPayrollMaster[[#This Row],[Employee ID]],tblEmployee[Employee ID],tblEmployee[Employee Position],"")</f>
        <v/>
      </c>
      <c r="D361" s="24" t="str">
        <f>_xlfn.XLOOKUP(tblPayrollMaster[[#This Row],[Employee ID]], tblEmployee[Employee ID], tblEmployee[Pay Status], "Pay")</f>
        <v>Pay</v>
      </c>
      <c r="E361" s="24" t="str">
        <f>_xlfn.XLOOKUP(tblPayrollMaster[[#This Row],[Employee ID]], tblEmployee[Employee ID], tblEmployee[Payable Flag], "Y")</f>
        <v>Y</v>
      </c>
      <c r="F361" s="45">
        <f>IF(tblPayrollMaster[[#This Row],[Payable Flag]]="N",0,_xlfn.XLOOKUP(tblPayrollMaster[[#This Row],[Employee ID]],tblEmployee[Employee ID],tblEmployee[Pay Factor],1))</f>
        <v>1</v>
      </c>
      <c r="G361" s="26" t="str" cm="1">
        <f t="array" ref="G361">IF(tblPayrollMaster[[#This Row],[Employee ID]]="","",_xlfn.XLOOKUP(selPayPeriodID,tblPayCalendar[PayPeriodID],tblPayCalendar[PeriodStart],""))</f>
        <v/>
      </c>
      <c r="H361" s="26" t="str" cm="1">
        <f t="array" ref="H361">IF(tblPayrollMaster[[#This Row],[Employee ID]]="","",_xlfn.XLOOKUP(selPayPeriodID,tblPayCalendar[PayPeriodID],tblPayCalendar[PeriodEnd],""))</f>
        <v/>
      </c>
      <c r="I361" s="24" t="e" cm="1" vm="1">
        <f t="array" aca="1" ref="I361" ca="1">Table18[Employer Name]</f>
        <v>#VALUE!</v>
      </c>
      <c r="J361" s="3" cm="1">
        <f t="array" ref="J36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61" s="25" t="str">
        <f>_xlfn.XLOOKUP(tblPayrollMaster[[#This Row],[Employee Position]],tblPositionandPayRate[Employee Position],tblPositionandPayRate[Overtime], " ")</f>
        <v xml:space="preserve"> </v>
      </c>
      <c r="L361" s="25">
        <f>_xlfn.XLOOKUP(tblPayrollMaster[[#This Row],[Employee Position]],tblPositionandPayRate[Employee Position],tblPositionandPayRate[Allowance 1],0)*tblPayrollMaster[[#This Row],[Pay Factor]]</f>
        <v>0</v>
      </c>
      <c r="M361" s="25">
        <f>_xlfn.XLOOKUP(tblPayrollMaster[[#This Row],[Employee Position]],tblPositionandPayRate[Employee Position],tblPositionandPayRate[Allowance 2],0)*tblPayrollMaster[[#This Row],[Pay Factor]]</f>
        <v>0</v>
      </c>
      <c r="N361" s="25">
        <f>_xlfn.XLOOKUP(tblPayrollMaster[[#This Row],[Employee Position]],tblPositionandPayRate[Employee Position],tblPositionandPayRate[Allowance 3],0)*tblPayrollMaster[[#This Row],[Pay Factor]]</f>
        <v>0</v>
      </c>
      <c r="O361" s="25">
        <f>_xlfn.XLOOKUP(tblPayrollMaster[[#This Row],[Employee Position]],tblPositionandPayRate[Employee Position],tblPositionandPayRate[Allowance 4],0)*tblPayrollMaster[[#This Row],[Pay Factor]]</f>
        <v>0</v>
      </c>
      <c r="P361" s="25">
        <f>_xlfn.XLOOKUP(tblPayrollMaster[[#This Row],[Employee Position]],tblPositionandPayRate[Employee Position],tblPositionandPayRate[Allowance 5],0)*tblPayrollMaster[[#This Row],[Pay Factor]]</f>
        <v>0</v>
      </c>
      <c r="Q361" s="25">
        <f>SUM(tblPayrollMaster[[#This Row],[Basic Pay]:[Allowance 5]])</f>
        <v>0</v>
      </c>
      <c r="R36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61" s="51" cm="1">
        <f t="array" ref="S3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61" s="3" cm="1">
        <f t="array" ref="T3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61" s="25">
        <f>_xlfn.LET(
_xlpm.tos, _xlfn.XLOOKUP(tblPayrollMaster[[#This Row],[Employee ID]], tblEmployee[Employee ID], tblEmployee[Type of Service], ""),
IF(_xlpm.tos="Contract of Service", 8.25, 0)
)</f>
        <v>0</v>
      </c>
      <c r="V361" s="25">
        <f>tblPayrollMaster[[#This Row],[Basic Earnings]]-tblPayrollMaster[[#This Row],[Tax]]-tblPayrollMaster[[#This Row],[NIS - Employee]]-tblPayrollMaster[[#This Row],[Health Surcharge]]</f>
        <v>0</v>
      </c>
      <c r="W361" s="25">
        <f>tblPayrollMaster[[#This Row],[Net Pay]]</f>
        <v>0</v>
      </c>
      <c r="X361" s="25"/>
    </row>
    <row r="362" spans="1:24" x14ac:dyDescent="0.25">
      <c r="A362" s="24"/>
      <c r="B362" s="24" t="str">
        <f>_xlfn.XLOOKUP(tblPayrollMaster[[#This Row],[Employee ID]],tblEmployee[Employee ID],tblEmployee[Employee Name],"")</f>
        <v/>
      </c>
      <c r="C362" s="24" t="str">
        <f>_xlfn.XLOOKUP(tblPayrollMaster[[#This Row],[Employee ID]],tblEmployee[Employee ID],tblEmployee[Employee Position],"")</f>
        <v/>
      </c>
      <c r="D362" s="24" t="str">
        <f>_xlfn.XLOOKUP(tblPayrollMaster[[#This Row],[Employee ID]], tblEmployee[Employee ID], tblEmployee[Pay Status], "Pay")</f>
        <v>Pay</v>
      </c>
      <c r="E362" s="24" t="str">
        <f>_xlfn.XLOOKUP(tblPayrollMaster[[#This Row],[Employee ID]], tblEmployee[Employee ID], tblEmployee[Payable Flag], "Y")</f>
        <v>Y</v>
      </c>
      <c r="F362" s="45">
        <f>IF(tblPayrollMaster[[#This Row],[Payable Flag]]="N",0,_xlfn.XLOOKUP(tblPayrollMaster[[#This Row],[Employee ID]],tblEmployee[Employee ID],tblEmployee[Pay Factor],1))</f>
        <v>1</v>
      </c>
      <c r="G362" s="26" t="str" cm="1">
        <f t="array" ref="G362">IF(tblPayrollMaster[[#This Row],[Employee ID]]="","",_xlfn.XLOOKUP(selPayPeriodID,tblPayCalendar[PayPeriodID],tblPayCalendar[PeriodStart],""))</f>
        <v/>
      </c>
      <c r="H362" s="26" t="str" cm="1">
        <f t="array" ref="H362">IF(tblPayrollMaster[[#This Row],[Employee ID]]="","",_xlfn.XLOOKUP(selPayPeriodID,tblPayCalendar[PayPeriodID],tblPayCalendar[PeriodEnd],""))</f>
        <v/>
      </c>
      <c r="I362" s="24" t="e" cm="1" vm="1">
        <f t="array" aca="1" ref="I362" ca="1">Table18[Employer Name]</f>
        <v>#VALUE!</v>
      </c>
      <c r="J362" s="3" cm="1">
        <f t="array" ref="J36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62" s="25" t="str">
        <f>_xlfn.XLOOKUP(tblPayrollMaster[[#This Row],[Employee Position]],tblPositionandPayRate[Employee Position],tblPositionandPayRate[Overtime], " ")</f>
        <v xml:space="preserve"> </v>
      </c>
      <c r="L362" s="25">
        <f>_xlfn.XLOOKUP(tblPayrollMaster[[#This Row],[Employee Position]],tblPositionandPayRate[Employee Position],tblPositionandPayRate[Allowance 1],0)*tblPayrollMaster[[#This Row],[Pay Factor]]</f>
        <v>0</v>
      </c>
      <c r="M362" s="25">
        <f>_xlfn.XLOOKUP(tblPayrollMaster[[#This Row],[Employee Position]],tblPositionandPayRate[Employee Position],tblPositionandPayRate[Allowance 2],0)*tblPayrollMaster[[#This Row],[Pay Factor]]</f>
        <v>0</v>
      </c>
      <c r="N362" s="25">
        <f>_xlfn.XLOOKUP(tblPayrollMaster[[#This Row],[Employee Position]],tblPositionandPayRate[Employee Position],tblPositionandPayRate[Allowance 3],0)*tblPayrollMaster[[#This Row],[Pay Factor]]</f>
        <v>0</v>
      </c>
      <c r="O362" s="25">
        <f>_xlfn.XLOOKUP(tblPayrollMaster[[#This Row],[Employee Position]],tblPositionandPayRate[Employee Position],tblPositionandPayRate[Allowance 4],0)*tblPayrollMaster[[#This Row],[Pay Factor]]</f>
        <v>0</v>
      </c>
      <c r="P362" s="25">
        <f>_xlfn.XLOOKUP(tblPayrollMaster[[#This Row],[Employee Position]],tblPositionandPayRate[Employee Position],tblPositionandPayRate[Allowance 5],0)*tblPayrollMaster[[#This Row],[Pay Factor]]</f>
        <v>0</v>
      </c>
      <c r="Q362" s="25">
        <f>SUM(tblPayrollMaster[[#This Row],[Basic Pay]:[Allowance 5]])</f>
        <v>0</v>
      </c>
      <c r="R36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62" s="51" cm="1">
        <f t="array" ref="S3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62" s="3" cm="1">
        <f t="array" ref="T3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62" s="25">
        <f>_xlfn.LET(
_xlpm.tos, _xlfn.XLOOKUP(tblPayrollMaster[[#This Row],[Employee ID]], tblEmployee[Employee ID], tblEmployee[Type of Service], ""),
IF(_xlpm.tos="Contract of Service", 8.25, 0)
)</f>
        <v>0</v>
      </c>
      <c r="V362" s="25">
        <f>tblPayrollMaster[[#This Row],[Basic Earnings]]-tblPayrollMaster[[#This Row],[Tax]]-tblPayrollMaster[[#This Row],[NIS - Employee]]-tblPayrollMaster[[#This Row],[Health Surcharge]]</f>
        <v>0</v>
      </c>
      <c r="W362" s="25">
        <f>tblPayrollMaster[[#This Row],[Net Pay]]</f>
        <v>0</v>
      </c>
      <c r="X362" s="25"/>
    </row>
    <row r="363" spans="1:24" x14ac:dyDescent="0.25">
      <c r="A363" s="24"/>
      <c r="B363" s="24" t="str">
        <f>_xlfn.XLOOKUP(tblPayrollMaster[[#This Row],[Employee ID]],tblEmployee[Employee ID],tblEmployee[Employee Name],"")</f>
        <v/>
      </c>
      <c r="C363" s="24" t="str">
        <f>_xlfn.XLOOKUP(tblPayrollMaster[[#This Row],[Employee ID]],tblEmployee[Employee ID],tblEmployee[Employee Position],"")</f>
        <v/>
      </c>
      <c r="D363" s="24" t="str">
        <f>_xlfn.XLOOKUP(tblPayrollMaster[[#This Row],[Employee ID]], tblEmployee[Employee ID], tblEmployee[Pay Status], "Pay")</f>
        <v>Pay</v>
      </c>
      <c r="E363" s="24" t="str">
        <f>_xlfn.XLOOKUP(tblPayrollMaster[[#This Row],[Employee ID]], tblEmployee[Employee ID], tblEmployee[Payable Flag], "Y")</f>
        <v>Y</v>
      </c>
      <c r="F363" s="45">
        <f>IF(tblPayrollMaster[[#This Row],[Payable Flag]]="N",0,_xlfn.XLOOKUP(tblPayrollMaster[[#This Row],[Employee ID]],tblEmployee[Employee ID],tblEmployee[Pay Factor],1))</f>
        <v>1</v>
      </c>
      <c r="G363" s="26" t="str" cm="1">
        <f t="array" ref="G363">IF(tblPayrollMaster[[#This Row],[Employee ID]]="","",_xlfn.XLOOKUP(selPayPeriodID,tblPayCalendar[PayPeriodID],tblPayCalendar[PeriodStart],""))</f>
        <v/>
      </c>
      <c r="H363" s="26" t="str" cm="1">
        <f t="array" ref="H363">IF(tblPayrollMaster[[#This Row],[Employee ID]]="","",_xlfn.XLOOKUP(selPayPeriodID,tblPayCalendar[PayPeriodID],tblPayCalendar[PeriodEnd],""))</f>
        <v/>
      </c>
      <c r="I363" s="24" t="e" cm="1" vm="1">
        <f t="array" aca="1" ref="I363" ca="1">Table18[Employer Name]</f>
        <v>#VALUE!</v>
      </c>
      <c r="J363" s="3" cm="1">
        <f t="array" ref="J36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63" s="25" t="str">
        <f>_xlfn.XLOOKUP(tblPayrollMaster[[#This Row],[Employee Position]],tblPositionandPayRate[Employee Position],tblPositionandPayRate[Overtime], " ")</f>
        <v xml:space="preserve"> </v>
      </c>
      <c r="L363" s="25">
        <f>_xlfn.XLOOKUP(tblPayrollMaster[[#This Row],[Employee Position]],tblPositionandPayRate[Employee Position],tblPositionandPayRate[Allowance 1],0)*tblPayrollMaster[[#This Row],[Pay Factor]]</f>
        <v>0</v>
      </c>
      <c r="M363" s="25">
        <f>_xlfn.XLOOKUP(tblPayrollMaster[[#This Row],[Employee Position]],tblPositionandPayRate[Employee Position],tblPositionandPayRate[Allowance 2],0)*tblPayrollMaster[[#This Row],[Pay Factor]]</f>
        <v>0</v>
      </c>
      <c r="N363" s="25">
        <f>_xlfn.XLOOKUP(tblPayrollMaster[[#This Row],[Employee Position]],tblPositionandPayRate[Employee Position],tblPositionandPayRate[Allowance 3],0)*tblPayrollMaster[[#This Row],[Pay Factor]]</f>
        <v>0</v>
      </c>
      <c r="O363" s="25">
        <f>_xlfn.XLOOKUP(tblPayrollMaster[[#This Row],[Employee Position]],tblPositionandPayRate[Employee Position],tblPositionandPayRate[Allowance 4],0)*tblPayrollMaster[[#This Row],[Pay Factor]]</f>
        <v>0</v>
      </c>
      <c r="P363" s="25">
        <f>_xlfn.XLOOKUP(tblPayrollMaster[[#This Row],[Employee Position]],tblPositionandPayRate[Employee Position],tblPositionandPayRate[Allowance 5],0)*tblPayrollMaster[[#This Row],[Pay Factor]]</f>
        <v>0</v>
      </c>
      <c r="Q363" s="25">
        <f>SUM(tblPayrollMaster[[#This Row],[Basic Pay]:[Allowance 5]])</f>
        <v>0</v>
      </c>
      <c r="R36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63" s="51" cm="1">
        <f t="array" ref="S3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63" s="3" cm="1">
        <f t="array" ref="T3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63" s="25">
        <f>_xlfn.LET(
_xlpm.tos, _xlfn.XLOOKUP(tblPayrollMaster[[#This Row],[Employee ID]], tblEmployee[Employee ID], tblEmployee[Type of Service], ""),
IF(_xlpm.tos="Contract of Service", 8.25, 0)
)</f>
        <v>0</v>
      </c>
      <c r="V363" s="25">
        <f>tblPayrollMaster[[#This Row],[Basic Earnings]]-tblPayrollMaster[[#This Row],[Tax]]-tblPayrollMaster[[#This Row],[NIS - Employee]]-tblPayrollMaster[[#This Row],[Health Surcharge]]</f>
        <v>0</v>
      </c>
      <c r="W363" s="25">
        <f>tblPayrollMaster[[#This Row],[Net Pay]]</f>
        <v>0</v>
      </c>
      <c r="X363" s="25"/>
    </row>
    <row r="364" spans="1:24" x14ac:dyDescent="0.25">
      <c r="A364" s="24"/>
      <c r="B364" s="24" t="str">
        <f>_xlfn.XLOOKUP(tblPayrollMaster[[#This Row],[Employee ID]],tblEmployee[Employee ID],tblEmployee[Employee Name],"")</f>
        <v/>
      </c>
      <c r="C364" s="24" t="str">
        <f>_xlfn.XLOOKUP(tblPayrollMaster[[#This Row],[Employee ID]],tblEmployee[Employee ID],tblEmployee[Employee Position],"")</f>
        <v/>
      </c>
      <c r="D364" s="24" t="str">
        <f>_xlfn.XLOOKUP(tblPayrollMaster[[#This Row],[Employee ID]], tblEmployee[Employee ID], tblEmployee[Pay Status], "Pay")</f>
        <v>Pay</v>
      </c>
      <c r="E364" s="24" t="str">
        <f>_xlfn.XLOOKUP(tblPayrollMaster[[#This Row],[Employee ID]], tblEmployee[Employee ID], tblEmployee[Payable Flag], "Y")</f>
        <v>Y</v>
      </c>
      <c r="F364" s="45">
        <f>IF(tblPayrollMaster[[#This Row],[Payable Flag]]="N",0,_xlfn.XLOOKUP(tblPayrollMaster[[#This Row],[Employee ID]],tblEmployee[Employee ID],tblEmployee[Pay Factor],1))</f>
        <v>1</v>
      </c>
      <c r="G364" s="26" t="str" cm="1">
        <f t="array" ref="G364">IF(tblPayrollMaster[[#This Row],[Employee ID]]="","",_xlfn.XLOOKUP(selPayPeriodID,tblPayCalendar[PayPeriodID],tblPayCalendar[PeriodStart],""))</f>
        <v/>
      </c>
      <c r="H364" s="26" t="str" cm="1">
        <f t="array" ref="H364">IF(tblPayrollMaster[[#This Row],[Employee ID]]="","",_xlfn.XLOOKUP(selPayPeriodID,tblPayCalendar[PayPeriodID],tblPayCalendar[PeriodEnd],""))</f>
        <v/>
      </c>
      <c r="I364" s="24" t="e" cm="1" vm="1">
        <f t="array" aca="1" ref="I364" ca="1">Table18[Employer Name]</f>
        <v>#VALUE!</v>
      </c>
      <c r="J364" s="3" cm="1">
        <f t="array" ref="J36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64" s="25" t="str">
        <f>_xlfn.XLOOKUP(tblPayrollMaster[[#This Row],[Employee Position]],tblPositionandPayRate[Employee Position],tblPositionandPayRate[Overtime], " ")</f>
        <v xml:space="preserve"> </v>
      </c>
      <c r="L364" s="25">
        <f>_xlfn.XLOOKUP(tblPayrollMaster[[#This Row],[Employee Position]],tblPositionandPayRate[Employee Position],tblPositionandPayRate[Allowance 1],0)*tblPayrollMaster[[#This Row],[Pay Factor]]</f>
        <v>0</v>
      </c>
      <c r="M364" s="25">
        <f>_xlfn.XLOOKUP(tblPayrollMaster[[#This Row],[Employee Position]],tblPositionandPayRate[Employee Position],tblPositionandPayRate[Allowance 2],0)*tblPayrollMaster[[#This Row],[Pay Factor]]</f>
        <v>0</v>
      </c>
      <c r="N364" s="25">
        <f>_xlfn.XLOOKUP(tblPayrollMaster[[#This Row],[Employee Position]],tblPositionandPayRate[Employee Position],tblPositionandPayRate[Allowance 3],0)*tblPayrollMaster[[#This Row],[Pay Factor]]</f>
        <v>0</v>
      </c>
      <c r="O364" s="25">
        <f>_xlfn.XLOOKUP(tblPayrollMaster[[#This Row],[Employee Position]],tblPositionandPayRate[Employee Position],tblPositionandPayRate[Allowance 4],0)*tblPayrollMaster[[#This Row],[Pay Factor]]</f>
        <v>0</v>
      </c>
      <c r="P364" s="25">
        <f>_xlfn.XLOOKUP(tblPayrollMaster[[#This Row],[Employee Position]],tblPositionandPayRate[Employee Position],tblPositionandPayRate[Allowance 5],0)*tblPayrollMaster[[#This Row],[Pay Factor]]</f>
        <v>0</v>
      </c>
      <c r="Q364" s="25">
        <f>SUM(tblPayrollMaster[[#This Row],[Basic Pay]:[Allowance 5]])</f>
        <v>0</v>
      </c>
      <c r="R36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64" s="51" cm="1">
        <f t="array" ref="S3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64" s="3" cm="1">
        <f t="array" ref="T3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64" s="25">
        <f>_xlfn.LET(
_xlpm.tos, _xlfn.XLOOKUP(tblPayrollMaster[[#This Row],[Employee ID]], tblEmployee[Employee ID], tblEmployee[Type of Service], ""),
IF(_xlpm.tos="Contract of Service", 8.25, 0)
)</f>
        <v>0</v>
      </c>
      <c r="V364" s="25">
        <f>tblPayrollMaster[[#This Row],[Basic Earnings]]-tblPayrollMaster[[#This Row],[Tax]]-tblPayrollMaster[[#This Row],[NIS - Employee]]-tblPayrollMaster[[#This Row],[Health Surcharge]]</f>
        <v>0</v>
      </c>
      <c r="W364" s="25">
        <f>tblPayrollMaster[[#This Row],[Net Pay]]</f>
        <v>0</v>
      </c>
      <c r="X364" s="25"/>
    </row>
    <row r="365" spans="1:24" x14ac:dyDescent="0.25">
      <c r="A365" s="24"/>
      <c r="B365" s="24" t="str">
        <f>_xlfn.XLOOKUP(tblPayrollMaster[[#This Row],[Employee ID]],tblEmployee[Employee ID],tblEmployee[Employee Name],"")</f>
        <v/>
      </c>
      <c r="C365" s="24" t="str">
        <f>_xlfn.XLOOKUP(tblPayrollMaster[[#This Row],[Employee ID]],tblEmployee[Employee ID],tblEmployee[Employee Position],"")</f>
        <v/>
      </c>
      <c r="D365" s="24" t="str">
        <f>_xlfn.XLOOKUP(tblPayrollMaster[[#This Row],[Employee ID]], tblEmployee[Employee ID], tblEmployee[Pay Status], "Pay")</f>
        <v>Pay</v>
      </c>
      <c r="E365" s="24" t="str">
        <f>_xlfn.XLOOKUP(tblPayrollMaster[[#This Row],[Employee ID]], tblEmployee[Employee ID], tblEmployee[Payable Flag], "Y")</f>
        <v>Y</v>
      </c>
      <c r="F365" s="45">
        <f>IF(tblPayrollMaster[[#This Row],[Payable Flag]]="N",0,_xlfn.XLOOKUP(tblPayrollMaster[[#This Row],[Employee ID]],tblEmployee[Employee ID],tblEmployee[Pay Factor],1))</f>
        <v>1</v>
      </c>
      <c r="G365" s="26" t="str" cm="1">
        <f t="array" ref="G365">IF(tblPayrollMaster[[#This Row],[Employee ID]]="","",_xlfn.XLOOKUP(selPayPeriodID,tblPayCalendar[PayPeriodID],tblPayCalendar[PeriodStart],""))</f>
        <v/>
      </c>
      <c r="H365" s="26" t="str" cm="1">
        <f t="array" ref="H365">IF(tblPayrollMaster[[#This Row],[Employee ID]]="","",_xlfn.XLOOKUP(selPayPeriodID,tblPayCalendar[PayPeriodID],tblPayCalendar[PeriodEnd],""))</f>
        <v/>
      </c>
      <c r="I365" s="24" t="e" cm="1" vm="1">
        <f t="array" aca="1" ref="I365" ca="1">Table18[Employer Name]</f>
        <v>#VALUE!</v>
      </c>
      <c r="J365" s="3" cm="1">
        <f t="array" ref="J36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65" s="25" t="str">
        <f>_xlfn.XLOOKUP(tblPayrollMaster[[#This Row],[Employee Position]],tblPositionandPayRate[Employee Position],tblPositionandPayRate[Overtime], " ")</f>
        <v xml:space="preserve"> </v>
      </c>
      <c r="L365" s="25">
        <f>_xlfn.XLOOKUP(tblPayrollMaster[[#This Row],[Employee Position]],tblPositionandPayRate[Employee Position],tblPositionandPayRate[Allowance 1],0)*tblPayrollMaster[[#This Row],[Pay Factor]]</f>
        <v>0</v>
      </c>
      <c r="M365" s="25">
        <f>_xlfn.XLOOKUP(tblPayrollMaster[[#This Row],[Employee Position]],tblPositionandPayRate[Employee Position],tblPositionandPayRate[Allowance 2],0)*tblPayrollMaster[[#This Row],[Pay Factor]]</f>
        <v>0</v>
      </c>
      <c r="N365" s="25">
        <f>_xlfn.XLOOKUP(tblPayrollMaster[[#This Row],[Employee Position]],tblPositionandPayRate[Employee Position],tblPositionandPayRate[Allowance 3],0)*tblPayrollMaster[[#This Row],[Pay Factor]]</f>
        <v>0</v>
      </c>
      <c r="O365" s="25">
        <f>_xlfn.XLOOKUP(tblPayrollMaster[[#This Row],[Employee Position]],tblPositionandPayRate[Employee Position],tblPositionandPayRate[Allowance 4],0)*tblPayrollMaster[[#This Row],[Pay Factor]]</f>
        <v>0</v>
      </c>
      <c r="P365" s="25">
        <f>_xlfn.XLOOKUP(tblPayrollMaster[[#This Row],[Employee Position]],tblPositionandPayRate[Employee Position],tblPositionandPayRate[Allowance 5],0)*tblPayrollMaster[[#This Row],[Pay Factor]]</f>
        <v>0</v>
      </c>
      <c r="Q365" s="25">
        <f>SUM(tblPayrollMaster[[#This Row],[Basic Pay]:[Allowance 5]])</f>
        <v>0</v>
      </c>
      <c r="R36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65" s="51" cm="1">
        <f t="array" ref="S3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65" s="3" cm="1">
        <f t="array" ref="T3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65" s="25">
        <f>_xlfn.LET(
_xlpm.tos, _xlfn.XLOOKUP(tblPayrollMaster[[#This Row],[Employee ID]], tblEmployee[Employee ID], tblEmployee[Type of Service], ""),
IF(_xlpm.tos="Contract of Service", 8.25, 0)
)</f>
        <v>0</v>
      </c>
      <c r="V365" s="25">
        <f>tblPayrollMaster[[#This Row],[Basic Earnings]]-tblPayrollMaster[[#This Row],[Tax]]-tblPayrollMaster[[#This Row],[NIS - Employee]]-tblPayrollMaster[[#This Row],[Health Surcharge]]</f>
        <v>0</v>
      </c>
      <c r="W365" s="25">
        <f>tblPayrollMaster[[#This Row],[Net Pay]]</f>
        <v>0</v>
      </c>
      <c r="X365" s="25"/>
    </row>
    <row r="366" spans="1:24" x14ac:dyDescent="0.25">
      <c r="A366" s="24"/>
      <c r="B366" s="24" t="str">
        <f>_xlfn.XLOOKUP(tblPayrollMaster[[#This Row],[Employee ID]],tblEmployee[Employee ID],tblEmployee[Employee Name],"")</f>
        <v/>
      </c>
      <c r="C366" s="24" t="str">
        <f>_xlfn.XLOOKUP(tblPayrollMaster[[#This Row],[Employee ID]],tblEmployee[Employee ID],tblEmployee[Employee Position],"")</f>
        <v/>
      </c>
      <c r="D366" s="24" t="str">
        <f>_xlfn.XLOOKUP(tblPayrollMaster[[#This Row],[Employee ID]], tblEmployee[Employee ID], tblEmployee[Pay Status], "Pay")</f>
        <v>Pay</v>
      </c>
      <c r="E366" s="24" t="str">
        <f>_xlfn.XLOOKUP(tblPayrollMaster[[#This Row],[Employee ID]], tblEmployee[Employee ID], tblEmployee[Payable Flag], "Y")</f>
        <v>Y</v>
      </c>
      <c r="F366" s="45">
        <f>IF(tblPayrollMaster[[#This Row],[Payable Flag]]="N",0,_xlfn.XLOOKUP(tblPayrollMaster[[#This Row],[Employee ID]],tblEmployee[Employee ID],tblEmployee[Pay Factor],1))</f>
        <v>1</v>
      </c>
      <c r="G366" s="26" t="str" cm="1">
        <f t="array" ref="G366">IF(tblPayrollMaster[[#This Row],[Employee ID]]="","",_xlfn.XLOOKUP(selPayPeriodID,tblPayCalendar[PayPeriodID],tblPayCalendar[PeriodStart],""))</f>
        <v/>
      </c>
      <c r="H366" s="26" t="str" cm="1">
        <f t="array" ref="H366">IF(tblPayrollMaster[[#This Row],[Employee ID]]="","",_xlfn.XLOOKUP(selPayPeriodID,tblPayCalendar[PayPeriodID],tblPayCalendar[PeriodEnd],""))</f>
        <v/>
      </c>
      <c r="I366" s="24" t="e" cm="1" vm="1">
        <f t="array" aca="1" ref="I366" ca="1">Table18[Employer Name]</f>
        <v>#VALUE!</v>
      </c>
      <c r="J366" s="3" cm="1">
        <f t="array" ref="J36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66" s="25" t="str">
        <f>_xlfn.XLOOKUP(tblPayrollMaster[[#This Row],[Employee Position]],tblPositionandPayRate[Employee Position],tblPositionandPayRate[Overtime], " ")</f>
        <v xml:space="preserve"> </v>
      </c>
      <c r="L366" s="25">
        <f>_xlfn.XLOOKUP(tblPayrollMaster[[#This Row],[Employee Position]],tblPositionandPayRate[Employee Position],tblPositionandPayRate[Allowance 1],0)*tblPayrollMaster[[#This Row],[Pay Factor]]</f>
        <v>0</v>
      </c>
      <c r="M366" s="25">
        <f>_xlfn.XLOOKUP(tblPayrollMaster[[#This Row],[Employee Position]],tblPositionandPayRate[Employee Position],tblPositionandPayRate[Allowance 2],0)*tblPayrollMaster[[#This Row],[Pay Factor]]</f>
        <v>0</v>
      </c>
      <c r="N366" s="25">
        <f>_xlfn.XLOOKUP(tblPayrollMaster[[#This Row],[Employee Position]],tblPositionandPayRate[Employee Position],tblPositionandPayRate[Allowance 3],0)*tblPayrollMaster[[#This Row],[Pay Factor]]</f>
        <v>0</v>
      </c>
      <c r="O366" s="25">
        <f>_xlfn.XLOOKUP(tblPayrollMaster[[#This Row],[Employee Position]],tblPositionandPayRate[Employee Position],tblPositionandPayRate[Allowance 4],0)*tblPayrollMaster[[#This Row],[Pay Factor]]</f>
        <v>0</v>
      </c>
      <c r="P366" s="25">
        <f>_xlfn.XLOOKUP(tblPayrollMaster[[#This Row],[Employee Position]],tblPositionandPayRate[Employee Position],tblPositionandPayRate[Allowance 5],0)*tblPayrollMaster[[#This Row],[Pay Factor]]</f>
        <v>0</v>
      </c>
      <c r="Q366" s="25">
        <f>SUM(tblPayrollMaster[[#This Row],[Basic Pay]:[Allowance 5]])</f>
        <v>0</v>
      </c>
      <c r="R36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66" s="51" cm="1">
        <f t="array" ref="S3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66" s="3" cm="1">
        <f t="array" ref="T3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66" s="25">
        <f>_xlfn.LET(
_xlpm.tos, _xlfn.XLOOKUP(tblPayrollMaster[[#This Row],[Employee ID]], tblEmployee[Employee ID], tblEmployee[Type of Service], ""),
IF(_xlpm.tos="Contract of Service", 8.25, 0)
)</f>
        <v>0</v>
      </c>
      <c r="V366" s="25">
        <f>tblPayrollMaster[[#This Row],[Basic Earnings]]-tblPayrollMaster[[#This Row],[Tax]]-tblPayrollMaster[[#This Row],[NIS - Employee]]-tblPayrollMaster[[#This Row],[Health Surcharge]]</f>
        <v>0</v>
      </c>
      <c r="W366" s="25">
        <f>tblPayrollMaster[[#This Row],[Net Pay]]</f>
        <v>0</v>
      </c>
      <c r="X366" s="25"/>
    </row>
    <row r="367" spans="1:24" x14ac:dyDescent="0.25">
      <c r="A367" s="24"/>
      <c r="B367" s="24" t="str">
        <f>_xlfn.XLOOKUP(tblPayrollMaster[[#This Row],[Employee ID]],tblEmployee[Employee ID],tblEmployee[Employee Name],"")</f>
        <v/>
      </c>
      <c r="C367" s="24" t="str">
        <f>_xlfn.XLOOKUP(tblPayrollMaster[[#This Row],[Employee ID]],tblEmployee[Employee ID],tblEmployee[Employee Position],"")</f>
        <v/>
      </c>
      <c r="D367" s="24" t="str">
        <f>_xlfn.XLOOKUP(tblPayrollMaster[[#This Row],[Employee ID]], tblEmployee[Employee ID], tblEmployee[Pay Status], "Pay")</f>
        <v>Pay</v>
      </c>
      <c r="E367" s="24" t="str">
        <f>_xlfn.XLOOKUP(tblPayrollMaster[[#This Row],[Employee ID]], tblEmployee[Employee ID], tblEmployee[Payable Flag], "Y")</f>
        <v>Y</v>
      </c>
      <c r="F367" s="45">
        <f>IF(tblPayrollMaster[[#This Row],[Payable Flag]]="N",0,_xlfn.XLOOKUP(tblPayrollMaster[[#This Row],[Employee ID]],tblEmployee[Employee ID],tblEmployee[Pay Factor],1))</f>
        <v>1</v>
      </c>
      <c r="G367" s="26" t="str" cm="1">
        <f t="array" ref="G367">IF(tblPayrollMaster[[#This Row],[Employee ID]]="","",_xlfn.XLOOKUP(selPayPeriodID,tblPayCalendar[PayPeriodID],tblPayCalendar[PeriodStart],""))</f>
        <v/>
      </c>
      <c r="H367" s="26" t="str" cm="1">
        <f t="array" ref="H367">IF(tblPayrollMaster[[#This Row],[Employee ID]]="","",_xlfn.XLOOKUP(selPayPeriodID,tblPayCalendar[PayPeriodID],tblPayCalendar[PeriodEnd],""))</f>
        <v/>
      </c>
      <c r="I367" s="24" t="e" cm="1" vm="1">
        <f t="array" aca="1" ref="I367" ca="1">Table18[Employer Name]</f>
        <v>#VALUE!</v>
      </c>
      <c r="J367" s="3" cm="1">
        <f t="array" ref="J36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67" s="25" t="str">
        <f>_xlfn.XLOOKUP(tblPayrollMaster[[#This Row],[Employee Position]],tblPositionandPayRate[Employee Position],tblPositionandPayRate[Overtime], " ")</f>
        <v xml:space="preserve"> </v>
      </c>
      <c r="L367" s="25">
        <f>_xlfn.XLOOKUP(tblPayrollMaster[[#This Row],[Employee Position]],tblPositionandPayRate[Employee Position],tblPositionandPayRate[Allowance 1],0)*tblPayrollMaster[[#This Row],[Pay Factor]]</f>
        <v>0</v>
      </c>
      <c r="M367" s="25">
        <f>_xlfn.XLOOKUP(tblPayrollMaster[[#This Row],[Employee Position]],tblPositionandPayRate[Employee Position],tblPositionandPayRate[Allowance 2],0)*tblPayrollMaster[[#This Row],[Pay Factor]]</f>
        <v>0</v>
      </c>
      <c r="N367" s="25">
        <f>_xlfn.XLOOKUP(tblPayrollMaster[[#This Row],[Employee Position]],tblPositionandPayRate[Employee Position],tblPositionandPayRate[Allowance 3],0)*tblPayrollMaster[[#This Row],[Pay Factor]]</f>
        <v>0</v>
      </c>
      <c r="O367" s="25">
        <f>_xlfn.XLOOKUP(tblPayrollMaster[[#This Row],[Employee Position]],tblPositionandPayRate[Employee Position],tblPositionandPayRate[Allowance 4],0)*tblPayrollMaster[[#This Row],[Pay Factor]]</f>
        <v>0</v>
      </c>
      <c r="P367" s="25">
        <f>_xlfn.XLOOKUP(tblPayrollMaster[[#This Row],[Employee Position]],tblPositionandPayRate[Employee Position],tblPositionandPayRate[Allowance 5],0)*tblPayrollMaster[[#This Row],[Pay Factor]]</f>
        <v>0</v>
      </c>
      <c r="Q367" s="25">
        <f>SUM(tblPayrollMaster[[#This Row],[Basic Pay]:[Allowance 5]])</f>
        <v>0</v>
      </c>
      <c r="R36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67" s="51" cm="1">
        <f t="array" ref="S3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67" s="3" cm="1">
        <f t="array" ref="T3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67" s="25">
        <f>_xlfn.LET(
_xlpm.tos, _xlfn.XLOOKUP(tblPayrollMaster[[#This Row],[Employee ID]], tblEmployee[Employee ID], tblEmployee[Type of Service], ""),
IF(_xlpm.tos="Contract of Service", 8.25, 0)
)</f>
        <v>0</v>
      </c>
      <c r="V367" s="25">
        <f>tblPayrollMaster[[#This Row],[Basic Earnings]]-tblPayrollMaster[[#This Row],[Tax]]-tblPayrollMaster[[#This Row],[NIS - Employee]]-tblPayrollMaster[[#This Row],[Health Surcharge]]</f>
        <v>0</v>
      </c>
      <c r="W367" s="25">
        <f>tblPayrollMaster[[#This Row],[Net Pay]]</f>
        <v>0</v>
      </c>
      <c r="X367" s="25"/>
    </row>
    <row r="368" spans="1:24" x14ac:dyDescent="0.25">
      <c r="A368" s="24"/>
      <c r="B368" s="24" t="str">
        <f>_xlfn.XLOOKUP(tblPayrollMaster[[#This Row],[Employee ID]],tblEmployee[Employee ID],tblEmployee[Employee Name],"")</f>
        <v/>
      </c>
      <c r="C368" s="24" t="str">
        <f>_xlfn.XLOOKUP(tblPayrollMaster[[#This Row],[Employee ID]],tblEmployee[Employee ID],tblEmployee[Employee Position],"")</f>
        <v/>
      </c>
      <c r="D368" s="24" t="str">
        <f>_xlfn.XLOOKUP(tblPayrollMaster[[#This Row],[Employee ID]], tblEmployee[Employee ID], tblEmployee[Pay Status], "Pay")</f>
        <v>Pay</v>
      </c>
      <c r="E368" s="24" t="str">
        <f>_xlfn.XLOOKUP(tblPayrollMaster[[#This Row],[Employee ID]], tblEmployee[Employee ID], tblEmployee[Payable Flag], "Y")</f>
        <v>Y</v>
      </c>
      <c r="F368" s="45">
        <f>IF(tblPayrollMaster[[#This Row],[Payable Flag]]="N",0,_xlfn.XLOOKUP(tblPayrollMaster[[#This Row],[Employee ID]],tblEmployee[Employee ID],tblEmployee[Pay Factor],1))</f>
        <v>1</v>
      </c>
      <c r="G368" s="26" t="str" cm="1">
        <f t="array" ref="G368">IF(tblPayrollMaster[[#This Row],[Employee ID]]="","",_xlfn.XLOOKUP(selPayPeriodID,tblPayCalendar[PayPeriodID],tblPayCalendar[PeriodStart],""))</f>
        <v/>
      </c>
      <c r="H368" s="26" t="str" cm="1">
        <f t="array" ref="H368">IF(tblPayrollMaster[[#This Row],[Employee ID]]="","",_xlfn.XLOOKUP(selPayPeriodID,tblPayCalendar[PayPeriodID],tblPayCalendar[PeriodEnd],""))</f>
        <v/>
      </c>
      <c r="I368" s="24" t="e" cm="1" vm="1">
        <f t="array" aca="1" ref="I368" ca="1">Table18[Employer Name]</f>
        <v>#VALUE!</v>
      </c>
      <c r="J368" s="3" cm="1">
        <f t="array" ref="J36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68" s="25" t="str">
        <f>_xlfn.XLOOKUP(tblPayrollMaster[[#This Row],[Employee Position]],tblPositionandPayRate[Employee Position],tblPositionandPayRate[Overtime], " ")</f>
        <v xml:space="preserve"> </v>
      </c>
      <c r="L368" s="25">
        <f>_xlfn.XLOOKUP(tblPayrollMaster[[#This Row],[Employee Position]],tblPositionandPayRate[Employee Position],tblPositionandPayRate[Allowance 1],0)*tblPayrollMaster[[#This Row],[Pay Factor]]</f>
        <v>0</v>
      </c>
      <c r="M368" s="25">
        <f>_xlfn.XLOOKUP(tblPayrollMaster[[#This Row],[Employee Position]],tblPositionandPayRate[Employee Position],tblPositionandPayRate[Allowance 2],0)*tblPayrollMaster[[#This Row],[Pay Factor]]</f>
        <v>0</v>
      </c>
      <c r="N368" s="25">
        <f>_xlfn.XLOOKUP(tblPayrollMaster[[#This Row],[Employee Position]],tblPositionandPayRate[Employee Position],tblPositionandPayRate[Allowance 3],0)*tblPayrollMaster[[#This Row],[Pay Factor]]</f>
        <v>0</v>
      </c>
      <c r="O368" s="25">
        <f>_xlfn.XLOOKUP(tblPayrollMaster[[#This Row],[Employee Position]],tblPositionandPayRate[Employee Position],tblPositionandPayRate[Allowance 4],0)*tblPayrollMaster[[#This Row],[Pay Factor]]</f>
        <v>0</v>
      </c>
      <c r="P368" s="25">
        <f>_xlfn.XLOOKUP(tblPayrollMaster[[#This Row],[Employee Position]],tblPositionandPayRate[Employee Position],tblPositionandPayRate[Allowance 5],0)*tblPayrollMaster[[#This Row],[Pay Factor]]</f>
        <v>0</v>
      </c>
      <c r="Q368" s="25">
        <f>SUM(tblPayrollMaster[[#This Row],[Basic Pay]:[Allowance 5]])</f>
        <v>0</v>
      </c>
      <c r="R36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68" s="51" cm="1">
        <f t="array" ref="S3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68" s="3" cm="1">
        <f t="array" ref="T3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68" s="25">
        <f>_xlfn.LET(
_xlpm.tos, _xlfn.XLOOKUP(tblPayrollMaster[[#This Row],[Employee ID]], tblEmployee[Employee ID], tblEmployee[Type of Service], ""),
IF(_xlpm.tos="Contract of Service", 8.25, 0)
)</f>
        <v>0</v>
      </c>
      <c r="V368" s="25">
        <f>tblPayrollMaster[[#This Row],[Basic Earnings]]-tblPayrollMaster[[#This Row],[Tax]]-tblPayrollMaster[[#This Row],[NIS - Employee]]-tblPayrollMaster[[#This Row],[Health Surcharge]]</f>
        <v>0</v>
      </c>
      <c r="W368" s="25">
        <f>tblPayrollMaster[[#This Row],[Net Pay]]</f>
        <v>0</v>
      </c>
      <c r="X368" s="25"/>
    </row>
    <row r="369" spans="1:24" x14ac:dyDescent="0.25">
      <c r="A369" s="24"/>
      <c r="B369" s="24" t="str">
        <f>_xlfn.XLOOKUP(tblPayrollMaster[[#This Row],[Employee ID]],tblEmployee[Employee ID],tblEmployee[Employee Name],"")</f>
        <v/>
      </c>
      <c r="C369" s="24" t="str">
        <f>_xlfn.XLOOKUP(tblPayrollMaster[[#This Row],[Employee ID]],tblEmployee[Employee ID],tblEmployee[Employee Position],"")</f>
        <v/>
      </c>
      <c r="D369" s="24" t="str">
        <f>_xlfn.XLOOKUP(tblPayrollMaster[[#This Row],[Employee ID]], tblEmployee[Employee ID], tblEmployee[Pay Status], "Pay")</f>
        <v>Pay</v>
      </c>
      <c r="E369" s="24" t="str">
        <f>_xlfn.XLOOKUP(tblPayrollMaster[[#This Row],[Employee ID]], tblEmployee[Employee ID], tblEmployee[Payable Flag], "Y")</f>
        <v>Y</v>
      </c>
      <c r="F369" s="45">
        <f>IF(tblPayrollMaster[[#This Row],[Payable Flag]]="N",0,_xlfn.XLOOKUP(tblPayrollMaster[[#This Row],[Employee ID]],tblEmployee[Employee ID],tblEmployee[Pay Factor],1))</f>
        <v>1</v>
      </c>
      <c r="G369" s="26" t="str" cm="1">
        <f t="array" ref="G369">IF(tblPayrollMaster[[#This Row],[Employee ID]]="","",_xlfn.XLOOKUP(selPayPeriodID,tblPayCalendar[PayPeriodID],tblPayCalendar[PeriodStart],""))</f>
        <v/>
      </c>
      <c r="H369" s="26" t="str" cm="1">
        <f t="array" ref="H369">IF(tblPayrollMaster[[#This Row],[Employee ID]]="","",_xlfn.XLOOKUP(selPayPeriodID,tblPayCalendar[PayPeriodID],tblPayCalendar[PeriodEnd],""))</f>
        <v/>
      </c>
      <c r="I369" s="24" t="e" cm="1" vm="1">
        <f t="array" aca="1" ref="I369" ca="1">Table18[Employer Name]</f>
        <v>#VALUE!</v>
      </c>
      <c r="J369" s="3" cm="1">
        <f t="array" ref="J36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69" s="25" t="str">
        <f>_xlfn.XLOOKUP(tblPayrollMaster[[#This Row],[Employee Position]],tblPositionandPayRate[Employee Position],tblPositionandPayRate[Overtime], " ")</f>
        <v xml:space="preserve"> </v>
      </c>
      <c r="L369" s="25">
        <f>_xlfn.XLOOKUP(tblPayrollMaster[[#This Row],[Employee Position]],tblPositionandPayRate[Employee Position],tblPositionandPayRate[Allowance 1],0)*tblPayrollMaster[[#This Row],[Pay Factor]]</f>
        <v>0</v>
      </c>
      <c r="M369" s="25">
        <f>_xlfn.XLOOKUP(tblPayrollMaster[[#This Row],[Employee Position]],tblPositionandPayRate[Employee Position],tblPositionandPayRate[Allowance 2],0)*tblPayrollMaster[[#This Row],[Pay Factor]]</f>
        <v>0</v>
      </c>
      <c r="N369" s="25">
        <f>_xlfn.XLOOKUP(tblPayrollMaster[[#This Row],[Employee Position]],tblPositionandPayRate[Employee Position],tblPositionandPayRate[Allowance 3],0)*tblPayrollMaster[[#This Row],[Pay Factor]]</f>
        <v>0</v>
      </c>
      <c r="O369" s="25">
        <f>_xlfn.XLOOKUP(tblPayrollMaster[[#This Row],[Employee Position]],tblPositionandPayRate[Employee Position],tblPositionandPayRate[Allowance 4],0)*tblPayrollMaster[[#This Row],[Pay Factor]]</f>
        <v>0</v>
      </c>
      <c r="P369" s="25">
        <f>_xlfn.XLOOKUP(tblPayrollMaster[[#This Row],[Employee Position]],tblPositionandPayRate[Employee Position],tblPositionandPayRate[Allowance 5],0)*tblPayrollMaster[[#This Row],[Pay Factor]]</f>
        <v>0</v>
      </c>
      <c r="Q369" s="25">
        <f>SUM(tblPayrollMaster[[#This Row],[Basic Pay]:[Allowance 5]])</f>
        <v>0</v>
      </c>
      <c r="R36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69" s="51" cm="1">
        <f t="array" ref="S3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69" s="3" cm="1">
        <f t="array" ref="T3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69" s="25">
        <f>_xlfn.LET(
_xlpm.tos, _xlfn.XLOOKUP(tblPayrollMaster[[#This Row],[Employee ID]], tblEmployee[Employee ID], tblEmployee[Type of Service], ""),
IF(_xlpm.tos="Contract of Service", 8.25, 0)
)</f>
        <v>0</v>
      </c>
      <c r="V369" s="25">
        <f>tblPayrollMaster[[#This Row],[Basic Earnings]]-tblPayrollMaster[[#This Row],[Tax]]-tblPayrollMaster[[#This Row],[NIS - Employee]]-tblPayrollMaster[[#This Row],[Health Surcharge]]</f>
        <v>0</v>
      </c>
      <c r="W369" s="25">
        <f>tblPayrollMaster[[#This Row],[Net Pay]]</f>
        <v>0</v>
      </c>
      <c r="X369" s="25"/>
    </row>
    <row r="370" spans="1:24" x14ac:dyDescent="0.25">
      <c r="A370" s="24"/>
      <c r="B370" s="24" t="str">
        <f>_xlfn.XLOOKUP(tblPayrollMaster[[#This Row],[Employee ID]],tblEmployee[Employee ID],tblEmployee[Employee Name],"")</f>
        <v/>
      </c>
      <c r="C370" s="24" t="str">
        <f>_xlfn.XLOOKUP(tblPayrollMaster[[#This Row],[Employee ID]],tblEmployee[Employee ID],tblEmployee[Employee Position],"")</f>
        <v/>
      </c>
      <c r="D370" s="24" t="str">
        <f>_xlfn.XLOOKUP(tblPayrollMaster[[#This Row],[Employee ID]], tblEmployee[Employee ID], tblEmployee[Pay Status], "Pay")</f>
        <v>Pay</v>
      </c>
      <c r="E370" s="24" t="str">
        <f>_xlfn.XLOOKUP(tblPayrollMaster[[#This Row],[Employee ID]], tblEmployee[Employee ID], tblEmployee[Payable Flag], "Y")</f>
        <v>Y</v>
      </c>
      <c r="F370" s="45">
        <f>IF(tblPayrollMaster[[#This Row],[Payable Flag]]="N",0,_xlfn.XLOOKUP(tblPayrollMaster[[#This Row],[Employee ID]],tblEmployee[Employee ID],tblEmployee[Pay Factor],1))</f>
        <v>1</v>
      </c>
      <c r="G370" s="26" t="str" cm="1">
        <f t="array" ref="G370">IF(tblPayrollMaster[[#This Row],[Employee ID]]="","",_xlfn.XLOOKUP(selPayPeriodID,tblPayCalendar[PayPeriodID],tblPayCalendar[PeriodStart],""))</f>
        <v/>
      </c>
      <c r="H370" s="26" t="str" cm="1">
        <f t="array" ref="H370">IF(tblPayrollMaster[[#This Row],[Employee ID]]="","",_xlfn.XLOOKUP(selPayPeriodID,tblPayCalendar[PayPeriodID],tblPayCalendar[PeriodEnd],""))</f>
        <v/>
      </c>
      <c r="I370" s="24" t="e" cm="1" vm="1">
        <f t="array" aca="1" ref="I370" ca="1">Table18[Employer Name]</f>
        <v>#VALUE!</v>
      </c>
      <c r="J370" s="3" cm="1">
        <f t="array" ref="J37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70" s="25" t="str">
        <f>_xlfn.XLOOKUP(tblPayrollMaster[[#This Row],[Employee Position]],tblPositionandPayRate[Employee Position],tblPositionandPayRate[Overtime], " ")</f>
        <v xml:space="preserve"> </v>
      </c>
      <c r="L370" s="25">
        <f>_xlfn.XLOOKUP(tblPayrollMaster[[#This Row],[Employee Position]],tblPositionandPayRate[Employee Position],tblPositionandPayRate[Allowance 1],0)*tblPayrollMaster[[#This Row],[Pay Factor]]</f>
        <v>0</v>
      </c>
      <c r="M370" s="25">
        <f>_xlfn.XLOOKUP(tblPayrollMaster[[#This Row],[Employee Position]],tblPositionandPayRate[Employee Position],tblPositionandPayRate[Allowance 2],0)*tblPayrollMaster[[#This Row],[Pay Factor]]</f>
        <v>0</v>
      </c>
      <c r="N370" s="25">
        <f>_xlfn.XLOOKUP(tblPayrollMaster[[#This Row],[Employee Position]],tblPositionandPayRate[Employee Position],tblPositionandPayRate[Allowance 3],0)*tblPayrollMaster[[#This Row],[Pay Factor]]</f>
        <v>0</v>
      </c>
      <c r="O370" s="25">
        <f>_xlfn.XLOOKUP(tblPayrollMaster[[#This Row],[Employee Position]],tblPositionandPayRate[Employee Position],tblPositionandPayRate[Allowance 4],0)*tblPayrollMaster[[#This Row],[Pay Factor]]</f>
        <v>0</v>
      </c>
      <c r="P370" s="25">
        <f>_xlfn.XLOOKUP(tblPayrollMaster[[#This Row],[Employee Position]],tblPositionandPayRate[Employee Position],tblPositionandPayRate[Allowance 5],0)*tblPayrollMaster[[#This Row],[Pay Factor]]</f>
        <v>0</v>
      </c>
      <c r="Q370" s="25">
        <f>SUM(tblPayrollMaster[[#This Row],[Basic Pay]:[Allowance 5]])</f>
        <v>0</v>
      </c>
      <c r="R37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70" s="51" cm="1">
        <f t="array" ref="S3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70" s="3" cm="1">
        <f t="array" ref="T3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70" s="25">
        <f>_xlfn.LET(
_xlpm.tos, _xlfn.XLOOKUP(tblPayrollMaster[[#This Row],[Employee ID]], tblEmployee[Employee ID], tblEmployee[Type of Service], ""),
IF(_xlpm.tos="Contract of Service", 8.25, 0)
)</f>
        <v>0</v>
      </c>
      <c r="V370" s="25">
        <f>tblPayrollMaster[[#This Row],[Basic Earnings]]-tblPayrollMaster[[#This Row],[Tax]]-tblPayrollMaster[[#This Row],[NIS - Employee]]-tblPayrollMaster[[#This Row],[Health Surcharge]]</f>
        <v>0</v>
      </c>
      <c r="W370" s="25">
        <f>tblPayrollMaster[[#This Row],[Net Pay]]</f>
        <v>0</v>
      </c>
      <c r="X370" s="25"/>
    </row>
    <row r="371" spans="1:24" x14ac:dyDescent="0.25">
      <c r="A371" s="24"/>
      <c r="B371" s="24" t="str">
        <f>_xlfn.XLOOKUP(tblPayrollMaster[[#This Row],[Employee ID]],tblEmployee[Employee ID],tblEmployee[Employee Name],"")</f>
        <v/>
      </c>
      <c r="C371" s="24" t="str">
        <f>_xlfn.XLOOKUP(tblPayrollMaster[[#This Row],[Employee ID]],tblEmployee[Employee ID],tblEmployee[Employee Position],"")</f>
        <v/>
      </c>
      <c r="D371" s="24" t="str">
        <f>_xlfn.XLOOKUP(tblPayrollMaster[[#This Row],[Employee ID]], tblEmployee[Employee ID], tblEmployee[Pay Status], "Pay")</f>
        <v>Pay</v>
      </c>
      <c r="E371" s="24" t="str">
        <f>_xlfn.XLOOKUP(tblPayrollMaster[[#This Row],[Employee ID]], tblEmployee[Employee ID], tblEmployee[Payable Flag], "Y")</f>
        <v>Y</v>
      </c>
      <c r="F371" s="45">
        <f>IF(tblPayrollMaster[[#This Row],[Payable Flag]]="N",0,_xlfn.XLOOKUP(tblPayrollMaster[[#This Row],[Employee ID]],tblEmployee[Employee ID],tblEmployee[Pay Factor],1))</f>
        <v>1</v>
      </c>
      <c r="G371" s="26" t="str" cm="1">
        <f t="array" ref="G371">IF(tblPayrollMaster[[#This Row],[Employee ID]]="","",_xlfn.XLOOKUP(selPayPeriodID,tblPayCalendar[PayPeriodID],tblPayCalendar[PeriodStart],""))</f>
        <v/>
      </c>
      <c r="H371" s="26" t="str" cm="1">
        <f t="array" ref="H371">IF(tblPayrollMaster[[#This Row],[Employee ID]]="","",_xlfn.XLOOKUP(selPayPeriodID,tblPayCalendar[PayPeriodID],tblPayCalendar[PeriodEnd],""))</f>
        <v/>
      </c>
      <c r="I371" s="24" t="e" cm="1" vm="1">
        <f t="array" aca="1" ref="I371" ca="1">Table18[Employer Name]</f>
        <v>#VALUE!</v>
      </c>
      <c r="J371" s="3" cm="1">
        <f t="array" ref="J37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71" s="25" t="str">
        <f>_xlfn.XLOOKUP(tblPayrollMaster[[#This Row],[Employee Position]],tblPositionandPayRate[Employee Position],tblPositionandPayRate[Overtime], " ")</f>
        <v xml:space="preserve"> </v>
      </c>
      <c r="L371" s="25">
        <f>_xlfn.XLOOKUP(tblPayrollMaster[[#This Row],[Employee Position]],tblPositionandPayRate[Employee Position],tblPositionandPayRate[Allowance 1],0)*tblPayrollMaster[[#This Row],[Pay Factor]]</f>
        <v>0</v>
      </c>
      <c r="M371" s="25">
        <f>_xlfn.XLOOKUP(tblPayrollMaster[[#This Row],[Employee Position]],tblPositionandPayRate[Employee Position],tblPositionandPayRate[Allowance 2],0)*tblPayrollMaster[[#This Row],[Pay Factor]]</f>
        <v>0</v>
      </c>
      <c r="N371" s="25">
        <f>_xlfn.XLOOKUP(tblPayrollMaster[[#This Row],[Employee Position]],tblPositionandPayRate[Employee Position],tblPositionandPayRate[Allowance 3],0)*tblPayrollMaster[[#This Row],[Pay Factor]]</f>
        <v>0</v>
      </c>
      <c r="O371" s="25">
        <f>_xlfn.XLOOKUP(tblPayrollMaster[[#This Row],[Employee Position]],tblPositionandPayRate[Employee Position],tblPositionandPayRate[Allowance 4],0)*tblPayrollMaster[[#This Row],[Pay Factor]]</f>
        <v>0</v>
      </c>
      <c r="P371" s="25">
        <f>_xlfn.XLOOKUP(tblPayrollMaster[[#This Row],[Employee Position]],tblPositionandPayRate[Employee Position],tblPositionandPayRate[Allowance 5],0)*tblPayrollMaster[[#This Row],[Pay Factor]]</f>
        <v>0</v>
      </c>
      <c r="Q371" s="25">
        <f>SUM(tblPayrollMaster[[#This Row],[Basic Pay]:[Allowance 5]])</f>
        <v>0</v>
      </c>
      <c r="R37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71" s="51" cm="1">
        <f t="array" ref="S3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71" s="3" cm="1">
        <f t="array" ref="T3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71" s="25">
        <f>_xlfn.LET(
_xlpm.tos, _xlfn.XLOOKUP(tblPayrollMaster[[#This Row],[Employee ID]], tblEmployee[Employee ID], tblEmployee[Type of Service], ""),
IF(_xlpm.tos="Contract of Service", 8.25, 0)
)</f>
        <v>0</v>
      </c>
      <c r="V371" s="25">
        <f>tblPayrollMaster[[#This Row],[Basic Earnings]]-tblPayrollMaster[[#This Row],[Tax]]-tblPayrollMaster[[#This Row],[NIS - Employee]]-tblPayrollMaster[[#This Row],[Health Surcharge]]</f>
        <v>0</v>
      </c>
      <c r="W371" s="25">
        <f>tblPayrollMaster[[#This Row],[Net Pay]]</f>
        <v>0</v>
      </c>
      <c r="X371" s="25"/>
    </row>
    <row r="372" spans="1:24" x14ac:dyDescent="0.25">
      <c r="A372" s="24"/>
      <c r="B372" s="24" t="str">
        <f>_xlfn.XLOOKUP(tblPayrollMaster[[#This Row],[Employee ID]],tblEmployee[Employee ID],tblEmployee[Employee Name],"")</f>
        <v/>
      </c>
      <c r="C372" s="24" t="str">
        <f>_xlfn.XLOOKUP(tblPayrollMaster[[#This Row],[Employee ID]],tblEmployee[Employee ID],tblEmployee[Employee Position],"")</f>
        <v/>
      </c>
      <c r="D372" s="24" t="str">
        <f>_xlfn.XLOOKUP(tblPayrollMaster[[#This Row],[Employee ID]], tblEmployee[Employee ID], tblEmployee[Pay Status], "Pay")</f>
        <v>Pay</v>
      </c>
      <c r="E372" s="24" t="str">
        <f>_xlfn.XLOOKUP(tblPayrollMaster[[#This Row],[Employee ID]], tblEmployee[Employee ID], tblEmployee[Payable Flag], "Y")</f>
        <v>Y</v>
      </c>
      <c r="F372" s="45">
        <f>IF(tblPayrollMaster[[#This Row],[Payable Flag]]="N",0,_xlfn.XLOOKUP(tblPayrollMaster[[#This Row],[Employee ID]],tblEmployee[Employee ID],tblEmployee[Pay Factor],1))</f>
        <v>1</v>
      </c>
      <c r="G372" s="26" t="str" cm="1">
        <f t="array" ref="G372">IF(tblPayrollMaster[[#This Row],[Employee ID]]="","",_xlfn.XLOOKUP(selPayPeriodID,tblPayCalendar[PayPeriodID],tblPayCalendar[PeriodStart],""))</f>
        <v/>
      </c>
      <c r="H372" s="26" t="str" cm="1">
        <f t="array" ref="H372">IF(tblPayrollMaster[[#This Row],[Employee ID]]="","",_xlfn.XLOOKUP(selPayPeriodID,tblPayCalendar[PayPeriodID],tblPayCalendar[PeriodEnd],""))</f>
        <v/>
      </c>
      <c r="I372" s="24" t="e" cm="1" vm="1">
        <f t="array" aca="1" ref="I372" ca="1">Table18[Employer Name]</f>
        <v>#VALUE!</v>
      </c>
      <c r="J372" s="3" cm="1">
        <f t="array" ref="J37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72" s="25" t="str">
        <f>_xlfn.XLOOKUP(tblPayrollMaster[[#This Row],[Employee Position]],tblPositionandPayRate[Employee Position],tblPositionandPayRate[Overtime], " ")</f>
        <v xml:space="preserve"> </v>
      </c>
      <c r="L372" s="25">
        <f>_xlfn.XLOOKUP(tblPayrollMaster[[#This Row],[Employee Position]],tblPositionandPayRate[Employee Position],tblPositionandPayRate[Allowance 1],0)*tblPayrollMaster[[#This Row],[Pay Factor]]</f>
        <v>0</v>
      </c>
      <c r="M372" s="25">
        <f>_xlfn.XLOOKUP(tblPayrollMaster[[#This Row],[Employee Position]],tblPositionandPayRate[Employee Position],tblPositionandPayRate[Allowance 2],0)*tblPayrollMaster[[#This Row],[Pay Factor]]</f>
        <v>0</v>
      </c>
      <c r="N372" s="25">
        <f>_xlfn.XLOOKUP(tblPayrollMaster[[#This Row],[Employee Position]],tblPositionandPayRate[Employee Position],tblPositionandPayRate[Allowance 3],0)*tblPayrollMaster[[#This Row],[Pay Factor]]</f>
        <v>0</v>
      </c>
      <c r="O372" s="25">
        <f>_xlfn.XLOOKUP(tblPayrollMaster[[#This Row],[Employee Position]],tblPositionandPayRate[Employee Position],tblPositionandPayRate[Allowance 4],0)*tblPayrollMaster[[#This Row],[Pay Factor]]</f>
        <v>0</v>
      </c>
      <c r="P372" s="25">
        <f>_xlfn.XLOOKUP(tblPayrollMaster[[#This Row],[Employee Position]],tblPositionandPayRate[Employee Position],tblPositionandPayRate[Allowance 5],0)*tblPayrollMaster[[#This Row],[Pay Factor]]</f>
        <v>0</v>
      </c>
      <c r="Q372" s="25">
        <f>SUM(tblPayrollMaster[[#This Row],[Basic Pay]:[Allowance 5]])</f>
        <v>0</v>
      </c>
      <c r="R37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72" s="51" cm="1">
        <f t="array" ref="S3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72" s="3" cm="1">
        <f t="array" ref="T3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72" s="25">
        <f>_xlfn.LET(
_xlpm.tos, _xlfn.XLOOKUP(tblPayrollMaster[[#This Row],[Employee ID]], tblEmployee[Employee ID], tblEmployee[Type of Service], ""),
IF(_xlpm.tos="Contract of Service", 8.25, 0)
)</f>
        <v>0</v>
      </c>
      <c r="V372" s="25">
        <f>tblPayrollMaster[[#This Row],[Basic Earnings]]-tblPayrollMaster[[#This Row],[Tax]]-tblPayrollMaster[[#This Row],[NIS - Employee]]-tblPayrollMaster[[#This Row],[Health Surcharge]]</f>
        <v>0</v>
      </c>
      <c r="W372" s="25">
        <f>tblPayrollMaster[[#This Row],[Net Pay]]</f>
        <v>0</v>
      </c>
      <c r="X372" s="25"/>
    </row>
    <row r="373" spans="1:24" x14ac:dyDescent="0.25">
      <c r="A373" s="24"/>
      <c r="B373" s="24" t="str">
        <f>_xlfn.XLOOKUP(tblPayrollMaster[[#This Row],[Employee ID]],tblEmployee[Employee ID],tblEmployee[Employee Name],"")</f>
        <v/>
      </c>
      <c r="C373" s="24" t="str">
        <f>_xlfn.XLOOKUP(tblPayrollMaster[[#This Row],[Employee ID]],tblEmployee[Employee ID],tblEmployee[Employee Position],"")</f>
        <v/>
      </c>
      <c r="D373" s="24" t="str">
        <f>_xlfn.XLOOKUP(tblPayrollMaster[[#This Row],[Employee ID]], tblEmployee[Employee ID], tblEmployee[Pay Status], "Pay")</f>
        <v>Pay</v>
      </c>
      <c r="E373" s="24" t="str">
        <f>_xlfn.XLOOKUP(tblPayrollMaster[[#This Row],[Employee ID]], tblEmployee[Employee ID], tblEmployee[Payable Flag], "Y")</f>
        <v>Y</v>
      </c>
      <c r="F373" s="45">
        <f>IF(tblPayrollMaster[[#This Row],[Payable Flag]]="N",0,_xlfn.XLOOKUP(tblPayrollMaster[[#This Row],[Employee ID]],tblEmployee[Employee ID],tblEmployee[Pay Factor],1))</f>
        <v>1</v>
      </c>
      <c r="G373" s="26" t="str" cm="1">
        <f t="array" ref="G373">IF(tblPayrollMaster[[#This Row],[Employee ID]]="","",_xlfn.XLOOKUP(selPayPeriodID,tblPayCalendar[PayPeriodID],tblPayCalendar[PeriodStart],""))</f>
        <v/>
      </c>
      <c r="H373" s="26" t="str" cm="1">
        <f t="array" ref="H373">IF(tblPayrollMaster[[#This Row],[Employee ID]]="","",_xlfn.XLOOKUP(selPayPeriodID,tblPayCalendar[PayPeriodID],tblPayCalendar[PeriodEnd],""))</f>
        <v/>
      </c>
      <c r="I373" s="24" t="e" cm="1" vm="1">
        <f t="array" aca="1" ref="I373" ca="1">Table18[Employer Name]</f>
        <v>#VALUE!</v>
      </c>
      <c r="J373" s="3" cm="1">
        <f t="array" ref="J37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73" s="25" t="str">
        <f>_xlfn.XLOOKUP(tblPayrollMaster[[#This Row],[Employee Position]],tblPositionandPayRate[Employee Position],tblPositionandPayRate[Overtime], " ")</f>
        <v xml:space="preserve"> </v>
      </c>
      <c r="L373" s="25">
        <f>_xlfn.XLOOKUP(tblPayrollMaster[[#This Row],[Employee Position]],tblPositionandPayRate[Employee Position],tblPositionandPayRate[Allowance 1],0)*tblPayrollMaster[[#This Row],[Pay Factor]]</f>
        <v>0</v>
      </c>
      <c r="M373" s="25">
        <f>_xlfn.XLOOKUP(tblPayrollMaster[[#This Row],[Employee Position]],tblPositionandPayRate[Employee Position],tblPositionandPayRate[Allowance 2],0)*tblPayrollMaster[[#This Row],[Pay Factor]]</f>
        <v>0</v>
      </c>
      <c r="N373" s="25">
        <f>_xlfn.XLOOKUP(tblPayrollMaster[[#This Row],[Employee Position]],tblPositionandPayRate[Employee Position],tblPositionandPayRate[Allowance 3],0)*tblPayrollMaster[[#This Row],[Pay Factor]]</f>
        <v>0</v>
      </c>
      <c r="O373" s="25">
        <f>_xlfn.XLOOKUP(tblPayrollMaster[[#This Row],[Employee Position]],tblPositionandPayRate[Employee Position],tblPositionandPayRate[Allowance 4],0)*tblPayrollMaster[[#This Row],[Pay Factor]]</f>
        <v>0</v>
      </c>
      <c r="P373" s="25">
        <f>_xlfn.XLOOKUP(tblPayrollMaster[[#This Row],[Employee Position]],tblPositionandPayRate[Employee Position],tblPositionandPayRate[Allowance 5],0)*tblPayrollMaster[[#This Row],[Pay Factor]]</f>
        <v>0</v>
      </c>
      <c r="Q373" s="25">
        <f>SUM(tblPayrollMaster[[#This Row],[Basic Pay]:[Allowance 5]])</f>
        <v>0</v>
      </c>
      <c r="R37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73" s="51" cm="1">
        <f t="array" ref="S3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73" s="3" cm="1">
        <f t="array" ref="T3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73" s="25">
        <f>_xlfn.LET(
_xlpm.tos, _xlfn.XLOOKUP(tblPayrollMaster[[#This Row],[Employee ID]], tblEmployee[Employee ID], tblEmployee[Type of Service], ""),
IF(_xlpm.tos="Contract of Service", 8.25, 0)
)</f>
        <v>0</v>
      </c>
      <c r="V373" s="25">
        <f>tblPayrollMaster[[#This Row],[Basic Earnings]]-tblPayrollMaster[[#This Row],[Tax]]-tblPayrollMaster[[#This Row],[NIS - Employee]]-tblPayrollMaster[[#This Row],[Health Surcharge]]</f>
        <v>0</v>
      </c>
      <c r="W373" s="25">
        <f>tblPayrollMaster[[#This Row],[Net Pay]]</f>
        <v>0</v>
      </c>
      <c r="X373" s="25"/>
    </row>
    <row r="374" spans="1:24" x14ac:dyDescent="0.25">
      <c r="A374" s="24"/>
      <c r="B374" s="24" t="str">
        <f>_xlfn.XLOOKUP(tblPayrollMaster[[#This Row],[Employee ID]],tblEmployee[Employee ID],tblEmployee[Employee Name],"")</f>
        <v/>
      </c>
      <c r="C374" s="24" t="str">
        <f>_xlfn.XLOOKUP(tblPayrollMaster[[#This Row],[Employee ID]],tblEmployee[Employee ID],tblEmployee[Employee Position],"")</f>
        <v/>
      </c>
      <c r="D374" s="24" t="str">
        <f>_xlfn.XLOOKUP(tblPayrollMaster[[#This Row],[Employee ID]], tblEmployee[Employee ID], tblEmployee[Pay Status], "Pay")</f>
        <v>Pay</v>
      </c>
      <c r="E374" s="24" t="str">
        <f>_xlfn.XLOOKUP(tblPayrollMaster[[#This Row],[Employee ID]], tblEmployee[Employee ID], tblEmployee[Payable Flag], "Y")</f>
        <v>Y</v>
      </c>
      <c r="F374" s="45">
        <f>IF(tblPayrollMaster[[#This Row],[Payable Flag]]="N",0,_xlfn.XLOOKUP(tblPayrollMaster[[#This Row],[Employee ID]],tblEmployee[Employee ID],tblEmployee[Pay Factor],1))</f>
        <v>1</v>
      </c>
      <c r="G374" s="26" t="str" cm="1">
        <f t="array" ref="G374">IF(tblPayrollMaster[[#This Row],[Employee ID]]="","",_xlfn.XLOOKUP(selPayPeriodID,tblPayCalendar[PayPeriodID],tblPayCalendar[PeriodStart],""))</f>
        <v/>
      </c>
      <c r="H374" s="26" t="str" cm="1">
        <f t="array" ref="H374">IF(tblPayrollMaster[[#This Row],[Employee ID]]="","",_xlfn.XLOOKUP(selPayPeriodID,tblPayCalendar[PayPeriodID],tblPayCalendar[PeriodEnd],""))</f>
        <v/>
      </c>
      <c r="I374" s="24" t="e" cm="1" vm="1">
        <f t="array" aca="1" ref="I374" ca="1">Table18[Employer Name]</f>
        <v>#VALUE!</v>
      </c>
      <c r="J374" s="3" cm="1">
        <f t="array" ref="J37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74" s="25" t="str">
        <f>_xlfn.XLOOKUP(tblPayrollMaster[[#This Row],[Employee Position]],tblPositionandPayRate[Employee Position],tblPositionandPayRate[Overtime], " ")</f>
        <v xml:space="preserve"> </v>
      </c>
      <c r="L374" s="25">
        <f>_xlfn.XLOOKUP(tblPayrollMaster[[#This Row],[Employee Position]],tblPositionandPayRate[Employee Position],tblPositionandPayRate[Allowance 1],0)*tblPayrollMaster[[#This Row],[Pay Factor]]</f>
        <v>0</v>
      </c>
      <c r="M374" s="25">
        <f>_xlfn.XLOOKUP(tblPayrollMaster[[#This Row],[Employee Position]],tblPositionandPayRate[Employee Position],tblPositionandPayRate[Allowance 2],0)*tblPayrollMaster[[#This Row],[Pay Factor]]</f>
        <v>0</v>
      </c>
      <c r="N374" s="25">
        <f>_xlfn.XLOOKUP(tblPayrollMaster[[#This Row],[Employee Position]],tblPositionandPayRate[Employee Position],tblPositionandPayRate[Allowance 3],0)*tblPayrollMaster[[#This Row],[Pay Factor]]</f>
        <v>0</v>
      </c>
      <c r="O374" s="25">
        <f>_xlfn.XLOOKUP(tblPayrollMaster[[#This Row],[Employee Position]],tblPositionandPayRate[Employee Position],tblPositionandPayRate[Allowance 4],0)*tblPayrollMaster[[#This Row],[Pay Factor]]</f>
        <v>0</v>
      </c>
      <c r="P374" s="25">
        <f>_xlfn.XLOOKUP(tblPayrollMaster[[#This Row],[Employee Position]],tblPositionandPayRate[Employee Position],tblPositionandPayRate[Allowance 5],0)*tblPayrollMaster[[#This Row],[Pay Factor]]</f>
        <v>0</v>
      </c>
      <c r="Q374" s="25">
        <f>SUM(tblPayrollMaster[[#This Row],[Basic Pay]:[Allowance 5]])</f>
        <v>0</v>
      </c>
      <c r="R37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74" s="51" cm="1">
        <f t="array" ref="S3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74" s="3" cm="1">
        <f t="array" ref="T3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74" s="25">
        <f>_xlfn.LET(
_xlpm.tos, _xlfn.XLOOKUP(tblPayrollMaster[[#This Row],[Employee ID]], tblEmployee[Employee ID], tblEmployee[Type of Service], ""),
IF(_xlpm.tos="Contract of Service", 8.25, 0)
)</f>
        <v>0</v>
      </c>
      <c r="V374" s="25">
        <f>tblPayrollMaster[[#This Row],[Basic Earnings]]-tblPayrollMaster[[#This Row],[Tax]]-tblPayrollMaster[[#This Row],[NIS - Employee]]-tblPayrollMaster[[#This Row],[Health Surcharge]]</f>
        <v>0</v>
      </c>
      <c r="W374" s="25">
        <f>tblPayrollMaster[[#This Row],[Net Pay]]</f>
        <v>0</v>
      </c>
      <c r="X374" s="25"/>
    </row>
    <row r="375" spans="1:24" x14ac:dyDescent="0.25">
      <c r="A375" s="24"/>
      <c r="B375" s="24" t="str">
        <f>_xlfn.XLOOKUP(tblPayrollMaster[[#This Row],[Employee ID]],tblEmployee[Employee ID],tblEmployee[Employee Name],"")</f>
        <v/>
      </c>
      <c r="C375" s="24" t="str">
        <f>_xlfn.XLOOKUP(tblPayrollMaster[[#This Row],[Employee ID]],tblEmployee[Employee ID],tblEmployee[Employee Position],"")</f>
        <v/>
      </c>
      <c r="D375" s="24" t="str">
        <f>_xlfn.XLOOKUP(tblPayrollMaster[[#This Row],[Employee ID]], tblEmployee[Employee ID], tblEmployee[Pay Status], "Pay")</f>
        <v>Pay</v>
      </c>
      <c r="E375" s="24" t="str">
        <f>_xlfn.XLOOKUP(tblPayrollMaster[[#This Row],[Employee ID]], tblEmployee[Employee ID], tblEmployee[Payable Flag], "Y")</f>
        <v>Y</v>
      </c>
      <c r="F375" s="45">
        <f>IF(tblPayrollMaster[[#This Row],[Payable Flag]]="N",0,_xlfn.XLOOKUP(tblPayrollMaster[[#This Row],[Employee ID]],tblEmployee[Employee ID],tblEmployee[Pay Factor],1))</f>
        <v>1</v>
      </c>
      <c r="G375" s="26" t="str" cm="1">
        <f t="array" ref="G375">IF(tblPayrollMaster[[#This Row],[Employee ID]]="","",_xlfn.XLOOKUP(selPayPeriodID,tblPayCalendar[PayPeriodID],tblPayCalendar[PeriodStart],""))</f>
        <v/>
      </c>
      <c r="H375" s="26" t="str" cm="1">
        <f t="array" ref="H375">IF(tblPayrollMaster[[#This Row],[Employee ID]]="","",_xlfn.XLOOKUP(selPayPeriodID,tblPayCalendar[PayPeriodID],tblPayCalendar[PeriodEnd],""))</f>
        <v/>
      </c>
      <c r="I375" s="24" t="e" cm="1" vm="1">
        <f t="array" aca="1" ref="I375" ca="1">Table18[Employer Name]</f>
        <v>#VALUE!</v>
      </c>
      <c r="J375" s="3" cm="1">
        <f t="array" ref="J37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75" s="25" t="str">
        <f>_xlfn.XLOOKUP(tblPayrollMaster[[#This Row],[Employee Position]],tblPositionandPayRate[Employee Position],tblPositionandPayRate[Overtime], " ")</f>
        <v xml:space="preserve"> </v>
      </c>
      <c r="L375" s="25">
        <f>_xlfn.XLOOKUP(tblPayrollMaster[[#This Row],[Employee Position]],tblPositionandPayRate[Employee Position],tblPositionandPayRate[Allowance 1],0)*tblPayrollMaster[[#This Row],[Pay Factor]]</f>
        <v>0</v>
      </c>
      <c r="M375" s="25">
        <f>_xlfn.XLOOKUP(tblPayrollMaster[[#This Row],[Employee Position]],tblPositionandPayRate[Employee Position],tblPositionandPayRate[Allowance 2],0)*tblPayrollMaster[[#This Row],[Pay Factor]]</f>
        <v>0</v>
      </c>
      <c r="N375" s="25">
        <f>_xlfn.XLOOKUP(tblPayrollMaster[[#This Row],[Employee Position]],tblPositionandPayRate[Employee Position],tblPositionandPayRate[Allowance 3],0)*tblPayrollMaster[[#This Row],[Pay Factor]]</f>
        <v>0</v>
      </c>
      <c r="O375" s="25">
        <f>_xlfn.XLOOKUP(tblPayrollMaster[[#This Row],[Employee Position]],tblPositionandPayRate[Employee Position],tblPositionandPayRate[Allowance 4],0)*tblPayrollMaster[[#This Row],[Pay Factor]]</f>
        <v>0</v>
      </c>
      <c r="P375" s="25">
        <f>_xlfn.XLOOKUP(tblPayrollMaster[[#This Row],[Employee Position]],tblPositionandPayRate[Employee Position],tblPositionandPayRate[Allowance 5],0)*tblPayrollMaster[[#This Row],[Pay Factor]]</f>
        <v>0</v>
      </c>
      <c r="Q375" s="25">
        <f>SUM(tblPayrollMaster[[#This Row],[Basic Pay]:[Allowance 5]])</f>
        <v>0</v>
      </c>
      <c r="R37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75" s="51" cm="1">
        <f t="array" ref="S3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75" s="3" cm="1">
        <f t="array" ref="T3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75" s="25">
        <f>_xlfn.LET(
_xlpm.tos, _xlfn.XLOOKUP(tblPayrollMaster[[#This Row],[Employee ID]], tblEmployee[Employee ID], tblEmployee[Type of Service], ""),
IF(_xlpm.tos="Contract of Service", 8.25, 0)
)</f>
        <v>0</v>
      </c>
      <c r="V375" s="25">
        <f>tblPayrollMaster[[#This Row],[Basic Earnings]]-tblPayrollMaster[[#This Row],[Tax]]-tblPayrollMaster[[#This Row],[NIS - Employee]]-tblPayrollMaster[[#This Row],[Health Surcharge]]</f>
        <v>0</v>
      </c>
      <c r="W375" s="25">
        <f>tblPayrollMaster[[#This Row],[Net Pay]]</f>
        <v>0</v>
      </c>
      <c r="X375" s="25"/>
    </row>
    <row r="376" spans="1:24" x14ac:dyDescent="0.25">
      <c r="A376" s="24"/>
      <c r="B376" s="24" t="str">
        <f>_xlfn.XLOOKUP(tblPayrollMaster[[#This Row],[Employee ID]],tblEmployee[Employee ID],tblEmployee[Employee Name],"")</f>
        <v/>
      </c>
      <c r="C376" s="24" t="str">
        <f>_xlfn.XLOOKUP(tblPayrollMaster[[#This Row],[Employee ID]],tblEmployee[Employee ID],tblEmployee[Employee Position],"")</f>
        <v/>
      </c>
      <c r="D376" s="24" t="str">
        <f>_xlfn.XLOOKUP(tblPayrollMaster[[#This Row],[Employee ID]], tblEmployee[Employee ID], tblEmployee[Pay Status], "Pay")</f>
        <v>Pay</v>
      </c>
      <c r="E376" s="24" t="str">
        <f>_xlfn.XLOOKUP(tblPayrollMaster[[#This Row],[Employee ID]], tblEmployee[Employee ID], tblEmployee[Payable Flag], "Y")</f>
        <v>Y</v>
      </c>
      <c r="F376" s="45">
        <f>IF(tblPayrollMaster[[#This Row],[Payable Flag]]="N",0,_xlfn.XLOOKUP(tblPayrollMaster[[#This Row],[Employee ID]],tblEmployee[Employee ID],tblEmployee[Pay Factor],1))</f>
        <v>1</v>
      </c>
      <c r="G376" s="26" t="str" cm="1">
        <f t="array" ref="G376">IF(tblPayrollMaster[[#This Row],[Employee ID]]="","",_xlfn.XLOOKUP(selPayPeriodID,tblPayCalendar[PayPeriodID],tblPayCalendar[PeriodStart],""))</f>
        <v/>
      </c>
      <c r="H376" s="26" t="str" cm="1">
        <f t="array" ref="H376">IF(tblPayrollMaster[[#This Row],[Employee ID]]="","",_xlfn.XLOOKUP(selPayPeriodID,tblPayCalendar[PayPeriodID],tblPayCalendar[PeriodEnd],""))</f>
        <v/>
      </c>
      <c r="I376" s="24" t="e" cm="1" vm="1">
        <f t="array" aca="1" ref="I376" ca="1">Table18[Employer Name]</f>
        <v>#VALUE!</v>
      </c>
      <c r="J376" s="3" cm="1">
        <f t="array" ref="J37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76" s="25" t="str">
        <f>_xlfn.XLOOKUP(tblPayrollMaster[[#This Row],[Employee Position]],tblPositionandPayRate[Employee Position],tblPositionandPayRate[Overtime], " ")</f>
        <v xml:space="preserve"> </v>
      </c>
      <c r="L376" s="25">
        <f>_xlfn.XLOOKUP(tblPayrollMaster[[#This Row],[Employee Position]],tblPositionandPayRate[Employee Position],tblPositionandPayRate[Allowance 1],0)*tblPayrollMaster[[#This Row],[Pay Factor]]</f>
        <v>0</v>
      </c>
      <c r="M376" s="25">
        <f>_xlfn.XLOOKUP(tblPayrollMaster[[#This Row],[Employee Position]],tblPositionandPayRate[Employee Position],tblPositionandPayRate[Allowance 2],0)*tblPayrollMaster[[#This Row],[Pay Factor]]</f>
        <v>0</v>
      </c>
      <c r="N376" s="25">
        <f>_xlfn.XLOOKUP(tblPayrollMaster[[#This Row],[Employee Position]],tblPositionandPayRate[Employee Position],tblPositionandPayRate[Allowance 3],0)*tblPayrollMaster[[#This Row],[Pay Factor]]</f>
        <v>0</v>
      </c>
      <c r="O376" s="25">
        <f>_xlfn.XLOOKUP(tblPayrollMaster[[#This Row],[Employee Position]],tblPositionandPayRate[Employee Position],tblPositionandPayRate[Allowance 4],0)*tblPayrollMaster[[#This Row],[Pay Factor]]</f>
        <v>0</v>
      </c>
      <c r="P376" s="25">
        <f>_xlfn.XLOOKUP(tblPayrollMaster[[#This Row],[Employee Position]],tblPositionandPayRate[Employee Position],tblPositionandPayRate[Allowance 5],0)*tblPayrollMaster[[#This Row],[Pay Factor]]</f>
        <v>0</v>
      </c>
      <c r="Q376" s="25">
        <f>SUM(tblPayrollMaster[[#This Row],[Basic Pay]:[Allowance 5]])</f>
        <v>0</v>
      </c>
      <c r="R37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76" s="51" cm="1">
        <f t="array" ref="S3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76" s="3" cm="1">
        <f t="array" ref="T3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76" s="25">
        <f>_xlfn.LET(
_xlpm.tos, _xlfn.XLOOKUP(tblPayrollMaster[[#This Row],[Employee ID]], tblEmployee[Employee ID], tblEmployee[Type of Service], ""),
IF(_xlpm.tos="Contract of Service", 8.25, 0)
)</f>
        <v>0</v>
      </c>
      <c r="V376" s="25">
        <f>tblPayrollMaster[[#This Row],[Basic Earnings]]-tblPayrollMaster[[#This Row],[Tax]]-tblPayrollMaster[[#This Row],[NIS - Employee]]-tblPayrollMaster[[#This Row],[Health Surcharge]]</f>
        <v>0</v>
      </c>
      <c r="W376" s="25">
        <f>tblPayrollMaster[[#This Row],[Net Pay]]</f>
        <v>0</v>
      </c>
      <c r="X376" s="25"/>
    </row>
    <row r="377" spans="1:24" x14ac:dyDescent="0.25">
      <c r="A377" s="24"/>
      <c r="B377" s="24" t="str">
        <f>_xlfn.XLOOKUP(tblPayrollMaster[[#This Row],[Employee ID]],tblEmployee[Employee ID],tblEmployee[Employee Name],"")</f>
        <v/>
      </c>
      <c r="C377" s="24" t="str">
        <f>_xlfn.XLOOKUP(tblPayrollMaster[[#This Row],[Employee ID]],tblEmployee[Employee ID],tblEmployee[Employee Position],"")</f>
        <v/>
      </c>
      <c r="D377" s="24" t="str">
        <f>_xlfn.XLOOKUP(tblPayrollMaster[[#This Row],[Employee ID]], tblEmployee[Employee ID], tblEmployee[Pay Status], "Pay")</f>
        <v>Pay</v>
      </c>
      <c r="E377" s="24" t="str">
        <f>_xlfn.XLOOKUP(tblPayrollMaster[[#This Row],[Employee ID]], tblEmployee[Employee ID], tblEmployee[Payable Flag], "Y")</f>
        <v>Y</v>
      </c>
      <c r="F377" s="45">
        <f>IF(tblPayrollMaster[[#This Row],[Payable Flag]]="N",0,_xlfn.XLOOKUP(tblPayrollMaster[[#This Row],[Employee ID]],tblEmployee[Employee ID],tblEmployee[Pay Factor],1))</f>
        <v>1</v>
      </c>
      <c r="G377" s="26" t="str" cm="1">
        <f t="array" ref="G377">IF(tblPayrollMaster[[#This Row],[Employee ID]]="","",_xlfn.XLOOKUP(selPayPeriodID,tblPayCalendar[PayPeriodID],tblPayCalendar[PeriodStart],""))</f>
        <v/>
      </c>
      <c r="H377" s="26" t="str" cm="1">
        <f t="array" ref="H377">IF(tblPayrollMaster[[#This Row],[Employee ID]]="","",_xlfn.XLOOKUP(selPayPeriodID,tblPayCalendar[PayPeriodID],tblPayCalendar[PeriodEnd],""))</f>
        <v/>
      </c>
      <c r="I377" s="24" t="e" cm="1" vm="1">
        <f t="array" aca="1" ref="I377" ca="1">Table18[Employer Name]</f>
        <v>#VALUE!</v>
      </c>
      <c r="J377" s="3" cm="1">
        <f t="array" ref="J37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77" s="25" t="str">
        <f>_xlfn.XLOOKUP(tblPayrollMaster[[#This Row],[Employee Position]],tblPositionandPayRate[Employee Position],tblPositionandPayRate[Overtime], " ")</f>
        <v xml:space="preserve"> </v>
      </c>
      <c r="L377" s="25">
        <f>_xlfn.XLOOKUP(tblPayrollMaster[[#This Row],[Employee Position]],tblPositionandPayRate[Employee Position],tblPositionandPayRate[Allowance 1],0)*tblPayrollMaster[[#This Row],[Pay Factor]]</f>
        <v>0</v>
      </c>
      <c r="M377" s="25">
        <f>_xlfn.XLOOKUP(tblPayrollMaster[[#This Row],[Employee Position]],tblPositionandPayRate[Employee Position],tblPositionandPayRate[Allowance 2],0)*tblPayrollMaster[[#This Row],[Pay Factor]]</f>
        <v>0</v>
      </c>
      <c r="N377" s="25">
        <f>_xlfn.XLOOKUP(tblPayrollMaster[[#This Row],[Employee Position]],tblPositionandPayRate[Employee Position],tblPositionandPayRate[Allowance 3],0)*tblPayrollMaster[[#This Row],[Pay Factor]]</f>
        <v>0</v>
      </c>
      <c r="O377" s="25">
        <f>_xlfn.XLOOKUP(tblPayrollMaster[[#This Row],[Employee Position]],tblPositionandPayRate[Employee Position],tblPositionandPayRate[Allowance 4],0)*tblPayrollMaster[[#This Row],[Pay Factor]]</f>
        <v>0</v>
      </c>
      <c r="P377" s="25">
        <f>_xlfn.XLOOKUP(tblPayrollMaster[[#This Row],[Employee Position]],tblPositionandPayRate[Employee Position],tblPositionandPayRate[Allowance 5],0)*tblPayrollMaster[[#This Row],[Pay Factor]]</f>
        <v>0</v>
      </c>
      <c r="Q377" s="25">
        <f>SUM(tblPayrollMaster[[#This Row],[Basic Pay]:[Allowance 5]])</f>
        <v>0</v>
      </c>
      <c r="R37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77" s="51" cm="1">
        <f t="array" ref="S3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77" s="3" cm="1">
        <f t="array" ref="T3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77" s="25">
        <f>_xlfn.LET(
_xlpm.tos, _xlfn.XLOOKUP(tblPayrollMaster[[#This Row],[Employee ID]], tblEmployee[Employee ID], tblEmployee[Type of Service], ""),
IF(_xlpm.tos="Contract of Service", 8.25, 0)
)</f>
        <v>0</v>
      </c>
      <c r="V377" s="25">
        <f>tblPayrollMaster[[#This Row],[Basic Earnings]]-tblPayrollMaster[[#This Row],[Tax]]-tblPayrollMaster[[#This Row],[NIS - Employee]]-tblPayrollMaster[[#This Row],[Health Surcharge]]</f>
        <v>0</v>
      </c>
      <c r="W377" s="25">
        <f>tblPayrollMaster[[#This Row],[Net Pay]]</f>
        <v>0</v>
      </c>
      <c r="X377" s="25"/>
    </row>
    <row r="378" spans="1:24" x14ac:dyDescent="0.25">
      <c r="A378" s="24"/>
      <c r="B378" s="24" t="str">
        <f>_xlfn.XLOOKUP(tblPayrollMaster[[#This Row],[Employee ID]],tblEmployee[Employee ID],tblEmployee[Employee Name],"")</f>
        <v/>
      </c>
      <c r="C378" s="24" t="str">
        <f>_xlfn.XLOOKUP(tblPayrollMaster[[#This Row],[Employee ID]],tblEmployee[Employee ID],tblEmployee[Employee Position],"")</f>
        <v/>
      </c>
      <c r="D378" s="24" t="str">
        <f>_xlfn.XLOOKUP(tblPayrollMaster[[#This Row],[Employee ID]], tblEmployee[Employee ID], tblEmployee[Pay Status], "Pay")</f>
        <v>Pay</v>
      </c>
      <c r="E378" s="24" t="str">
        <f>_xlfn.XLOOKUP(tblPayrollMaster[[#This Row],[Employee ID]], tblEmployee[Employee ID], tblEmployee[Payable Flag], "Y")</f>
        <v>Y</v>
      </c>
      <c r="F378" s="45">
        <f>IF(tblPayrollMaster[[#This Row],[Payable Flag]]="N",0,_xlfn.XLOOKUP(tblPayrollMaster[[#This Row],[Employee ID]],tblEmployee[Employee ID],tblEmployee[Pay Factor],1))</f>
        <v>1</v>
      </c>
      <c r="G378" s="26" t="str" cm="1">
        <f t="array" ref="G378">IF(tblPayrollMaster[[#This Row],[Employee ID]]="","",_xlfn.XLOOKUP(selPayPeriodID,tblPayCalendar[PayPeriodID],tblPayCalendar[PeriodStart],""))</f>
        <v/>
      </c>
      <c r="H378" s="26" t="str" cm="1">
        <f t="array" ref="H378">IF(tblPayrollMaster[[#This Row],[Employee ID]]="","",_xlfn.XLOOKUP(selPayPeriodID,tblPayCalendar[PayPeriodID],tblPayCalendar[PeriodEnd],""))</f>
        <v/>
      </c>
      <c r="I378" s="24" t="e" cm="1" vm="1">
        <f t="array" aca="1" ref="I378" ca="1">Table18[Employer Name]</f>
        <v>#VALUE!</v>
      </c>
      <c r="J378" s="3" cm="1">
        <f t="array" ref="J37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78" s="25" t="str">
        <f>_xlfn.XLOOKUP(tblPayrollMaster[[#This Row],[Employee Position]],tblPositionandPayRate[Employee Position],tblPositionandPayRate[Overtime], " ")</f>
        <v xml:space="preserve"> </v>
      </c>
      <c r="L378" s="25">
        <f>_xlfn.XLOOKUP(tblPayrollMaster[[#This Row],[Employee Position]],tblPositionandPayRate[Employee Position],tblPositionandPayRate[Allowance 1],0)*tblPayrollMaster[[#This Row],[Pay Factor]]</f>
        <v>0</v>
      </c>
      <c r="M378" s="25">
        <f>_xlfn.XLOOKUP(tblPayrollMaster[[#This Row],[Employee Position]],tblPositionandPayRate[Employee Position],tblPositionandPayRate[Allowance 2],0)*tblPayrollMaster[[#This Row],[Pay Factor]]</f>
        <v>0</v>
      </c>
      <c r="N378" s="25">
        <f>_xlfn.XLOOKUP(tblPayrollMaster[[#This Row],[Employee Position]],tblPositionandPayRate[Employee Position],tblPositionandPayRate[Allowance 3],0)*tblPayrollMaster[[#This Row],[Pay Factor]]</f>
        <v>0</v>
      </c>
      <c r="O378" s="25">
        <f>_xlfn.XLOOKUP(tblPayrollMaster[[#This Row],[Employee Position]],tblPositionandPayRate[Employee Position],tblPositionandPayRate[Allowance 4],0)*tblPayrollMaster[[#This Row],[Pay Factor]]</f>
        <v>0</v>
      </c>
      <c r="P378" s="25">
        <f>_xlfn.XLOOKUP(tblPayrollMaster[[#This Row],[Employee Position]],tblPositionandPayRate[Employee Position],tblPositionandPayRate[Allowance 5],0)*tblPayrollMaster[[#This Row],[Pay Factor]]</f>
        <v>0</v>
      </c>
      <c r="Q378" s="25">
        <f>SUM(tblPayrollMaster[[#This Row],[Basic Pay]:[Allowance 5]])</f>
        <v>0</v>
      </c>
      <c r="R37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78" s="51" cm="1">
        <f t="array" ref="S3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78" s="3" cm="1">
        <f t="array" ref="T3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78" s="25">
        <f>_xlfn.LET(
_xlpm.tos, _xlfn.XLOOKUP(tblPayrollMaster[[#This Row],[Employee ID]], tblEmployee[Employee ID], tblEmployee[Type of Service], ""),
IF(_xlpm.tos="Contract of Service", 8.25, 0)
)</f>
        <v>0</v>
      </c>
      <c r="V378" s="25">
        <f>tblPayrollMaster[[#This Row],[Basic Earnings]]-tblPayrollMaster[[#This Row],[Tax]]-tblPayrollMaster[[#This Row],[NIS - Employee]]-tblPayrollMaster[[#This Row],[Health Surcharge]]</f>
        <v>0</v>
      </c>
      <c r="W378" s="25">
        <f>tblPayrollMaster[[#This Row],[Net Pay]]</f>
        <v>0</v>
      </c>
      <c r="X378" s="25"/>
    </row>
    <row r="379" spans="1:24" x14ac:dyDescent="0.25">
      <c r="A379" s="24"/>
      <c r="B379" s="24" t="str">
        <f>_xlfn.XLOOKUP(tblPayrollMaster[[#This Row],[Employee ID]],tblEmployee[Employee ID],tblEmployee[Employee Name],"")</f>
        <v/>
      </c>
      <c r="C379" s="24" t="str">
        <f>_xlfn.XLOOKUP(tblPayrollMaster[[#This Row],[Employee ID]],tblEmployee[Employee ID],tblEmployee[Employee Position],"")</f>
        <v/>
      </c>
      <c r="D379" s="24" t="str">
        <f>_xlfn.XLOOKUP(tblPayrollMaster[[#This Row],[Employee ID]], tblEmployee[Employee ID], tblEmployee[Pay Status], "Pay")</f>
        <v>Pay</v>
      </c>
      <c r="E379" s="24" t="str">
        <f>_xlfn.XLOOKUP(tblPayrollMaster[[#This Row],[Employee ID]], tblEmployee[Employee ID], tblEmployee[Payable Flag], "Y")</f>
        <v>Y</v>
      </c>
      <c r="F379" s="45">
        <f>IF(tblPayrollMaster[[#This Row],[Payable Flag]]="N",0,_xlfn.XLOOKUP(tblPayrollMaster[[#This Row],[Employee ID]],tblEmployee[Employee ID],tblEmployee[Pay Factor],1))</f>
        <v>1</v>
      </c>
      <c r="G379" s="26" t="str" cm="1">
        <f t="array" ref="G379">IF(tblPayrollMaster[[#This Row],[Employee ID]]="","",_xlfn.XLOOKUP(selPayPeriodID,tblPayCalendar[PayPeriodID],tblPayCalendar[PeriodStart],""))</f>
        <v/>
      </c>
      <c r="H379" s="26" t="str" cm="1">
        <f t="array" ref="H379">IF(tblPayrollMaster[[#This Row],[Employee ID]]="","",_xlfn.XLOOKUP(selPayPeriodID,tblPayCalendar[PayPeriodID],tblPayCalendar[PeriodEnd],""))</f>
        <v/>
      </c>
      <c r="I379" s="24" t="e" cm="1" vm="1">
        <f t="array" aca="1" ref="I379" ca="1">Table18[Employer Name]</f>
        <v>#VALUE!</v>
      </c>
      <c r="J379" s="3" cm="1">
        <f t="array" ref="J37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79" s="25" t="str">
        <f>_xlfn.XLOOKUP(tblPayrollMaster[[#This Row],[Employee Position]],tblPositionandPayRate[Employee Position],tblPositionandPayRate[Overtime], " ")</f>
        <v xml:space="preserve"> </v>
      </c>
      <c r="L379" s="25">
        <f>_xlfn.XLOOKUP(tblPayrollMaster[[#This Row],[Employee Position]],tblPositionandPayRate[Employee Position],tblPositionandPayRate[Allowance 1],0)*tblPayrollMaster[[#This Row],[Pay Factor]]</f>
        <v>0</v>
      </c>
      <c r="M379" s="25">
        <f>_xlfn.XLOOKUP(tblPayrollMaster[[#This Row],[Employee Position]],tblPositionandPayRate[Employee Position],tblPositionandPayRate[Allowance 2],0)*tblPayrollMaster[[#This Row],[Pay Factor]]</f>
        <v>0</v>
      </c>
      <c r="N379" s="25">
        <f>_xlfn.XLOOKUP(tblPayrollMaster[[#This Row],[Employee Position]],tblPositionandPayRate[Employee Position],tblPositionandPayRate[Allowance 3],0)*tblPayrollMaster[[#This Row],[Pay Factor]]</f>
        <v>0</v>
      </c>
      <c r="O379" s="25">
        <f>_xlfn.XLOOKUP(tblPayrollMaster[[#This Row],[Employee Position]],tblPositionandPayRate[Employee Position],tblPositionandPayRate[Allowance 4],0)*tblPayrollMaster[[#This Row],[Pay Factor]]</f>
        <v>0</v>
      </c>
      <c r="P379" s="25">
        <f>_xlfn.XLOOKUP(tblPayrollMaster[[#This Row],[Employee Position]],tblPositionandPayRate[Employee Position],tblPositionandPayRate[Allowance 5],0)*tblPayrollMaster[[#This Row],[Pay Factor]]</f>
        <v>0</v>
      </c>
      <c r="Q379" s="25">
        <f>SUM(tblPayrollMaster[[#This Row],[Basic Pay]:[Allowance 5]])</f>
        <v>0</v>
      </c>
      <c r="R37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79" s="51" cm="1">
        <f t="array" ref="S3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79" s="3" cm="1">
        <f t="array" ref="T3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79" s="25">
        <f>_xlfn.LET(
_xlpm.tos, _xlfn.XLOOKUP(tblPayrollMaster[[#This Row],[Employee ID]], tblEmployee[Employee ID], tblEmployee[Type of Service], ""),
IF(_xlpm.tos="Contract of Service", 8.25, 0)
)</f>
        <v>0</v>
      </c>
      <c r="V379" s="25">
        <f>tblPayrollMaster[[#This Row],[Basic Earnings]]-tblPayrollMaster[[#This Row],[Tax]]-tblPayrollMaster[[#This Row],[NIS - Employee]]-tblPayrollMaster[[#This Row],[Health Surcharge]]</f>
        <v>0</v>
      </c>
      <c r="W379" s="25">
        <f>tblPayrollMaster[[#This Row],[Net Pay]]</f>
        <v>0</v>
      </c>
      <c r="X379" s="25"/>
    </row>
    <row r="380" spans="1:24" x14ac:dyDescent="0.25">
      <c r="A380" s="24"/>
      <c r="B380" s="24" t="str">
        <f>_xlfn.XLOOKUP(tblPayrollMaster[[#This Row],[Employee ID]],tblEmployee[Employee ID],tblEmployee[Employee Name],"")</f>
        <v/>
      </c>
      <c r="C380" s="24" t="str">
        <f>_xlfn.XLOOKUP(tblPayrollMaster[[#This Row],[Employee ID]],tblEmployee[Employee ID],tblEmployee[Employee Position],"")</f>
        <v/>
      </c>
      <c r="D380" s="24" t="str">
        <f>_xlfn.XLOOKUP(tblPayrollMaster[[#This Row],[Employee ID]], tblEmployee[Employee ID], tblEmployee[Pay Status], "Pay")</f>
        <v>Pay</v>
      </c>
      <c r="E380" s="24" t="str">
        <f>_xlfn.XLOOKUP(tblPayrollMaster[[#This Row],[Employee ID]], tblEmployee[Employee ID], tblEmployee[Payable Flag], "Y")</f>
        <v>Y</v>
      </c>
      <c r="F380" s="45">
        <f>IF(tblPayrollMaster[[#This Row],[Payable Flag]]="N",0,_xlfn.XLOOKUP(tblPayrollMaster[[#This Row],[Employee ID]],tblEmployee[Employee ID],tblEmployee[Pay Factor],1))</f>
        <v>1</v>
      </c>
      <c r="G380" s="26" t="str" cm="1">
        <f t="array" ref="G380">IF(tblPayrollMaster[[#This Row],[Employee ID]]="","",_xlfn.XLOOKUP(selPayPeriodID,tblPayCalendar[PayPeriodID],tblPayCalendar[PeriodStart],""))</f>
        <v/>
      </c>
      <c r="H380" s="26" t="str" cm="1">
        <f t="array" ref="H380">IF(tblPayrollMaster[[#This Row],[Employee ID]]="","",_xlfn.XLOOKUP(selPayPeriodID,tblPayCalendar[PayPeriodID],tblPayCalendar[PeriodEnd],""))</f>
        <v/>
      </c>
      <c r="I380" s="24" t="e" cm="1" vm="1">
        <f t="array" aca="1" ref="I380" ca="1">Table18[Employer Name]</f>
        <v>#VALUE!</v>
      </c>
      <c r="J380" s="3" cm="1">
        <f t="array" ref="J38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80" s="25" t="str">
        <f>_xlfn.XLOOKUP(tblPayrollMaster[[#This Row],[Employee Position]],tblPositionandPayRate[Employee Position],tblPositionandPayRate[Overtime], " ")</f>
        <v xml:space="preserve"> </v>
      </c>
      <c r="L380" s="25">
        <f>_xlfn.XLOOKUP(tblPayrollMaster[[#This Row],[Employee Position]],tblPositionandPayRate[Employee Position],tblPositionandPayRate[Allowance 1],0)*tblPayrollMaster[[#This Row],[Pay Factor]]</f>
        <v>0</v>
      </c>
      <c r="M380" s="25">
        <f>_xlfn.XLOOKUP(tblPayrollMaster[[#This Row],[Employee Position]],tblPositionandPayRate[Employee Position],tblPositionandPayRate[Allowance 2],0)*tblPayrollMaster[[#This Row],[Pay Factor]]</f>
        <v>0</v>
      </c>
      <c r="N380" s="25">
        <f>_xlfn.XLOOKUP(tblPayrollMaster[[#This Row],[Employee Position]],tblPositionandPayRate[Employee Position],tblPositionandPayRate[Allowance 3],0)*tblPayrollMaster[[#This Row],[Pay Factor]]</f>
        <v>0</v>
      </c>
      <c r="O380" s="25">
        <f>_xlfn.XLOOKUP(tblPayrollMaster[[#This Row],[Employee Position]],tblPositionandPayRate[Employee Position],tblPositionandPayRate[Allowance 4],0)*tblPayrollMaster[[#This Row],[Pay Factor]]</f>
        <v>0</v>
      </c>
      <c r="P380" s="25">
        <f>_xlfn.XLOOKUP(tblPayrollMaster[[#This Row],[Employee Position]],tblPositionandPayRate[Employee Position],tblPositionandPayRate[Allowance 5],0)*tblPayrollMaster[[#This Row],[Pay Factor]]</f>
        <v>0</v>
      </c>
      <c r="Q380" s="25">
        <f>SUM(tblPayrollMaster[[#This Row],[Basic Pay]:[Allowance 5]])</f>
        <v>0</v>
      </c>
      <c r="R38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80" s="51" cm="1">
        <f t="array" ref="S3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80" s="3" cm="1">
        <f t="array" ref="T3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80" s="25">
        <f>_xlfn.LET(
_xlpm.tos, _xlfn.XLOOKUP(tblPayrollMaster[[#This Row],[Employee ID]], tblEmployee[Employee ID], tblEmployee[Type of Service], ""),
IF(_xlpm.tos="Contract of Service", 8.25, 0)
)</f>
        <v>0</v>
      </c>
      <c r="V380" s="25">
        <f>tblPayrollMaster[[#This Row],[Basic Earnings]]-tblPayrollMaster[[#This Row],[Tax]]-tblPayrollMaster[[#This Row],[NIS - Employee]]-tblPayrollMaster[[#This Row],[Health Surcharge]]</f>
        <v>0</v>
      </c>
      <c r="W380" s="25">
        <f>tblPayrollMaster[[#This Row],[Net Pay]]</f>
        <v>0</v>
      </c>
      <c r="X380" s="25"/>
    </row>
    <row r="381" spans="1:24" x14ac:dyDescent="0.25">
      <c r="A381" s="24"/>
      <c r="B381" s="24" t="str">
        <f>_xlfn.XLOOKUP(tblPayrollMaster[[#This Row],[Employee ID]],tblEmployee[Employee ID],tblEmployee[Employee Name],"")</f>
        <v/>
      </c>
      <c r="C381" s="24" t="str">
        <f>_xlfn.XLOOKUP(tblPayrollMaster[[#This Row],[Employee ID]],tblEmployee[Employee ID],tblEmployee[Employee Position],"")</f>
        <v/>
      </c>
      <c r="D381" s="24" t="str">
        <f>_xlfn.XLOOKUP(tblPayrollMaster[[#This Row],[Employee ID]], tblEmployee[Employee ID], tblEmployee[Pay Status], "Pay")</f>
        <v>Pay</v>
      </c>
      <c r="E381" s="24" t="str">
        <f>_xlfn.XLOOKUP(tblPayrollMaster[[#This Row],[Employee ID]], tblEmployee[Employee ID], tblEmployee[Payable Flag], "Y")</f>
        <v>Y</v>
      </c>
      <c r="F381" s="45">
        <f>IF(tblPayrollMaster[[#This Row],[Payable Flag]]="N",0,_xlfn.XLOOKUP(tblPayrollMaster[[#This Row],[Employee ID]],tblEmployee[Employee ID],tblEmployee[Pay Factor],1))</f>
        <v>1</v>
      </c>
      <c r="G381" s="26" t="str" cm="1">
        <f t="array" ref="G381">IF(tblPayrollMaster[[#This Row],[Employee ID]]="","",_xlfn.XLOOKUP(selPayPeriodID,tblPayCalendar[PayPeriodID],tblPayCalendar[PeriodStart],""))</f>
        <v/>
      </c>
      <c r="H381" s="26" t="str" cm="1">
        <f t="array" ref="H381">IF(tblPayrollMaster[[#This Row],[Employee ID]]="","",_xlfn.XLOOKUP(selPayPeriodID,tblPayCalendar[PayPeriodID],tblPayCalendar[PeriodEnd],""))</f>
        <v/>
      </c>
      <c r="I381" s="24" t="e" cm="1" vm="1">
        <f t="array" aca="1" ref="I381" ca="1">Table18[Employer Name]</f>
        <v>#VALUE!</v>
      </c>
      <c r="J381" s="3" cm="1">
        <f t="array" ref="J38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81" s="25" t="str">
        <f>_xlfn.XLOOKUP(tblPayrollMaster[[#This Row],[Employee Position]],tblPositionandPayRate[Employee Position],tblPositionandPayRate[Overtime], " ")</f>
        <v xml:space="preserve"> </v>
      </c>
      <c r="L381" s="25">
        <f>_xlfn.XLOOKUP(tblPayrollMaster[[#This Row],[Employee Position]],tblPositionandPayRate[Employee Position],tblPositionandPayRate[Allowance 1],0)*tblPayrollMaster[[#This Row],[Pay Factor]]</f>
        <v>0</v>
      </c>
      <c r="M381" s="25">
        <f>_xlfn.XLOOKUP(tblPayrollMaster[[#This Row],[Employee Position]],tblPositionandPayRate[Employee Position],tblPositionandPayRate[Allowance 2],0)*tblPayrollMaster[[#This Row],[Pay Factor]]</f>
        <v>0</v>
      </c>
      <c r="N381" s="25">
        <f>_xlfn.XLOOKUP(tblPayrollMaster[[#This Row],[Employee Position]],tblPositionandPayRate[Employee Position],tblPositionandPayRate[Allowance 3],0)*tblPayrollMaster[[#This Row],[Pay Factor]]</f>
        <v>0</v>
      </c>
      <c r="O381" s="25">
        <f>_xlfn.XLOOKUP(tblPayrollMaster[[#This Row],[Employee Position]],tblPositionandPayRate[Employee Position],tblPositionandPayRate[Allowance 4],0)*tblPayrollMaster[[#This Row],[Pay Factor]]</f>
        <v>0</v>
      </c>
      <c r="P381" s="25">
        <f>_xlfn.XLOOKUP(tblPayrollMaster[[#This Row],[Employee Position]],tblPositionandPayRate[Employee Position],tblPositionandPayRate[Allowance 5],0)*tblPayrollMaster[[#This Row],[Pay Factor]]</f>
        <v>0</v>
      </c>
      <c r="Q381" s="25">
        <f>SUM(tblPayrollMaster[[#This Row],[Basic Pay]:[Allowance 5]])</f>
        <v>0</v>
      </c>
      <c r="R38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81" s="51" cm="1">
        <f t="array" ref="S3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81" s="3" cm="1">
        <f t="array" ref="T3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81" s="25">
        <f>_xlfn.LET(
_xlpm.tos, _xlfn.XLOOKUP(tblPayrollMaster[[#This Row],[Employee ID]], tblEmployee[Employee ID], tblEmployee[Type of Service], ""),
IF(_xlpm.tos="Contract of Service", 8.25, 0)
)</f>
        <v>0</v>
      </c>
      <c r="V381" s="25">
        <f>tblPayrollMaster[[#This Row],[Basic Earnings]]-tblPayrollMaster[[#This Row],[Tax]]-tblPayrollMaster[[#This Row],[NIS - Employee]]-tblPayrollMaster[[#This Row],[Health Surcharge]]</f>
        <v>0</v>
      </c>
      <c r="W381" s="25">
        <f>tblPayrollMaster[[#This Row],[Net Pay]]</f>
        <v>0</v>
      </c>
      <c r="X381" s="25"/>
    </row>
    <row r="382" spans="1:24" x14ac:dyDescent="0.25">
      <c r="A382" s="24"/>
      <c r="B382" s="24" t="str">
        <f>_xlfn.XLOOKUP(tblPayrollMaster[[#This Row],[Employee ID]],tblEmployee[Employee ID],tblEmployee[Employee Name],"")</f>
        <v/>
      </c>
      <c r="C382" s="24" t="str">
        <f>_xlfn.XLOOKUP(tblPayrollMaster[[#This Row],[Employee ID]],tblEmployee[Employee ID],tblEmployee[Employee Position],"")</f>
        <v/>
      </c>
      <c r="D382" s="24" t="str">
        <f>_xlfn.XLOOKUP(tblPayrollMaster[[#This Row],[Employee ID]], tblEmployee[Employee ID], tblEmployee[Pay Status], "Pay")</f>
        <v>Pay</v>
      </c>
      <c r="E382" s="24" t="str">
        <f>_xlfn.XLOOKUP(tblPayrollMaster[[#This Row],[Employee ID]], tblEmployee[Employee ID], tblEmployee[Payable Flag], "Y")</f>
        <v>Y</v>
      </c>
      <c r="F382" s="45">
        <f>IF(tblPayrollMaster[[#This Row],[Payable Flag]]="N",0,_xlfn.XLOOKUP(tblPayrollMaster[[#This Row],[Employee ID]],tblEmployee[Employee ID],tblEmployee[Pay Factor],1))</f>
        <v>1</v>
      </c>
      <c r="G382" s="26" t="str" cm="1">
        <f t="array" ref="G382">IF(tblPayrollMaster[[#This Row],[Employee ID]]="","",_xlfn.XLOOKUP(selPayPeriodID,tblPayCalendar[PayPeriodID],tblPayCalendar[PeriodStart],""))</f>
        <v/>
      </c>
      <c r="H382" s="26" t="str" cm="1">
        <f t="array" ref="H382">IF(tblPayrollMaster[[#This Row],[Employee ID]]="","",_xlfn.XLOOKUP(selPayPeriodID,tblPayCalendar[PayPeriodID],tblPayCalendar[PeriodEnd],""))</f>
        <v/>
      </c>
      <c r="I382" s="24" t="e" cm="1" vm="1">
        <f t="array" aca="1" ref="I382" ca="1">Table18[Employer Name]</f>
        <v>#VALUE!</v>
      </c>
      <c r="J382" s="3" cm="1">
        <f t="array" ref="J38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82" s="25" t="str">
        <f>_xlfn.XLOOKUP(tblPayrollMaster[[#This Row],[Employee Position]],tblPositionandPayRate[Employee Position],tblPositionandPayRate[Overtime], " ")</f>
        <v xml:space="preserve"> </v>
      </c>
      <c r="L382" s="25">
        <f>_xlfn.XLOOKUP(tblPayrollMaster[[#This Row],[Employee Position]],tblPositionandPayRate[Employee Position],tblPositionandPayRate[Allowance 1],0)*tblPayrollMaster[[#This Row],[Pay Factor]]</f>
        <v>0</v>
      </c>
      <c r="M382" s="25">
        <f>_xlfn.XLOOKUP(tblPayrollMaster[[#This Row],[Employee Position]],tblPositionandPayRate[Employee Position],tblPositionandPayRate[Allowance 2],0)*tblPayrollMaster[[#This Row],[Pay Factor]]</f>
        <v>0</v>
      </c>
      <c r="N382" s="25">
        <f>_xlfn.XLOOKUP(tblPayrollMaster[[#This Row],[Employee Position]],tblPositionandPayRate[Employee Position],tblPositionandPayRate[Allowance 3],0)*tblPayrollMaster[[#This Row],[Pay Factor]]</f>
        <v>0</v>
      </c>
      <c r="O382" s="25">
        <f>_xlfn.XLOOKUP(tblPayrollMaster[[#This Row],[Employee Position]],tblPositionandPayRate[Employee Position],tblPositionandPayRate[Allowance 4],0)*tblPayrollMaster[[#This Row],[Pay Factor]]</f>
        <v>0</v>
      </c>
      <c r="P382" s="25">
        <f>_xlfn.XLOOKUP(tblPayrollMaster[[#This Row],[Employee Position]],tblPositionandPayRate[Employee Position],tblPositionandPayRate[Allowance 5],0)*tblPayrollMaster[[#This Row],[Pay Factor]]</f>
        <v>0</v>
      </c>
      <c r="Q382" s="25">
        <f>SUM(tblPayrollMaster[[#This Row],[Basic Pay]:[Allowance 5]])</f>
        <v>0</v>
      </c>
      <c r="R38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82" s="51" cm="1">
        <f t="array" ref="S3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82" s="3" cm="1">
        <f t="array" ref="T3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82" s="25">
        <f>_xlfn.LET(
_xlpm.tos, _xlfn.XLOOKUP(tblPayrollMaster[[#This Row],[Employee ID]], tblEmployee[Employee ID], tblEmployee[Type of Service], ""),
IF(_xlpm.tos="Contract of Service", 8.25, 0)
)</f>
        <v>0</v>
      </c>
      <c r="V382" s="25">
        <f>tblPayrollMaster[[#This Row],[Basic Earnings]]-tblPayrollMaster[[#This Row],[Tax]]-tblPayrollMaster[[#This Row],[NIS - Employee]]-tblPayrollMaster[[#This Row],[Health Surcharge]]</f>
        <v>0</v>
      </c>
      <c r="W382" s="25">
        <f>tblPayrollMaster[[#This Row],[Net Pay]]</f>
        <v>0</v>
      </c>
      <c r="X382" s="25"/>
    </row>
    <row r="383" spans="1:24" x14ac:dyDescent="0.25">
      <c r="A383" s="24"/>
      <c r="B383" s="24" t="str">
        <f>_xlfn.XLOOKUP(tblPayrollMaster[[#This Row],[Employee ID]],tblEmployee[Employee ID],tblEmployee[Employee Name],"")</f>
        <v/>
      </c>
      <c r="C383" s="24" t="str">
        <f>_xlfn.XLOOKUP(tblPayrollMaster[[#This Row],[Employee ID]],tblEmployee[Employee ID],tblEmployee[Employee Position],"")</f>
        <v/>
      </c>
      <c r="D383" s="24" t="str">
        <f>_xlfn.XLOOKUP(tblPayrollMaster[[#This Row],[Employee ID]], tblEmployee[Employee ID], tblEmployee[Pay Status], "Pay")</f>
        <v>Pay</v>
      </c>
      <c r="E383" s="24" t="str">
        <f>_xlfn.XLOOKUP(tblPayrollMaster[[#This Row],[Employee ID]], tblEmployee[Employee ID], tblEmployee[Payable Flag], "Y")</f>
        <v>Y</v>
      </c>
      <c r="F383" s="45">
        <f>IF(tblPayrollMaster[[#This Row],[Payable Flag]]="N",0,_xlfn.XLOOKUP(tblPayrollMaster[[#This Row],[Employee ID]],tblEmployee[Employee ID],tblEmployee[Pay Factor],1))</f>
        <v>1</v>
      </c>
      <c r="G383" s="26" t="str" cm="1">
        <f t="array" ref="G383">IF(tblPayrollMaster[[#This Row],[Employee ID]]="","",_xlfn.XLOOKUP(selPayPeriodID,tblPayCalendar[PayPeriodID],tblPayCalendar[PeriodStart],""))</f>
        <v/>
      </c>
      <c r="H383" s="26" t="str" cm="1">
        <f t="array" ref="H383">IF(tblPayrollMaster[[#This Row],[Employee ID]]="","",_xlfn.XLOOKUP(selPayPeriodID,tblPayCalendar[PayPeriodID],tblPayCalendar[PeriodEnd],""))</f>
        <v/>
      </c>
      <c r="I383" s="24" t="e" cm="1" vm="1">
        <f t="array" aca="1" ref="I383" ca="1">Table18[Employer Name]</f>
        <v>#VALUE!</v>
      </c>
      <c r="J383" s="3" cm="1">
        <f t="array" ref="J38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83" s="25" t="str">
        <f>_xlfn.XLOOKUP(tblPayrollMaster[[#This Row],[Employee Position]],tblPositionandPayRate[Employee Position],tblPositionandPayRate[Overtime], " ")</f>
        <v xml:space="preserve"> </v>
      </c>
      <c r="L383" s="25">
        <f>_xlfn.XLOOKUP(tblPayrollMaster[[#This Row],[Employee Position]],tblPositionandPayRate[Employee Position],tblPositionandPayRate[Allowance 1],0)*tblPayrollMaster[[#This Row],[Pay Factor]]</f>
        <v>0</v>
      </c>
      <c r="M383" s="25">
        <f>_xlfn.XLOOKUP(tblPayrollMaster[[#This Row],[Employee Position]],tblPositionandPayRate[Employee Position],tblPositionandPayRate[Allowance 2],0)*tblPayrollMaster[[#This Row],[Pay Factor]]</f>
        <v>0</v>
      </c>
      <c r="N383" s="25">
        <f>_xlfn.XLOOKUP(tblPayrollMaster[[#This Row],[Employee Position]],tblPositionandPayRate[Employee Position],tblPositionandPayRate[Allowance 3],0)*tblPayrollMaster[[#This Row],[Pay Factor]]</f>
        <v>0</v>
      </c>
      <c r="O383" s="25">
        <f>_xlfn.XLOOKUP(tblPayrollMaster[[#This Row],[Employee Position]],tblPositionandPayRate[Employee Position],tblPositionandPayRate[Allowance 4],0)*tblPayrollMaster[[#This Row],[Pay Factor]]</f>
        <v>0</v>
      </c>
      <c r="P383" s="25">
        <f>_xlfn.XLOOKUP(tblPayrollMaster[[#This Row],[Employee Position]],tblPositionandPayRate[Employee Position],tblPositionandPayRate[Allowance 5],0)*tblPayrollMaster[[#This Row],[Pay Factor]]</f>
        <v>0</v>
      </c>
      <c r="Q383" s="25">
        <f>SUM(tblPayrollMaster[[#This Row],[Basic Pay]:[Allowance 5]])</f>
        <v>0</v>
      </c>
      <c r="R38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83" s="51" cm="1">
        <f t="array" ref="S3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83" s="3" cm="1">
        <f t="array" ref="T3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83" s="25">
        <f>_xlfn.LET(
_xlpm.tos, _xlfn.XLOOKUP(tblPayrollMaster[[#This Row],[Employee ID]], tblEmployee[Employee ID], tblEmployee[Type of Service], ""),
IF(_xlpm.tos="Contract of Service", 8.25, 0)
)</f>
        <v>0</v>
      </c>
      <c r="V383" s="25">
        <f>tblPayrollMaster[[#This Row],[Basic Earnings]]-tblPayrollMaster[[#This Row],[Tax]]-tblPayrollMaster[[#This Row],[NIS - Employee]]-tblPayrollMaster[[#This Row],[Health Surcharge]]</f>
        <v>0</v>
      </c>
      <c r="W383" s="25">
        <f>tblPayrollMaster[[#This Row],[Net Pay]]</f>
        <v>0</v>
      </c>
      <c r="X383" s="25"/>
    </row>
    <row r="384" spans="1:24" x14ac:dyDescent="0.25">
      <c r="A384" s="24"/>
      <c r="B384" s="24" t="str">
        <f>_xlfn.XLOOKUP(tblPayrollMaster[[#This Row],[Employee ID]],tblEmployee[Employee ID],tblEmployee[Employee Name],"")</f>
        <v/>
      </c>
      <c r="C384" s="24" t="str">
        <f>_xlfn.XLOOKUP(tblPayrollMaster[[#This Row],[Employee ID]],tblEmployee[Employee ID],tblEmployee[Employee Position],"")</f>
        <v/>
      </c>
      <c r="D384" s="24" t="str">
        <f>_xlfn.XLOOKUP(tblPayrollMaster[[#This Row],[Employee ID]], tblEmployee[Employee ID], tblEmployee[Pay Status], "Pay")</f>
        <v>Pay</v>
      </c>
      <c r="E384" s="24" t="str">
        <f>_xlfn.XLOOKUP(tblPayrollMaster[[#This Row],[Employee ID]], tblEmployee[Employee ID], tblEmployee[Payable Flag], "Y")</f>
        <v>Y</v>
      </c>
      <c r="F384" s="45">
        <f>IF(tblPayrollMaster[[#This Row],[Payable Flag]]="N",0,_xlfn.XLOOKUP(tblPayrollMaster[[#This Row],[Employee ID]],tblEmployee[Employee ID],tblEmployee[Pay Factor],1))</f>
        <v>1</v>
      </c>
      <c r="G384" s="26" t="str" cm="1">
        <f t="array" ref="G384">IF(tblPayrollMaster[[#This Row],[Employee ID]]="","",_xlfn.XLOOKUP(selPayPeriodID,tblPayCalendar[PayPeriodID],tblPayCalendar[PeriodStart],""))</f>
        <v/>
      </c>
      <c r="H384" s="26" t="str" cm="1">
        <f t="array" ref="H384">IF(tblPayrollMaster[[#This Row],[Employee ID]]="","",_xlfn.XLOOKUP(selPayPeriodID,tblPayCalendar[PayPeriodID],tblPayCalendar[PeriodEnd],""))</f>
        <v/>
      </c>
      <c r="I384" s="24" t="e" cm="1" vm="1">
        <f t="array" aca="1" ref="I384" ca="1">Table18[Employer Name]</f>
        <v>#VALUE!</v>
      </c>
      <c r="J384" s="3" cm="1">
        <f t="array" ref="J38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84" s="25" t="str">
        <f>_xlfn.XLOOKUP(tblPayrollMaster[[#This Row],[Employee Position]],tblPositionandPayRate[Employee Position],tblPositionandPayRate[Overtime], " ")</f>
        <v xml:space="preserve"> </v>
      </c>
      <c r="L384" s="25">
        <f>_xlfn.XLOOKUP(tblPayrollMaster[[#This Row],[Employee Position]],tblPositionandPayRate[Employee Position],tblPositionandPayRate[Allowance 1],0)*tblPayrollMaster[[#This Row],[Pay Factor]]</f>
        <v>0</v>
      </c>
      <c r="M384" s="25">
        <f>_xlfn.XLOOKUP(tblPayrollMaster[[#This Row],[Employee Position]],tblPositionandPayRate[Employee Position],tblPositionandPayRate[Allowance 2],0)*tblPayrollMaster[[#This Row],[Pay Factor]]</f>
        <v>0</v>
      </c>
      <c r="N384" s="25">
        <f>_xlfn.XLOOKUP(tblPayrollMaster[[#This Row],[Employee Position]],tblPositionandPayRate[Employee Position],tblPositionandPayRate[Allowance 3],0)*tblPayrollMaster[[#This Row],[Pay Factor]]</f>
        <v>0</v>
      </c>
      <c r="O384" s="25">
        <f>_xlfn.XLOOKUP(tblPayrollMaster[[#This Row],[Employee Position]],tblPositionandPayRate[Employee Position],tblPositionandPayRate[Allowance 4],0)*tblPayrollMaster[[#This Row],[Pay Factor]]</f>
        <v>0</v>
      </c>
      <c r="P384" s="25">
        <f>_xlfn.XLOOKUP(tblPayrollMaster[[#This Row],[Employee Position]],tblPositionandPayRate[Employee Position],tblPositionandPayRate[Allowance 5],0)*tblPayrollMaster[[#This Row],[Pay Factor]]</f>
        <v>0</v>
      </c>
      <c r="Q384" s="25">
        <f>SUM(tblPayrollMaster[[#This Row],[Basic Pay]:[Allowance 5]])</f>
        <v>0</v>
      </c>
      <c r="R38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84" s="51" cm="1">
        <f t="array" ref="S3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84" s="3" cm="1">
        <f t="array" ref="T3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84" s="25">
        <f>_xlfn.LET(
_xlpm.tos, _xlfn.XLOOKUP(tblPayrollMaster[[#This Row],[Employee ID]], tblEmployee[Employee ID], tblEmployee[Type of Service], ""),
IF(_xlpm.tos="Contract of Service", 8.25, 0)
)</f>
        <v>0</v>
      </c>
      <c r="V384" s="25">
        <f>tblPayrollMaster[[#This Row],[Basic Earnings]]-tblPayrollMaster[[#This Row],[Tax]]-tblPayrollMaster[[#This Row],[NIS - Employee]]-tblPayrollMaster[[#This Row],[Health Surcharge]]</f>
        <v>0</v>
      </c>
      <c r="W384" s="25">
        <f>tblPayrollMaster[[#This Row],[Net Pay]]</f>
        <v>0</v>
      </c>
      <c r="X384" s="25"/>
    </row>
    <row r="385" spans="1:24" x14ac:dyDescent="0.25">
      <c r="A385" s="24"/>
      <c r="B385" s="24" t="str">
        <f>_xlfn.XLOOKUP(tblPayrollMaster[[#This Row],[Employee ID]],tblEmployee[Employee ID],tblEmployee[Employee Name],"")</f>
        <v/>
      </c>
      <c r="C385" s="24" t="str">
        <f>_xlfn.XLOOKUP(tblPayrollMaster[[#This Row],[Employee ID]],tblEmployee[Employee ID],tblEmployee[Employee Position],"")</f>
        <v/>
      </c>
      <c r="D385" s="24" t="str">
        <f>_xlfn.XLOOKUP(tblPayrollMaster[[#This Row],[Employee ID]], tblEmployee[Employee ID], tblEmployee[Pay Status], "Pay")</f>
        <v>Pay</v>
      </c>
      <c r="E385" s="24" t="str">
        <f>_xlfn.XLOOKUP(tblPayrollMaster[[#This Row],[Employee ID]], tblEmployee[Employee ID], tblEmployee[Payable Flag], "Y")</f>
        <v>Y</v>
      </c>
      <c r="F385" s="45">
        <f>IF(tblPayrollMaster[[#This Row],[Payable Flag]]="N",0,_xlfn.XLOOKUP(tblPayrollMaster[[#This Row],[Employee ID]],tblEmployee[Employee ID],tblEmployee[Pay Factor],1))</f>
        <v>1</v>
      </c>
      <c r="G385" s="26" t="str" cm="1">
        <f t="array" ref="G385">IF(tblPayrollMaster[[#This Row],[Employee ID]]="","",_xlfn.XLOOKUP(selPayPeriodID,tblPayCalendar[PayPeriodID],tblPayCalendar[PeriodStart],""))</f>
        <v/>
      </c>
      <c r="H385" s="26" t="str" cm="1">
        <f t="array" ref="H385">IF(tblPayrollMaster[[#This Row],[Employee ID]]="","",_xlfn.XLOOKUP(selPayPeriodID,tblPayCalendar[PayPeriodID],tblPayCalendar[PeriodEnd],""))</f>
        <v/>
      </c>
      <c r="I385" s="24" t="e" cm="1" vm="1">
        <f t="array" aca="1" ref="I385" ca="1">Table18[Employer Name]</f>
        <v>#VALUE!</v>
      </c>
      <c r="J385" s="3" cm="1">
        <f t="array" ref="J38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85" s="25" t="str">
        <f>_xlfn.XLOOKUP(tblPayrollMaster[[#This Row],[Employee Position]],tblPositionandPayRate[Employee Position],tblPositionandPayRate[Overtime], " ")</f>
        <v xml:space="preserve"> </v>
      </c>
      <c r="L385" s="25">
        <f>_xlfn.XLOOKUP(tblPayrollMaster[[#This Row],[Employee Position]],tblPositionandPayRate[Employee Position],tblPositionandPayRate[Allowance 1],0)*tblPayrollMaster[[#This Row],[Pay Factor]]</f>
        <v>0</v>
      </c>
      <c r="M385" s="25">
        <f>_xlfn.XLOOKUP(tblPayrollMaster[[#This Row],[Employee Position]],tblPositionandPayRate[Employee Position],tblPositionandPayRate[Allowance 2],0)*tblPayrollMaster[[#This Row],[Pay Factor]]</f>
        <v>0</v>
      </c>
      <c r="N385" s="25">
        <f>_xlfn.XLOOKUP(tblPayrollMaster[[#This Row],[Employee Position]],tblPositionandPayRate[Employee Position],tblPositionandPayRate[Allowance 3],0)*tblPayrollMaster[[#This Row],[Pay Factor]]</f>
        <v>0</v>
      </c>
      <c r="O385" s="25">
        <f>_xlfn.XLOOKUP(tblPayrollMaster[[#This Row],[Employee Position]],tblPositionandPayRate[Employee Position],tblPositionandPayRate[Allowance 4],0)*tblPayrollMaster[[#This Row],[Pay Factor]]</f>
        <v>0</v>
      </c>
      <c r="P385" s="25">
        <f>_xlfn.XLOOKUP(tblPayrollMaster[[#This Row],[Employee Position]],tblPositionandPayRate[Employee Position],tblPositionandPayRate[Allowance 5],0)*tblPayrollMaster[[#This Row],[Pay Factor]]</f>
        <v>0</v>
      </c>
      <c r="Q385" s="25">
        <f>SUM(tblPayrollMaster[[#This Row],[Basic Pay]:[Allowance 5]])</f>
        <v>0</v>
      </c>
      <c r="R38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85" s="51" cm="1">
        <f t="array" ref="S3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85" s="3" cm="1">
        <f t="array" ref="T3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85" s="25">
        <f>_xlfn.LET(
_xlpm.tos, _xlfn.XLOOKUP(tblPayrollMaster[[#This Row],[Employee ID]], tblEmployee[Employee ID], tblEmployee[Type of Service], ""),
IF(_xlpm.tos="Contract of Service", 8.25, 0)
)</f>
        <v>0</v>
      </c>
      <c r="V385" s="25">
        <f>tblPayrollMaster[[#This Row],[Basic Earnings]]-tblPayrollMaster[[#This Row],[Tax]]-tblPayrollMaster[[#This Row],[NIS - Employee]]-tblPayrollMaster[[#This Row],[Health Surcharge]]</f>
        <v>0</v>
      </c>
      <c r="W385" s="25">
        <f>tblPayrollMaster[[#This Row],[Net Pay]]</f>
        <v>0</v>
      </c>
      <c r="X385" s="25"/>
    </row>
    <row r="386" spans="1:24" x14ac:dyDescent="0.25">
      <c r="A386" s="24"/>
      <c r="B386" s="24" t="str">
        <f>_xlfn.XLOOKUP(tblPayrollMaster[[#This Row],[Employee ID]],tblEmployee[Employee ID],tblEmployee[Employee Name],"")</f>
        <v/>
      </c>
      <c r="C386" s="24" t="str">
        <f>_xlfn.XLOOKUP(tblPayrollMaster[[#This Row],[Employee ID]],tblEmployee[Employee ID],tblEmployee[Employee Position],"")</f>
        <v/>
      </c>
      <c r="D386" s="24" t="str">
        <f>_xlfn.XLOOKUP(tblPayrollMaster[[#This Row],[Employee ID]], tblEmployee[Employee ID], tblEmployee[Pay Status], "Pay")</f>
        <v>Pay</v>
      </c>
      <c r="E386" s="24" t="str">
        <f>_xlfn.XLOOKUP(tblPayrollMaster[[#This Row],[Employee ID]], tblEmployee[Employee ID], tblEmployee[Payable Flag], "Y")</f>
        <v>Y</v>
      </c>
      <c r="F386" s="45">
        <f>IF(tblPayrollMaster[[#This Row],[Payable Flag]]="N",0,_xlfn.XLOOKUP(tblPayrollMaster[[#This Row],[Employee ID]],tblEmployee[Employee ID],tblEmployee[Pay Factor],1))</f>
        <v>1</v>
      </c>
      <c r="G386" s="26" t="str" cm="1">
        <f t="array" ref="G386">IF(tblPayrollMaster[[#This Row],[Employee ID]]="","",_xlfn.XLOOKUP(selPayPeriodID,tblPayCalendar[PayPeriodID],tblPayCalendar[PeriodStart],""))</f>
        <v/>
      </c>
      <c r="H386" s="26" t="str" cm="1">
        <f t="array" ref="H386">IF(tblPayrollMaster[[#This Row],[Employee ID]]="","",_xlfn.XLOOKUP(selPayPeriodID,tblPayCalendar[PayPeriodID],tblPayCalendar[PeriodEnd],""))</f>
        <v/>
      </c>
      <c r="I386" s="24" t="e" cm="1" vm="1">
        <f t="array" aca="1" ref="I386" ca="1">Table18[Employer Name]</f>
        <v>#VALUE!</v>
      </c>
      <c r="J386" s="3" cm="1">
        <f t="array" ref="J38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86" s="25" t="str">
        <f>_xlfn.XLOOKUP(tblPayrollMaster[[#This Row],[Employee Position]],tblPositionandPayRate[Employee Position],tblPositionandPayRate[Overtime], " ")</f>
        <v xml:space="preserve"> </v>
      </c>
      <c r="L386" s="25">
        <f>_xlfn.XLOOKUP(tblPayrollMaster[[#This Row],[Employee Position]],tblPositionandPayRate[Employee Position],tblPositionandPayRate[Allowance 1],0)*tblPayrollMaster[[#This Row],[Pay Factor]]</f>
        <v>0</v>
      </c>
      <c r="M386" s="25">
        <f>_xlfn.XLOOKUP(tblPayrollMaster[[#This Row],[Employee Position]],tblPositionandPayRate[Employee Position],tblPositionandPayRate[Allowance 2],0)*tblPayrollMaster[[#This Row],[Pay Factor]]</f>
        <v>0</v>
      </c>
      <c r="N386" s="25">
        <f>_xlfn.XLOOKUP(tblPayrollMaster[[#This Row],[Employee Position]],tblPositionandPayRate[Employee Position],tblPositionandPayRate[Allowance 3],0)*tblPayrollMaster[[#This Row],[Pay Factor]]</f>
        <v>0</v>
      </c>
      <c r="O386" s="25">
        <f>_xlfn.XLOOKUP(tblPayrollMaster[[#This Row],[Employee Position]],tblPositionandPayRate[Employee Position],tblPositionandPayRate[Allowance 4],0)*tblPayrollMaster[[#This Row],[Pay Factor]]</f>
        <v>0</v>
      </c>
      <c r="P386" s="25">
        <f>_xlfn.XLOOKUP(tblPayrollMaster[[#This Row],[Employee Position]],tblPositionandPayRate[Employee Position],tblPositionandPayRate[Allowance 5],0)*tblPayrollMaster[[#This Row],[Pay Factor]]</f>
        <v>0</v>
      </c>
      <c r="Q386" s="25">
        <f>SUM(tblPayrollMaster[[#This Row],[Basic Pay]:[Allowance 5]])</f>
        <v>0</v>
      </c>
      <c r="R38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86" s="51" cm="1">
        <f t="array" ref="S3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86" s="3" cm="1">
        <f t="array" ref="T3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86" s="25">
        <f>_xlfn.LET(
_xlpm.tos, _xlfn.XLOOKUP(tblPayrollMaster[[#This Row],[Employee ID]], tblEmployee[Employee ID], tblEmployee[Type of Service], ""),
IF(_xlpm.tos="Contract of Service", 8.25, 0)
)</f>
        <v>0</v>
      </c>
      <c r="V386" s="25">
        <f>tblPayrollMaster[[#This Row],[Basic Earnings]]-tblPayrollMaster[[#This Row],[Tax]]-tblPayrollMaster[[#This Row],[NIS - Employee]]-tblPayrollMaster[[#This Row],[Health Surcharge]]</f>
        <v>0</v>
      </c>
      <c r="W386" s="25">
        <f>tblPayrollMaster[[#This Row],[Net Pay]]</f>
        <v>0</v>
      </c>
      <c r="X386" s="25"/>
    </row>
    <row r="387" spans="1:24" x14ac:dyDescent="0.25">
      <c r="A387" s="24"/>
      <c r="B387" s="24" t="str">
        <f>_xlfn.XLOOKUP(tblPayrollMaster[[#This Row],[Employee ID]],tblEmployee[Employee ID],tblEmployee[Employee Name],"")</f>
        <v/>
      </c>
      <c r="C387" s="24" t="str">
        <f>_xlfn.XLOOKUP(tblPayrollMaster[[#This Row],[Employee ID]],tblEmployee[Employee ID],tblEmployee[Employee Position],"")</f>
        <v/>
      </c>
      <c r="D387" s="24" t="str">
        <f>_xlfn.XLOOKUP(tblPayrollMaster[[#This Row],[Employee ID]], tblEmployee[Employee ID], tblEmployee[Pay Status], "Pay")</f>
        <v>Pay</v>
      </c>
      <c r="E387" s="24" t="str">
        <f>_xlfn.XLOOKUP(tblPayrollMaster[[#This Row],[Employee ID]], tblEmployee[Employee ID], tblEmployee[Payable Flag], "Y")</f>
        <v>Y</v>
      </c>
      <c r="F387" s="45">
        <f>IF(tblPayrollMaster[[#This Row],[Payable Flag]]="N",0,_xlfn.XLOOKUP(tblPayrollMaster[[#This Row],[Employee ID]],tblEmployee[Employee ID],tblEmployee[Pay Factor],1))</f>
        <v>1</v>
      </c>
      <c r="G387" s="26" t="str" cm="1">
        <f t="array" ref="G387">IF(tblPayrollMaster[[#This Row],[Employee ID]]="","",_xlfn.XLOOKUP(selPayPeriodID,tblPayCalendar[PayPeriodID],tblPayCalendar[PeriodStart],""))</f>
        <v/>
      </c>
      <c r="H387" s="26" t="str" cm="1">
        <f t="array" ref="H387">IF(tblPayrollMaster[[#This Row],[Employee ID]]="","",_xlfn.XLOOKUP(selPayPeriodID,tblPayCalendar[PayPeriodID],tblPayCalendar[PeriodEnd],""))</f>
        <v/>
      </c>
      <c r="I387" s="24" t="e" cm="1" vm="1">
        <f t="array" aca="1" ref="I387" ca="1">Table18[Employer Name]</f>
        <v>#VALUE!</v>
      </c>
      <c r="J387" s="3" cm="1">
        <f t="array" ref="J38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87" s="25" t="str">
        <f>_xlfn.XLOOKUP(tblPayrollMaster[[#This Row],[Employee Position]],tblPositionandPayRate[Employee Position],tblPositionandPayRate[Overtime], " ")</f>
        <v xml:space="preserve"> </v>
      </c>
      <c r="L387" s="25">
        <f>_xlfn.XLOOKUP(tblPayrollMaster[[#This Row],[Employee Position]],tblPositionandPayRate[Employee Position],tblPositionandPayRate[Allowance 1],0)*tblPayrollMaster[[#This Row],[Pay Factor]]</f>
        <v>0</v>
      </c>
      <c r="M387" s="25">
        <f>_xlfn.XLOOKUP(tblPayrollMaster[[#This Row],[Employee Position]],tblPositionandPayRate[Employee Position],tblPositionandPayRate[Allowance 2],0)*tblPayrollMaster[[#This Row],[Pay Factor]]</f>
        <v>0</v>
      </c>
      <c r="N387" s="25">
        <f>_xlfn.XLOOKUP(tblPayrollMaster[[#This Row],[Employee Position]],tblPositionandPayRate[Employee Position],tblPositionandPayRate[Allowance 3],0)*tblPayrollMaster[[#This Row],[Pay Factor]]</f>
        <v>0</v>
      </c>
      <c r="O387" s="25">
        <f>_xlfn.XLOOKUP(tblPayrollMaster[[#This Row],[Employee Position]],tblPositionandPayRate[Employee Position],tblPositionandPayRate[Allowance 4],0)*tblPayrollMaster[[#This Row],[Pay Factor]]</f>
        <v>0</v>
      </c>
      <c r="P387" s="25">
        <f>_xlfn.XLOOKUP(tblPayrollMaster[[#This Row],[Employee Position]],tblPositionandPayRate[Employee Position],tblPositionandPayRate[Allowance 5],0)*tblPayrollMaster[[#This Row],[Pay Factor]]</f>
        <v>0</v>
      </c>
      <c r="Q387" s="25">
        <f>SUM(tblPayrollMaster[[#This Row],[Basic Pay]:[Allowance 5]])</f>
        <v>0</v>
      </c>
      <c r="R38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87" s="51" cm="1">
        <f t="array" ref="S3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87" s="3" cm="1">
        <f t="array" ref="T3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87" s="25">
        <f>_xlfn.LET(
_xlpm.tos, _xlfn.XLOOKUP(tblPayrollMaster[[#This Row],[Employee ID]], tblEmployee[Employee ID], tblEmployee[Type of Service], ""),
IF(_xlpm.tos="Contract of Service", 8.25, 0)
)</f>
        <v>0</v>
      </c>
      <c r="V387" s="25">
        <f>tblPayrollMaster[[#This Row],[Basic Earnings]]-tblPayrollMaster[[#This Row],[Tax]]-tblPayrollMaster[[#This Row],[NIS - Employee]]-tblPayrollMaster[[#This Row],[Health Surcharge]]</f>
        <v>0</v>
      </c>
      <c r="W387" s="25">
        <f>tblPayrollMaster[[#This Row],[Net Pay]]</f>
        <v>0</v>
      </c>
      <c r="X387" s="25"/>
    </row>
    <row r="388" spans="1:24" x14ac:dyDescent="0.25">
      <c r="A388" s="24"/>
      <c r="B388" s="24" t="str">
        <f>_xlfn.XLOOKUP(tblPayrollMaster[[#This Row],[Employee ID]],tblEmployee[Employee ID],tblEmployee[Employee Name],"")</f>
        <v/>
      </c>
      <c r="C388" s="24" t="str">
        <f>_xlfn.XLOOKUP(tblPayrollMaster[[#This Row],[Employee ID]],tblEmployee[Employee ID],tblEmployee[Employee Position],"")</f>
        <v/>
      </c>
      <c r="D388" s="24" t="str">
        <f>_xlfn.XLOOKUP(tblPayrollMaster[[#This Row],[Employee ID]], tblEmployee[Employee ID], tblEmployee[Pay Status], "Pay")</f>
        <v>Pay</v>
      </c>
      <c r="E388" s="24" t="str">
        <f>_xlfn.XLOOKUP(tblPayrollMaster[[#This Row],[Employee ID]], tblEmployee[Employee ID], tblEmployee[Payable Flag], "Y")</f>
        <v>Y</v>
      </c>
      <c r="F388" s="45">
        <f>IF(tblPayrollMaster[[#This Row],[Payable Flag]]="N",0,_xlfn.XLOOKUP(tblPayrollMaster[[#This Row],[Employee ID]],tblEmployee[Employee ID],tblEmployee[Pay Factor],1))</f>
        <v>1</v>
      </c>
      <c r="G388" s="26" t="str" cm="1">
        <f t="array" ref="G388">IF(tblPayrollMaster[[#This Row],[Employee ID]]="","",_xlfn.XLOOKUP(selPayPeriodID,tblPayCalendar[PayPeriodID],tblPayCalendar[PeriodStart],""))</f>
        <v/>
      </c>
      <c r="H388" s="26" t="str" cm="1">
        <f t="array" ref="H388">IF(tblPayrollMaster[[#This Row],[Employee ID]]="","",_xlfn.XLOOKUP(selPayPeriodID,tblPayCalendar[PayPeriodID],tblPayCalendar[PeriodEnd],""))</f>
        <v/>
      </c>
      <c r="I388" s="24" t="e" cm="1" vm="1">
        <f t="array" aca="1" ref="I388" ca="1">Table18[Employer Name]</f>
        <v>#VALUE!</v>
      </c>
      <c r="J388" s="3" cm="1">
        <f t="array" ref="J38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88" s="25" t="str">
        <f>_xlfn.XLOOKUP(tblPayrollMaster[[#This Row],[Employee Position]],tblPositionandPayRate[Employee Position],tblPositionandPayRate[Overtime], " ")</f>
        <v xml:space="preserve"> </v>
      </c>
      <c r="L388" s="25">
        <f>_xlfn.XLOOKUP(tblPayrollMaster[[#This Row],[Employee Position]],tblPositionandPayRate[Employee Position],tblPositionandPayRate[Allowance 1],0)*tblPayrollMaster[[#This Row],[Pay Factor]]</f>
        <v>0</v>
      </c>
      <c r="M388" s="25">
        <f>_xlfn.XLOOKUP(tblPayrollMaster[[#This Row],[Employee Position]],tblPositionandPayRate[Employee Position],tblPositionandPayRate[Allowance 2],0)*tblPayrollMaster[[#This Row],[Pay Factor]]</f>
        <v>0</v>
      </c>
      <c r="N388" s="25">
        <f>_xlfn.XLOOKUP(tblPayrollMaster[[#This Row],[Employee Position]],tblPositionandPayRate[Employee Position],tblPositionandPayRate[Allowance 3],0)*tblPayrollMaster[[#This Row],[Pay Factor]]</f>
        <v>0</v>
      </c>
      <c r="O388" s="25">
        <f>_xlfn.XLOOKUP(tblPayrollMaster[[#This Row],[Employee Position]],tblPositionandPayRate[Employee Position],tblPositionandPayRate[Allowance 4],0)*tblPayrollMaster[[#This Row],[Pay Factor]]</f>
        <v>0</v>
      </c>
      <c r="P388" s="25">
        <f>_xlfn.XLOOKUP(tblPayrollMaster[[#This Row],[Employee Position]],tblPositionandPayRate[Employee Position],tblPositionandPayRate[Allowance 5],0)*tblPayrollMaster[[#This Row],[Pay Factor]]</f>
        <v>0</v>
      </c>
      <c r="Q388" s="25">
        <f>SUM(tblPayrollMaster[[#This Row],[Basic Pay]:[Allowance 5]])</f>
        <v>0</v>
      </c>
      <c r="R38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88" s="51" cm="1">
        <f t="array" ref="S3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88" s="3" cm="1">
        <f t="array" ref="T3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88" s="25">
        <f>_xlfn.LET(
_xlpm.tos, _xlfn.XLOOKUP(tblPayrollMaster[[#This Row],[Employee ID]], tblEmployee[Employee ID], tblEmployee[Type of Service], ""),
IF(_xlpm.tos="Contract of Service", 8.25, 0)
)</f>
        <v>0</v>
      </c>
      <c r="V388" s="25">
        <f>tblPayrollMaster[[#This Row],[Basic Earnings]]-tblPayrollMaster[[#This Row],[Tax]]-tblPayrollMaster[[#This Row],[NIS - Employee]]-tblPayrollMaster[[#This Row],[Health Surcharge]]</f>
        <v>0</v>
      </c>
      <c r="W388" s="25">
        <f>tblPayrollMaster[[#This Row],[Net Pay]]</f>
        <v>0</v>
      </c>
      <c r="X388" s="25"/>
    </row>
    <row r="389" spans="1:24" x14ac:dyDescent="0.25">
      <c r="A389" s="24"/>
      <c r="B389" s="24" t="str">
        <f>_xlfn.XLOOKUP(tblPayrollMaster[[#This Row],[Employee ID]],tblEmployee[Employee ID],tblEmployee[Employee Name],"")</f>
        <v/>
      </c>
      <c r="C389" s="24" t="str">
        <f>_xlfn.XLOOKUP(tblPayrollMaster[[#This Row],[Employee ID]],tblEmployee[Employee ID],tblEmployee[Employee Position],"")</f>
        <v/>
      </c>
      <c r="D389" s="24" t="str">
        <f>_xlfn.XLOOKUP(tblPayrollMaster[[#This Row],[Employee ID]], tblEmployee[Employee ID], tblEmployee[Pay Status], "Pay")</f>
        <v>Pay</v>
      </c>
      <c r="E389" s="24" t="str">
        <f>_xlfn.XLOOKUP(tblPayrollMaster[[#This Row],[Employee ID]], tblEmployee[Employee ID], tblEmployee[Payable Flag], "Y")</f>
        <v>Y</v>
      </c>
      <c r="F389" s="45">
        <f>IF(tblPayrollMaster[[#This Row],[Payable Flag]]="N",0,_xlfn.XLOOKUP(tblPayrollMaster[[#This Row],[Employee ID]],tblEmployee[Employee ID],tblEmployee[Pay Factor],1))</f>
        <v>1</v>
      </c>
      <c r="G389" s="26" t="str" cm="1">
        <f t="array" ref="G389">IF(tblPayrollMaster[[#This Row],[Employee ID]]="","",_xlfn.XLOOKUP(selPayPeriodID,tblPayCalendar[PayPeriodID],tblPayCalendar[PeriodStart],""))</f>
        <v/>
      </c>
      <c r="H389" s="26" t="str" cm="1">
        <f t="array" ref="H389">IF(tblPayrollMaster[[#This Row],[Employee ID]]="","",_xlfn.XLOOKUP(selPayPeriodID,tblPayCalendar[PayPeriodID],tblPayCalendar[PeriodEnd],""))</f>
        <v/>
      </c>
      <c r="I389" s="24" t="e" cm="1" vm="1">
        <f t="array" aca="1" ref="I389" ca="1">Table18[Employer Name]</f>
        <v>#VALUE!</v>
      </c>
      <c r="J389" s="3" cm="1">
        <f t="array" ref="J38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89" s="25" t="str">
        <f>_xlfn.XLOOKUP(tblPayrollMaster[[#This Row],[Employee Position]],tblPositionandPayRate[Employee Position],tblPositionandPayRate[Overtime], " ")</f>
        <v xml:space="preserve"> </v>
      </c>
      <c r="L389" s="25">
        <f>_xlfn.XLOOKUP(tblPayrollMaster[[#This Row],[Employee Position]],tblPositionandPayRate[Employee Position],tblPositionandPayRate[Allowance 1],0)*tblPayrollMaster[[#This Row],[Pay Factor]]</f>
        <v>0</v>
      </c>
      <c r="M389" s="25">
        <f>_xlfn.XLOOKUP(tblPayrollMaster[[#This Row],[Employee Position]],tblPositionandPayRate[Employee Position],tblPositionandPayRate[Allowance 2],0)*tblPayrollMaster[[#This Row],[Pay Factor]]</f>
        <v>0</v>
      </c>
      <c r="N389" s="25">
        <f>_xlfn.XLOOKUP(tblPayrollMaster[[#This Row],[Employee Position]],tblPositionandPayRate[Employee Position],tblPositionandPayRate[Allowance 3],0)*tblPayrollMaster[[#This Row],[Pay Factor]]</f>
        <v>0</v>
      </c>
      <c r="O389" s="25">
        <f>_xlfn.XLOOKUP(tblPayrollMaster[[#This Row],[Employee Position]],tblPositionandPayRate[Employee Position],tblPositionandPayRate[Allowance 4],0)*tblPayrollMaster[[#This Row],[Pay Factor]]</f>
        <v>0</v>
      </c>
      <c r="P389" s="25">
        <f>_xlfn.XLOOKUP(tblPayrollMaster[[#This Row],[Employee Position]],tblPositionandPayRate[Employee Position],tblPositionandPayRate[Allowance 5],0)*tblPayrollMaster[[#This Row],[Pay Factor]]</f>
        <v>0</v>
      </c>
      <c r="Q389" s="25">
        <f>SUM(tblPayrollMaster[[#This Row],[Basic Pay]:[Allowance 5]])</f>
        <v>0</v>
      </c>
      <c r="R38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89" s="51" cm="1">
        <f t="array" ref="S3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89" s="3" cm="1">
        <f t="array" ref="T3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89" s="25">
        <f>_xlfn.LET(
_xlpm.tos, _xlfn.XLOOKUP(tblPayrollMaster[[#This Row],[Employee ID]], tblEmployee[Employee ID], tblEmployee[Type of Service], ""),
IF(_xlpm.tos="Contract of Service", 8.25, 0)
)</f>
        <v>0</v>
      </c>
      <c r="V389" s="25">
        <f>tblPayrollMaster[[#This Row],[Basic Earnings]]-tblPayrollMaster[[#This Row],[Tax]]-tblPayrollMaster[[#This Row],[NIS - Employee]]-tblPayrollMaster[[#This Row],[Health Surcharge]]</f>
        <v>0</v>
      </c>
      <c r="W389" s="25">
        <f>tblPayrollMaster[[#This Row],[Net Pay]]</f>
        <v>0</v>
      </c>
      <c r="X389" s="25"/>
    </row>
    <row r="390" spans="1:24" x14ac:dyDescent="0.25">
      <c r="A390" s="24"/>
      <c r="B390" s="24" t="str">
        <f>_xlfn.XLOOKUP(tblPayrollMaster[[#This Row],[Employee ID]],tblEmployee[Employee ID],tblEmployee[Employee Name],"")</f>
        <v/>
      </c>
      <c r="C390" s="24" t="str">
        <f>_xlfn.XLOOKUP(tblPayrollMaster[[#This Row],[Employee ID]],tblEmployee[Employee ID],tblEmployee[Employee Position],"")</f>
        <v/>
      </c>
      <c r="D390" s="24" t="str">
        <f>_xlfn.XLOOKUP(tblPayrollMaster[[#This Row],[Employee ID]], tblEmployee[Employee ID], tblEmployee[Pay Status], "Pay")</f>
        <v>Pay</v>
      </c>
      <c r="E390" s="24" t="str">
        <f>_xlfn.XLOOKUP(tblPayrollMaster[[#This Row],[Employee ID]], tblEmployee[Employee ID], tblEmployee[Payable Flag], "Y")</f>
        <v>Y</v>
      </c>
      <c r="F390" s="45">
        <f>IF(tblPayrollMaster[[#This Row],[Payable Flag]]="N",0,_xlfn.XLOOKUP(tblPayrollMaster[[#This Row],[Employee ID]],tblEmployee[Employee ID],tblEmployee[Pay Factor],1))</f>
        <v>1</v>
      </c>
      <c r="G390" s="26" t="str" cm="1">
        <f t="array" ref="G390">IF(tblPayrollMaster[[#This Row],[Employee ID]]="","",_xlfn.XLOOKUP(selPayPeriodID,tblPayCalendar[PayPeriodID],tblPayCalendar[PeriodStart],""))</f>
        <v/>
      </c>
      <c r="H390" s="26" t="str" cm="1">
        <f t="array" ref="H390">IF(tblPayrollMaster[[#This Row],[Employee ID]]="","",_xlfn.XLOOKUP(selPayPeriodID,tblPayCalendar[PayPeriodID],tblPayCalendar[PeriodEnd],""))</f>
        <v/>
      </c>
      <c r="I390" s="24" t="e" cm="1" vm="1">
        <f t="array" aca="1" ref="I390" ca="1">Table18[Employer Name]</f>
        <v>#VALUE!</v>
      </c>
      <c r="J390" s="3" cm="1">
        <f t="array" ref="J39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90" s="25" t="str">
        <f>_xlfn.XLOOKUP(tblPayrollMaster[[#This Row],[Employee Position]],tblPositionandPayRate[Employee Position],tblPositionandPayRate[Overtime], " ")</f>
        <v xml:space="preserve"> </v>
      </c>
      <c r="L390" s="25">
        <f>_xlfn.XLOOKUP(tblPayrollMaster[[#This Row],[Employee Position]],tblPositionandPayRate[Employee Position],tblPositionandPayRate[Allowance 1],0)*tblPayrollMaster[[#This Row],[Pay Factor]]</f>
        <v>0</v>
      </c>
      <c r="M390" s="25">
        <f>_xlfn.XLOOKUP(tblPayrollMaster[[#This Row],[Employee Position]],tblPositionandPayRate[Employee Position],tblPositionandPayRate[Allowance 2],0)*tblPayrollMaster[[#This Row],[Pay Factor]]</f>
        <v>0</v>
      </c>
      <c r="N390" s="25">
        <f>_xlfn.XLOOKUP(tblPayrollMaster[[#This Row],[Employee Position]],tblPositionandPayRate[Employee Position],tblPositionandPayRate[Allowance 3],0)*tblPayrollMaster[[#This Row],[Pay Factor]]</f>
        <v>0</v>
      </c>
      <c r="O390" s="25">
        <f>_xlfn.XLOOKUP(tblPayrollMaster[[#This Row],[Employee Position]],tblPositionandPayRate[Employee Position],tblPositionandPayRate[Allowance 4],0)*tblPayrollMaster[[#This Row],[Pay Factor]]</f>
        <v>0</v>
      </c>
      <c r="P390" s="25">
        <f>_xlfn.XLOOKUP(tblPayrollMaster[[#This Row],[Employee Position]],tblPositionandPayRate[Employee Position],tblPositionandPayRate[Allowance 5],0)*tblPayrollMaster[[#This Row],[Pay Factor]]</f>
        <v>0</v>
      </c>
      <c r="Q390" s="25">
        <f>SUM(tblPayrollMaster[[#This Row],[Basic Pay]:[Allowance 5]])</f>
        <v>0</v>
      </c>
      <c r="R39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90" s="51" cm="1">
        <f t="array" ref="S3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90" s="3" cm="1">
        <f t="array" ref="T3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90" s="25">
        <f>_xlfn.LET(
_xlpm.tos, _xlfn.XLOOKUP(tblPayrollMaster[[#This Row],[Employee ID]], tblEmployee[Employee ID], tblEmployee[Type of Service], ""),
IF(_xlpm.tos="Contract of Service", 8.25, 0)
)</f>
        <v>0</v>
      </c>
      <c r="V390" s="25">
        <f>tblPayrollMaster[[#This Row],[Basic Earnings]]-tblPayrollMaster[[#This Row],[Tax]]-tblPayrollMaster[[#This Row],[NIS - Employee]]-tblPayrollMaster[[#This Row],[Health Surcharge]]</f>
        <v>0</v>
      </c>
      <c r="W390" s="25">
        <f>tblPayrollMaster[[#This Row],[Net Pay]]</f>
        <v>0</v>
      </c>
      <c r="X390" s="25"/>
    </row>
    <row r="391" spans="1:24" x14ac:dyDescent="0.25">
      <c r="A391" s="24"/>
      <c r="B391" s="24" t="str">
        <f>_xlfn.XLOOKUP(tblPayrollMaster[[#This Row],[Employee ID]],tblEmployee[Employee ID],tblEmployee[Employee Name],"")</f>
        <v/>
      </c>
      <c r="C391" s="24" t="str">
        <f>_xlfn.XLOOKUP(tblPayrollMaster[[#This Row],[Employee ID]],tblEmployee[Employee ID],tblEmployee[Employee Position],"")</f>
        <v/>
      </c>
      <c r="D391" s="24" t="str">
        <f>_xlfn.XLOOKUP(tblPayrollMaster[[#This Row],[Employee ID]], tblEmployee[Employee ID], tblEmployee[Pay Status], "Pay")</f>
        <v>Pay</v>
      </c>
      <c r="E391" s="24" t="str">
        <f>_xlfn.XLOOKUP(tblPayrollMaster[[#This Row],[Employee ID]], tblEmployee[Employee ID], tblEmployee[Payable Flag], "Y")</f>
        <v>Y</v>
      </c>
      <c r="F391" s="45">
        <f>IF(tblPayrollMaster[[#This Row],[Payable Flag]]="N",0,_xlfn.XLOOKUP(tblPayrollMaster[[#This Row],[Employee ID]],tblEmployee[Employee ID],tblEmployee[Pay Factor],1))</f>
        <v>1</v>
      </c>
      <c r="G391" s="26" t="str" cm="1">
        <f t="array" ref="G391">IF(tblPayrollMaster[[#This Row],[Employee ID]]="","",_xlfn.XLOOKUP(selPayPeriodID,tblPayCalendar[PayPeriodID],tblPayCalendar[PeriodStart],""))</f>
        <v/>
      </c>
      <c r="H391" s="26" t="str" cm="1">
        <f t="array" ref="H391">IF(tblPayrollMaster[[#This Row],[Employee ID]]="","",_xlfn.XLOOKUP(selPayPeriodID,tblPayCalendar[PayPeriodID],tblPayCalendar[PeriodEnd],""))</f>
        <v/>
      </c>
      <c r="I391" s="24" t="e" cm="1" vm="1">
        <f t="array" aca="1" ref="I391" ca="1">Table18[Employer Name]</f>
        <v>#VALUE!</v>
      </c>
      <c r="J391" s="3" cm="1">
        <f t="array" ref="J39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91" s="25" t="str">
        <f>_xlfn.XLOOKUP(tblPayrollMaster[[#This Row],[Employee Position]],tblPositionandPayRate[Employee Position],tblPositionandPayRate[Overtime], " ")</f>
        <v xml:space="preserve"> </v>
      </c>
      <c r="L391" s="25">
        <f>_xlfn.XLOOKUP(tblPayrollMaster[[#This Row],[Employee Position]],tblPositionandPayRate[Employee Position],tblPositionandPayRate[Allowance 1],0)*tblPayrollMaster[[#This Row],[Pay Factor]]</f>
        <v>0</v>
      </c>
      <c r="M391" s="25">
        <f>_xlfn.XLOOKUP(tblPayrollMaster[[#This Row],[Employee Position]],tblPositionandPayRate[Employee Position],tblPositionandPayRate[Allowance 2],0)*tblPayrollMaster[[#This Row],[Pay Factor]]</f>
        <v>0</v>
      </c>
      <c r="N391" s="25">
        <f>_xlfn.XLOOKUP(tblPayrollMaster[[#This Row],[Employee Position]],tblPositionandPayRate[Employee Position],tblPositionandPayRate[Allowance 3],0)*tblPayrollMaster[[#This Row],[Pay Factor]]</f>
        <v>0</v>
      </c>
      <c r="O391" s="25">
        <f>_xlfn.XLOOKUP(tblPayrollMaster[[#This Row],[Employee Position]],tblPositionandPayRate[Employee Position],tblPositionandPayRate[Allowance 4],0)*tblPayrollMaster[[#This Row],[Pay Factor]]</f>
        <v>0</v>
      </c>
      <c r="P391" s="25">
        <f>_xlfn.XLOOKUP(tblPayrollMaster[[#This Row],[Employee Position]],tblPositionandPayRate[Employee Position],tblPositionandPayRate[Allowance 5],0)*tblPayrollMaster[[#This Row],[Pay Factor]]</f>
        <v>0</v>
      </c>
      <c r="Q391" s="25">
        <f>SUM(tblPayrollMaster[[#This Row],[Basic Pay]:[Allowance 5]])</f>
        <v>0</v>
      </c>
      <c r="R39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91" s="51" cm="1">
        <f t="array" ref="S3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91" s="3" cm="1">
        <f t="array" ref="T3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91" s="25">
        <f>_xlfn.LET(
_xlpm.tos, _xlfn.XLOOKUP(tblPayrollMaster[[#This Row],[Employee ID]], tblEmployee[Employee ID], tblEmployee[Type of Service], ""),
IF(_xlpm.tos="Contract of Service", 8.25, 0)
)</f>
        <v>0</v>
      </c>
      <c r="V391" s="25">
        <f>tblPayrollMaster[[#This Row],[Basic Earnings]]-tblPayrollMaster[[#This Row],[Tax]]-tblPayrollMaster[[#This Row],[NIS - Employee]]-tblPayrollMaster[[#This Row],[Health Surcharge]]</f>
        <v>0</v>
      </c>
      <c r="W391" s="25">
        <f>tblPayrollMaster[[#This Row],[Net Pay]]</f>
        <v>0</v>
      </c>
      <c r="X391" s="25"/>
    </row>
    <row r="392" spans="1:24" x14ac:dyDescent="0.25">
      <c r="A392" s="24"/>
      <c r="B392" s="24" t="str">
        <f>_xlfn.XLOOKUP(tblPayrollMaster[[#This Row],[Employee ID]],tblEmployee[Employee ID],tblEmployee[Employee Name],"")</f>
        <v/>
      </c>
      <c r="C392" s="24" t="str">
        <f>_xlfn.XLOOKUP(tblPayrollMaster[[#This Row],[Employee ID]],tblEmployee[Employee ID],tblEmployee[Employee Position],"")</f>
        <v/>
      </c>
      <c r="D392" s="24" t="str">
        <f>_xlfn.XLOOKUP(tblPayrollMaster[[#This Row],[Employee ID]], tblEmployee[Employee ID], tblEmployee[Pay Status], "Pay")</f>
        <v>Pay</v>
      </c>
      <c r="E392" s="24" t="str">
        <f>_xlfn.XLOOKUP(tblPayrollMaster[[#This Row],[Employee ID]], tblEmployee[Employee ID], tblEmployee[Payable Flag], "Y")</f>
        <v>Y</v>
      </c>
      <c r="F392" s="45">
        <f>IF(tblPayrollMaster[[#This Row],[Payable Flag]]="N",0,_xlfn.XLOOKUP(tblPayrollMaster[[#This Row],[Employee ID]],tblEmployee[Employee ID],tblEmployee[Pay Factor],1))</f>
        <v>1</v>
      </c>
      <c r="G392" s="26" t="str" cm="1">
        <f t="array" ref="G392">IF(tblPayrollMaster[[#This Row],[Employee ID]]="","",_xlfn.XLOOKUP(selPayPeriodID,tblPayCalendar[PayPeriodID],tblPayCalendar[PeriodStart],""))</f>
        <v/>
      </c>
      <c r="H392" s="26" t="str" cm="1">
        <f t="array" ref="H392">IF(tblPayrollMaster[[#This Row],[Employee ID]]="","",_xlfn.XLOOKUP(selPayPeriodID,tblPayCalendar[PayPeriodID],tblPayCalendar[PeriodEnd],""))</f>
        <v/>
      </c>
      <c r="I392" s="24" t="e" cm="1" vm="1">
        <f t="array" aca="1" ref="I392" ca="1">Table18[Employer Name]</f>
        <v>#VALUE!</v>
      </c>
      <c r="J392" s="3" cm="1">
        <f t="array" ref="J39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92" s="25" t="str">
        <f>_xlfn.XLOOKUP(tblPayrollMaster[[#This Row],[Employee Position]],tblPositionandPayRate[Employee Position],tblPositionandPayRate[Overtime], " ")</f>
        <v xml:space="preserve"> </v>
      </c>
      <c r="L392" s="25">
        <f>_xlfn.XLOOKUP(tblPayrollMaster[[#This Row],[Employee Position]],tblPositionandPayRate[Employee Position],tblPositionandPayRate[Allowance 1],0)*tblPayrollMaster[[#This Row],[Pay Factor]]</f>
        <v>0</v>
      </c>
      <c r="M392" s="25">
        <f>_xlfn.XLOOKUP(tblPayrollMaster[[#This Row],[Employee Position]],tblPositionandPayRate[Employee Position],tblPositionandPayRate[Allowance 2],0)*tblPayrollMaster[[#This Row],[Pay Factor]]</f>
        <v>0</v>
      </c>
      <c r="N392" s="25">
        <f>_xlfn.XLOOKUP(tblPayrollMaster[[#This Row],[Employee Position]],tblPositionandPayRate[Employee Position],tblPositionandPayRate[Allowance 3],0)*tblPayrollMaster[[#This Row],[Pay Factor]]</f>
        <v>0</v>
      </c>
      <c r="O392" s="25">
        <f>_xlfn.XLOOKUP(tblPayrollMaster[[#This Row],[Employee Position]],tblPositionandPayRate[Employee Position],tblPositionandPayRate[Allowance 4],0)*tblPayrollMaster[[#This Row],[Pay Factor]]</f>
        <v>0</v>
      </c>
      <c r="P392" s="25">
        <f>_xlfn.XLOOKUP(tblPayrollMaster[[#This Row],[Employee Position]],tblPositionandPayRate[Employee Position],tblPositionandPayRate[Allowance 5],0)*tblPayrollMaster[[#This Row],[Pay Factor]]</f>
        <v>0</v>
      </c>
      <c r="Q392" s="25">
        <f>SUM(tblPayrollMaster[[#This Row],[Basic Pay]:[Allowance 5]])</f>
        <v>0</v>
      </c>
      <c r="R39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92" s="51" cm="1">
        <f t="array" ref="S3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92" s="3" cm="1">
        <f t="array" ref="T3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92" s="25">
        <f>_xlfn.LET(
_xlpm.tos, _xlfn.XLOOKUP(tblPayrollMaster[[#This Row],[Employee ID]], tblEmployee[Employee ID], tblEmployee[Type of Service], ""),
IF(_xlpm.tos="Contract of Service", 8.25, 0)
)</f>
        <v>0</v>
      </c>
      <c r="V392" s="25">
        <f>tblPayrollMaster[[#This Row],[Basic Earnings]]-tblPayrollMaster[[#This Row],[Tax]]-tblPayrollMaster[[#This Row],[NIS - Employee]]-tblPayrollMaster[[#This Row],[Health Surcharge]]</f>
        <v>0</v>
      </c>
      <c r="W392" s="25">
        <f>tblPayrollMaster[[#This Row],[Net Pay]]</f>
        <v>0</v>
      </c>
      <c r="X392" s="25"/>
    </row>
    <row r="393" spans="1:24" x14ac:dyDescent="0.25">
      <c r="A393" s="24"/>
      <c r="B393" s="24" t="str">
        <f>_xlfn.XLOOKUP(tblPayrollMaster[[#This Row],[Employee ID]],tblEmployee[Employee ID],tblEmployee[Employee Name],"")</f>
        <v/>
      </c>
      <c r="C393" s="24" t="str">
        <f>_xlfn.XLOOKUP(tblPayrollMaster[[#This Row],[Employee ID]],tblEmployee[Employee ID],tblEmployee[Employee Position],"")</f>
        <v/>
      </c>
      <c r="D393" s="24" t="str">
        <f>_xlfn.XLOOKUP(tblPayrollMaster[[#This Row],[Employee ID]], tblEmployee[Employee ID], tblEmployee[Pay Status], "Pay")</f>
        <v>Pay</v>
      </c>
      <c r="E393" s="24" t="str">
        <f>_xlfn.XLOOKUP(tblPayrollMaster[[#This Row],[Employee ID]], tblEmployee[Employee ID], tblEmployee[Payable Flag], "Y")</f>
        <v>Y</v>
      </c>
      <c r="F393" s="45">
        <f>IF(tblPayrollMaster[[#This Row],[Payable Flag]]="N",0,_xlfn.XLOOKUP(tblPayrollMaster[[#This Row],[Employee ID]],tblEmployee[Employee ID],tblEmployee[Pay Factor],1))</f>
        <v>1</v>
      </c>
      <c r="G393" s="26" t="str" cm="1">
        <f t="array" ref="G393">IF(tblPayrollMaster[[#This Row],[Employee ID]]="","",_xlfn.XLOOKUP(selPayPeriodID,tblPayCalendar[PayPeriodID],tblPayCalendar[PeriodStart],""))</f>
        <v/>
      </c>
      <c r="H393" s="26" t="str" cm="1">
        <f t="array" ref="H393">IF(tblPayrollMaster[[#This Row],[Employee ID]]="","",_xlfn.XLOOKUP(selPayPeriodID,tblPayCalendar[PayPeriodID],tblPayCalendar[PeriodEnd],""))</f>
        <v/>
      </c>
      <c r="I393" s="24" t="e" cm="1" vm="1">
        <f t="array" aca="1" ref="I393" ca="1">Table18[Employer Name]</f>
        <v>#VALUE!</v>
      </c>
      <c r="J393" s="3" cm="1">
        <f t="array" ref="J39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93" s="25" t="str">
        <f>_xlfn.XLOOKUP(tblPayrollMaster[[#This Row],[Employee Position]],tblPositionandPayRate[Employee Position],tblPositionandPayRate[Overtime], " ")</f>
        <v xml:space="preserve"> </v>
      </c>
      <c r="L393" s="25">
        <f>_xlfn.XLOOKUP(tblPayrollMaster[[#This Row],[Employee Position]],tblPositionandPayRate[Employee Position],tblPositionandPayRate[Allowance 1],0)*tblPayrollMaster[[#This Row],[Pay Factor]]</f>
        <v>0</v>
      </c>
      <c r="M393" s="25">
        <f>_xlfn.XLOOKUP(tblPayrollMaster[[#This Row],[Employee Position]],tblPositionandPayRate[Employee Position],tblPositionandPayRate[Allowance 2],0)*tblPayrollMaster[[#This Row],[Pay Factor]]</f>
        <v>0</v>
      </c>
      <c r="N393" s="25">
        <f>_xlfn.XLOOKUP(tblPayrollMaster[[#This Row],[Employee Position]],tblPositionandPayRate[Employee Position],tblPositionandPayRate[Allowance 3],0)*tblPayrollMaster[[#This Row],[Pay Factor]]</f>
        <v>0</v>
      </c>
      <c r="O393" s="25">
        <f>_xlfn.XLOOKUP(tblPayrollMaster[[#This Row],[Employee Position]],tblPositionandPayRate[Employee Position],tblPositionandPayRate[Allowance 4],0)*tblPayrollMaster[[#This Row],[Pay Factor]]</f>
        <v>0</v>
      </c>
      <c r="P393" s="25">
        <f>_xlfn.XLOOKUP(tblPayrollMaster[[#This Row],[Employee Position]],tblPositionandPayRate[Employee Position],tblPositionandPayRate[Allowance 5],0)*tblPayrollMaster[[#This Row],[Pay Factor]]</f>
        <v>0</v>
      </c>
      <c r="Q393" s="25">
        <f>SUM(tblPayrollMaster[[#This Row],[Basic Pay]:[Allowance 5]])</f>
        <v>0</v>
      </c>
      <c r="R39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93" s="51" cm="1">
        <f t="array" ref="S3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93" s="3" cm="1">
        <f t="array" ref="T3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93" s="25">
        <f>_xlfn.LET(
_xlpm.tos, _xlfn.XLOOKUP(tblPayrollMaster[[#This Row],[Employee ID]], tblEmployee[Employee ID], tblEmployee[Type of Service], ""),
IF(_xlpm.tos="Contract of Service", 8.25, 0)
)</f>
        <v>0</v>
      </c>
      <c r="V393" s="25">
        <f>tblPayrollMaster[[#This Row],[Basic Earnings]]-tblPayrollMaster[[#This Row],[Tax]]-tblPayrollMaster[[#This Row],[NIS - Employee]]-tblPayrollMaster[[#This Row],[Health Surcharge]]</f>
        <v>0</v>
      </c>
      <c r="W393" s="25">
        <f>tblPayrollMaster[[#This Row],[Net Pay]]</f>
        <v>0</v>
      </c>
      <c r="X393" s="25"/>
    </row>
    <row r="394" spans="1:24" x14ac:dyDescent="0.25">
      <c r="A394" s="24"/>
      <c r="B394" s="24" t="str">
        <f>_xlfn.XLOOKUP(tblPayrollMaster[[#This Row],[Employee ID]],tblEmployee[Employee ID],tblEmployee[Employee Name],"")</f>
        <v/>
      </c>
      <c r="C394" s="24" t="str">
        <f>_xlfn.XLOOKUP(tblPayrollMaster[[#This Row],[Employee ID]],tblEmployee[Employee ID],tblEmployee[Employee Position],"")</f>
        <v/>
      </c>
      <c r="D394" s="24" t="str">
        <f>_xlfn.XLOOKUP(tblPayrollMaster[[#This Row],[Employee ID]], tblEmployee[Employee ID], tblEmployee[Pay Status], "Pay")</f>
        <v>Pay</v>
      </c>
      <c r="E394" s="24" t="str">
        <f>_xlfn.XLOOKUP(tblPayrollMaster[[#This Row],[Employee ID]], tblEmployee[Employee ID], tblEmployee[Payable Flag], "Y")</f>
        <v>Y</v>
      </c>
      <c r="F394" s="45">
        <f>IF(tblPayrollMaster[[#This Row],[Payable Flag]]="N",0,_xlfn.XLOOKUP(tblPayrollMaster[[#This Row],[Employee ID]],tblEmployee[Employee ID],tblEmployee[Pay Factor],1))</f>
        <v>1</v>
      </c>
      <c r="G394" s="26" t="str" cm="1">
        <f t="array" ref="G394">IF(tblPayrollMaster[[#This Row],[Employee ID]]="","",_xlfn.XLOOKUP(selPayPeriodID,tblPayCalendar[PayPeriodID],tblPayCalendar[PeriodStart],""))</f>
        <v/>
      </c>
      <c r="H394" s="26" t="str" cm="1">
        <f t="array" ref="H394">IF(tblPayrollMaster[[#This Row],[Employee ID]]="","",_xlfn.XLOOKUP(selPayPeriodID,tblPayCalendar[PayPeriodID],tblPayCalendar[PeriodEnd],""))</f>
        <v/>
      </c>
      <c r="I394" s="24" t="e" cm="1" vm="1">
        <f t="array" aca="1" ref="I394" ca="1">Table18[Employer Name]</f>
        <v>#VALUE!</v>
      </c>
      <c r="J394" s="3" cm="1">
        <f t="array" ref="J39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94" s="25" t="str">
        <f>_xlfn.XLOOKUP(tblPayrollMaster[[#This Row],[Employee Position]],tblPositionandPayRate[Employee Position],tblPositionandPayRate[Overtime], " ")</f>
        <v xml:space="preserve"> </v>
      </c>
      <c r="L394" s="25">
        <f>_xlfn.XLOOKUP(tblPayrollMaster[[#This Row],[Employee Position]],tblPositionandPayRate[Employee Position],tblPositionandPayRate[Allowance 1],0)*tblPayrollMaster[[#This Row],[Pay Factor]]</f>
        <v>0</v>
      </c>
      <c r="M394" s="25">
        <f>_xlfn.XLOOKUP(tblPayrollMaster[[#This Row],[Employee Position]],tblPositionandPayRate[Employee Position],tblPositionandPayRate[Allowance 2],0)*tblPayrollMaster[[#This Row],[Pay Factor]]</f>
        <v>0</v>
      </c>
      <c r="N394" s="25">
        <f>_xlfn.XLOOKUP(tblPayrollMaster[[#This Row],[Employee Position]],tblPositionandPayRate[Employee Position],tblPositionandPayRate[Allowance 3],0)*tblPayrollMaster[[#This Row],[Pay Factor]]</f>
        <v>0</v>
      </c>
      <c r="O394" s="25">
        <f>_xlfn.XLOOKUP(tblPayrollMaster[[#This Row],[Employee Position]],tblPositionandPayRate[Employee Position],tblPositionandPayRate[Allowance 4],0)*tblPayrollMaster[[#This Row],[Pay Factor]]</f>
        <v>0</v>
      </c>
      <c r="P394" s="25">
        <f>_xlfn.XLOOKUP(tblPayrollMaster[[#This Row],[Employee Position]],tblPositionandPayRate[Employee Position],tblPositionandPayRate[Allowance 5],0)*tblPayrollMaster[[#This Row],[Pay Factor]]</f>
        <v>0</v>
      </c>
      <c r="Q394" s="25">
        <f>SUM(tblPayrollMaster[[#This Row],[Basic Pay]:[Allowance 5]])</f>
        <v>0</v>
      </c>
      <c r="R39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94" s="51" cm="1">
        <f t="array" ref="S3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94" s="3" cm="1">
        <f t="array" ref="T3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94" s="25">
        <f>_xlfn.LET(
_xlpm.tos, _xlfn.XLOOKUP(tblPayrollMaster[[#This Row],[Employee ID]], tblEmployee[Employee ID], tblEmployee[Type of Service], ""),
IF(_xlpm.tos="Contract of Service", 8.25, 0)
)</f>
        <v>0</v>
      </c>
      <c r="V394" s="25">
        <f>tblPayrollMaster[[#This Row],[Basic Earnings]]-tblPayrollMaster[[#This Row],[Tax]]-tblPayrollMaster[[#This Row],[NIS - Employee]]-tblPayrollMaster[[#This Row],[Health Surcharge]]</f>
        <v>0</v>
      </c>
      <c r="W394" s="25">
        <f>tblPayrollMaster[[#This Row],[Net Pay]]</f>
        <v>0</v>
      </c>
      <c r="X394" s="25"/>
    </row>
    <row r="395" spans="1:24" x14ac:dyDescent="0.25">
      <c r="A395" s="24"/>
      <c r="B395" s="24" t="str">
        <f>_xlfn.XLOOKUP(tblPayrollMaster[[#This Row],[Employee ID]],tblEmployee[Employee ID],tblEmployee[Employee Name],"")</f>
        <v/>
      </c>
      <c r="C395" s="24" t="str">
        <f>_xlfn.XLOOKUP(tblPayrollMaster[[#This Row],[Employee ID]],tblEmployee[Employee ID],tblEmployee[Employee Position],"")</f>
        <v/>
      </c>
      <c r="D395" s="24" t="str">
        <f>_xlfn.XLOOKUP(tblPayrollMaster[[#This Row],[Employee ID]], tblEmployee[Employee ID], tblEmployee[Pay Status], "Pay")</f>
        <v>Pay</v>
      </c>
      <c r="E395" s="24" t="str">
        <f>_xlfn.XLOOKUP(tblPayrollMaster[[#This Row],[Employee ID]], tblEmployee[Employee ID], tblEmployee[Payable Flag], "Y")</f>
        <v>Y</v>
      </c>
      <c r="F395" s="45">
        <f>IF(tblPayrollMaster[[#This Row],[Payable Flag]]="N",0,_xlfn.XLOOKUP(tblPayrollMaster[[#This Row],[Employee ID]],tblEmployee[Employee ID],tblEmployee[Pay Factor],1))</f>
        <v>1</v>
      </c>
      <c r="G395" s="26" t="str" cm="1">
        <f t="array" ref="G395">IF(tblPayrollMaster[[#This Row],[Employee ID]]="","",_xlfn.XLOOKUP(selPayPeriodID,tblPayCalendar[PayPeriodID],tblPayCalendar[PeriodStart],""))</f>
        <v/>
      </c>
      <c r="H395" s="26" t="str" cm="1">
        <f t="array" ref="H395">IF(tblPayrollMaster[[#This Row],[Employee ID]]="","",_xlfn.XLOOKUP(selPayPeriodID,tblPayCalendar[PayPeriodID],tblPayCalendar[PeriodEnd],""))</f>
        <v/>
      </c>
      <c r="I395" s="24" t="e" cm="1" vm="1">
        <f t="array" aca="1" ref="I395" ca="1">Table18[Employer Name]</f>
        <v>#VALUE!</v>
      </c>
      <c r="J395" s="3" cm="1">
        <f t="array" ref="J39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95" s="25" t="str">
        <f>_xlfn.XLOOKUP(tblPayrollMaster[[#This Row],[Employee Position]],tblPositionandPayRate[Employee Position],tblPositionandPayRate[Overtime], " ")</f>
        <v xml:space="preserve"> </v>
      </c>
      <c r="L395" s="25">
        <f>_xlfn.XLOOKUP(tblPayrollMaster[[#This Row],[Employee Position]],tblPositionandPayRate[Employee Position],tblPositionandPayRate[Allowance 1],0)*tblPayrollMaster[[#This Row],[Pay Factor]]</f>
        <v>0</v>
      </c>
      <c r="M395" s="25">
        <f>_xlfn.XLOOKUP(tblPayrollMaster[[#This Row],[Employee Position]],tblPositionandPayRate[Employee Position],tblPositionandPayRate[Allowance 2],0)*tblPayrollMaster[[#This Row],[Pay Factor]]</f>
        <v>0</v>
      </c>
      <c r="N395" s="25">
        <f>_xlfn.XLOOKUP(tblPayrollMaster[[#This Row],[Employee Position]],tblPositionandPayRate[Employee Position],tblPositionandPayRate[Allowance 3],0)*tblPayrollMaster[[#This Row],[Pay Factor]]</f>
        <v>0</v>
      </c>
      <c r="O395" s="25">
        <f>_xlfn.XLOOKUP(tblPayrollMaster[[#This Row],[Employee Position]],tblPositionandPayRate[Employee Position],tblPositionandPayRate[Allowance 4],0)*tblPayrollMaster[[#This Row],[Pay Factor]]</f>
        <v>0</v>
      </c>
      <c r="P395" s="25">
        <f>_xlfn.XLOOKUP(tblPayrollMaster[[#This Row],[Employee Position]],tblPositionandPayRate[Employee Position],tblPositionandPayRate[Allowance 5],0)*tblPayrollMaster[[#This Row],[Pay Factor]]</f>
        <v>0</v>
      </c>
      <c r="Q395" s="25">
        <f>SUM(tblPayrollMaster[[#This Row],[Basic Pay]:[Allowance 5]])</f>
        <v>0</v>
      </c>
      <c r="R39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95" s="51" cm="1">
        <f t="array" ref="S3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95" s="3" cm="1">
        <f t="array" ref="T3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95" s="25">
        <f>_xlfn.LET(
_xlpm.tos, _xlfn.XLOOKUP(tblPayrollMaster[[#This Row],[Employee ID]], tblEmployee[Employee ID], tblEmployee[Type of Service], ""),
IF(_xlpm.tos="Contract of Service", 8.25, 0)
)</f>
        <v>0</v>
      </c>
      <c r="V395" s="25">
        <f>tblPayrollMaster[[#This Row],[Basic Earnings]]-tblPayrollMaster[[#This Row],[Tax]]-tblPayrollMaster[[#This Row],[NIS - Employee]]-tblPayrollMaster[[#This Row],[Health Surcharge]]</f>
        <v>0</v>
      </c>
      <c r="W395" s="25">
        <f>tblPayrollMaster[[#This Row],[Net Pay]]</f>
        <v>0</v>
      </c>
      <c r="X395" s="25"/>
    </row>
    <row r="396" spans="1:24" x14ac:dyDescent="0.25">
      <c r="A396" s="24"/>
      <c r="B396" s="24" t="str">
        <f>_xlfn.XLOOKUP(tblPayrollMaster[[#This Row],[Employee ID]],tblEmployee[Employee ID],tblEmployee[Employee Name],"")</f>
        <v/>
      </c>
      <c r="C396" s="24" t="str">
        <f>_xlfn.XLOOKUP(tblPayrollMaster[[#This Row],[Employee ID]],tblEmployee[Employee ID],tblEmployee[Employee Position],"")</f>
        <v/>
      </c>
      <c r="D396" s="24" t="str">
        <f>_xlfn.XLOOKUP(tblPayrollMaster[[#This Row],[Employee ID]], tblEmployee[Employee ID], tblEmployee[Pay Status], "Pay")</f>
        <v>Pay</v>
      </c>
      <c r="E396" s="24" t="str">
        <f>_xlfn.XLOOKUP(tblPayrollMaster[[#This Row],[Employee ID]], tblEmployee[Employee ID], tblEmployee[Payable Flag], "Y")</f>
        <v>Y</v>
      </c>
      <c r="F396" s="45">
        <f>IF(tblPayrollMaster[[#This Row],[Payable Flag]]="N",0,_xlfn.XLOOKUP(tblPayrollMaster[[#This Row],[Employee ID]],tblEmployee[Employee ID],tblEmployee[Pay Factor],1))</f>
        <v>1</v>
      </c>
      <c r="G396" s="26" t="str" cm="1">
        <f t="array" ref="G396">IF(tblPayrollMaster[[#This Row],[Employee ID]]="","",_xlfn.XLOOKUP(selPayPeriodID,tblPayCalendar[PayPeriodID],tblPayCalendar[PeriodStart],""))</f>
        <v/>
      </c>
      <c r="H396" s="26" t="str" cm="1">
        <f t="array" ref="H396">IF(tblPayrollMaster[[#This Row],[Employee ID]]="","",_xlfn.XLOOKUP(selPayPeriodID,tblPayCalendar[PayPeriodID],tblPayCalendar[PeriodEnd],""))</f>
        <v/>
      </c>
      <c r="I396" s="24" t="e" cm="1" vm="1">
        <f t="array" aca="1" ref="I396" ca="1">Table18[Employer Name]</f>
        <v>#VALUE!</v>
      </c>
      <c r="J396" s="3" cm="1">
        <f t="array" ref="J39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96" s="25" t="str">
        <f>_xlfn.XLOOKUP(tblPayrollMaster[[#This Row],[Employee Position]],tblPositionandPayRate[Employee Position],tblPositionandPayRate[Overtime], " ")</f>
        <v xml:space="preserve"> </v>
      </c>
      <c r="L396" s="25">
        <f>_xlfn.XLOOKUP(tblPayrollMaster[[#This Row],[Employee Position]],tblPositionandPayRate[Employee Position],tblPositionandPayRate[Allowance 1],0)*tblPayrollMaster[[#This Row],[Pay Factor]]</f>
        <v>0</v>
      </c>
      <c r="M396" s="25">
        <f>_xlfn.XLOOKUP(tblPayrollMaster[[#This Row],[Employee Position]],tblPositionandPayRate[Employee Position],tblPositionandPayRate[Allowance 2],0)*tblPayrollMaster[[#This Row],[Pay Factor]]</f>
        <v>0</v>
      </c>
      <c r="N396" s="25">
        <f>_xlfn.XLOOKUP(tblPayrollMaster[[#This Row],[Employee Position]],tblPositionandPayRate[Employee Position],tblPositionandPayRate[Allowance 3],0)*tblPayrollMaster[[#This Row],[Pay Factor]]</f>
        <v>0</v>
      </c>
      <c r="O396" s="25">
        <f>_xlfn.XLOOKUP(tblPayrollMaster[[#This Row],[Employee Position]],tblPositionandPayRate[Employee Position],tblPositionandPayRate[Allowance 4],0)*tblPayrollMaster[[#This Row],[Pay Factor]]</f>
        <v>0</v>
      </c>
      <c r="P396" s="25">
        <f>_xlfn.XLOOKUP(tblPayrollMaster[[#This Row],[Employee Position]],tblPositionandPayRate[Employee Position],tblPositionandPayRate[Allowance 5],0)*tblPayrollMaster[[#This Row],[Pay Factor]]</f>
        <v>0</v>
      </c>
      <c r="Q396" s="25">
        <f>SUM(tblPayrollMaster[[#This Row],[Basic Pay]:[Allowance 5]])</f>
        <v>0</v>
      </c>
      <c r="R39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96" s="51" cm="1">
        <f t="array" ref="S3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96" s="3" cm="1">
        <f t="array" ref="T3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96" s="25">
        <f>_xlfn.LET(
_xlpm.tos, _xlfn.XLOOKUP(tblPayrollMaster[[#This Row],[Employee ID]], tblEmployee[Employee ID], tblEmployee[Type of Service], ""),
IF(_xlpm.tos="Contract of Service", 8.25, 0)
)</f>
        <v>0</v>
      </c>
      <c r="V396" s="25">
        <f>tblPayrollMaster[[#This Row],[Basic Earnings]]-tblPayrollMaster[[#This Row],[Tax]]-tblPayrollMaster[[#This Row],[NIS - Employee]]-tblPayrollMaster[[#This Row],[Health Surcharge]]</f>
        <v>0</v>
      </c>
      <c r="W396" s="25">
        <f>tblPayrollMaster[[#This Row],[Net Pay]]</f>
        <v>0</v>
      </c>
      <c r="X396" s="25"/>
    </row>
    <row r="397" spans="1:24" x14ac:dyDescent="0.25">
      <c r="A397" s="24"/>
      <c r="B397" s="24" t="str">
        <f>_xlfn.XLOOKUP(tblPayrollMaster[[#This Row],[Employee ID]],tblEmployee[Employee ID],tblEmployee[Employee Name],"")</f>
        <v/>
      </c>
      <c r="C397" s="24" t="str">
        <f>_xlfn.XLOOKUP(tblPayrollMaster[[#This Row],[Employee ID]],tblEmployee[Employee ID],tblEmployee[Employee Position],"")</f>
        <v/>
      </c>
      <c r="D397" s="24" t="str">
        <f>_xlfn.XLOOKUP(tblPayrollMaster[[#This Row],[Employee ID]], tblEmployee[Employee ID], tblEmployee[Pay Status], "Pay")</f>
        <v>Pay</v>
      </c>
      <c r="E397" s="24" t="str">
        <f>_xlfn.XLOOKUP(tblPayrollMaster[[#This Row],[Employee ID]], tblEmployee[Employee ID], tblEmployee[Payable Flag], "Y")</f>
        <v>Y</v>
      </c>
      <c r="F397" s="45">
        <f>IF(tblPayrollMaster[[#This Row],[Payable Flag]]="N",0,_xlfn.XLOOKUP(tblPayrollMaster[[#This Row],[Employee ID]],tblEmployee[Employee ID],tblEmployee[Pay Factor],1))</f>
        <v>1</v>
      </c>
      <c r="G397" s="26" t="str" cm="1">
        <f t="array" ref="G397">IF(tblPayrollMaster[[#This Row],[Employee ID]]="","",_xlfn.XLOOKUP(selPayPeriodID,tblPayCalendar[PayPeriodID],tblPayCalendar[PeriodStart],""))</f>
        <v/>
      </c>
      <c r="H397" s="26" t="str" cm="1">
        <f t="array" ref="H397">IF(tblPayrollMaster[[#This Row],[Employee ID]]="","",_xlfn.XLOOKUP(selPayPeriodID,tblPayCalendar[PayPeriodID],tblPayCalendar[PeriodEnd],""))</f>
        <v/>
      </c>
      <c r="I397" s="24" t="e" cm="1" vm="1">
        <f t="array" aca="1" ref="I397" ca="1">Table18[Employer Name]</f>
        <v>#VALUE!</v>
      </c>
      <c r="J397" s="3" cm="1">
        <f t="array" ref="J39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97" s="25" t="str">
        <f>_xlfn.XLOOKUP(tblPayrollMaster[[#This Row],[Employee Position]],tblPositionandPayRate[Employee Position],tblPositionandPayRate[Overtime], " ")</f>
        <v xml:space="preserve"> </v>
      </c>
      <c r="L397" s="25">
        <f>_xlfn.XLOOKUP(tblPayrollMaster[[#This Row],[Employee Position]],tblPositionandPayRate[Employee Position],tblPositionandPayRate[Allowance 1],0)*tblPayrollMaster[[#This Row],[Pay Factor]]</f>
        <v>0</v>
      </c>
      <c r="M397" s="25">
        <f>_xlfn.XLOOKUP(tblPayrollMaster[[#This Row],[Employee Position]],tblPositionandPayRate[Employee Position],tblPositionandPayRate[Allowance 2],0)*tblPayrollMaster[[#This Row],[Pay Factor]]</f>
        <v>0</v>
      </c>
      <c r="N397" s="25">
        <f>_xlfn.XLOOKUP(tblPayrollMaster[[#This Row],[Employee Position]],tblPositionandPayRate[Employee Position],tblPositionandPayRate[Allowance 3],0)*tblPayrollMaster[[#This Row],[Pay Factor]]</f>
        <v>0</v>
      </c>
      <c r="O397" s="25">
        <f>_xlfn.XLOOKUP(tblPayrollMaster[[#This Row],[Employee Position]],tblPositionandPayRate[Employee Position],tblPositionandPayRate[Allowance 4],0)*tblPayrollMaster[[#This Row],[Pay Factor]]</f>
        <v>0</v>
      </c>
      <c r="P397" s="25">
        <f>_xlfn.XLOOKUP(tblPayrollMaster[[#This Row],[Employee Position]],tblPositionandPayRate[Employee Position],tblPositionandPayRate[Allowance 5],0)*tblPayrollMaster[[#This Row],[Pay Factor]]</f>
        <v>0</v>
      </c>
      <c r="Q397" s="25">
        <f>SUM(tblPayrollMaster[[#This Row],[Basic Pay]:[Allowance 5]])</f>
        <v>0</v>
      </c>
      <c r="R39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97" s="51" cm="1">
        <f t="array" ref="S3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97" s="3" cm="1">
        <f t="array" ref="T3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97" s="25">
        <f>_xlfn.LET(
_xlpm.tos, _xlfn.XLOOKUP(tblPayrollMaster[[#This Row],[Employee ID]], tblEmployee[Employee ID], tblEmployee[Type of Service], ""),
IF(_xlpm.tos="Contract of Service", 8.25, 0)
)</f>
        <v>0</v>
      </c>
      <c r="V397" s="25">
        <f>tblPayrollMaster[[#This Row],[Basic Earnings]]-tblPayrollMaster[[#This Row],[Tax]]-tblPayrollMaster[[#This Row],[NIS - Employee]]-tblPayrollMaster[[#This Row],[Health Surcharge]]</f>
        <v>0</v>
      </c>
      <c r="W397" s="25">
        <f>tblPayrollMaster[[#This Row],[Net Pay]]</f>
        <v>0</v>
      </c>
      <c r="X397" s="25"/>
    </row>
    <row r="398" spans="1:24" x14ac:dyDescent="0.25">
      <c r="A398" s="24"/>
      <c r="B398" s="24" t="str">
        <f>_xlfn.XLOOKUP(tblPayrollMaster[[#This Row],[Employee ID]],tblEmployee[Employee ID],tblEmployee[Employee Name],"")</f>
        <v/>
      </c>
      <c r="C398" s="24" t="str">
        <f>_xlfn.XLOOKUP(tblPayrollMaster[[#This Row],[Employee ID]],tblEmployee[Employee ID],tblEmployee[Employee Position],"")</f>
        <v/>
      </c>
      <c r="D398" s="24" t="str">
        <f>_xlfn.XLOOKUP(tblPayrollMaster[[#This Row],[Employee ID]], tblEmployee[Employee ID], tblEmployee[Pay Status], "Pay")</f>
        <v>Pay</v>
      </c>
      <c r="E398" s="24" t="str">
        <f>_xlfn.XLOOKUP(tblPayrollMaster[[#This Row],[Employee ID]], tblEmployee[Employee ID], tblEmployee[Payable Flag], "Y")</f>
        <v>Y</v>
      </c>
      <c r="F398" s="45">
        <f>IF(tblPayrollMaster[[#This Row],[Payable Flag]]="N",0,_xlfn.XLOOKUP(tblPayrollMaster[[#This Row],[Employee ID]],tblEmployee[Employee ID],tblEmployee[Pay Factor],1))</f>
        <v>1</v>
      </c>
      <c r="G398" s="26" t="str" cm="1">
        <f t="array" ref="G398">IF(tblPayrollMaster[[#This Row],[Employee ID]]="","",_xlfn.XLOOKUP(selPayPeriodID,tblPayCalendar[PayPeriodID],tblPayCalendar[PeriodStart],""))</f>
        <v/>
      </c>
      <c r="H398" s="26" t="str" cm="1">
        <f t="array" ref="H398">IF(tblPayrollMaster[[#This Row],[Employee ID]]="","",_xlfn.XLOOKUP(selPayPeriodID,tblPayCalendar[PayPeriodID],tblPayCalendar[PeriodEnd],""))</f>
        <v/>
      </c>
      <c r="I398" s="24" t="e" cm="1" vm="1">
        <f t="array" aca="1" ref="I398" ca="1">Table18[Employer Name]</f>
        <v>#VALUE!</v>
      </c>
      <c r="J398" s="3" cm="1">
        <f t="array" ref="J39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98" s="25" t="str">
        <f>_xlfn.XLOOKUP(tblPayrollMaster[[#This Row],[Employee Position]],tblPositionandPayRate[Employee Position],tblPositionandPayRate[Overtime], " ")</f>
        <v xml:space="preserve"> </v>
      </c>
      <c r="L398" s="25">
        <f>_xlfn.XLOOKUP(tblPayrollMaster[[#This Row],[Employee Position]],tblPositionandPayRate[Employee Position],tblPositionandPayRate[Allowance 1],0)*tblPayrollMaster[[#This Row],[Pay Factor]]</f>
        <v>0</v>
      </c>
      <c r="M398" s="25">
        <f>_xlfn.XLOOKUP(tblPayrollMaster[[#This Row],[Employee Position]],tblPositionandPayRate[Employee Position],tblPositionandPayRate[Allowance 2],0)*tblPayrollMaster[[#This Row],[Pay Factor]]</f>
        <v>0</v>
      </c>
      <c r="N398" s="25">
        <f>_xlfn.XLOOKUP(tblPayrollMaster[[#This Row],[Employee Position]],tblPositionandPayRate[Employee Position],tblPositionandPayRate[Allowance 3],0)*tblPayrollMaster[[#This Row],[Pay Factor]]</f>
        <v>0</v>
      </c>
      <c r="O398" s="25">
        <f>_xlfn.XLOOKUP(tblPayrollMaster[[#This Row],[Employee Position]],tblPositionandPayRate[Employee Position],tblPositionandPayRate[Allowance 4],0)*tblPayrollMaster[[#This Row],[Pay Factor]]</f>
        <v>0</v>
      </c>
      <c r="P398" s="25">
        <f>_xlfn.XLOOKUP(tblPayrollMaster[[#This Row],[Employee Position]],tblPositionandPayRate[Employee Position],tblPositionandPayRate[Allowance 5],0)*tblPayrollMaster[[#This Row],[Pay Factor]]</f>
        <v>0</v>
      </c>
      <c r="Q398" s="25">
        <f>SUM(tblPayrollMaster[[#This Row],[Basic Pay]:[Allowance 5]])</f>
        <v>0</v>
      </c>
      <c r="R39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98" s="51" cm="1">
        <f t="array" ref="S3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98" s="3" cm="1">
        <f t="array" ref="T3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98" s="25">
        <f>_xlfn.LET(
_xlpm.tos, _xlfn.XLOOKUP(tblPayrollMaster[[#This Row],[Employee ID]], tblEmployee[Employee ID], tblEmployee[Type of Service], ""),
IF(_xlpm.tos="Contract of Service", 8.25, 0)
)</f>
        <v>0</v>
      </c>
      <c r="V398" s="25">
        <f>tblPayrollMaster[[#This Row],[Basic Earnings]]-tblPayrollMaster[[#This Row],[Tax]]-tblPayrollMaster[[#This Row],[NIS - Employee]]-tblPayrollMaster[[#This Row],[Health Surcharge]]</f>
        <v>0</v>
      </c>
      <c r="W398" s="25">
        <f>tblPayrollMaster[[#This Row],[Net Pay]]</f>
        <v>0</v>
      </c>
      <c r="X398" s="25"/>
    </row>
    <row r="399" spans="1:24" x14ac:dyDescent="0.25">
      <c r="A399" s="24"/>
      <c r="B399" s="24" t="str">
        <f>_xlfn.XLOOKUP(tblPayrollMaster[[#This Row],[Employee ID]],tblEmployee[Employee ID],tblEmployee[Employee Name],"")</f>
        <v/>
      </c>
      <c r="C399" s="24" t="str">
        <f>_xlfn.XLOOKUP(tblPayrollMaster[[#This Row],[Employee ID]],tblEmployee[Employee ID],tblEmployee[Employee Position],"")</f>
        <v/>
      </c>
      <c r="D399" s="24" t="str">
        <f>_xlfn.XLOOKUP(tblPayrollMaster[[#This Row],[Employee ID]], tblEmployee[Employee ID], tblEmployee[Pay Status], "Pay")</f>
        <v>Pay</v>
      </c>
      <c r="E399" s="24" t="str">
        <f>_xlfn.XLOOKUP(tblPayrollMaster[[#This Row],[Employee ID]], tblEmployee[Employee ID], tblEmployee[Payable Flag], "Y")</f>
        <v>Y</v>
      </c>
      <c r="F399" s="45">
        <f>IF(tblPayrollMaster[[#This Row],[Payable Flag]]="N",0,_xlfn.XLOOKUP(tblPayrollMaster[[#This Row],[Employee ID]],tblEmployee[Employee ID],tblEmployee[Pay Factor],1))</f>
        <v>1</v>
      </c>
      <c r="G399" s="26" t="str" cm="1">
        <f t="array" ref="G399">IF(tblPayrollMaster[[#This Row],[Employee ID]]="","",_xlfn.XLOOKUP(selPayPeriodID,tblPayCalendar[PayPeriodID],tblPayCalendar[PeriodStart],""))</f>
        <v/>
      </c>
      <c r="H399" s="26" t="str" cm="1">
        <f t="array" ref="H399">IF(tblPayrollMaster[[#This Row],[Employee ID]]="","",_xlfn.XLOOKUP(selPayPeriodID,tblPayCalendar[PayPeriodID],tblPayCalendar[PeriodEnd],""))</f>
        <v/>
      </c>
      <c r="I399" s="24" t="e" cm="1" vm="1">
        <f t="array" aca="1" ref="I399" ca="1">Table18[Employer Name]</f>
        <v>#VALUE!</v>
      </c>
      <c r="J399" s="3" cm="1">
        <f t="array" ref="J39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399" s="25" t="str">
        <f>_xlfn.XLOOKUP(tblPayrollMaster[[#This Row],[Employee Position]],tblPositionandPayRate[Employee Position],tblPositionandPayRate[Overtime], " ")</f>
        <v xml:space="preserve"> </v>
      </c>
      <c r="L399" s="25">
        <f>_xlfn.XLOOKUP(tblPayrollMaster[[#This Row],[Employee Position]],tblPositionandPayRate[Employee Position],tblPositionandPayRate[Allowance 1],0)*tblPayrollMaster[[#This Row],[Pay Factor]]</f>
        <v>0</v>
      </c>
      <c r="M399" s="25">
        <f>_xlfn.XLOOKUP(tblPayrollMaster[[#This Row],[Employee Position]],tblPositionandPayRate[Employee Position],tblPositionandPayRate[Allowance 2],0)*tblPayrollMaster[[#This Row],[Pay Factor]]</f>
        <v>0</v>
      </c>
      <c r="N399" s="25">
        <f>_xlfn.XLOOKUP(tblPayrollMaster[[#This Row],[Employee Position]],tblPositionandPayRate[Employee Position],tblPositionandPayRate[Allowance 3],0)*tblPayrollMaster[[#This Row],[Pay Factor]]</f>
        <v>0</v>
      </c>
      <c r="O399" s="25">
        <f>_xlfn.XLOOKUP(tblPayrollMaster[[#This Row],[Employee Position]],tblPositionandPayRate[Employee Position],tblPositionandPayRate[Allowance 4],0)*tblPayrollMaster[[#This Row],[Pay Factor]]</f>
        <v>0</v>
      </c>
      <c r="P399" s="25">
        <f>_xlfn.XLOOKUP(tblPayrollMaster[[#This Row],[Employee Position]],tblPositionandPayRate[Employee Position],tblPositionandPayRate[Allowance 5],0)*tblPayrollMaster[[#This Row],[Pay Factor]]</f>
        <v>0</v>
      </c>
      <c r="Q399" s="25">
        <f>SUM(tblPayrollMaster[[#This Row],[Basic Pay]:[Allowance 5]])</f>
        <v>0</v>
      </c>
      <c r="R39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399" s="51" cm="1">
        <f t="array" ref="S3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399" s="3" cm="1">
        <f t="array" ref="T3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399" s="25">
        <f>_xlfn.LET(
_xlpm.tos, _xlfn.XLOOKUP(tblPayrollMaster[[#This Row],[Employee ID]], tblEmployee[Employee ID], tblEmployee[Type of Service], ""),
IF(_xlpm.tos="Contract of Service", 8.25, 0)
)</f>
        <v>0</v>
      </c>
      <c r="V399" s="25">
        <f>tblPayrollMaster[[#This Row],[Basic Earnings]]-tblPayrollMaster[[#This Row],[Tax]]-tblPayrollMaster[[#This Row],[NIS - Employee]]-tblPayrollMaster[[#This Row],[Health Surcharge]]</f>
        <v>0</v>
      </c>
      <c r="W399" s="25">
        <f>tblPayrollMaster[[#This Row],[Net Pay]]</f>
        <v>0</v>
      </c>
      <c r="X399" s="25"/>
    </row>
    <row r="400" spans="1:24" x14ac:dyDescent="0.25">
      <c r="A400" s="24"/>
      <c r="B400" s="24" t="str">
        <f>_xlfn.XLOOKUP(tblPayrollMaster[[#This Row],[Employee ID]],tblEmployee[Employee ID],tblEmployee[Employee Name],"")</f>
        <v/>
      </c>
      <c r="C400" s="24" t="str">
        <f>_xlfn.XLOOKUP(tblPayrollMaster[[#This Row],[Employee ID]],tblEmployee[Employee ID],tblEmployee[Employee Position],"")</f>
        <v/>
      </c>
      <c r="D400" s="24" t="str">
        <f>_xlfn.XLOOKUP(tblPayrollMaster[[#This Row],[Employee ID]], tblEmployee[Employee ID], tblEmployee[Pay Status], "Pay")</f>
        <v>Pay</v>
      </c>
      <c r="E400" s="24" t="str">
        <f>_xlfn.XLOOKUP(tblPayrollMaster[[#This Row],[Employee ID]], tblEmployee[Employee ID], tblEmployee[Payable Flag], "Y")</f>
        <v>Y</v>
      </c>
      <c r="F400" s="45">
        <f>IF(tblPayrollMaster[[#This Row],[Payable Flag]]="N",0,_xlfn.XLOOKUP(tblPayrollMaster[[#This Row],[Employee ID]],tblEmployee[Employee ID],tblEmployee[Pay Factor],1))</f>
        <v>1</v>
      </c>
      <c r="G400" s="26" t="str" cm="1">
        <f t="array" ref="G400">IF(tblPayrollMaster[[#This Row],[Employee ID]]="","",_xlfn.XLOOKUP(selPayPeriodID,tblPayCalendar[PayPeriodID],tblPayCalendar[PeriodStart],""))</f>
        <v/>
      </c>
      <c r="H400" s="26" t="str" cm="1">
        <f t="array" ref="H400">IF(tblPayrollMaster[[#This Row],[Employee ID]]="","",_xlfn.XLOOKUP(selPayPeriodID,tblPayCalendar[PayPeriodID],tblPayCalendar[PeriodEnd],""))</f>
        <v/>
      </c>
      <c r="I400" s="24" t="e" cm="1" vm="1">
        <f t="array" aca="1" ref="I400" ca="1">Table18[Employer Name]</f>
        <v>#VALUE!</v>
      </c>
      <c r="J400" s="3" cm="1">
        <f t="array" ref="J40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00" s="25" t="str">
        <f>_xlfn.XLOOKUP(tblPayrollMaster[[#This Row],[Employee Position]],tblPositionandPayRate[Employee Position],tblPositionandPayRate[Overtime], " ")</f>
        <v xml:space="preserve"> </v>
      </c>
      <c r="L400" s="25">
        <f>_xlfn.XLOOKUP(tblPayrollMaster[[#This Row],[Employee Position]],tblPositionandPayRate[Employee Position],tblPositionandPayRate[Allowance 1],0)*tblPayrollMaster[[#This Row],[Pay Factor]]</f>
        <v>0</v>
      </c>
      <c r="M400" s="25">
        <f>_xlfn.XLOOKUP(tblPayrollMaster[[#This Row],[Employee Position]],tblPositionandPayRate[Employee Position],tblPositionandPayRate[Allowance 2],0)*tblPayrollMaster[[#This Row],[Pay Factor]]</f>
        <v>0</v>
      </c>
      <c r="N400" s="25">
        <f>_xlfn.XLOOKUP(tblPayrollMaster[[#This Row],[Employee Position]],tblPositionandPayRate[Employee Position],tblPositionandPayRate[Allowance 3],0)*tblPayrollMaster[[#This Row],[Pay Factor]]</f>
        <v>0</v>
      </c>
      <c r="O400" s="25">
        <f>_xlfn.XLOOKUP(tblPayrollMaster[[#This Row],[Employee Position]],tblPositionandPayRate[Employee Position],tblPositionandPayRate[Allowance 4],0)*tblPayrollMaster[[#This Row],[Pay Factor]]</f>
        <v>0</v>
      </c>
      <c r="P400" s="25">
        <f>_xlfn.XLOOKUP(tblPayrollMaster[[#This Row],[Employee Position]],tblPositionandPayRate[Employee Position],tblPositionandPayRate[Allowance 5],0)*tblPayrollMaster[[#This Row],[Pay Factor]]</f>
        <v>0</v>
      </c>
      <c r="Q400" s="25">
        <f>SUM(tblPayrollMaster[[#This Row],[Basic Pay]:[Allowance 5]])</f>
        <v>0</v>
      </c>
      <c r="R40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00" s="51" cm="1">
        <f t="array" ref="S4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00" s="3" cm="1">
        <f t="array" ref="T4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00" s="25">
        <f>_xlfn.LET(
_xlpm.tos, _xlfn.XLOOKUP(tblPayrollMaster[[#This Row],[Employee ID]], tblEmployee[Employee ID], tblEmployee[Type of Service], ""),
IF(_xlpm.tos="Contract of Service", 8.25, 0)
)</f>
        <v>0</v>
      </c>
      <c r="V400" s="25">
        <f>tblPayrollMaster[[#This Row],[Basic Earnings]]-tblPayrollMaster[[#This Row],[Tax]]-tblPayrollMaster[[#This Row],[NIS - Employee]]-tblPayrollMaster[[#This Row],[Health Surcharge]]</f>
        <v>0</v>
      </c>
      <c r="W400" s="25">
        <f>tblPayrollMaster[[#This Row],[Net Pay]]</f>
        <v>0</v>
      </c>
      <c r="X400" s="25"/>
    </row>
    <row r="401" spans="1:24" x14ac:dyDescent="0.25">
      <c r="A401" s="24"/>
      <c r="B401" s="24" t="str">
        <f>_xlfn.XLOOKUP(tblPayrollMaster[[#This Row],[Employee ID]],tblEmployee[Employee ID],tblEmployee[Employee Name],"")</f>
        <v/>
      </c>
      <c r="C401" s="24" t="str">
        <f>_xlfn.XLOOKUP(tblPayrollMaster[[#This Row],[Employee ID]],tblEmployee[Employee ID],tblEmployee[Employee Position],"")</f>
        <v/>
      </c>
      <c r="D401" s="24" t="str">
        <f>_xlfn.XLOOKUP(tblPayrollMaster[[#This Row],[Employee ID]], tblEmployee[Employee ID], tblEmployee[Pay Status], "Pay")</f>
        <v>Pay</v>
      </c>
      <c r="E401" s="24" t="str">
        <f>_xlfn.XLOOKUP(tblPayrollMaster[[#This Row],[Employee ID]], tblEmployee[Employee ID], tblEmployee[Payable Flag], "Y")</f>
        <v>Y</v>
      </c>
      <c r="F401" s="45">
        <f>IF(tblPayrollMaster[[#This Row],[Payable Flag]]="N",0,_xlfn.XLOOKUP(tblPayrollMaster[[#This Row],[Employee ID]],tblEmployee[Employee ID],tblEmployee[Pay Factor],1))</f>
        <v>1</v>
      </c>
      <c r="G401" s="26" t="str" cm="1">
        <f t="array" ref="G401">IF(tblPayrollMaster[[#This Row],[Employee ID]]="","",_xlfn.XLOOKUP(selPayPeriodID,tblPayCalendar[PayPeriodID],tblPayCalendar[PeriodStart],""))</f>
        <v/>
      </c>
      <c r="H401" s="26" t="str" cm="1">
        <f t="array" ref="H401">IF(tblPayrollMaster[[#This Row],[Employee ID]]="","",_xlfn.XLOOKUP(selPayPeriodID,tblPayCalendar[PayPeriodID],tblPayCalendar[PeriodEnd],""))</f>
        <v/>
      </c>
      <c r="I401" s="24" t="e" cm="1" vm="1">
        <f t="array" aca="1" ref="I401" ca="1">Table18[Employer Name]</f>
        <v>#VALUE!</v>
      </c>
      <c r="J401" s="3" cm="1">
        <f t="array" ref="J40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01" s="25" t="str">
        <f>_xlfn.XLOOKUP(tblPayrollMaster[[#This Row],[Employee Position]],tblPositionandPayRate[Employee Position],tblPositionandPayRate[Overtime], " ")</f>
        <v xml:space="preserve"> </v>
      </c>
      <c r="L401" s="25">
        <f>_xlfn.XLOOKUP(tblPayrollMaster[[#This Row],[Employee Position]],tblPositionandPayRate[Employee Position],tblPositionandPayRate[Allowance 1],0)*tblPayrollMaster[[#This Row],[Pay Factor]]</f>
        <v>0</v>
      </c>
      <c r="M401" s="25">
        <f>_xlfn.XLOOKUP(tblPayrollMaster[[#This Row],[Employee Position]],tblPositionandPayRate[Employee Position],tblPositionandPayRate[Allowance 2],0)*tblPayrollMaster[[#This Row],[Pay Factor]]</f>
        <v>0</v>
      </c>
      <c r="N401" s="25">
        <f>_xlfn.XLOOKUP(tblPayrollMaster[[#This Row],[Employee Position]],tblPositionandPayRate[Employee Position],tblPositionandPayRate[Allowance 3],0)*tblPayrollMaster[[#This Row],[Pay Factor]]</f>
        <v>0</v>
      </c>
      <c r="O401" s="25">
        <f>_xlfn.XLOOKUP(tblPayrollMaster[[#This Row],[Employee Position]],tblPositionandPayRate[Employee Position],tblPositionandPayRate[Allowance 4],0)*tblPayrollMaster[[#This Row],[Pay Factor]]</f>
        <v>0</v>
      </c>
      <c r="P401" s="25">
        <f>_xlfn.XLOOKUP(tblPayrollMaster[[#This Row],[Employee Position]],tblPositionandPayRate[Employee Position],tblPositionandPayRate[Allowance 5],0)*tblPayrollMaster[[#This Row],[Pay Factor]]</f>
        <v>0</v>
      </c>
      <c r="Q401" s="25">
        <f>SUM(tblPayrollMaster[[#This Row],[Basic Pay]:[Allowance 5]])</f>
        <v>0</v>
      </c>
      <c r="R40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01" s="51" cm="1">
        <f t="array" ref="S4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01" s="3" cm="1">
        <f t="array" ref="T4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01" s="25">
        <f>_xlfn.LET(
_xlpm.tos, _xlfn.XLOOKUP(tblPayrollMaster[[#This Row],[Employee ID]], tblEmployee[Employee ID], tblEmployee[Type of Service], ""),
IF(_xlpm.tos="Contract of Service", 8.25, 0)
)</f>
        <v>0</v>
      </c>
      <c r="V401" s="25">
        <f>tblPayrollMaster[[#This Row],[Basic Earnings]]-tblPayrollMaster[[#This Row],[Tax]]-tblPayrollMaster[[#This Row],[NIS - Employee]]-tblPayrollMaster[[#This Row],[Health Surcharge]]</f>
        <v>0</v>
      </c>
      <c r="W401" s="25">
        <f>tblPayrollMaster[[#This Row],[Net Pay]]</f>
        <v>0</v>
      </c>
      <c r="X401" s="25"/>
    </row>
    <row r="402" spans="1:24" x14ac:dyDescent="0.25">
      <c r="A402" s="24"/>
      <c r="B402" s="24" t="str">
        <f>_xlfn.XLOOKUP(tblPayrollMaster[[#This Row],[Employee ID]],tblEmployee[Employee ID],tblEmployee[Employee Name],"")</f>
        <v/>
      </c>
      <c r="C402" s="24" t="str">
        <f>_xlfn.XLOOKUP(tblPayrollMaster[[#This Row],[Employee ID]],tblEmployee[Employee ID],tblEmployee[Employee Position],"")</f>
        <v/>
      </c>
      <c r="D402" s="24" t="str">
        <f>_xlfn.XLOOKUP(tblPayrollMaster[[#This Row],[Employee ID]], tblEmployee[Employee ID], tblEmployee[Pay Status], "Pay")</f>
        <v>Pay</v>
      </c>
      <c r="E402" s="24" t="str">
        <f>_xlfn.XLOOKUP(tblPayrollMaster[[#This Row],[Employee ID]], tblEmployee[Employee ID], tblEmployee[Payable Flag], "Y")</f>
        <v>Y</v>
      </c>
      <c r="F402" s="45">
        <f>IF(tblPayrollMaster[[#This Row],[Payable Flag]]="N",0,_xlfn.XLOOKUP(tblPayrollMaster[[#This Row],[Employee ID]],tblEmployee[Employee ID],tblEmployee[Pay Factor],1))</f>
        <v>1</v>
      </c>
      <c r="G402" s="26" t="str" cm="1">
        <f t="array" ref="G402">IF(tblPayrollMaster[[#This Row],[Employee ID]]="","",_xlfn.XLOOKUP(selPayPeriodID,tblPayCalendar[PayPeriodID],tblPayCalendar[PeriodStart],""))</f>
        <v/>
      </c>
      <c r="H402" s="26" t="str" cm="1">
        <f t="array" ref="H402">IF(tblPayrollMaster[[#This Row],[Employee ID]]="","",_xlfn.XLOOKUP(selPayPeriodID,tblPayCalendar[PayPeriodID],tblPayCalendar[PeriodEnd],""))</f>
        <v/>
      </c>
      <c r="I402" s="24" t="e" cm="1" vm="1">
        <f t="array" aca="1" ref="I402" ca="1">Table18[Employer Name]</f>
        <v>#VALUE!</v>
      </c>
      <c r="J402" s="3" cm="1">
        <f t="array" ref="J40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02" s="25" t="str">
        <f>_xlfn.XLOOKUP(tblPayrollMaster[[#This Row],[Employee Position]],tblPositionandPayRate[Employee Position],tblPositionandPayRate[Overtime], " ")</f>
        <v xml:space="preserve"> </v>
      </c>
      <c r="L402" s="25">
        <f>_xlfn.XLOOKUP(tblPayrollMaster[[#This Row],[Employee Position]],tblPositionandPayRate[Employee Position],tblPositionandPayRate[Allowance 1],0)*tblPayrollMaster[[#This Row],[Pay Factor]]</f>
        <v>0</v>
      </c>
      <c r="M402" s="25">
        <f>_xlfn.XLOOKUP(tblPayrollMaster[[#This Row],[Employee Position]],tblPositionandPayRate[Employee Position],tblPositionandPayRate[Allowance 2],0)*tblPayrollMaster[[#This Row],[Pay Factor]]</f>
        <v>0</v>
      </c>
      <c r="N402" s="25">
        <f>_xlfn.XLOOKUP(tblPayrollMaster[[#This Row],[Employee Position]],tblPositionandPayRate[Employee Position],tblPositionandPayRate[Allowance 3],0)*tblPayrollMaster[[#This Row],[Pay Factor]]</f>
        <v>0</v>
      </c>
      <c r="O402" s="25">
        <f>_xlfn.XLOOKUP(tblPayrollMaster[[#This Row],[Employee Position]],tblPositionandPayRate[Employee Position],tblPositionandPayRate[Allowance 4],0)*tblPayrollMaster[[#This Row],[Pay Factor]]</f>
        <v>0</v>
      </c>
      <c r="P402" s="25">
        <f>_xlfn.XLOOKUP(tblPayrollMaster[[#This Row],[Employee Position]],tblPositionandPayRate[Employee Position],tblPositionandPayRate[Allowance 5],0)*tblPayrollMaster[[#This Row],[Pay Factor]]</f>
        <v>0</v>
      </c>
      <c r="Q402" s="25">
        <f>SUM(tblPayrollMaster[[#This Row],[Basic Pay]:[Allowance 5]])</f>
        <v>0</v>
      </c>
      <c r="R40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02" s="51" cm="1">
        <f t="array" ref="S4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02" s="3" cm="1">
        <f t="array" ref="T4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02" s="25">
        <f>_xlfn.LET(
_xlpm.tos, _xlfn.XLOOKUP(tblPayrollMaster[[#This Row],[Employee ID]], tblEmployee[Employee ID], tblEmployee[Type of Service], ""),
IF(_xlpm.tos="Contract of Service", 8.25, 0)
)</f>
        <v>0</v>
      </c>
      <c r="V402" s="25">
        <f>tblPayrollMaster[[#This Row],[Basic Earnings]]-tblPayrollMaster[[#This Row],[Tax]]-tblPayrollMaster[[#This Row],[NIS - Employee]]-tblPayrollMaster[[#This Row],[Health Surcharge]]</f>
        <v>0</v>
      </c>
      <c r="W402" s="25">
        <f>tblPayrollMaster[[#This Row],[Net Pay]]</f>
        <v>0</v>
      </c>
      <c r="X402" s="25"/>
    </row>
    <row r="403" spans="1:24" x14ac:dyDescent="0.25">
      <c r="A403" s="24"/>
      <c r="B403" s="24" t="str">
        <f>_xlfn.XLOOKUP(tblPayrollMaster[[#This Row],[Employee ID]],tblEmployee[Employee ID],tblEmployee[Employee Name],"")</f>
        <v/>
      </c>
      <c r="C403" s="24" t="str">
        <f>_xlfn.XLOOKUP(tblPayrollMaster[[#This Row],[Employee ID]],tblEmployee[Employee ID],tblEmployee[Employee Position],"")</f>
        <v/>
      </c>
      <c r="D403" s="24" t="str">
        <f>_xlfn.XLOOKUP(tblPayrollMaster[[#This Row],[Employee ID]], tblEmployee[Employee ID], tblEmployee[Pay Status], "Pay")</f>
        <v>Pay</v>
      </c>
      <c r="E403" s="24" t="str">
        <f>_xlfn.XLOOKUP(tblPayrollMaster[[#This Row],[Employee ID]], tblEmployee[Employee ID], tblEmployee[Payable Flag], "Y")</f>
        <v>Y</v>
      </c>
      <c r="F403" s="45">
        <f>IF(tblPayrollMaster[[#This Row],[Payable Flag]]="N",0,_xlfn.XLOOKUP(tblPayrollMaster[[#This Row],[Employee ID]],tblEmployee[Employee ID],tblEmployee[Pay Factor],1))</f>
        <v>1</v>
      </c>
      <c r="G403" s="26" t="str" cm="1">
        <f t="array" ref="G403">IF(tblPayrollMaster[[#This Row],[Employee ID]]="","",_xlfn.XLOOKUP(selPayPeriodID,tblPayCalendar[PayPeriodID],tblPayCalendar[PeriodStart],""))</f>
        <v/>
      </c>
      <c r="H403" s="26" t="str" cm="1">
        <f t="array" ref="H403">IF(tblPayrollMaster[[#This Row],[Employee ID]]="","",_xlfn.XLOOKUP(selPayPeriodID,tblPayCalendar[PayPeriodID],tblPayCalendar[PeriodEnd],""))</f>
        <v/>
      </c>
      <c r="I403" s="24" t="e" cm="1" vm="1">
        <f t="array" aca="1" ref="I403" ca="1">Table18[Employer Name]</f>
        <v>#VALUE!</v>
      </c>
      <c r="J403" s="3" cm="1">
        <f t="array" ref="J40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03" s="25" t="str">
        <f>_xlfn.XLOOKUP(tblPayrollMaster[[#This Row],[Employee Position]],tblPositionandPayRate[Employee Position],tblPositionandPayRate[Overtime], " ")</f>
        <v xml:space="preserve"> </v>
      </c>
      <c r="L403" s="25">
        <f>_xlfn.XLOOKUP(tblPayrollMaster[[#This Row],[Employee Position]],tblPositionandPayRate[Employee Position],tblPositionandPayRate[Allowance 1],0)*tblPayrollMaster[[#This Row],[Pay Factor]]</f>
        <v>0</v>
      </c>
      <c r="M403" s="25">
        <f>_xlfn.XLOOKUP(tblPayrollMaster[[#This Row],[Employee Position]],tblPositionandPayRate[Employee Position],tblPositionandPayRate[Allowance 2],0)*tblPayrollMaster[[#This Row],[Pay Factor]]</f>
        <v>0</v>
      </c>
      <c r="N403" s="25">
        <f>_xlfn.XLOOKUP(tblPayrollMaster[[#This Row],[Employee Position]],tblPositionandPayRate[Employee Position],tblPositionandPayRate[Allowance 3],0)*tblPayrollMaster[[#This Row],[Pay Factor]]</f>
        <v>0</v>
      </c>
      <c r="O403" s="25">
        <f>_xlfn.XLOOKUP(tblPayrollMaster[[#This Row],[Employee Position]],tblPositionandPayRate[Employee Position],tblPositionandPayRate[Allowance 4],0)*tblPayrollMaster[[#This Row],[Pay Factor]]</f>
        <v>0</v>
      </c>
      <c r="P403" s="25">
        <f>_xlfn.XLOOKUP(tblPayrollMaster[[#This Row],[Employee Position]],tblPositionandPayRate[Employee Position],tblPositionandPayRate[Allowance 5],0)*tblPayrollMaster[[#This Row],[Pay Factor]]</f>
        <v>0</v>
      </c>
      <c r="Q403" s="25">
        <f>SUM(tblPayrollMaster[[#This Row],[Basic Pay]:[Allowance 5]])</f>
        <v>0</v>
      </c>
      <c r="R40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03" s="51" cm="1">
        <f t="array" ref="S4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03" s="3" cm="1">
        <f t="array" ref="T4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03" s="25">
        <f>_xlfn.LET(
_xlpm.tos, _xlfn.XLOOKUP(tblPayrollMaster[[#This Row],[Employee ID]], tblEmployee[Employee ID], tblEmployee[Type of Service], ""),
IF(_xlpm.tos="Contract of Service", 8.25, 0)
)</f>
        <v>0</v>
      </c>
      <c r="V403" s="25">
        <f>tblPayrollMaster[[#This Row],[Basic Earnings]]-tblPayrollMaster[[#This Row],[Tax]]-tblPayrollMaster[[#This Row],[NIS - Employee]]-tblPayrollMaster[[#This Row],[Health Surcharge]]</f>
        <v>0</v>
      </c>
      <c r="W403" s="25">
        <f>tblPayrollMaster[[#This Row],[Net Pay]]</f>
        <v>0</v>
      </c>
      <c r="X403" s="25"/>
    </row>
    <row r="404" spans="1:24" x14ac:dyDescent="0.25">
      <c r="A404" s="24"/>
      <c r="B404" s="24" t="str">
        <f>_xlfn.XLOOKUP(tblPayrollMaster[[#This Row],[Employee ID]],tblEmployee[Employee ID],tblEmployee[Employee Name],"")</f>
        <v/>
      </c>
      <c r="C404" s="24" t="str">
        <f>_xlfn.XLOOKUP(tblPayrollMaster[[#This Row],[Employee ID]],tblEmployee[Employee ID],tblEmployee[Employee Position],"")</f>
        <v/>
      </c>
      <c r="D404" s="24" t="str">
        <f>_xlfn.XLOOKUP(tblPayrollMaster[[#This Row],[Employee ID]], tblEmployee[Employee ID], tblEmployee[Pay Status], "Pay")</f>
        <v>Pay</v>
      </c>
      <c r="E404" s="24" t="str">
        <f>_xlfn.XLOOKUP(tblPayrollMaster[[#This Row],[Employee ID]], tblEmployee[Employee ID], tblEmployee[Payable Flag], "Y")</f>
        <v>Y</v>
      </c>
      <c r="F404" s="45">
        <f>IF(tblPayrollMaster[[#This Row],[Payable Flag]]="N",0,_xlfn.XLOOKUP(tblPayrollMaster[[#This Row],[Employee ID]],tblEmployee[Employee ID],tblEmployee[Pay Factor],1))</f>
        <v>1</v>
      </c>
      <c r="G404" s="26" t="str" cm="1">
        <f t="array" ref="G404">IF(tblPayrollMaster[[#This Row],[Employee ID]]="","",_xlfn.XLOOKUP(selPayPeriodID,tblPayCalendar[PayPeriodID],tblPayCalendar[PeriodStart],""))</f>
        <v/>
      </c>
      <c r="H404" s="26" t="str" cm="1">
        <f t="array" ref="H404">IF(tblPayrollMaster[[#This Row],[Employee ID]]="","",_xlfn.XLOOKUP(selPayPeriodID,tblPayCalendar[PayPeriodID],tblPayCalendar[PeriodEnd],""))</f>
        <v/>
      </c>
      <c r="I404" s="24" t="e" cm="1" vm="1">
        <f t="array" aca="1" ref="I404" ca="1">Table18[Employer Name]</f>
        <v>#VALUE!</v>
      </c>
      <c r="J404" s="3" cm="1">
        <f t="array" ref="J40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04" s="25" t="str">
        <f>_xlfn.XLOOKUP(tblPayrollMaster[[#This Row],[Employee Position]],tblPositionandPayRate[Employee Position],tblPositionandPayRate[Overtime], " ")</f>
        <v xml:space="preserve"> </v>
      </c>
      <c r="L404" s="25">
        <f>_xlfn.XLOOKUP(tblPayrollMaster[[#This Row],[Employee Position]],tblPositionandPayRate[Employee Position],tblPositionandPayRate[Allowance 1],0)*tblPayrollMaster[[#This Row],[Pay Factor]]</f>
        <v>0</v>
      </c>
      <c r="M404" s="25">
        <f>_xlfn.XLOOKUP(tblPayrollMaster[[#This Row],[Employee Position]],tblPositionandPayRate[Employee Position],tblPositionandPayRate[Allowance 2],0)*tblPayrollMaster[[#This Row],[Pay Factor]]</f>
        <v>0</v>
      </c>
      <c r="N404" s="25">
        <f>_xlfn.XLOOKUP(tblPayrollMaster[[#This Row],[Employee Position]],tblPositionandPayRate[Employee Position],tblPositionandPayRate[Allowance 3],0)*tblPayrollMaster[[#This Row],[Pay Factor]]</f>
        <v>0</v>
      </c>
      <c r="O404" s="25">
        <f>_xlfn.XLOOKUP(tblPayrollMaster[[#This Row],[Employee Position]],tblPositionandPayRate[Employee Position],tblPositionandPayRate[Allowance 4],0)*tblPayrollMaster[[#This Row],[Pay Factor]]</f>
        <v>0</v>
      </c>
      <c r="P404" s="25">
        <f>_xlfn.XLOOKUP(tblPayrollMaster[[#This Row],[Employee Position]],tblPositionandPayRate[Employee Position],tblPositionandPayRate[Allowance 5],0)*tblPayrollMaster[[#This Row],[Pay Factor]]</f>
        <v>0</v>
      </c>
      <c r="Q404" s="25">
        <f>SUM(tblPayrollMaster[[#This Row],[Basic Pay]:[Allowance 5]])</f>
        <v>0</v>
      </c>
      <c r="R40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04" s="51" cm="1">
        <f t="array" ref="S4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04" s="3" cm="1">
        <f t="array" ref="T4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04" s="25">
        <f>_xlfn.LET(
_xlpm.tos, _xlfn.XLOOKUP(tblPayrollMaster[[#This Row],[Employee ID]], tblEmployee[Employee ID], tblEmployee[Type of Service], ""),
IF(_xlpm.tos="Contract of Service", 8.25, 0)
)</f>
        <v>0</v>
      </c>
      <c r="V404" s="25">
        <f>tblPayrollMaster[[#This Row],[Basic Earnings]]-tblPayrollMaster[[#This Row],[Tax]]-tblPayrollMaster[[#This Row],[NIS - Employee]]-tblPayrollMaster[[#This Row],[Health Surcharge]]</f>
        <v>0</v>
      </c>
      <c r="W404" s="25">
        <f>tblPayrollMaster[[#This Row],[Net Pay]]</f>
        <v>0</v>
      </c>
      <c r="X404" s="25"/>
    </row>
    <row r="405" spans="1:24" x14ac:dyDescent="0.25">
      <c r="A405" s="24"/>
      <c r="B405" s="24" t="str">
        <f>_xlfn.XLOOKUP(tblPayrollMaster[[#This Row],[Employee ID]],tblEmployee[Employee ID],tblEmployee[Employee Name],"")</f>
        <v/>
      </c>
      <c r="C405" s="24" t="str">
        <f>_xlfn.XLOOKUP(tblPayrollMaster[[#This Row],[Employee ID]],tblEmployee[Employee ID],tblEmployee[Employee Position],"")</f>
        <v/>
      </c>
      <c r="D405" s="24" t="str">
        <f>_xlfn.XLOOKUP(tblPayrollMaster[[#This Row],[Employee ID]], tblEmployee[Employee ID], tblEmployee[Pay Status], "Pay")</f>
        <v>Pay</v>
      </c>
      <c r="E405" s="24" t="str">
        <f>_xlfn.XLOOKUP(tblPayrollMaster[[#This Row],[Employee ID]], tblEmployee[Employee ID], tblEmployee[Payable Flag], "Y")</f>
        <v>Y</v>
      </c>
      <c r="F405" s="45">
        <f>IF(tblPayrollMaster[[#This Row],[Payable Flag]]="N",0,_xlfn.XLOOKUP(tblPayrollMaster[[#This Row],[Employee ID]],tblEmployee[Employee ID],tblEmployee[Pay Factor],1))</f>
        <v>1</v>
      </c>
      <c r="G405" s="26" t="str" cm="1">
        <f t="array" ref="G405">IF(tblPayrollMaster[[#This Row],[Employee ID]]="","",_xlfn.XLOOKUP(selPayPeriodID,tblPayCalendar[PayPeriodID],tblPayCalendar[PeriodStart],""))</f>
        <v/>
      </c>
      <c r="H405" s="26" t="str" cm="1">
        <f t="array" ref="H405">IF(tblPayrollMaster[[#This Row],[Employee ID]]="","",_xlfn.XLOOKUP(selPayPeriodID,tblPayCalendar[PayPeriodID],tblPayCalendar[PeriodEnd],""))</f>
        <v/>
      </c>
      <c r="I405" s="24" t="e" cm="1" vm="1">
        <f t="array" aca="1" ref="I405" ca="1">Table18[Employer Name]</f>
        <v>#VALUE!</v>
      </c>
      <c r="J405" s="3" cm="1">
        <f t="array" ref="J40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05" s="25" t="str">
        <f>_xlfn.XLOOKUP(tblPayrollMaster[[#This Row],[Employee Position]],tblPositionandPayRate[Employee Position],tblPositionandPayRate[Overtime], " ")</f>
        <v xml:space="preserve"> </v>
      </c>
      <c r="L405" s="25">
        <f>_xlfn.XLOOKUP(tblPayrollMaster[[#This Row],[Employee Position]],tblPositionandPayRate[Employee Position],tblPositionandPayRate[Allowance 1],0)*tblPayrollMaster[[#This Row],[Pay Factor]]</f>
        <v>0</v>
      </c>
      <c r="M405" s="25">
        <f>_xlfn.XLOOKUP(tblPayrollMaster[[#This Row],[Employee Position]],tblPositionandPayRate[Employee Position],tblPositionandPayRate[Allowance 2],0)*tblPayrollMaster[[#This Row],[Pay Factor]]</f>
        <v>0</v>
      </c>
      <c r="N405" s="25">
        <f>_xlfn.XLOOKUP(tblPayrollMaster[[#This Row],[Employee Position]],tblPositionandPayRate[Employee Position],tblPositionandPayRate[Allowance 3],0)*tblPayrollMaster[[#This Row],[Pay Factor]]</f>
        <v>0</v>
      </c>
      <c r="O405" s="25">
        <f>_xlfn.XLOOKUP(tblPayrollMaster[[#This Row],[Employee Position]],tblPositionandPayRate[Employee Position],tblPositionandPayRate[Allowance 4],0)*tblPayrollMaster[[#This Row],[Pay Factor]]</f>
        <v>0</v>
      </c>
      <c r="P405" s="25">
        <f>_xlfn.XLOOKUP(tblPayrollMaster[[#This Row],[Employee Position]],tblPositionandPayRate[Employee Position],tblPositionandPayRate[Allowance 5],0)*tblPayrollMaster[[#This Row],[Pay Factor]]</f>
        <v>0</v>
      </c>
      <c r="Q405" s="25">
        <f>SUM(tblPayrollMaster[[#This Row],[Basic Pay]:[Allowance 5]])</f>
        <v>0</v>
      </c>
      <c r="R40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05" s="51" cm="1">
        <f t="array" ref="S4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05" s="3" cm="1">
        <f t="array" ref="T4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05" s="25">
        <f>_xlfn.LET(
_xlpm.tos, _xlfn.XLOOKUP(tblPayrollMaster[[#This Row],[Employee ID]], tblEmployee[Employee ID], tblEmployee[Type of Service], ""),
IF(_xlpm.tos="Contract of Service", 8.25, 0)
)</f>
        <v>0</v>
      </c>
      <c r="V405" s="25">
        <f>tblPayrollMaster[[#This Row],[Basic Earnings]]-tblPayrollMaster[[#This Row],[Tax]]-tblPayrollMaster[[#This Row],[NIS - Employee]]-tblPayrollMaster[[#This Row],[Health Surcharge]]</f>
        <v>0</v>
      </c>
      <c r="W405" s="25">
        <f>tblPayrollMaster[[#This Row],[Net Pay]]</f>
        <v>0</v>
      </c>
      <c r="X405" s="25"/>
    </row>
    <row r="406" spans="1:24" x14ac:dyDescent="0.25">
      <c r="A406" s="24"/>
      <c r="B406" s="24" t="str">
        <f>_xlfn.XLOOKUP(tblPayrollMaster[[#This Row],[Employee ID]],tblEmployee[Employee ID],tblEmployee[Employee Name],"")</f>
        <v/>
      </c>
      <c r="C406" s="24" t="str">
        <f>_xlfn.XLOOKUP(tblPayrollMaster[[#This Row],[Employee ID]],tblEmployee[Employee ID],tblEmployee[Employee Position],"")</f>
        <v/>
      </c>
      <c r="D406" s="24" t="str">
        <f>_xlfn.XLOOKUP(tblPayrollMaster[[#This Row],[Employee ID]], tblEmployee[Employee ID], tblEmployee[Pay Status], "Pay")</f>
        <v>Pay</v>
      </c>
      <c r="E406" s="24" t="str">
        <f>_xlfn.XLOOKUP(tblPayrollMaster[[#This Row],[Employee ID]], tblEmployee[Employee ID], tblEmployee[Payable Flag], "Y")</f>
        <v>Y</v>
      </c>
      <c r="F406" s="45">
        <f>IF(tblPayrollMaster[[#This Row],[Payable Flag]]="N",0,_xlfn.XLOOKUP(tblPayrollMaster[[#This Row],[Employee ID]],tblEmployee[Employee ID],tblEmployee[Pay Factor],1))</f>
        <v>1</v>
      </c>
      <c r="G406" s="26" t="str" cm="1">
        <f t="array" ref="G406">IF(tblPayrollMaster[[#This Row],[Employee ID]]="","",_xlfn.XLOOKUP(selPayPeriodID,tblPayCalendar[PayPeriodID],tblPayCalendar[PeriodStart],""))</f>
        <v/>
      </c>
      <c r="H406" s="26" t="str" cm="1">
        <f t="array" ref="H406">IF(tblPayrollMaster[[#This Row],[Employee ID]]="","",_xlfn.XLOOKUP(selPayPeriodID,tblPayCalendar[PayPeriodID],tblPayCalendar[PeriodEnd],""))</f>
        <v/>
      </c>
      <c r="I406" s="24" t="e" cm="1" vm="1">
        <f t="array" aca="1" ref="I406" ca="1">Table18[Employer Name]</f>
        <v>#VALUE!</v>
      </c>
      <c r="J406" s="3" cm="1">
        <f t="array" ref="J40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06" s="25" t="str">
        <f>_xlfn.XLOOKUP(tblPayrollMaster[[#This Row],[Employee Position]],tblPositionandPayRate[Employee Position],tblPositionandPayRate[Overtime], " ")</f>
        <v xml:space="preserve"> </v>
      </c>
      <c r="L406" s="25">
        <f>_xlfn.XLOOKUP(tblPayrollMaster[[#This Row],[Employee Position]],tblPositionandPayRate[Employee Position],tblPositionandPayRate[Allowance 1],0)*tblPayrollMaster[[#This Row],[Pay Factor]]</f>
        <v>0</v>
      </c>
      <c r="M406" s="25">
        <f>_xlfn.XLOOKUP(tblPayrollMaster[[#This Row],[Employee Position]],tblPositionandPayRate[Employee Position],tblPositionandPayRate[Allowance 2],0)*tblPayrollMaster[[#This Row],[Pay Factor]]</f>
        <v>0</v>
      </c>
      <c r="N406" s="25">
        <f>_xlfn.XLOOKUP(tblPayrollMaster[[#This Row],[Employee Position]],tblPositionandPayRate[Employee Position],tblPositionandPayRate[Allowance 3],0)*tblPayrollMaster[[#This Row],[Pay Factor]]</f>
        <v>0</v>
      </c>
      <c r="O406" s="25">
        <f>_xlfn.XLOOKUP(tblPayrollMaster[[#This Row],[Employee Position]],tblPositionandPayRate[Employee Position],tblPositionandPayRate[Allowance 4],0)*tblPayrollMaster[[#This Row],[Pay Factor]]</f>
        <v>0</v>
      </c>
      <c r="P406" s="25">
        <f>_xlfn.XLOOKUP(tblPayrollMaster[[#This Row],[Employee Position]],tblPositionandPayRate[Employee Position],tblPositionandPayRate[Allowance 5],0)*tblPayrollMaster[[#This Row],[Pay Factor]]</f>
        <v>0</v>
      </c>
      <c r="Q406" s="25">
        <f>SUM(tblPayrollMaster[[#This Row],[Basic Pay]:[Allowance 5]])</f>
        <v>0</v>
      </c>
      <c r="R40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06" s="51" cm="1">
        <f t="array" ref="S4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06" s="3" cm="1">
        <f t="array" ref="T4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06" s="25">
        <f>_xlfn.LET(
_xlpm.tos, _xlfn.XLOOKUP(tblPayrollMaster[[#This Row],[Employee ID]], tblEmployee[Employee ID], tblEmployee[Type of Service], ""),
IF(_xlpm.tos="Contract of Service", 8.25, 0)
)</f>
        <v>0</v>
      </c>
      <c r="V406" s="25">
        <f>tblPayrollMaster[[#This Row],[Basic Earnings]]-tblPayrollMaster[[#This Row],[Tax]]-tblPayrollMaster[[#This Row],[NIS - Employee]]-tblPayrollMaster[[#This Row],[Health Surcharge]]</f>
        <v>0</v>
      </c>
      <c r="W406" s="25">
        <f>tblPayrollMaster[[#This Row],[Net Pay]]</f>
        <v>0</v>
      </c>
      <c r="X406" s="25"/>
    </row>
    <row r="407" spans="1:24" x14ac:dyDescent="0.25">
      <c r="A407" s="24"/>
      <c r="B407" s="24" t="str">
        <f>_xlfn.XLOOKUP(tblPayrollMaster[[#This Row],[Employee ID]],tblEmployee[Employee ID],tblEmployee[Employee Name],"")</f>
        <v/>
      </c>
      <c r="C407" s="24" t="str">
        <f>_xlfn.XLOOKUP(tblPayrollMaster[[#This Row],[Employee ID]],tblEmployee[Employee ID],tblEmployee[Employee Position],"")</f>
        <v/>
      </c>
      <c r="D407" s="24" t="str">
        <f>_xlfn.XLOOKUP(tblPayrollMaster[[#This Row],[Employee ID]], tblEmployee[Employee ID], tblEmployee[Pay Status], "Pay")</f>
        <v>Pay</v>
      </c>
      <c r="E407" s="24" t="str">
        <f>_xlfn.XLOOKUP(tblPayrollMaster[[#This Row],[Employee ID]], tblEmployee[Employee ID], tblEmployee[Payable Flag], "Y")</f>
        <v>Y</v>
      </c>
      <c r="F407" s="45">
        <f>IF(tblPayrollMaster[[#This Row],[Payable Flag]]="N",0,_xlfn.XLOOKUP(tblPayrollMaster[[#This Row],[Employee ID]],tblEmployee[Employee ID],tblEmployee[Pay Factor],1))</f>
        <v>1</v>
      </c>
      <c r="G407" s="26" t="str" cm="1">
        <f t="array" ref="G407">IF(tblPayrollMaster[[#This Row],[Employee ID]]="","",_xlfn.XLOOKUP(selPayPeriodID,tblPayCalendar[PayPeriodID],tblPayCalendar[PeriodStart],""))</f>
        <v/>
      </c>
      <c r="H407" s="26" t="str" cm="1">
        <f t="array" ref="H407">IF(tblPayrollMaster[[#This Row],[Employee ID]]="","",_xlfn.XLOOKUP(selPayPeriodID,tblPayCalendar[PayPeriodID],tblPayCalendar[PeriodEnd],""))</f>
        <v/>
      </c>
      <c r="I407" s="24" t="e" cm="1" vm="1">
        <f t="array" aca="1" ref="I407" ca="1">Table18[Employer Name]</f>
        <v>#VALUE!</v>
      </c>
      <c r="J407" s="3" cm="1">
        <f t="array" ref="J40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07" s="25" t="str">
        <f>_xlfn.XLOOKUP(tblPayrollMaster[[#This Row],[Employee Position]],tblPositionandPayRate[Employee Position],tblPositionandPayRate[Overtime], " ")</f>
        <v xml:space="preserve"> </v>
      </c>
      <c r="L407" s="25">
        <f>_xlfn.XLOOKUP(tblPayrollMaster[[#This Row],[Employee Position]],tblPositionandPayRate[Employee Position],tblPositionandPayRate[Allowance 1],0)*tblPayrollMaster[[#This Row],[Pay Factor]]</f>
        <v>0</v>
      </c>
      <c r="M407" s="25">
        <f>_xlfn.XLOOKUP(tblPayrollMaster[[#This Row],[Employee Position]],tblPositionandPayRate[Employee Position],tblPositionandPayRate[Allowance 2],0)*tblPayrollMaster[[#This Row],[Pay Factor]]</f>
        <v>0</v>
      </c>
      <c r="N407" s="25">
        <f>_xlfn.XLOOKUP(tblPayrollMaster[[#This Row],[Employee Position]],tblPositionandPayRate[Employee Position],tblPositionandPayRate[Allowance 3],0)*tblPayrollMaster[[#This Row],[Pay Factor]]</f>
        <v>0</v>
      </c>
      <c r="O407" s="25">
        <f>_xlfn.XLOOKUP(tblPayrollMaster[[#This Row],[Employee Position]],tblPositionandPayRate[Employee Position],tblPositionandPayRate[Allowance 4],0)*tblPayrollMaster[[#This Row],[Pay Factor]]</f>
        <v>0</v>
      </c>
      <c r="P407" s="25">
        <f>_xlfn.XLOOKUP(tblPayrollMaster[[#This Row],[Employee Position]],tblPositionandPayRate[Employee Position],tblPositionandPayRate[Allowance 5],0)*tblPayrollMaster[[#This Row],[Pay Factor]]</f>
        <v>0</v>
      </c>
      <c r="Q407" s="25">
        <f>SUM(tblPayrollMaster[[#This Row],[Basic Pay]:[Allowance 5]])</f>
        <v>0</v>
      </c>
      <c r="R40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07" s="51" cm="1">
        <f t="array" ref="S4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07" s="3" cm="1">
        <f t="array" ref="T4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07" s="25">
        <f>_xlfn.LET(
_xlpm.tos, _xlfn.XLOOKUP(tblPayrollMaster[[#This Row],[Employee ID]], tblEmployee[Employee ID], tblEmployee[Type of Service], ""),
IF(_xlpm.tos="Contract of Service", 8.25, 0)
)</f>
        <v>0</v>
      </c>
      <c r="V407" s="25">
        <f>tblPayrollMaster[[#This Row],[Basic Earnings]]-tblPayrollMaster[[#This Row],[Tax]]-tblPayrollMaster[[#This Row],[NIS - Employee]]-tblPayrollMaster[[#This Row],[Health Surcharge]]</f>
        <v>0</v>
      </c>
      <c r="W407" s="25">
        <f>tblPayrollMaster[[#This Row],[Net Pay]]</f>
        <v>0</v>
      </c>
      <c r="X407" s="25"/>
    </row>
    <row r="408" spans="1:24" x14ac:dyDescent="0.25">
      <c r="A408" s="24"/>
      <c r="B408" s="24" t="str">
        <f>_xlfn.XLOOKUP(tblPayrollMaster[[#This Row],[Employee ID]],tblEmployee[Employee ID],tblEmployee[Employee Name],"")</f>
        <v/>
      </c>
      <c r="C408" s="24" t="str">
        <f>_xlfn.XLOOKUP(tblPayrollMaster[[#This Row],[Employee ID]],tblEmployee[Employee ID],tblEmployee[Employee Position],"")</f>
        <v/>
      </c>
      <c r="D408" s="24" t="str">
        <f>_xlfn.XLOOKUP(tblPayrollMaster[[#This Row],[Employee ID]], tblEmployee[Employee ID], tblEmployee[Pay Status], "Pay")</f>
        <v>Pay</v>
      </c>
      <c r="E408" s="24" t="str">
        <f>_xlfn.XLOOKUP(tblPayrollMaster[[#This Row],[Employee ID]], tblEmployee[Employee ID], tblEmployee[Payable Flag], "Y")</f>
        <v>Y</v>
      </c>
      <c r="F408" s="45">
        <f>IF(tblPayrollMaster[[#This Row],[Payable Flag]]="N",0,_xlfn.XLOOKUP(tblPayrollMaster[[#This Row],[Employee ID]],tblEmployee[Employee ID],tblEmployee[Pay Factor],1))</f>
        <v>1</v>
      </c>
      <c r="G408" s="26" t="str" cm="1">
        <f t="array" ref="G408">IF(tblPayrollMaster[[#This Row],[Employee ID]]="","",_xlfn.XLOOKUP(selPayPeriodID,tblPayCalendar[PayPeriodID],tblPayCalendar[PeriodStart],""))</f>
        <v/>
      </c>
      <c r="H408" s="26" t="str" cm="1">
        <f t="array" ref="H408">IF(tblPayrollMaster[[#This Row],[Employee ID]]="","",_xlfn.XLOOKUP(selPayPeriodID,tblPayCalendar[PayPeriodID],tblPayCalendar[PeriodEnd],""))</f>
        <v/>
      </c>
      <c r="I408" s="24" t="e" cm="1" vm="1">
        <f t="array" aca="1" ref="I408" ca="1">Table18[Employer Name]</f>
        <v>#VALUE!</v>
      </c>
      <c r="J408" s="3" cm="1">
        <f t="array" ref="J40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08" s="25" t="str">
        <f>_xlfn.XLOOKUP(tblPayrollMaster[[#This Row],[Employee Position]],tblPositionandPayRate[Employee Position],tblPositionandPayRate[Overtime], " ")</f>
        <v xml:space="preserve"> </v>
      </c>
      <c r="L408" s="25">
        <f>_xlfn.XLOOKUP(tblPayrollMaster[[#This Row],[Employee Position]],tblPositionandPayRate[Employee Position],tblPositionandPayRate[Allowance 1],0)*tblPayrollMaster[[#This Row],[Pay Factor]]</f>
        <v>0</v>
      </c>
      <c r="M408" s="25">
        <f>_xlfn.XLOOKUP(tblPayrollMaster[[#This Row],[Employee Position]],tblPositionandPayRate[Employee Position],tblPositionandPayRate[Allowance 2],0)*tblPayrollMaster[[#This Row],[Pay Factor]]</f>
        <v>0</v>
      </c>
      <c r="N408" s="25">
        <f>_xlfn.XLOOKUP(tblPayrollMaster[[#This Row],[Employee Position]],tblPositionandPayRate[Employee Position],tblPositionandPayRate[Allowance 3],0)*tblPayrollMaster[[#This Row],[Pay Factor]]</f>
        <v>0</v>
      </c>
      <c r="O408" s="25">
        <f>_xlfn.XLOOKUP(tblPayrollMaster[[#This Row],[Employee Position]],tblPositionandPayRate[Employee Position],tblPositionandPayRate[Allowance 4],0)*tblPayrollMaster[[#This Row],[Pay Factor]]</f>
        <v>0</v>
      </c>
      <c r="P408" s="25">
        <f>_xlfn.XLOOKUP(tblPayrollMaster[[#This Row],[Employee Position]],tblPositionandPayRate[Employee Position],tblPositionandPayRate[Allowance 5],0)*tblPayrollMaster[[#This Row],[Pay Factor]]</f>
        <v>0</v>
      </c>
      <c r="Q408" s="25">
        <f>SUM(tblPayrollMaster[[#This Row],[Basic Pay]:[Allowance 5]])</f>
        <v>0</v>
      </c>
      <c r="R40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08" s="51" cm="1">
        <f t="array" ref="S4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08" s="3" cm="1">
        <f t="array" ref="T4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08" s="25">
        <f>_xlfn.LET(
_xlpm.tos, _xlfn.XLOOKUP(tblPayrollMaster[[#This Row],[Employee ID]], tblEmployee[Employee ID], tblEmployee[Type of Service], ""),
IF(_xlpm.tos="Contract of Service", 8.25, 0)
)</f>
        <v>0</v>
      </c>
      <c r="V408" s="25">
        <f>tblPayrollMaster[[#This Row],[Basic Earnings]]-tblPayrollMaster[[#This Row],[Tax]]-tblPayrollMaster[[#This Row],[NIS - Employee]]-tblPayrollMaster[[#This Row],[Health Surcharge]]</f>
        <v>0</v>
      </c>
      <c r="W408" s="25">
        <f>tblPayrollMaster[[#This Row],[Net Pay]]</f>
        <v>0</v>
      </c>
      <c r="X408" s="25"/>
    </row>
    <row r="409" spans="1:24" x14ac:dyDescent="0.25">
      <c r="A409" s="24"/>
      <c r="B409" s="24" t="str">
        <f>_xlfn.XLOOKUP(tblPayrollMaster[[#This Row],[Employee ID]],tblEmployee[Employee ID],tblEmployee[Employee Name],"")</f>
        <v/>
      </c>
      <c r="C409" s="24" t="str">
        <f>_xlfn.XLOOKUP(tblPayrollMaster[[#This Row],[Employee ID]],tblEmployee[Employee ID],tblEmployee[Employee Position],"")</f>
        <v/>
      </c>
      <c r="D409" s="24" t="str">
        <f>_xlfn.XLOOKUP(tblPayrollMaster[[#This Row],[Employee ID]], tblEmployee[Employee ID], tblEmployee[Pay Status], "Pay")</f>
        <v>Pay</v>
      </c>
      <c r="E409" s="24" t="str">
        <f>_xlfn.XLOOKUP(tblPayrollMaster[[#This Row],[Employee ID]], tblEmployee[Employee ID], tblEmployee[Payable Flag], "Y")</f>
        <v>Y</v>
      </c>
      <c r="F409" s="45">
        <f>IF(tblPayrollMaster[[#This Row],[Payable Flag]]="N",0,_xlfn.XLOOKUP(tblPayrollMaster[[#This Row],[Employee ID]],tblEmployee[Employee ID],tblEmployee[Pay Factor],1))</f>
        <v>1</v>
      </c>
      <c r="G409" s="26" t="str" cm="1">
        <f t="array" ref="G409">IF(tblPayrollMaster[[#This Row],[Employee ID]]="","",_xlfn.XLOOKUP(selPayPeriodID,tblPayCalendar[PayPeriodID],tblPayCalendar[PeriodStart],""))</f>
        <v/>
      </c>
      <c r="H409" s="26" t="str" cm="1">
        <f t="array" ref="H409">IF(tblPayrollMaster[[#This Row],[Employee ID]]="","",_xlfn.XLOOKUP(selPayPeriodID,tblPayCalendar[PayPeriodID],tblPayCalendar[PeriodEnd],""))</f>
        <v/>
      </c>
      <c r="I409" s="24" t="e" cm="1" vm="1">
        <f t="array" aca="1" ref="I409" ca="1">Table18[Employer Name]</f>
        <v>#VALUE!</v>
      </c>
      <c r="J409" s="3" cm="1">
        <f t="array" ref="J40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09" s="25" t="str">
        <f>_xlfn.XLOOKUP(tblPayrollMaster[[#This Row],[Employee Position]],tblPositionandPayRate[Employee Position],tblPositionandPayRate[Overtime], " ")</f>
        <v xml:space="preserve"> </v>
      </c>
      <c r="L409" s="25">
        <f>_xlfn.XLOOKUP(tblPayrollMaster[[#This Row],[Employee Position]],tblPositionandPayRate[Employee Position],tblPositionandPayRate[Allowance 1],0)*tblPayrollMaster[[#This Row],[Pay Factor]]</f>
        <v>0</v>
      </c>
      <c r="M409" s="25">
        <f>_xlfn.XLOOKUP(tblPayrollMaster[[#This Row],[Employee Position]],tblPositionandPayRate[Employee Position],tblPositionandPayRate[Allowance 2],0)*tblPayrollMaster[[#This Row],[Pay Factor]]</f>
        <v>0</v>
      </c>
      <c r="N409" s="25">
        <f>_xlfn.XLOOKUP(tblPayrollMaster[[#This Row],[Employee Position]],tblPositionandPayRate[Employee Position],tblPositionandPayRate[Allowance 3],0)*tblPayrollMaster[[#This Row],[Pay Factor]]</f>
        <v>0</v>
      </c>
      <c r="O409" s="25">
        <f>_xlfn.XLOOKUP(tblPayrollMaster[[#This Row],[Employee Position]],tblPositionandPayRate[Employee Position],tblPositionandPayRate[Allowance 4],0)*tblPayrollMaster[[#This Row],[Pay Factor]]</f>
        <v>0</v>
      </c>
      <c r="P409" s="25">
        <f>_xlfn.XLOOKUP(tblPayrollMaster[[#This Row],[Employee Position]],tblPositionandPayRate[Employee Position],tblPositionandPayRate[Allowance 5],0)*tblPayrollMaster[[#This Row],[Pay Factor]]</f>
        <v>0</v>
      </c>
      <c r="Q409" s="25">
        <f>SUM(tblPayrollMaster[[#This Row],[Basic Pay]:[Allowance 5]])</f>
        <v>0</v>
      </c>
      <c r="R40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09" s="51" cm="1">
        <f t="array" ref="S4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09" s="3" cm="1">
        <f t="array" ref="T4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09" s="25">
        <f>_xlfn.LET(
_xlpm.tos, _xlfn.XLOOKUP(tblPayrollMaster[[#This Row],[Employee ID]], tblEmployee[Employee ID], tblEmployee[Type of Service], ""),
IF(_xlpm.tos="Contract of Service", 8.25, 0)
)</f>
        <v>0</v>
      </c>
      <c r="V409" s="25">
        <f>tblPayrollMaster[[#This Row],[Basic Earnings]]-tblPayrollMaster[[#This Row],[Tax]]-tblPayrollMaster[[#This Row],[NIS - Employee]]-tblPayrollMaster[[#This Row],[Health Surcharge]]</f>
        <v>0</v>
      </c>
      <c r="W409" s="25">
        <f>tblPayrollMaster[[#This Row],[Net Pay]]</f>
        <v>0</v>
      </c>
      <c r="X409" s="25"/>
    </row>
    <row r="410" spans="1:24" x14ac:dyDescent="0.25">
      <c r="A410" s="24"/>
      <c r="B410" s="24" t="str">
        <f>_xlfn.XLOOKUP(tblPayrollMaster[[#This Row],[Employee ID]],tblEmployee[Employee ID],tblEmployee[Employee Name],"")</f>
        <v/>
      </c>
      <c r="C410" s="24" t="str">
        <f>_xlfn.XLOOKUP(tblPayrollMaster[[#This Row],[Employee ID]],tblEmployee[Employee ID],tblEmployee[Employee Position],"")</f>
        <v/>
      </c>
      <c r="D410" s="24" t="str">
        <f>_xlfn.XLOOKUP(tblPayrollMaster[[#This Row],[Employee ID]], tblEmployee[Employee ID], tblEmployee[Pay Status], "Pay")</f>
        <v>Pay</v>
      </c>
      <c r="E410" s="24" t="str">
        <f>_xlfn.XLOOKUP(tblPayrollMaster[[#This Row],[Employee ID]], tblEmployee[Employee ID], tblEmployee[Payable Flag], "Y")</f>
        <v>Y</v>
      </c>
      <c r="F410" s="45">
        <f>IF(tblPayrollMaster[[#This Row],[Payable Flag]]="N",0,_xlfn.XLOOKUP(tblPayrollMaster[[#This Row],[Employee ID]],tblEmployee[Employee ID],tblEmployee[Pay Factor],1))</f>
        <v>1</v>
      </c>
      <c r="G410" s="26" t="str" cm="1">
        <f t="array" ref="G410">IF(tblPayrollMaster[[#This Row],[Employee ID]]="","",_xlfn.XLOOKUP(selPayPeriodID,tblPayCalendar[PayPeriodID],tblPayCalendar[PeriodStart],""))</f>
        <v/>
      </c>
      <c r="H410" s="26" t="str" cm="1">
        <f t="array" ref="H410">IF(tblPayrollMaster[[#This Row],[Employee ID]]="","",_xlfn.XLOOKUP(selPayPeriodID,tblPayCalendar[PayPeriodID],tblPayCalendar[PeriodEnd],""))</f>
        <v/>
      </c>
      <c r="I410" s="24" t="e" cm="1" vm="1">
        <f t="array" aca="1" ref="I410" ca="1">Table18[Employer Name]</f>
        <v>#VALUE!</v>
      </c>
      <c r="J410" s="3" cm="1">
        <f t="array" ref="J41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10" s="25" t="str">
        <f>_xlfn.XLOOKUP(tblPayrollMaster[[#This Row],[Employee Position]],tblPositionandPayRate[Employee Position],tblPositionandPayRate[Overtime], " ")</f>
        <v xml:space="preserve"> </v>
      </c>
      <c r="L410" s="25">
        <f>_xlfn.XLOOKUP(tblPayrollMaster[[#This Row],[Employee Position]],tblPositionandPayRate[Employee Position],tblPositionandPayRate[Allowance 1],0)*tblPayrollMaster[[#This Row],[Pay Factor]]</f>
        <v>0</v>
      </c>
      <c r="M410" s="25">
        <f>_xlfn.XLOOKUP(tblPayrollMaster[[#This Row],[Employee Position]],tblPositionandPayRate[Employee Position],tblPositionandPayRate[Allowance 2],0)*tblPayrollMaster[[#This Row],[Pay Factor]]</f>
        <v>0</v>
      </c>
      <c r="N410" s="25">
        <f>_xlfn.XLOOKUP(tblPayrollMaster[[#This Row],[Employee Position]],tblPositionandPayRate[Employee Position],tblPositionandPayRate[Allowance 3],0)*tblPayrollMaster[[#This Row],[Pay Factor]]</f>
        <v>0</v>
      </c>
      <c r="O410" s="25">
        <f>_xlfn.XLOOKUP(tblPayrollMaster[[#This Row],[Employee Position]],tblPositionandPayRate[Employee Position],tblPositionandPayRate[Allowance 4],0)*tblPayrollMaster[[#This Row],[Pay Factor]]</f>
        <v>0</v>
      </c>
      <c r="P410" s="25">
        <f>_xlfn.XLOOKUP(tblPayrollMaster[[#This Row],[Employee Position]],tblPositionandPayRate[Employee Position],tblPositionandPayRate[Allowance 5],0)*tblPayrollMaster[[#This Row],[Pay Factor]]</f>
        <v>0</v>
      </c>
      <c r="Q410" s="25">
        <f>SUM(tblPayrollMaster[[#This Row],[Basic Pay]:[Allowance 5]])</f>
        <v>0</v>
      </c>
      <c r="R41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10" s="51" cm="1">
        <f t="array" ref="S4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10" s="3" cm="1">
        <f t="array" ref="T4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10" s="25">
        <f>_xlfn.LET(
_xlpm.tos, _xlfn.XLOOKUP(tblPayrollMaster[[#This Row],[Employee ID]], tblEmployee[Employee ID], tblEmployee[Type of Service], ""),
IF(_xlpm.tos="Contract of Service", 8.25, 0)
)</f>
        <v>0</v>
      </c>
      <c r="V410" s="25">
        <f>tblPayrollMaster[[#This Row],[Basic Earnings]]-tblPayrollMaster[[#This Row],[Tax]]-tblPayrollMaster[[#This Row],[NIS - Employee]]-tblPayrollMaster[[#This Row],[Health Surcharge]]</f>
        <v>0</v>
      </c>
      <c r="W410" s="25">
        <f>tblPayrollMaster[[#This Row],[Net Pay]]</f>
        <v>0</v>
      </c>
      <c r="X410" s="25"/>
    </row>
    <row r="411" spans="1:24" x14ac:dyDescent="0.25">
      <c r="A411" s="24"/>
      <c r="B411" s="24" t="str">
        <f>_xlfn.XLOOKUP(tblPayrollMaster[[#This Row],[Employee ID]],tblEmployee[Employee ID],tblEmployee[Employee Name],"")</f>
        <v/>
      </c>
      <c r="C411" s="24" t="str">
        <f>_xlfn.XLOOKUP(tblPayrollMaster[[#This Row],[Employee ID]],tblEmployee[Employee ID],tblEmployee[Employee Position],"")</f>
        <v/>
      </c>
      <c r="D411" s="24" t="str">
        <f>_xlfn.XLOOKUP(tblPayrollMaster[[#This Row],[Employee ID]], tblEmployee[Employee ID], tblEmployee[Pay Status], "Pay")</f>
        <v>Pay</v>
      </c>
      <c r="E411" s="24" t="str">
        <f>_xlfn.XLOOKUP(tblPayrollMaster[[#This Row],[Employee ID]], tblEmployee[Employee ID], tblEmployee[Payable Flag], "Y")</f>
        <v>Y</v>
      </c>
      <c r="F411" s="45">
        <f>IF(tblPayrollMaster[[#This Row],[Payable Flag]]="N",0,_xlfn.XLOOKUP(tblPayrollMaster[[#This Row],[Employee ID]],tblEmployee[Employee ID],tblEmployee[Pay Factor],1))</f>
        <v>1</v>
      </c>
      <c r="G411" s="26" t="str" cm="1">
        <f t="array" ref="G411">IF(tblPayrollMaster[[#This Row],[Employee ID]]="","",_xlfn.XLOOKUP(selPayPeriodID,tblPayCalendar[PayPeriodID],tblPayCalendar[PeriodStart],""))</f>
        <v/>
      </c>
      <c r="H411" s="26" t="str" cm="1">
        <f t="array" ref="H411">IF(tblPayrollMaster[[#This Row],[Employee ID]]="","",_xlfn.XLOOKUP(selPayPeriodID,tblPayCalendar[PayPeriodID],tblPayCalendar[PeriodEnd],""))</f>
        <v/>
      </c>
      <c r="I411" s="24" t="e" cm="1" vm="1">
        <f t="array" aca="1" ref="I411" ca="1">Table18[Employer Name]</f>
        <v>#VALUE!</v>
      </c>
      <c r="J411" s="3" cm="1">
        <f t="array" ref="J41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11" s="25" t="str">
        <f>_xlfn.XLOOKUP(tblPayrollMaster[[#This Row],[Employee Position]],tblPositionandPayRate[Employee Position],tblPositionandPayRate[Overtime], " ")</f>
        <v xml:space="preserve"> </v>
      </c>
      <c r="L411" s="25">
        <f>_xlfn.XLOOKUP(tblPayrollMaster[[#This Row],[Employee Position]],tblPositionandPayRate[Employee Position],tblPositionandPayRate[Allowance 1],0)*tblPayrollMaster[[#This Row],[Pay Factor]]</f>
        <v>0</v>
      </c>
      <c r="M411" s="25">
        <f>_xlfn.XLOOKUP(tblPayrollMaster[[#This Row],[Employee Position]],tblPositionandPayRate[Employee Position],tblPositionandPayRate[Allowance 2],0)*tblPayrollMaster[[#This Row],[Pay Factor]]</f>
        <v>0</v>
      </c>
      <c r="N411" s="25">
        <f>_xlfn.XLOOKUP(tblPayrollMaster[[#This Row],[Employee Position]],tblPositionandPayRate[Employee Position],tblPositionandPayRate[Allowance 3],0)*tblPayrollMaster[[#This Row],[Pay Factor]]</f>
        <v>0</v>
      </c>
      <c r="O411" s="25">
        <f>_xlfn.XLOOKUP(tblPayrollMaster[[#This Row],[Employee Position]],tblPositionandPayRate[Employee Position],tblPositionandPayRate[Allowance 4],0)*tblPayrollMaster[[#This Row],[Pay Factor]]</f>
        <v>0</v>
      </c>
      <c r="P411" s="25">
        <f>_xlfn.XLOOKUP(tblPayrollMaster[[#This Row],[Employee Position]],tblPositionandPayRate[Employee Position],tblPositionandPayRate[Allowance 5],0)*tblPayrollMaster[[#This Row],[Pay Factor]]</f>
        <v>0</v>
      </c>
      <c r="Q411" s="25">
        <f>SUM(tblPayrollMaster[[#This Row],[Basic Pay]:[Allowance 5]])</f>
        <v>0</v>
      </c>
      <c r="R41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11" s="51" cm="1">
        <f t="array" ref="S4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11" s="3" cm="1">
        <f t="array" ref="T4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11" s="25">
        <f>_xlfn.LET(
_xlpm.tos, _xlfn.XLOOKUP(tblPayrollMaster[[#This Row],[Employee ID]], tblEmployee[Employee ID], tblEmployee[Type of Service], ""),
IF(_xlpm.tos="Contract of Service", 8.25, 0)
)</f>
        <v>0</v>
      </c>
      <c r="V411" s="25">
        <f>tblPayrollMaster[[#This Row],[Basic Earnings]]-tblPayrollMaster[[#This Row],[Tax]]-tblPayrollMaster[[#This Row],[NIS - Employee]]-tblPayrollMaster[[#This Row],[Health Surcharge]]</f>
        <v>0</v>
      </c>
      <c r="W411" s="25">
        <f>tblPayrollMaster[[#This Row],[Net Pay]]</f>
        <v>0</v>
      </c>
      <c r="X411" s="25"/>
    </row>
    <row r="412" spans="1:24" x14ac:dyDescent="0.25">
      <c r="A412" s="24"/>
      <c r="B412" s="24" t="str">
        <f>_xlfn.XLOOKUP(tblPayrollMaster[[#This Row],[Employee ID]],tblEmployee[Employee ID],tblEmployee[Employee Name],"")</f>
        <v/>
      </c>
      <c r="C412" s="24" t="str">
        <f>_xlfn.XLOOKUP(tblPayrollMaster[[#This Row],[Employee ID]],tblEmployee[Employee ID],tblEmployee[Employee Position],"")</f>
        <v/>
      </c>
      <c r="D412" s="24" t="str">
        <f>_xlfn.XLOOKUP(tblPayrollMaster[[#This Row],[Employee ID]], tblEmployee[Employee ID], tblEmployee[Pay Status], "Pay")</f>
        <v>Pay</v>
      </c>
      <c r="E412" s="24" t="str">
        <f>_xlfn.XLOOKUP(tblPayrollMaster[[#This Row],[Employee ID]], tblEmployee[Employee ID], tblEmployee[Payable Flag], "Y")</f>
        <v>Y</v>
      </c>
      <c r="F412" s="45">
        <f>IF(tblPayrollMaster[[#This Row],[Payable Flag]]="N",0,_xlfn.XLOOKUP(tblPayrollMaster[[#This Row],[Employee ID]],tblEmployee[Employee ID],tblEmployee[Pay Factor],1))</f>
        <v>1</v>
      </c>
      <c r="G412" s="26" t="str" cm="1">
        <f t="array" ref="G412">IF(tblPayrollMaster[[#This Row],[Employee ID]]="","",_xlfn.XLOOKUP(selPayPeriodID,tblPayCalendar[PayPeriodID],tblPayCalendar[PeriodStart],""))</f>
        <v/>
      </c>
      <c r="H412" s="26" t="str" cm="1">
        <f t="array" ref="H412">IF(tblPayrollMaster[[#This Row],[Employee ID]]="","",_xlfn.XLOOKUP(selPayPeriodID,tblPayCalendar[PayPeriodID],tblPayCalendar[PeriodEnd],""))</f>
        <v/>
      </c>
      <c r="I412" s="24" t="e" cm="1" vm="1">
        <f t="array" aca="1" ref="I412" ca="1">Table18[Employer Name]</f>
        <v>#VALUE!</v>
      </c>
      <c r="J412" s="3" cm="1">
        <f t="array" ref="J41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12" s="25" t="str">
        <f>_xlfn.XLOOKUP(tblPayrollMaster[[#This Row],[Employee Position]],tblPositionandPayRate[Employee Position],tblPositionandPayRate[Overtime], " ")</f>
        <v xml:space="preserve"> </v>
      </c>
      <c r="L412" s="25">
        <f>_xlfn.XLOOKUP(tblPayrollMaster[[#This Row],[Employee Position]],tblPositionandPayRate[Employee Position],tblPositionandPayRate[Allowance 1],0)*tblPayrollMaster[[#This Row],[Pay Factor]]</f>
        <v>0</v>
      </c>
      <c r="M412" s="25">
        <f>_xlfn.XLOOKUP(tblPayrollMaster[[#This Row],[Employee Position]],tblPositionandPayRate[Employee Position],tblPositionandPayRate[Allowance 2],0)*tblPayrollMaster[[#This Row],[Pay Factor]]</f>
        <v>0</v>
      </c>
      <c r="N412" s="25">
        <f>_xlfn.XLOOKUP(tblPayrollMaster[[#This Row],[Employee Position]],tblPositionandPayRate[Employee Position],tblPositionandPayRate[Allowance 3],0)*tblPayrollMaster[[#This Row],[Pay Factor]]</f>
        <v>0</v>
      </c>
      <c r="O412" s="25">
        <f>_xlfn.XLOOKUP(tblPayrollMaster[[#This Row],[Employee Position]],tblPositionandPayRate[Employee Position],tblPositionandPayRate[Allowance 4],0)*tblPayrollMaster[[#This Row],[Pay Factor]]</f>
        <v>0</v>
      </c>
      <c r="P412" s="25">
        <f>_xlfn.XLOOKUP(tblPayrollMaster[[#This Row],[Employee Position]],tblPositionandPayRate[Employee Position],tblPositionandPayRate[Allowance 5],0)*tblPayrollMaster[[#This Row],[Pay Factor]]</f>
        <v>0</v>
      </c>
      <c r="Q412" s="25">
        <f>SUM(tblPayrollMaster[[#This Row],[Basic Pay]:[Allowance 5]])</f>
        <v>0</v>
      </c>
      <c r="R41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12" s="51" cm="1">
        <f t="array" ref="S4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12" s="3" cm="1">
        <f t="array" ref="T4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12" s="25">
        <f>_xlfn.LET(
_xlpm.tos, _xlfn.XLOOKUP(tblPayrollMaster[[#This Row],[Employee ID]], tblEmployee[Employee ID], tblEmployee[Type of Service], ""),
IF(_xlpm.tos="Contract of Service", 8.25, 0)
)</f>
        <v>0</v>
      </c>
      <c r="V412" s="25">
        <f>tblPayrollMaster[[#This Row],[Basic Earnings]]-tblPayrollMaster[[#This Row],[Tax]]-tblPayrollMaster[[#This Row],[NIS - Employee]]-tblPayrollMaster[[#This Row],[Health Surcharge]]</f>
        <v>0</v>
      </c>
      <c r="W412" s="25">
        <f>tblPayrollMaster[[#This Row],[Net Pay]]</f>
        <v>0</v>
      </c>
      <c r="X412" s="25"/>
    </row>
    <row r="413" spans="1:24" x14ac:dyDescent="0.25">
      <c r="A413" s="24"/>
      <c r="B413" s="24" t="str">
        <f>_xlfn.XLOOKUP(tblPayrollMaster[[#This Row],[Employee ID]],tblEmployee[Employee ID],tblEmployee[Employee Name],"")</f>
        <v/>
      </c>
      <c r="C413" s="24" t="str">
        <f>_xlfn.XLOOKUP(tblPayrollMaster[[#This Row],[Employee ID]],tblEmployee[Employee ID],tblEmployee[Employee Position],"")</f>
        <v/>
      </c>
      <c r="D413" s="24" t="str">
        <f>_xlfn.XLOOKUP(tblPayrollMaster[[#This Row],[Employee ID]], tblEmployee[Employee ID], tblEmployee[Pay Status], "Pay")</f>
        <v>Pay</v>
      </c>
      <c r="E413" s="24" t="str">
        <f>_xlfn.XLOOKUP(tblPayrollMaster[[#This Row],[Employee ID]], tblEmployee[Employee ID], tblEmployee[Payable Flag], "Y")</f>
        <v>Y</v>
      </c>
      <c r="F413" s="45">
        <f>IF(tblPayrollMaster[[#This Row],[Payable Flag]]="N",0,_xlfn.XLOOKUP(tblPayrollMaster[[#This Row],[Employee ID]],tblEmployee[Employee ID],tblEmployee[Pay Factor],1))</f>
        <v>1</v>
      </c>
      <c r="G413" s="26" t="str" cm="1">
        <f t="array" ref="G413">IF(tblPayrollMaster[[#This Row],[Employee ID]]="","",_xlfn.XLOOKUP(selPayPeriodID,tblPayCalendar[PayPeriodID],tblPayCalendar[PeriodStart],""))</f>
        <v/>
      </c>
      <c r="H413" s="26" t="str" cm="1">
        <f t="array" ref="H413">IF(tblPayrollMaster[[#This Row],[Employee ID]]="","",_xlfn.XLOOKUP(selPayPeriodID,tblPayCalendar[PayPeriodID],tblPayCalendar[PeriodEnd],""))</f>
        <v/>
      </c>
      <c r="I413" s="24" t="e" cm="1" vm="1">
        <f t="array" aca="1" ref="I413" ca="1">Table18[Employer Name]</f>
        <v>#VALUE!</v>
      </c>
      <c r="J413" s="3" cm="1">
        <f t="array" ref="J41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13" s="25" t="str">
        <f>_xlfn.XLOOKUP(tblPayrollMaster[[#This Row],[Employee Position]],tblPositionandPayRate[Employee Position],tblPositionandPayRate[Overtime], " ")</f>
        <v xml:space="preserve"> </v>
      </c>
      <c r="L413" s="25">
        <f>_xlfn.XLOOKUP(tblPayrollMaster[[#This Row],[Employee Position]],tblPositionandPayRate[Employee Position],tblPositionandPayRate[Allowance 1],0)*tblPayrollMaster[[#This Row],[Pay Factor]]</f>
        <v>0</v>
      </c>
      <c r="M413" s="25">
        <f>_xlfn.XLOOKUP(tblPayrollMaster[[#This Row],[Employee Position]],tblPositionandPayRate[Employee Position],tblPositionandPayRate[Allowance 2],0)*tblPayrollMaster[[#This Row],[Pay Factor]]</f>
        <v>0</v>
      </c>
      <c r="N413" s="25">
        <f>_xlfn.XLOOKUP(tblPayrollMaster[[#This Row],[Employee Position]],tblPositionandPayRate[Employee Position],tblPositionandPayRate[Allowance 3],0)*tblPayrollMaster[[#This Row],[Pay Factor]]</f>
        <v>0</v>
      </c>
      <c r="O413" s="25">
        <f>_xlfn.XLOOKUP(tblPayrollMaster[[#This Row],[Employee Position]],tblPositionandPayRate[Employee Position],tblPositionandPayRate[Allowance 4],0)*tblPayrollMaster[[#This Row],[Pay Factor]]</f>
        <v>0</v>
      </c>
      <c r="P413" s="25">
        <f>_xlfn.XLOOKUP(tblPayrollMaster[[#This Row],[Employee Position]],tblPositionandPayRate[Employee Position],tblPositionandPayRate[Allowance 5],0)*tblPayrollMaster[[#This Row],[Pay Factor]]</f>
        <v>0</v>
      </c>
      <c r="Q413" s="25">
        <f>SUM(tblPayrollMaster[[#This Row],[Basic Pay]:[Allowance 5]])</f>
        <v>0</v>
      </c>
      <c r="R41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13" s="51" cm="1">
        <f t="array" ref="S4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13" s="3" cm="1">
        <f t="array" ref="T4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13" s="25">
        <f>_xlfn.LET(
_xlpm.tos, _xlfn.XLOOKUP(tblPayrollMaster[[#This Row],[Employee ID]], tblEmployee[Employee ID], tblEmployee[Type of Service], ""),
IF(_xlpm.tos="Contract of Service", 8.25, 0)
)</f>
        <v>0</v>
      </c>
      <c r="V413" s="25">
        <f>tblPayrollMaster[[#This Row],[Basic Earnings]]-tblPayrollMaster[[#This Row],[Tax]]-tblPayrollMaster[[#This Row],[NIS - Employee]]-tblPayrollMaster[[#This Row],[Health Surcharge]]</f>
        <v>0</v>
      </c>
      <c r="W413" s="25">
        <f>tblPayrollMaster[[#This Row],[Net Pay]]</f>
        <v>0</v>
      </c>
      <c r="X413" s="25"/>
    </row>
    <row r="414" spans="1:24" x14ac:dyDescent="0.25">
      <c r="A414" s="24"/>
      <c r="B414" s="24" t="str">
        <f>_xlfn.XLOOKUP(tblPayrollMaster[[#This Row],[Employee ID]],tblEmployee[Employee ID],tblEmployee[Employee Name],"")</f>
        <v/>
      </c>
      <c r="C414" s="24" t="str">
        <f>_xlfn.XLOOKUP(tblPayrollMaster[[#This Row],[Employee ID]],tblEmployee[Employee ID],tblEmployee[Employee Position],"")</f>
        <v/>
      </c>
      <c r="D414" s="24" t="str">
        <f>_xlfn.XLOOKUP(tblPayrollMaster[[#This Row],[Employee ID]], tblEmployee[Employee ID], tblEmployee[Pay Status], "Pay")</f>
        <v>Pay</v>
      </c>
      <c r="E414" s="24" t="str">
        <f>_xlfn.XLOOKUP(tblPayrollMaster[[#This Row],[Employee ID]], tblEmployee[Employee ID], tblEmployee[Payable Flag], "Y")</f>
        <v>Y</v>
      </c>
      <c r="F414" s="45">
        <f>IF(tblPayrollMaster[[#This Row],[Payable Flag]]="N",0,_xlfn.XLOOKUP(tblPayrollMaster[[#This Row],[Employee ID]],tblEmployee[Employee ID],tblEmployee[Pay Factor],1))</f>
        <v>1</v>
      </c>
      <c r="G414" s="26" t="str" cm="1">
        <f t="array" ref="G414">IF(tblPayrollMaster[[#This Row],[Employee ID]]="","",_xlfn.XLOOKUP(selPayPeriodID,tblPayCalendar[PayPeriodID],tblPayCalendar[PeriodStart],""))</f>
        <v/>
      </c>
      <c r="H414" s="26" t="str" cm="1">
        <f t="array" ref="H414">IF(tblPayrollMaster[[#This Row],[Employee ID]]="","",_xlfn.XLOOKUP(selPayPeriodID,tblPayCalendar[PayPeriodID],tblPayCalendar[PeriodEnd],""))</f>
        <v/>
      </c>
      <c r="I414" s="24" t="e" cm="1" vm="1">
        <f t="array" aca="1" ref="I414" ca="1">Table18[Employer Name]</f>
        <v>#VALUE!</v>
      </c>
      <c r="J414" s="3" cm="1">
        <f t="array" ref="J41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14" s="25" t="str">
        <f>_xlfn.XLOOKUP(tblPayrollMaster[[#This Row],[Employee Position]],tblPositionandPayRate[Employee Position],tblPositionandPayRate[Overtime], " ")</f>
        <v xml:space="preserve"> </v>
      </c>
      <c r="L414" s="25">
        <f>_xlfn.XLOOKUP(tblPayrollMaster[[#This Row],[Employee Position]],tblPositionandPayRate[Employee Position],tblPositionandPayRate[Allowance 1],0)*tblPayrollMaster[[#This Row],[Pay Factor]]</f>
        <v>0</v>
      </c>
      <c r="M414" s="25">
        <f>_xlfn.XLOOKUP(tblPayrollMaster[[#This Row],[Employee Position]],tblPositionandPayRate[Employee Position],tblPositionandPayRate[Allowance 2],0)*tblPayrollMaster[[#This Row],[Pay Factor]]</f>
        <v>0</v>
      </c>
      <c r="N414" s="25">
        <f>_xlfn.XLOOKUP(tblPayrollMaster[[#This Row],[Employee Position]],tblPositionandPayRate[Employee Position],tblPositionandPayRate[Allowance 3],0)*tblPayrollMaster[[#This Row],[Pay Factor]]</f>
        <v>0</v>
      </c>
      <c r="O414" s="25">
        <f>_xlfn.XLOOKUP(tblPayrollMaster[[#This Row],[Employee Position]],tblPositionandPayRate[Employee Position],tblPositionandPayRate[Allowance 4],0)*tblPayrollMaster[[#This Row],[Pay Factor]]</f>
        <v>0</v>
      </c>
      <c r="P414" s="25">
        <f>_xlfn.XLOOKUP(tblPayrollMaster[[#This Row],[Employee Position]],tblPositionandPayRate[Employee Position],tblPositionandPayRate[Allowance 5],0)*tblPayrollMaster[[#This Row],[Pay Factor]]</f>
        <v>0</v>
      </c>
      <c r="Q414" s="25">
        <f>SUM(tblPayrollMaster[[#This Row],[Basic Pay]:[Allowance 5]])</f>
        <v>0</v>
      </c>
      <c r="R41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14" s="51" cm="1">
        <f t="array" ref="S4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14" s="3" cm="1">
        <f t="array" ref="T4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14" s="25">
        <f>_xlfn.LET(
_xlpm.tos, _xlfn.XLOOKUP(tblPayrollMaster[[#This Row],[Employee ID]], tblEmployee[Employee ID], tblEmployee[Type of Service], ""),
IF(_xlpm.tos="Contract of Service", 8.25, 0)
)</f>
        <v>0</v>
      </c>
      <c r="V414" s="25">
        <f>tblPayrollMaster[[#This Row],[Basic Earnings]]-tblPayrollMaster[[#This Row],[Tax]]-tblPayrollMaster[[#This Row],[NIS - Employee]]-tblPayrollMaster[[#This Row],[Health Surcharge]]</f>
        <v>0</v>
      </c>
      <c r="W414" s="25">
        <f>tblPayrollMaster[[#This Row],[Net Pay]]</f>
        <v>0</v>
      </c>
      <c r="X414" s="25"/>
    </row>
    <row r="415" spans="1:24" x14ac:dyDescent="0.25">
      <c r="A415" s="24"/>
      <c r="B415" s="24" t="str">
        <f>_xlfn.XLOOKUP(tblPayrollMaster[[#This Row],[Employee ID]],tblEmployee[Employee ID],tblEmployee[Employee Name],"")</f>
        <v/>
      </c>
      <c r="C415" s="24" t="str">
        <f>_xlfn.XLOOKUP(tblPayrollMaster[[#This Row],[Employee ID]],tblEmployee[Employee ID],tblEmployee[Employee Position],"")</f>
        <v/>
      </c>
      <c r="D415" s="24" t="str">
        <f>_xlfn.XLOOKUP(tblPayrollMaster[[#This Row],[Employee ID]], tblEmployee[Employee ID], tblEmployee[Pay Status], "Pay")</f>
        <v>Pay</v>
      </c>
      <c r="E415" s="24" t="str">
        <f>_xlfn.XLOOKUP(tblPayrollMaster[[#This Row],[Employee ID]], tblEmployee[Employee ID], tblEmployee[Payable Flag], "Y")</f>
        <v>Y</v>
      </c>
      <c r="F415" s="45">
        <f>IF(tblPayrollMaster[[#This Row],[Payable Flag]]="N",0,_xlfn.XLOOKUP(tblPayrollMaster[[#This Row],[Employee ID]],tblEmployee[Employee ID],tblEmployee[Pay Factor],1))</f>
        <v>1</v>
      </c>
      <c r="G415" s="26" t="str" cm="1">
        <f t="array" ref="G415">IF(tblPayrollMaster[[#This Row],[Employee ID]]="","",_xlfn.XLOOKUP(selPayPeriodID,tblPayCalendar[PayPeriodID],tblPayCalendar[PeriodStart],""))</f>
        <v/>
      </c>
      <c r="H415" s="26" t="str" cm="1">
        <f t="array" ref="H415">IF(tblPayrollMaster[[#This Row],[Employee ID]]="","",_xlfn.XLOOKUP(selPayPeriodID,tblPayCalendar[PayPeriodID],tblPayCalendar[PeriodEnd],""))</f>
        <v/>
      </c>
      <c r="I415" s="24" t="e" cm="1" vm="1">
        <f t="array" aca="1" ref="I415" ca="1">Table18[Employer Name]</f>
        <v>#VALUE!</v>
      </c>
      <c r="J415" s="3" cm="1">
        <f t="array" ref="J41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15" s="25" t="str">
        <f>_xlfn.XLOOKUP(tblPayrollMaster[[#This Row],[Employee Position]],tblPositionandPayRate[Employee Position],tblPositionandPayRate[Overtime], " ")</f>
        <v xml:space="preserve"> </v>
      </c>
      <c r="L415" s="25">
        <f>_xlfn.XLOOKUP(tblPayrollMaster[[#This Row],[Employee Position]],tblPositionandPayRate[Employee Position],tblPositionandPayRate[Allowance 1],0)*tblPayrollMaster[[#This Row],[Pay Factor]]</f>
        <v>0</v>
      </c>
      <c r="M415" s="25">
        <f>_xlfn.XLOOKUP(tblPayrollMaster[[#This Row],[Employee Position]],tblPositionandPayRate[Employee Position],tblPositionandPayRate[Allowance 2],0)*tblPayrollMaster[[#This Row],[Pay Factor]]</f>
        <v>0</v>
      </c>
      <c r="N415" s="25">
        <f>_xlfn.XLOOKUP(tblPayrollMaster[[#This Row],[Employee Position]],tblPositionandPayRate[Employee Position],tblPositionandPayRate[Allowance 3],0)*tblPayrollMaster[[#This Row],[Pay Factor]]</f>
        <v>0</v>
      </c>
      <c r="O415" s="25">
        <f>_xlfn.XLOOKUP(tblPayrollMaster[[#This Row],[Employee Position]],tblPositionandPayRate[Employee Position],tblPositionandPayRate[Allowance 4],0)*tblPayrollMaster[[#This Row],[Pay Factor]]</f>
        <v>0</v>
      </c>
      <c r="P415" s="25">
        <f>_xlfn.XLOOKUP(tblPayrollMaster[[#This Row],[Employee Position]],tblPositionandPayRate[Employee Position],tblPositionandPayRate[Allowance 5],0)*tblPayrollMaster[[#This Row],[Pay Factor]]</f>
        <v>0</v>
      </c>
      <c r="Q415" s="25">
        <f>SUM(tblPayrollMaster[[#This Row],[Basic Pay]:[Allowance 5]])</f>
        <v>0</v>
      </c>
      <c r="R41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15" s="51" cm="1">
        <f t="array" ref="S4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15" s="3" cm="1">
        <f t="array" ref="T4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15" s="25">
        <f>_xlfn.LET(
_xlpm.tos, _xlfn.XLOOKUP(tblPayrollMaster[[#This Row],[Employee ID]], tblEmployee[Employee ID], tblEmployee[Type of Service], ""),
IF(_xlpm.tos="Contract of Service", 8.25, 0)
)</f>
        <v>0</v>
      </c>
      <c r="V415" s="25">
        <f>tblPayrollMaster[[#This Row],[Basic Earnings]]-tblPayrollMaster[[#This Row],[Tax]]-tblPayrollMaster[[#This Row],[NIS - Employee]]-tblPayrollMaster[[#This Row],[Health Surcharge]]</f>
        <v>0</v>
      </c>
      <c r="W415" s="25">
        <f>tblPayrollMaster[[#This Row],[Net Pay]]</f>
        <v>0</v>
      </c>
      <c r="X415" s="25"/>
    </row>
    <row r="416" spans="1:24" x14ac:dyDescent="0.25">
      <c r="A416" s="24"/>
      <c r="B416" s="24" t="str">
        <f>_xlfn.XLOOKUP(tblPayrollMaster[[#This Row],[Employee ID]],tblEmployee[Employee ID],tblEmployee[Employee Name],"")</f>
        <v/>
      </c>
      <c r="C416" s="24" t="str">
        <f>_xlfn.XLOOKUP(tblPayrollMaster[[#This Row],[Employee ID]],tblEmployee[Employee ID],tblEmployee[Employee Position],"")</f>
        <v/>
      </c>
      <c r="D416" s="24" t="str">
        <f>_xlfn.XLOOKUP(tblPayrollMaster[[#This Row],[Employee ID]], tblEmployee[Employee ID], tblEmployee[Pay Status], "Pay")</f>
        <v>Pay</v>
      </c>
      <c r="E416" s="24" t="str">
        <f>_xlfn.XLOOKUP(tblPayrollMaster[[#This Row],[Employee ID]], tblEmployee[Employee ID], tblEmployee[Payable Flag], "Y")</f>
        <v>Y</v>
      </c>
      <c r="F416" s="45">
        <f>IF(tblPayrollMaster[[#This Row],[Payable Flag]]="N",0,_xlfn.XLOOKUP(tblPayrollMaster[[#This Row],[Employee ID]],tblEmployee[Employee ID],tblEmployee[Pay Factor],1))</f>
        <v>1</v>
      </c>
      <c r="G416" s="26" t="str" cm="1">
        <f t="array" ref="G416">IF(tblPayrollMaster[[#This Row],[Employee ID]]="","",_xlfn.XLOOKUP(selPayPeriodID,tblPayCalendar[PayPeriodID],tblPayCalendar[PeriodStart],""))</f>
        <v/>
      </c>
      <c r="H416" s="26" t="str" cm="1">
        <f t="array" ref="H416">IF(tblPayrollMaster[[#This Row],[Employee ID]]="","",_xlfn.XLOOKUP(selPayPeriodID,tblPayCalendar[PayPeriodID],tblPayCalendar[PeriodEnd],""))</f>
        <v/>
      </c>
      <c r="I416" s="24" t="e" cm="1" vm="1">
        <f t="array" aca="1" ref="I416" ca="1">Table18[Employer Name]</f>
        <v>#VALUE!</v>
      </c>
      <c r="J416" s="3" cm="1">
        <f t="array" ref="J41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16" s="25" t="str">
        <f>_xlfn.XLOOKUP(tblPayrollMaster[[#This Row],[Employee Position]],tblPositionandPayRate[Employee Position],tblPositionandPayRate[Overtime], " ")</f>
        <v xml:space="preserve"> </v>
      </c>
      <c r="L416" s="25">
        <f>_xlfn.XLOOKUP(tblPayrollMaster[[#This Row],[Employee Position]],tblPositionandPayRate[Employee Position],tblPositionandPayRate[Allowance 1],0)*tblPayrollMaster[[#This Row],[Pay Factor]]</f>
        <v>0</v>
      </c>
      <c r="M416" s="25">
        <f>_xlfn.XLOOKUP(tblPayrollMaster[[#This Row],[Employee Position]],tblPositionandPayRate[Employee Position],tblPositionandPayRate[Allowance 2],0)*tblPayrollMaster[[#This Row],[Pay Factor]]</f>
        <v>0</v>
      </c>
      <c r="N416" s="25">
        <f>_xlfn.XLOOKUP(tblPayrollMaster[[#This Row],[Employee Position]],tblPositionandPayRate[Employee Position],tblPositionandPayRate[Allowance 3],0)*tblPayrollMaster[[#This Row],[Pay Factor]]</f>
        <v>0</v>
      </c>
      <c r="O416" s="25">
        <f>_xlfn.XLOOKUP(tblPayrollMaster[[#This Row],[Employee Position]],tblPositionandPayRate[Employee Position],tblPositionandPayRate[Allowance 4],0)*tblPayrollMaster[[#This Row],[Pay Factor]]</f>
        <v>0</v>
      </c>
      <c r="P416" s="25">
        <f>_xlfn.XLOOKUP(tblPayrollMaster[[#This Row],[Employee Position]],tblPositionandPayRate[Employee Position],tblPositionandPayRate[Allowance 5],0)*tblPayrollMaster[[#This Row],[Pay Factor]]</f>
        <v>0</v>
      </c>
      <c r="Q416" s="25">
        <f>SUM(tblPayrollMaster[[#This Row],[Basic Pay]:[Allowance 5]])</f>
        <v>0</v>
      </c>
      <c r="R41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16" s="51" cm="1">
        <f t="array" ref="S4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16" s="3" cm="1">
        <f t="array" ref="T4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16" s="25">
        <f>_xlfn.LET(
_xlpm.tos, _xlfn.XLOOKUP(tblPayrollMaster[[#This Row],[Employee ID]], tblEmployee[Employee ID], tblEmployee[Type of Service], ""),
IF(_xlpm.tos="Contract of Service", 8.25, 0)
)</f>
        <v>0</v>
      </c>
      <c r="V416" s="25">
        <f>tblPayrollMaster[[#This Row],[Basic Earnings]]-tblPayrollMaster[[#This Row],[Tax]]-tblPayrollMaster[[#This Row],[NIS - Employee]]-tblPayrollMaster[[#This Row],[Health Surcharge]]</f>
        <v>0</v>
      </c>
      <c r="W416" s="25">
        <f>tblPayrollMaster[[#This Row],[Net Pay]]</f>
        <v>0</v>
      </c>
      <c r="X416" s="25"/>
    </row>
    <row r="417" spans="1:24" x14ac:dyDescent="0.25">
      <c r="A417" s="24"/>
      <c r="B417" s="24" t="str">
        <f>_xlfn.XLOOKUP(tblPayrollMaster[[#This Row],[Employee ID]],tblEmployee[Employee ID],tblEmployee[Employee Name],"")</f>
        <v/>
      </c>
      <c r="C417" s="24" t="str">
        <f>_xlfn.XLOOKUP(tblPayrollMaster[[#This Row],[Employee ID]],tblEmployee[Employee ID],tblEmployee[Employee Position],"")</f>
        <v/>
      </c>
      <c r="D417" s="24" t="str">
        <f>_xlfn.XLOOKUP(tblPayrollMaster[[#This Row],[Employee ID]], tblEmployee[Employee ID], tblEmployee[Pay Status], "Pay")</f>
        <v>Pay</v>
      </c>
      <c r="E417" s="24" t="str">
        <f>_xlfn.XLOOKUP(tblPayrollMaster[[#This Row],[Employee ID]], tblEmployee[Employee ID], tblEmployee[Payable Flag], "Y")</f>
        <v>Y</v>
      </c>
      <c r="F417" s="45">
        <f>IF(tblPayrollMaster[[#This Row],[Payable Flag]]="N",0,_xlfn.XLOOKUP(tblPayrollMaster[[#This Row],[Employee ID]],tblEmployee[Employee ID],tblEmployee[Pay Factor],1))</f>
        <v>1</v>
      </c>
      <c r="G417" s="26" t="str" cm="1">
        <f t="array" ref="G417">IF(tblPayrollMaster[[#This Row],[Employee ID]]="","",_xlfn.XLOOKUP(selPayPeriodID,tblPayCalendar[PayPeriodID],tblPayCalendar[PeriodStart],""))</f>
        <v/>
      </c>
      <c r="H417" s="26" t="str" cm="1">
        <f t="array" ref="H417">IF(tblPayrollMaster[[#This Row],[Employee ID]]="","",_xlfn.XLOOKUP(selPayPeriodID,tblPayCalendar[PayPeriodID],tblPayCalendar[PeriodEnd],""))</f>
        <v/>
      </c>
      <c r="I417" s="24" t="e" cm="1" vm="1">
        <f t="array" aca="1" ref="I417" ca="1">Table18[Employer Name]</f>
        <v>#VALUE!</v>
      </c>
      <c r="J417" s="3" cm="1">
        <f t="array" ref="J41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17" s="25" t="str">
        <f>_xlfn.XLOOKUP(tblPayrollMaster[[#This Row],[Employee Position]],tblPositionandPayRate[Employee Position],tblPositionandPayRate[Overtime], " ")</f>
        <v xml:space="preserve"> </v>
      </c>
      <c r="L417" s="25">
        <f>_xlfn.XLOOKUP(tblPayrollMaster[[#This Row],[Employee Position]],tblPositionandPayRate[Employee Position],tblPositionandPayRate[Allowance 1],0)*tblPayrollMaster[[#This Row],[Pay Factor]]</f>
        <v>0</v>
      </c>
      <c r="M417" s="25">
        <f>_xlfn.XLOOKUP(tblPayrollMaster[[#This Row],[Employee Position]],tblPositionandPayRate[Employee Position],tblPositionandPayRate[Allowance 2],0)*tblPayrollMaster[[#This Row],[Pay Factor]]</f>
        <v>0</v>
      </c>
      <c r="N417" s="25">
        <f>_xlfn.XLOOKUP(tblPayrollMaster[[#This Row],[Employee Position]],tblPositionandPayRate[Employee Position],tblPositionandPayRate[Allowance 3],0)*tblPayrollMaster[[#This Row],[Pay Factor]]</f>
        <v>0</v>
      </c>
      <c r="O417" s="25">
        <f>_xlfn.XLOOKUP(tblPayrollMaster[[#This Row],[Employee Position]],tblPositionandPayRate[Employee Position],tblPositionandPayRate[Allowance 4],0)*tblPayrollMaster[[#This Row],[Pay Factor]]</f>
        <v>0</v>
      </c>
      <c r="P417" s="25">
        <f>_xlfn.XLOOKUP(tblPayrollMaster[[#This Row],[Employee Position]],tblPositionandPayRate[Employee Position],tblPositionandPayRate[Allowance 5],0)*tblPayrollMaster[[#This Row],[Pay Factor]]</f>
        <v>0</v>
      </c>
      <c r="Q417" s="25">
        <f>SUM(tblPayrollMaster[[#This Row],[Basic Pay]:[Allowance 5]])</f>
        <v>0</v>
      </c>
      <c r="R41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17" s="51" cm="1">
        <f t="array" ref="S4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17" s="3" cm="1">
        <f t="array" ref="T4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17" s="25">
        <f>_xlfn.LET(
_xlpm.tos, _xlfn.XLOOKUP(tblPayrollMaster[[#This Row],[Employee ID]], tblEmployee[Employee ID], tblEmployee[Type of Service], ""),
IF(_xlpm.tos="Contract of Service", 8.25, 0)
)</f>
        <v>0</v>
      </c>
      <c r="V417" s="25">
        <f>tblPayrollMaster[[#This Row],[Basic Earnings]]-tblPayrollMaster[[#This Row],[Tax]]-tblPayrollMaster[[#This Row],[NIS - Employee]]-tblPayrollMaster[[#This Row],[Health Surcharge]]</f>
        <v>0</v>
      </c>
      <c r="W417" s="25">
        <f>tblPayrollMaster[[#This Row],[Net Pay]]</f>
        <v>0</v>
      </c>
      <c r="X417" s="25"/>
    </row>
    <row r="418" spans="1:24" x14ac:dyDescent="0.25">
      <c r="A418" s="24"/>
      <c r="B418" s="24" t="str">
        <f>_xlfn.XLOOKUP(tblPayrollMaster[[#This Row],[Employee ID]],tblEmployee[Employee ID],tblEmployee[Employee Name],"")</f>
        <v/>
      </c>
      <c r="C418" s="24" t="str">
        <f>_xlfn.XLOOKUP(tblPayrollMaster[[#This Row],[Employee ID]],tblEmployee[Employee ID],tblEmployee[Employee Position],"")</f>
        <v/>
      </c>
      <c r="D418" s="24" t="str">
        <f>_xlfn.XLOOKUP(tblPayrollMaster[[#This Row],[Employee ID]], tblEmployee[Employee ID], tblEmployee[Pay Status], "Pay")</f>
        <v>Pay</v>
      </c>
      <c r="E418" s="24" t="str">
        <f>_xlfn.XLOOKUP(tblPayrollMaster[[#This Row],[Employee ID]], tblEmployee[Employee ID], tblEmployee[Payable Flag], "Y")</f>
        <v>Y</v>
      </c>
      <c r="F418" s="45">
        <f>IF(tblPayrollMaster[[#This Row],[Payable Flag]]="N",0,_xlfn.XLOOKUP(tblPayrollMaster[[#This Row],[Employee ID]],tblEmployee[Employee ID],tblEmployee[Pay Factor],1))</f>
        <v>1</v>
      </c>
      <c r="G418" s="26" t="str" cm="1">
        <f t="array" ref="G418">IF(tblPayrollMaster[[#This Row],[Employee ID]]="","",_xlfn.XLOOKUP(selPayPeriodID,tblPayCalendar[PayPeriodID],tblPayCalendar[PeriodStart],""))</f>
        <v/>
      </c>
      <c r="H418" s="26" t="str" cm="1">
        <f t="array" ref="H418">IF(tblPayrollMaster[[#This Row],[Employee ID]]="","",_xlfn.XLOOKUP(selPayPeriodID,tblPayCalendar[PayPeriodID],tblPayCalendar[PeriodEnd],""))</f>
        <v/>
      </c>
      <c r="I418" s="24" t="e" cm="1" vm="1">
        <f t="array" aca="1" ref="I418" ca="1">Table18[Employer Name]</f>
        <v>#VALUE!</v>
      </c>
      <c r="J418" s="3" cm="1">
        <f t="array" ref="J41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18" s="25" t="str">
        <f>_xlfn.XLOOKUP(tblPayrollMaster[[#This Row],[Employee Position]],tblPositionandPayRate[Employee Position],tblPositionandPayRate[Overtime], " ")</f>
        <v xml:space="preserve"> </v>
      </c>
      <c r="L418" s="25">
        <f>_xlfn.XLOOKUP(tblPayrollMaster[[#This Row],[Employee Position]],tblPositionandPayRate[Employee Position],tblPositionandPayRate[Allowance 1],0)*tblPayrollMaster[[#This Row],[Pay Factor]]</f>
        <v>0</v>
      </c>
      <c r="M418" s="25">
        <f>_xlfn.XLOOKUP(tblPayrollMaster[[#This Row],[Employee Position]],tblPositionandPayRate[Employee Position],tblPositionandPayRate[Allowance 2],0)*tblPayrollMaster[[#This Row],[Pay Factor]]</f>
        <v>0</v>
      </c>
      <c r="N418" s="25">
        <f>_xlfn.XLOOKUP(tblPayrollMaster[[#This Row],[Employee Position]],tblPositionandPayRate[Employee Position],tblPositionandPayRate[Allowance 3],0)*tblPayrollMaster[[#This Row],[Pay Factor]]</f>
        <v>0</v>
      </c>
      <c r="O418" s="25">
        <f>_xlfn.XLOOKUP(tblPayrollMaster[[#This Row],[Employee Position]],tblPositionandPayRate[Employee Position],tblPositionandPayRate[Allowance 4],0)*tblPayrollMaster[[#This Row],[Pay Factor]]</f>
        <v>0</v>
      </c>
      <c r="P418" s="25">
        <f>_xlfn.XLOOKUP(tblPayrollMaster[[#This Row],[Employee Position]],tblPositionandPayRate[Employee Position],tblPositionandPayRate[Allowance 5],0)*tblPayrollMaster[[#This Row],[Pay Factor]]</f>
        <v>0</v>
      </c>
      <c r="Q418" s="25">
        <f>SUM(tblPayrollMaster[[#This Row],[Basic Pay]:[Allowance 5]])</f>
        <v>0</v>
      </c>
      <c r="R41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18" s="51" cm="1">
        <f t="array" ref="S4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18" s="3" cm="1">
        <f t="array" ref="T4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18" s="25">
        <f>_xlfn.LET(
_xlpm.tos, _xlfn.XLOOKUP(tblPayrollMaster[[#This Row],[Employee ID]], tblEmployee[Employee ID], tblEmployee[Type of Service], ""),
IF(_xlpm.tos="Contract of Service", 8.25, 0)
)</f>
        <v>0</v>
      </c>
      <c r="V418" s="25">
        <f>tblPayrollMaster[[#This Row],[Basic Earnings]]-tblPayrollMaster[[#This Row],[Tax]]-tblPayrollMaster[[#This Row],[NIS - Employee]]-tblPayrollMaster[[#This Row],[Health Surcharge]]</f>
        <v>0</v>
      </c>
      <c r="W418" s="25">
        <f>tblPayrollMaster[[#This Row],[Net Pay]]</f>
        <v>0</v>
      </c>
      <c r="X418" s="25"/>
    </row>
    <row r="419" spans="1:24" x14ac:dyDescent="0.25">
      <c r="A419" s="24"/>
      <c r="B419" s="24" t="str">
        <f>_xlfn.XLOOKUP(tblPayrollMaster[[#This Row],[Employee ID]],tblEmployee[Employee ID],tblEmployee[Employee Name],"")</f>
        <v/>
      </c>
      <c r="C419" s="24" t="str">
        <f>_xlfn.XLOOKUP(tblPayrollMaster[[#This Row],[Employee ID]],tblEmployee[Employee ID],tblEmployee[Employee Position],"")</f>
        <v/>
      </c>
      <c r="D419" s="24" t="str">
        <f>_xlfn.XLOOKUP(tblPayrollMaster[[#This Row],[Employee ID]], tblEmployee[Employee ID], tblEmployee[Pay Status], "Pay")</f>
        <v>Pay</v>
      </c>
      <c r="E419" s="24" t="str">
        <f>_xlfn.XLOOKUP(tblPayrollMaster[[#This Row],[Employee ID]], tblEmployee[Employee ID], tblEmployee[Payable Flag], "Y")</f>
        <v>Y</v>
      </c>
      <c r="F419" s="45">
        <f>IF(tblPayrollMaster[[#This Row],[Payable Flag]]="N",0,_xlfn.XLOOKUP(tblPayrollMaster[[#This Row],[Employee ID]],tblEmployee[Employee ID],tblEmployee[Pay Factor],1))</f>
        <v>1</v>
      </c>
      <c r="G419" s="26" t="str" cm="1">
        <f t="array" ref="G419">IF(tblPayrollMaster[[#This Row],[Employee ID]]="","",_xlfn.XLOOKUP(selPayPeriodID,tblPayCalendar[PayPeriodID],tblPayCalendar[PeriodStart],""))</f>
        <v/>
      </c>
      <c r="H419" s="26" t="str" cm="1">
        <f t="array" ref="H419">IF(tblPayrollMaster[[#This Row],[Employee ID]]="","",_xlfn.XLOOKUP(selPayPeriodID,tblPayCalendar[PayPeriodID],tblPayCalendar[PeriodEnd],""))</f>
        <v/>
      </c>
      <c r="I419" s="24" t="e" cm="1" vm="1">
        <f t="array" aca="1" ref="I419" ca="1">Table18[Employer Name]</f>
        <v>#VALUE!</v>
      </c>
      <c r="J419" s="3" cm="1">
        <f t="array" ref="J41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19" s="25" t="str">
        <f>_xlfn.XLOOKUP(tblPayrollMaster[[#This Row],[Employee Position]],tblPositionandPayRate[Employee Position],tblPositionandPayRate[Overtime], " ")</f>
        <v xml:space="preserve"> </v>
      </c>
      <c r="L419" s="25">
        <f>_xlfn.XLOOKUP(tblPayrollMaster[[#This Row],[Employee Position]],tblPositionandPayRate[Employee Position],tblPositionandPayRate[Allowance 1],0)*tblPayrollMaster[[#This Row],[Pay Factor]]</f>
        <v>0</v>
      </c>
      <c r="M419" s="25">
        <f>_xlfn.XLOOKUP(tblPayrollMaster[[#This Row],[Employee Position]],tblPositionandPayRate[Employee Position],tblPositionandPayRate[Allowance 2],0)*tblPayrollMaster[[#This Row],[Pay Factor]]</f>
        <v>0</v>
      </c>
      <c r="N419" s="25">
        <f>_xlfn.XLOOKUP(tblPayrollMaster[[#This Row],[Employee Position]],tblPositionandPayRate[Employee Position],tblPositionandPayRate[Allowance 3],0)*tblPayrollMaster[[#This Row],[Pay Factor]]</f>
        <v>0</v>
      </c>
      <c r="O419" s="25">
        <f>_xlfn.XLOOKUP(tblPayrollMaster[[#This Row],[Employee Position]],tblPositionandPayRate[Employee Position],tblPositionandPayRate[Allowance 4],0)*tblPayrollMaster[[#This Row],[Pay Factor]]</f>
        <v>0</v>
      </c>
      <c r="P419" s="25">
        <f>_xlfn.XLOOKUP(tblPayrollMaster[[#This Row],[Employee Position]],tblPositionandPayRate[Employee Position],tblPositionandPayRate[Allowance 5],0)*tblPayrollMaster[[#This Row],[Pay Factor]]</f>
        <v>0</v>
      </c>
      <c r="Q419" s="25">
        <f>SUM(tblPayrollMaster[[#This Row],[Basic Pay]:[Allowance 5]])</f>
        <v>0</v>
      </c>
      <c r="R41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19" s="51" cm="1">
        <f t="array" ref="S4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19" s="3" cm="1">
        <f t="array" ref="T4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19" s="25">
        <f>_xlfn.LET(
_xlpm.tos, _xlfn.XLOOKUP(tblPayrollMaster[[#This Row],[Employee ID]], tblEmployee[Employee ID], tblEmployee[Type of Service], ""),
IF(_xlpm.tos="Contract of Service", 8.25, 0)
)</f>
        <v>0</v>
      </c>
      <c r="V419" s="25">
        <f>tblPayrollMaster[[#This Row],[Basic Earnings]]-tblPayrollMaster[[#This Row],[Tax]]-tblPayrollMaster[[#This Row],[NIS - Employee]]-tblPayrollMaster[[#This Row],[Health Surcharge]]</f>
        <v>0</v>
      </c>
      <c r="W419" s="25">
        <f>tblPayrollMaster[[#This Row],[Net Pay]]</f>
        <v>0</v>
      </c>
      <c r="X419" s="25"/>
    </row>
    <row r="420" spans="1:24" x14ac:dyDescent="0.25">
      <c r="A420" s="24"/>
      <c r="B420" s="24" t="str">
        <f>_xlfn.XLOOKUP(tblPayrollMaster[[#This Row],[Employee ID]],tblEmployee[Employee ID],tblEmployee[Employee Name],"")</f>
        <v/>
      </c>
      <c r="C420" s="24" t="str">
        <f>_xlfn.XLOOKUP(tblPayrollMaster[[#This Row],[Employee ID]],tblEmployee[Employee ID],tblEmployee[Employee Position],"")</f>
        <v/>
      </c>
      <c r="D420" s="24" t="str">
        <f>_xlfn.XLOOKUP(tblPayrollMaster[[#This Row],[Employee ID]], tblEmployee[Employee ID], tblEmployee[Pay Status], "Pay")</f>
        <v>Pay</v>
      </c>
      <c r="E420" s="24" t="str">
        <f>_xlfn.XLOOKUP(tblPayrollMaster[[#This Row],[Employee ID]], tblEmployee[Employee ID], tblEmployee[Payable Flag], "Y")</f>
        <v>Y</v>
      </c>
      <c r="F420" s="45">
        <f>IF(tblPayrollMaster[[#This Row],[Payable Flag]]="N",0,_xlfn.XLOOKUP(tblPayrollMaster[[#This Row],[Employee ID]],tblEmployee[Employee ID],tblEmployee[Pay Factor],1))</f>
        <v>1</v>
      </c>
      <c r="G420" s="26" t="str" cm="1">
        <f t="array" ref="G420">IF(tblPayrollMaster[[#This Row],[Employee ID]]="","",_xlfn.XLOOKUP(selPayPeriodID,tblPayCalendar[PayPeriodID],tblPayCalendar[PeriodStart],""))</f>
        <v/>
      </c>
      <c r="H420" s="26" t="str" cm="1">
        <f t="array" ref="H420">IF(tblPayrollMaster[[#This Row],[Employee ID]]="","",_xlfn.XLOOKUP(selPayPeriodID,tblPayCalendar[PayPeriodID],tblPayCalendar[PeriodEnd],""))</f>
        <v/>
      </c>
      <c r="I420" s="24" t="e" cm="1" vm="1">
        <f t="array" aca="1" ref="I420" ca="1">Table18[Employer Name]</f>
        <v>#VALUE!</v>
      </c>
      <c r="J420" s="3" cm="1">
        <f t="array" ref="J42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20" s="25" t="str">
        <f>_xlfn.XLOOKUP(tblPayrollMaster[[#This Row],[Employee Position]],tblPositionandPayRate[Employee Position],tblPositionandPayRate[Overtime], " ")</f>
        <v xml:space="preserve"> </v>
      </c>
      <c r="L420" s="25">
        <f>_xlfn.XLOOKUP(tblPayrollMaster[[#This Row],[Employee Position]],tblPositionandPayRate[Employee Position],tblPositionandPayRate[Allowance 1],0)*tblPayrollMaster[[#This Row],[Pay Factor]]</f>
        <v>0</v>
      </c>
      <c r="M420" s="25">
        <f>_xlfn.XLOOKUP(tblPayrollMaster[[#This Row],[Employee Position]],tblPositionandPayRate[Employee Position],tblPositionandPayRate[Allowance 2],0)*tblPayrollMaster[[#This Row],[Pay Factor]]</f>
        <v>0</v>
      </c>
      <c r="N420" s="25">
        <f>_xlfn.XLOOKUP(tblPayrollMaster[[#This Row],[Employee Position]],tblPositionandPayRate[Employee Position],tblPositionandPayRate[Allowance 3],0)*tblPayrollMaster[[#This Row],[Pay Factor]]</f>
        <v>0</v>
      </c>
      <c r="O420" s="25">
        <f>_xlfn.XLOOKUP(tblPayrollMaster[[#This Row],[Employee Position]],tblPositionandPayRate[Employee Position],tblPositionandPayRate[Allowance 4],0)*tblPayrollMaster[[#This Row],[Pay Factor]]</f>
        <v>0</v>
      </c>
      <c r="P420" s="25">
        <f>_xlfn.XLOOKUP(tblPayrollMaster[[#This Row],[Employee Position]],tblPositionandPayRate[Employee Position],tblPositionandPayRate[Allowance 5],0)*tblPayrollMaster[[#This Row],[Pay Factor]]</f>
        <v>0</v>
      </c>
      <c r="Q420" s="25">
        <f>SUM(tblPayrollMaster[[#This Row],[Basic Pay]:[Allowance 5]])</f>
        <v>0</v>
      </c>
      <c r="R42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20" s="51" cm="1">
        <f t="array" ref="S4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20" s="3" cm="1">
        <f t="array" ref="T4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20" s="25">
        <f>_xlfn.LET(
_xlpm.tos, _xlfn.XLOOKUP(tblPayrollMaster[[#This Row],[Employee ID]], tblEmployee[Employee ID], tblEmployee[Type of Service], ""),
IF(_xlpm.tos="Contract of Service", 8.25, 0)
)</f>
        <v>0</v>
      </c>
      <c r="V420" s="25">
        <f>tblPayrollMaster[[#This Row],[Basic Earnings]]-tblPayrollMaster[[#This Row],[Tax]]-tblPayrollMaster[[#This Row],[NIS - Employee]]-tblPayrollMaster[[#This Row],[Health Surcharge]]</f>
        <v>0</v>
      </c>
      <c r="W420" s="25">
        <f>tblPayrollMaster[[#This Row],[Net Pay]]</f>
        <v>0</v>
      </c>
      <c r="X420" s="25"/>
    </row>
    <row r="421" spans="1:24" x14ac:dyDescent="0.25">
      <c r="A421" s="24"/>
      <c r="B421" s="24" t="str">
        <f>_xlfn.XLOOKUP(tblPayrollMaster[[#This Row],[Employee ID]],tblEmployee[Employee ID],tblEmployee[Employee Name],"")</f>
        <v/>
      </c>
      <c r="C421" s="24" t="str">
        <f>_xlfn.XLOOKUP(tblPayrollMaster[[#This Row],[Employee ID]],tblEmployee[Employee ID],tblEmployee[Employee Position],"")</f>
        <v/>
      </c>
      <c r="D421" s="24" t="str">
        <f>_xlfn.XLOOKUP(tblPayrollMaster[[#This Row],[Employee ID]], tblEmployee[Employee ID], tblEmployee[Pay Status], "Pay")</f>
        <v>Pay</v>
      </c>
      <c r="E421" s="24" t="str">
        <f>_xlfn.XLOOKUP(tblPayrollMaster[[#This Row],[Employee ID]], tblEmployee[Employee ID], tblEmployee[Payable Flag], "Y")</f>
        <v>Y</v>
      </c>
      <c r="F421" s="45">
        <f>IF(tblPayrollMaster[[#This Row],[Payable Flag]]="N",0,_xlfn.XLOOKUP(tblPayrollMaster[[#This Row],[Employee ID]],tblEmployee[Employee ID],tblEmployee[Pay Factor],1))</f>
        <v>1</v>
      </c>
      <c r="G421" s="26" t="str" cm="1">
        <f t="array" ref="G421">IF(tblPayrollMaster[[#This Row],[Employee ID]]="","",_xlfn.XLOOKUP(selPayPeriodID,tblPayCalendar[PayPeriodID],tblPayCalendar[PeriodStart],""))</f>
        <v/>
      </c>
      <c r="H421" s="26" t="str" cm="1">
        <f t="array" ref="H421">IF(tblPayrollMaster[[#This Row],[Employee ID]]="","",_xlfn.XLOOKUP(selPayPeriodID,tblPayCalendar[PayPeriodID],tblPayCalendar[PeriodEnd],""))</f>
        <v/>
      </c>
      <c r="I421" s="24" t="e" cm="1" vm="1">
        <f t="array" aca="1" ref="I421" ca="1">Table18[Employer Name]</f>
        <v>#VALUE!</v>
      </c>
      <c r="J421" s="3" cm="1">
        <f t="array" ref="J42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21" s="25" t="str">
        <f>_xlfn.XLOOKUP(tblPayrollMaster[[#This Row],[Employee Position]],tblPositionandPayRate[Employee Position],tblPositionandPayRate[Overtime], " ")</f>
        <v xml:space="preserve"> </v>
      </c>
      <c r="L421" s="25">
        <f>_xlfn.XLOOKUP(tblPayrollMaster[[#This Row],[Employee Position]],tblPositionandPayRate[Employee Position],tblPositionandPayRate[Allowance 1],0)*tblPayrollMaster[[#This Row],[Pay Factor]]</f>
        <v>0</v>
      </c>
      <c r="M421" s="25">
        <f>_xlfn.XLOOKUP(tblPayrollMaster[[#This Row],[Employee Position]],tblPositionandPayRate[Employee Position],tblPositionandPayRate[Allowance 2],0)*tblPayrollMaster[[#This Row],[Pay Factor]]</f>
        <v>0</v>
      </c>
      <c r="N421" s="25">
        <f>_xlfn.XLOOKUP(tblPayrollMaster[[#This Row],[Employee Position]],tblPositionandPayRate[Employee Position],tblPositionandPayRate[Allowance 3],0)*tblPayrollMaster[[#This Row],[Pay Factor]]</f>
        <v>0</v>
      </c>
      <c r="O421" s="25">
        <f>_xlfn.XLOOKUP(tblPayrollMaster[[#This Row],[Employee Position]],tblPositionandPayRate[Employee Position],tblPositionandPayRate[Allowance 4],0)*tblPayrollMaster[[#This Row],[Pay Factor]]</f>
        <v>0</v>
      </c>
      <c r="P421" s="25">
        <f>_xlfn.XLOOKUP(tblPayrollMaster[[#This Row],[Employee Position]],tblPositionandPayRate[Employee Position],tblPositionandPayRate[Allowance 5],0)*tblPayrollMaster[[#This Row],[Pay Factor]]</f>
        <v>0</v>
      </c>
      <c r="Q421" s="25">
        <f>SUM(tblPayrollMaster[[#This Row],[Basic Pay]:[Allowance 5]])</f>
        <v>0</v>
      </c>
      <c r="R42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21" s="51" cm="1">
        <f t="array" ref="S4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21" s="3" cm="1">
        <f t="array" ref="T4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21" s="25">
        <f>_xlfn.LET(
_xlpm.tos, _xlfn.XLOOKUP(tblPayrollMaster[[#This Row],[Employee ID]], tblEmployee[Employee ID], tblEmployee[Type of Service], ""),
IF(_xlpm.tos="Contract of Service", 8.25, 0)
)</f>
        <v>0</v>
      </c>
      <c r="V421" s="25">
        <f>tblPayrollMaster[[#This Row],[Basic Earnings]]-tblPayrollMaster[[#This Row],[Tax]]-tblPayrollMaster[[#This Row],[NIS - Employee]]-tblPayrollMaster[[#This Row],[Health Surcharge]]</f>
        <v>0</v>
      </c>
      <c r="W421" s="25">
        <f>tblPayrollMaster[[#This Row],[Net Pay]]</f>
        <v>0</v>
      </c>
      <c r="X421" s="25"/>
    </row>
    <row r="422" spans="1:24" x14ac:dyDescent="0.25">
      <c r="A422" s="24"/>
      <c r="B422" s="24" t="str">
        <f>_xlfn.XLOOKUP(tblPayrollMaster[[#This Row],[Employee ID]],tblEmployee[Employee ID],tblEmployee[Employee Name],"")</f>
        <v/>
      </c>
      <c r="C422" s="24" t="str">
        <f>_xlfn.XLOOKUP(tblPayrollMaster[[#This Row],[Employee ID]],tblEmployee[Employee ID],tblEmployee[Employee Position],"")</f>
        <v/>
      </c>
      <c r="D422" s="24" t="str">
        <f>_xlfn.XLOOKUP(tblPayrollMaster[[#This Row],[Employee ID]], tblEmployee[Employee ID], tblEmployee[Pay Status], "Pay")</f>
        <v>Pay</v>
      </c>
      <c r="E422" s="24" t="str">
        <f>_xlfn.XLOOKUP(tblPayrollMaster[[#This Row],[Employee ID]], tblEmployee[Employee ID], tblEmployee[Payable Flag], "Y")</f>
        <v>Y</v>
      </c>
      <c r="F422" s="45">
        <f>IF(tblPayrollMaster[[#This Row],[Payable Flag]]="N",0,_xlfn.XLOOKUP(tblPayrollMaster[[#This Row],[Employee ID]],tblEmployee[Employee ID],tblEmployee[Pay Factor],1))</f>
        <v>1</v>
      </c>
      <c r="G422" s="26" t="str" cm="1">
        <f t="array" ref="G422">IF(tblPayrollMaster[[#This Row],[Employee ID]]="","",_xlfn.XLOOKUP(selPayPeriodID,tblPayCalendar[PayPeriodID],tblPayCalendar[PeriodStart],""))</f>
        <v/>
      </c>
      <c r="H422" s="26" t="str" cm="1">
        <f t="array" ref="H422">IF(tblPayrollMaster[[#This Row],[Employee ID]]="","",_xlfn.XLOOKUP(selPayPeriodID,tblPayCalendar[PayPeriodID],tblPayCalendar[PeriodEnd],""))</f>
        <v/>
      </c>
      <c r="I422" s="24" t="e" cm="1" vm="1">
        <f t="array" aca="1" ref="I422" ca="1">Table18[Employer Name]</f>
        <v>#VALUE!</v>
      </c>
      <c r="J422" s="3" cm="1">
        <f t="array" ref="J42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22" s="25" t="str">
        <f>_xlfn.XLOOKUP(tblPayrollMaster[[#This Row],[Employee Position]],tblPositionandPayRate[Employee Position],tblPositionandPayRate[Overtime], " ")</f>
        <v xml:space="preserve"> </v>
      </c>
      <c r="L422" s="25">
        <f>_xlfn.XLOOKUP(tblPayrollMaster[[#This Row],[Employee Position]],tblPositionandPayRate[Employee Position],tblPositionandPayRate[Allowance 1],0)*tblPayrollMaster[[#This Row],[Pay Factor]]</f>
        <v>0</v>
      </c>
      <c r="M422" s="25">
        <f>_xlfn.XLOOKUP(tblPayrollMaster[[#This Row],[Employee Position]],tblPositionandPayRate[Employee Position],tblPositionandPayRate[Allowance 2],0)*tblPayrollMaster[[#This Row],[Pay Factor]]</f>
        <v>0</v>
      </c>
      <c r="N422" s="25">
        <f>_xlfn.XLOOKUP(tblPayrollMaster[[#This Row],[Employee Position]],tblPositionandPayRate[Employee Position],tblPositionandPayRate[Allowance 3],0)*tblPayrollMaster[[#This Row],[Pay Factor]]</f>
        <v>0</v>
      </c>
      <c r="O422" s="25">
        <f>_xlfn.XLOOKUP(tblPayrollMaster[[#This Row],[Employee Position]],tblPositionandPayRate[Employee Position],tblPositionandPayRate[Allowance 4],0)*tblPayrollMaster[[#This Row],[Pay Factor]]</f>
        <v>0</v>
      </c>
      <c r="P422" s="25">
        <f>_xlfn.XLOOKUP(tblPayrollMaster[[#This Row],[Employee Position]],tblPositionandPayRate[Employee Position],tblPositionandPayRate[Allowance 5],0)*tblPayrollMaster[[#This Row],[Pay Factor]]</f>
        <v>0</v>
      </c>
      <c r="Q422" s="25">
        <f>SUM(tblPayrollMaster[[#This Row],[Basic Pay]:[Allowance 5]])</f>
        <v>0</v>
      </c>
      <c r="R42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22" s="51" cm="1">
        <f t="array" ref="S4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22" s="3" cm="1">
        <f t="array" ref="T4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22" s="25">
        <f>_xlfn.LET(
_xlpm.tos, _xlfn.XLOOKUP(tblPayrollMaster[[#This Row],[Employee ID]], tblEmployee[Employee ID], tblEmployee[Type of Service], ""),
IF(_xlpm.tos="Contract of Service", 8.25, 0)
)</f>
        <v>0</v>
      </c>
      <c r="V422" s="25">
        <f>tblPayrollMaster[[#This Row],[Basic Earnings]]-tblPayrollMaster[[#This Row],[Tax]]-tblPayrollMaster[[#This Row],[NIS - Employee]]-tblPayrollMaster[[#This Row],[Health Surcharge]]</f>
        <v>0</v>
      </c>
      <c r="W422" s="25">
        <f>tblPayrollMaster[[#This Row],[Net Pay]]</f>
        <v>0</v>
      </c>
      <c r="X422" s="25"/>
    </row>
    <row r="423" spans="1:24" x14ac:dyDescent="0.25">
      <c r="A423" s="24"/>
      <c r="B423" s="24" t="str">
        <f>_xlfn.XLOOKUP(tblPayrollMaster[[#This Row],[Employee ID]],tblEmployee[Employee ID],tblEmployee[Employee Name],"")</f>
        <v/>
      </c>
      <c r="C423" s="24" t="str">
        <f>_xlfn.XLOOKUP(tblPayrollMaster[[#This Row],[Employee ID]],tblEmployee[Employee ID],tblEmployee[Employee Position],"")</f>
        <v/>
      </c>
      <c r="D423" s="24" t="str">
        <f>_xlfn.XLOOKUP(tblPayrollMaster[[#This Row],[Employee ID]], tblEmployee[Employee ID], tblEmployee[Pay Status], "Pay")</f>
        <v>Pay</v>
      </c>
      <c r="E423" s="24" t="str">
        <f>_xlfn.XLOOKUP(tblPayrollMaster[[#This Row],[Employee ID]], tblEmployee[Employee ID], tblEmployee[Payable Flag], "Y")</f>
        <v>Y</v>
      </c>
      <c r="F423" s="45">
        <f>IF(tblPayrollMaster[[#This Row],[Payable Flag]]="N",0,_xlfn.XLOOKUP(tblPayrollMaster[[#This Row],[Employee ID]],tblEmployee[Employee ID],tblEmployee[Pay Factor],1))</f>
        <v>1</v>
      </c>
      <c r="G423" s="26" t="str" cm="1">
        <f t="array" ref="G423">IF(tblPayrollMaster[[#This Row],[Employee ID]]="","",_xlfn.XLOOKUP(selPayPeriodID,tblPayCalendar[PayPeriodID],tblPayCalendar[PeriodStart],""))</f>
        <v/>
      </c>
      <c r="H423" s="26" t="str" cm="1">
        <f t="array" ref="H423">IF(tblPayrollMaster[[#This Row],[Employee ID]]="","",_xlfn.XLOOKUP(selPayPeriodID,tblPayCalendar[PayPeriodID],tblPayCalendar[PeriodEnd],""))</f>
        <v/>
      </c>
      <c r="I423" s="24" t="e" cm="1" vm="1">
        <f t="array" aca="1" ref="I423" ca="1">Table18[Employer Name]</f>
        <v>#VALUE!</v>
      </c>
      <c r="J423" s="3" cm="1">
        <f t="array" ref="J42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23" s="25" t="str">
        <f>_xlfn.XLOOKUP(tblPayrollMaster[[#This Row],[Employee Position]],tblPositionandPayRate[Employee Position],tblPositionandPayRate[Overtime], " ")</f>
        <v xml:space="preserve"> </v>
      </c>
      <c r="L423" s="25">
        <f>_xlfn.XLOOKUP(tblPayrollMaster[[#This Row],[Employee Position]],tblPositionandPayRate[Employee Position],tblPositionandPayRate[Allowance 1],0)*tblPayrollMaster[[#This Row],[Pay Factor]]</f>
        <v>0</v>
      </c>
      <c r="M423" s="25">
        <f>_xlfn.XLOOKUP(tblPayrollMaster[[#This Row],[Employee Position]],tblPositionandPayRate[Employee Position],tblPositionandPayRate[Allowance 2],0)*tblPayrollMaster[[#This Row],[Pay Factor]]</f>
        <v>0</v>
      </c>
      <c r="N423" s="25">
        <f>_xlfn.XLOOKUP(tblPayrollMaster[[#This Row],[Employee Position]],tblPositionandPayRate[Employee Position],tblPositionandPayRate[Allowance 3],0)*tblPayrollMaster[[#This Row],[Pay Factor]]</f>
        <v>0</v>
      </c>
      <c r="O423" s="25">
        <f>_xlfn.XLOOKUP(tblPayrollMaster[[#This Row],[Employee Position]],tblPositionandPayRate[Employee Position],tblPositionandPayRate[Allowance 4],0)*tblPayrollMaster[[#This Row],[Pay Factor]]</f>
        <v>0</v>
      </c>
      <c r="P423" s="25">
        <f>_xlfn.XLOOKUP(tblPayrollMaster[[#This Row],[Employee Position]],tblPositionandPayRate[Employee Position],tblPositionandPayRate[Allowance 5],0)*tblPayrollMaster[[#This Row],[Pay Factor]]</f>
        <v>0</v>
      </c>
      <c r="Q423" s="25">
        <f>SUM(tblPayrollMaster[[#This Row],[Basic Pay]:[Allowance 5]])</f>
        <v>0</v>
      </c>
      <c r="R42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23" s="51" cm="1">
        <f t="array" ref="S4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23" s="3" cm="1">
        <f t="array" ref="T4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23" s="25">
        <f>_xlfn.LET(
_xlpm.tos, _xlfn.XLOOKUP(tblPayrollMaster[[#This Row],[Employee ID]], tblEmployee[Employee ID], tblEmployee[Type of Service], ""),
IF(_xlpm.tos="Contract of Service", 8.25, 0)
)</f>
        <v>0</v>
      </c>
      <c r="V423" s="25">
        <f>tblPayrollMaster[[#This Row],[Basic Earnings]]-tblPayrollMaster[[#This Row],[Tax]]-tblPayrollMaster[[#This Row],[NIS - Employee]]-tblPayrollMaster[[#This Row],[Health Surcharge]]</f>
        <v>0</v>
      </c>
      <c r="W423" s="25">
        <f>tblPayrollMaster[[#This Row],[Net Pay]]</f>
        <v>0</v>
      </c>
      <c r="X423" s="25"/>
    </row>
    <row r="424" spans="1:24" x14ac:dyDescent="0.25">
      <c r="A424" s="24"/>
      <c r="B424" s="24" t="str">
        <f>_xlfn.XLOOKUP(tblPayrollMaster[[#This Row],[Employee ID]],tblEmployee[Employee ID],tblEmployee[Employee Name],"")</f>
        <v/>
      </c>
      <c r="C424" s="24" t="str">
        <f>_xlfn.XLOOKUP(tblPayrollMaster[[#This Row],[Employee ID]],tblEmployee[Employee ID],tblEmployee[Employee Position],"")</f>
        <v/>
      </c>
      <c r="D424" s="24" t="str">
        <f>_xlfn.XLOOKUP(tblPayrollMaster[[#This Row],[Employee ID]], tblEmployee[Employee ID], tblEmployee[Pay Status], "Pay")</f>
        <v>Pay</v>
      </c>
      <c r="E424" s="24" t="str">
        <f>_xlfn.XLOOKUP(tblPayrollMaster[[#This Row],[Employee ID]], tblEmployee[Employee ID], tblEmployee[Payable Flag], "Y")</f>
        <v>Y</v>
      </c>
      <c r="F424" s="45">
        <f>IF(tblPayrollMaster[[#This Row],[Payable Flag]]="N",0,_xlfn.XLOOKUP(tblPayrollMaster[[#This Row],[Employee ID]],tblEmployee[Employee ID],tblEmployee[Pay Factor],1))</f>
        <v>1</v>
      </c>
      <c r="G424" s="26" t="str" cm="1">
        <f t="array" ref="G424">IF(tblPayrollMaster[[#This Row],[Employee ID]]="","",_xlfn.XLOOKUP(selPayPeriodID,tblPayCalendar[PayPeriodID],tblPayCalendar[PeriodStart],""))</f>
        <v/>
      </c>
      <c r="H424" s="26" t="str" cm="1">
        <f t="array" ref="H424">IF(tblPayrollMaster[[#This Row],[Employee ID]]="","",_xlfn.XLOOKUP(selPayPeriodID,tblPayCalendar[PayPeriodID],tblPayCalendar[PeriodEnd],""))</f>
        <v/>
      </c>
      <c r="I424" s="24" t="e" cm="1" vm="1">
        <f t="array" aca="1" ref="I424" ca="1">Table18[Employer Name]</f>
        <v>#VALUE!</v>
      </c>
      <c r="J424" s="3" cm="1">
        <f t="array" ref="J42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24" s="25" t="str">
        <f>_xlfn.XLOOKUP(tblPayrollMaster[[#This Row],[Employee Position]],tblPositionandPayRate[Employee Position],tblPositionandPayRate[Overtime], " ")</f>
        <v xml:space="preserve"> </v>
      </c>
      <c r="L424" s="25">
        <f>_xlfn.XLOOKUP(tblPayrollMaster[[#This Row],[Employee Position]],tblPositionandPayRate[Employee Position],tblPositionandPayRate[Allowance 1],0)*tblPayrollMaster[[#This Row],[Pay Factor]]</f>
        <v>0</v>
      </c>
      <c r="M424" s="25">
        <f>_xlfn.XLOOKUP(tblPayrollMaster[[#This Row],[Employee Position]],tblPositionandPayRate[Employee Position],tblPositionandPayRate[Allowance 2],0)*tblPayrollMaster[[#This Row],[Pay Factor]]</f>
        <v>0</v>
      </c>
      <c r="N424" s="25">
        <f>_xlfn.XLOOKUP(tblPayrollMaster[[#This Row],[Employee Position]],tblPositionandPayRate[Employee Position],tblPositionandPayRate[Allowance 3],0)*tblPayrollMaster[[#This Row],[Pay Factor]]</f>
        <v>0</v>
      </c>
      <c r="O424" s="25">
        <f>_xlfn.XLOOKUP(tblPayrollMaster[[#This Row],[Employee Position]],tblPositionandPayRate[Employee Position],tblPositionandPayRate[Allowance 4],0)*tblPayrollMaster[[#This Row],[Pay Factor]]</f>
        <v>0</v>
      </c>
      <c r="P424" s="25">
        <f>_xlfn.XLOOKUP(tblPayrollMaster[[#This Row],[Employee Position]],tblPositionandPayRate[Employee Position],tblPositionandPayRate[Allowance 5],0)*tblPayrollMaster[[#This Row],[Pay Factor]]</f>
        <v>0</v>
      </c>
      <c r="Q424" s="25">
        <f>SUM(tblPayrollMaster[[#This Row],[Basic Pay]:[Allowance 5]])</f>
        <v>0</v>
      </c>
      <c r="R42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24" s="51" cm="1">
        <f t="array" ref="S4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24" s="3" cm="1">
        <f t="array" ref="T4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24" s="25">
        <f>_xlfn.LET(
_xlpm.tos, _xlfn.XLOOKUP(tblPayrollMaster[[#This Row],[Employee ID]], tblEmployee[Employee ID], tblEmployee[Type of Service], ""),
IF(_xlpm.tos="Contract of Service", 8.25, 0)
)</f>
        <v>0</v>
      </c>
      <c r="V424" s="25">
        <f>tblPayrollMaster[[#This Row],[Basic Earnings]]-tblPayrollMaster[[#This Row],[Tax]]-tblPayrollMaster[[#This Row],[NIS - Employee]]-tblPayrollMaster[[#This Row],[Health Surcharge]]</f>
        <v>0</v>
      </c>
      <c r="W424" s="25">
        <f>tblPayrollMaster[[#This Row],[Net Pay]]</f>
        <v>0</v>
      </c>
      <c r="X424" s="25"/>
    </row>
    <row r="425" spans="1:24" x14ac:dyDescent="0.25">
      <c r="A425" s="24"/>
      <c r="B425" s="24" t="str">
        <f>_xlfn.XLOOKUP(tblPayrollMaster[[#This Row],[Employee ID]],tblEmployee[Employee ID],tblEmployee[Employee Name],"")</f>
        <v/>
      </c>
      <c r="C425" s="24" t="str">
        <f>_xlfn.XLOOKUP(tblPayrollMaster[[#This Row],[Employee ID]],tblEmployee[Employee ID],tblEmployee[Employee Position],"")</f>
        <v/>
      </c>
      <c r="D425" s="24" t="str">
        <f>_xlfn.XLOOKUP(tblPayrollMaster[[#This Row],[Employee ID]], tblEmployee[Employee ID], tblEmployee[Pay Status], "Pay")</f>
        <v>Pay</v>
      </c>
      <c r="E425" s="24" t="str">
        <f>_xlfn.XLOOKUP(tblPayrollMaster[[#This Row],[Employee ID]], tblEmployee[Employee ID], tblEmployee[Payable Flag], "Y")</f>
        <v>Y</v>
      </c>
      <c r="F425" s="45">
        <f>IF(tblPayrollMaster[[#This Row],[Payable Flag]]="N",0,_xlfn.XLOOKUP(tblPayrollMaster[[#This Row],[Employee ID]],tblEmployee[Employee ID],tblEmployee[Pay Factor],1))</f>
        <v>1</v>
      </c>
      <c r="G425" s="26" t="str" cm="1">
        <f t="array" ref="G425">IF(tblPayrollMaster[[#This Row],[Employee ID]]="","",_xlfn.XLOOKUP(selPayPeriodID,tblPayCalendar[PayPeriodID],tblPayCalendar[PeriodStart],""))</f>
        <v/>
      </c>
      <c r="H425" s="26" t="str" cm="1">
        <f t="array" ref="H425">IF(tblPayrollMaster[[#This Row],[Employee ID]]="","",_xlfn.XLOOKUP(selPayPeriodID,tblPayCalendar[PayPeriodID],tblPayCalendar[PeriodEnd],""))</f>
        <v/>
      </c>
      <c r="I425" s="24" t="e" cm="1" vm="1">
        <f t="array" aca="1" ref="I425" ca="1">Table18[Employer Name]</f>
        <v>#VALUE!</v>
      </c>
      <c r="J425" s="3" cm="1">
        <f t="array" ref="J42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25" s="25" t="str">
        <f>_xlfn.XLOOKUP(tblPayrollMaster[[#This Row],[Employee Position]],tblPositionandPayRate[Employee Position],tblPositionandPayRate[Overtime], " ")</f>
        <v xml:space="preserve"> </v>
      </c>
      <c r="L425" s="25">
        <f>_xlfn.XLOOKUP(tblPayrollMaster[[#This Row],[Employee Position]],tblPositionandPayRate[Employee Position],tblPositionandPayRate[Allowance 1],0)*tblPayrollMaster[[#This Row],[Pay Factor]]</f>
        <v>0</v>
      </c>
      <c r="M425" s="25">
        <f>_xlfn.XLOOKUP(tblPayrollMaster[[#This Row],[Employee Position]],tblPositionandPayRate[Employee Position],tblPositionandPayRate[Allowance 2],0)*tblPayrollMaster[[#This Row],[Pay Factor]]</f>
        <v>0</v>
      </c>
      <c r="N425" s="25">
        <f>_xlfn.XLOOKUP(tblPayrollMaster[[#This Row],[Employee Position]],tblPositionandPayRate[Employee Position],tblPositionandPayRate[Allowance 3],0)*tblPayrollMaster[[#This Row],[Pay Factor]]</f>
        <v>0</v>
      </c>
      <c r="O425" s="25">
        <f>_xlfn.XLOOKUP(tblPayrollMaster[[#This Row],[Employee Position]],tblPositionandPayRate[Employee Position],tblPositionandPayRate[Allowance 4],0)*tblPayrollMaster[[#This Row],[Pay Factor]]</f>
        <v>0</v>
      </c>
      <c r="P425" s="25">
        <f>_xlfn.XLOOKUP(tblPayrollMaster[[#This Row],[Employee Position]],tblPositionandPayRate[Employee Position],tblPositionandPayRate[Allowance 5],0)*tblPayrollMaster[[#This Row],[Pay Factor]]</f>
        <v>0</v>
      </c>
      <c r="Q425" s="25">
        <f>SUM(tblPayrollMaster[[#This Row],[Basic Pay]:[Allowance 5]])</f>
        <v>0</v>
      </c>
      <c r="R42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25" s="51" cm="1">
        <f t="array" ref="S4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25" s="3" cm="1">
        <f t="array" ref="T4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25" s="25">
        <f>_xlfn.LET(
_xlpm.tos, _xlfn.XLOOKUP(tblPayrollMaster[[#This Row],[Employee ID]], tblEmployee[Employee ID], tblEmployee[Type of Service], ""),
IF(_xlpm.tos="Contract of Service", 8.25, 0)
)</f>
        <v>0</v>
      </c>
      <c r="V425" s="25">
        <f>tblPayrollMaster[[#This Row],[Basic Earnings]]-tblPayrollMaster[[#This Row],[Tax]]-tblPayrollMaster[[#This Row],[NIS - Employee]]-tblPayrollMaster[[#This Row],[Health Surcharge]]</f>
        <v>0</v>
      </c>
      <c r="W425" s="25">
        <f>tblPayrollMaster[[#This Row],[Net Pay]]</f>
        <v>0</v>
      </c>
      <c r="X425" s="25"/>
    </row>
    <row r="426" spans="1:24" x14ac:dyDescent="0.25">
      <c r="A426" s="24"/>
      <c r="B426" s="24" t="str">
        <f>_xlfn.XLOOKUP(tblPayrollMaster[[#This Row],[Employee ID]],tblEmployee[Employee ID],tblEmployee[Employee Name],"")</f>
        <v/>
      </c>
      <c r="C426" s="24" t="str">
        <f>_xlfn.XLOOKUP(tblPayrollMaster[[#This Row],[Employee ID]],tblEmployee[Employee ID],tblEmployee[Employee Position],"")</f>
        <v/>
      </c>
      <c r="D426" s="24" t="str">
        <f>_xlfn.XLOOKUP(tblPayrollMaster[[#This Row],[Employee ID]], tblEmployee[Employee ID], tblEmployee[Pay Status], "Pay")</f>
        <v>Pay</v>
      </c>
      <c r="E426" s="24" t="str">
        <f>_xlfn.XLOOKUP(tblPayrollMaster[[#This Row],[Employee ID]], tblEmployee[Employee ID], tblEmployee[Payable Flag], "Y")</f>
        <v>Y</v>
      </c>
      <c r="F426" s="45">
        <f>IF(tblPayrollMaster[[#This Row],[Payable Flag]]="N",0,_xlfn.XLOOKUP(tblPayrollMaster[[#This Row],[Employee ID]],tblEmployee[Employee ID],tblEmployee[Pay Factor],1))</f>
        <v>1</v>
      </c>
      <c r="G426" s="26" t="str" cm="1">
        <f t="array" ref="G426">IF(tblPayrollMaster[[#This Row],[Employee ID]]="","",_xlfn.XLOOKUP(selPayPeriodID,tblPayCalendar[PayPeriodID],tblPayCalendar[PeriodStart],""))</f>
        <v/>
      </c>
      <c r="H426" s="26" t="str" cm="1">
        <f t="array" ref="H426">IF(tblPayrollMaster[[#This Row],[Employee ID]]="","",_xlfn.XLOOKUP(selPayPeriodID,tblPayCalendar[PayPeriodID],tblPayCalendar[PeriodEnd],""))</f>
        <v/>
      </c>
      <c r="I426" s="24" t="e" cm="1" vm="1">
        <f t="array" aca="1" ref="I426" ca="1">Table18[Employer Name]</f>
        <v>#VALUE!</v>
      </c>
      <c r="J426" s="3" cm="1">
        <f t="array" ref="J42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26" s="25" t="str">
        <f>_xlfn.XLOOKUP(tblPayrollMaster[[#This Row],[Employee Position]],tblPositionandPayRate[Employee Position],tblPositionandPayRate[Overtime], " ")</f>
        <v xml:space="preserve"> </v>
      </c>
      <c r="L426" s="25">
        <f>_xlfn.XLOOKUP(tblPayrollMaster[[#This Row],[Employee Position]],tblPositionandPayRate[Employee Position],tblPositionandPayRate[Allowance 1],0)*tblPayrollMaster[[#This Row],[Pay Factor]]</f>
        <v>0</v>
      </c>
      <c r="M426" s="25">
        <f>_xlfn.XLOOKUP(tblPayrollMaster[[#This Row],[Employee Position]],tblPositionandPayRate[Employee Position],tblPositionandPayRate[Allowance 2],0)*tblPayrollMaster[[#This Row],[Pay Factor]]</f>
        <v>0</v>
      </c>
      <c r="N426" s="25">
        <f>_xlfn.XLOOKUP(tblPayrollMaster[[#This Row],[Employee Position]],tblPositionandPayRate[Employee Position],tblPositionandPayRate[Allowance 3],0)*tblPayrollMaster[[#This Row],[Pay Factor]]</f>
        <v>0</v>
      </c>
      <c r="O426" s="25">
        <f>_xlfn.XLOOKUP(tblPayrollMaster[[#This Row],[Employee Position]],tblPositionandPayRate[Employee Position],tblPositionandPayRate[Allowance 4],0)*tblPayrollMaster[[#This Row],[Pay Factor]]</f>
        <v>0</v>
      </c>
      <c r="P426" s="25">
        <f>_xlfn.XLOOKUP(tblPayrollMaster[[#This Row],[Employee Position]],tblPositionandPayRate[Employee Position],tblPositionandPayRate[Allowance 5],0)*tblPayrollMaster[[#This Row],[Pay Factor]]</f>
        <v>0</v>
      </c>
      <c r="Q426" s="25">
        <f>SUM(tblPayrollMaster[[#This Row],[Basic Pay]:[Allowance 5]])</f>
        <v>0</v>
      </c>
      <c r="R42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26" s="51" cm="1">
        <f t="array" ref="S4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26" s="3" cm="1">
        <f t="array" ref="T4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26" s="25">
        <f>_xlfn.LET(
_xlpm.tos, _xlfn.XLOOKUP(tblPayrollMaster[[#This Row],[Employee ID]], tblEmployee[Employee ID], tblEmployee[Type of Service], ""),
IF(_xlpm.tos="Contract of Service", 8.25, 0)
)</f>
        <v>0</v>
      </c>
      <c r="V426" s="25">
        <f>tblPayrollMaster[[#This Row],[Basic Earnings]]-tblPayrollMaster[[#This Row],[Tax]]-tblPayrollMaster[[#This Row],[NIS - Employee]]-tblPayrollMaster[[#This Row],[Health Surcharge]]</f>
        <v>0</v>
      </c>
      <c r="W426" s="25">
        <f>tblPayrollMaster[[#This Row],[Net Pay]]</f>
        <v>0</v>
      </c>
      <c r="X426" s="25"/>
    </row>
    <row r="427" spans="1:24" x14ac:dyDescent="0.25">
      <c r="A427" s="24"/>
      <c r="B427" s="24" t="str">
        <f>_xlfn.XLOOKUP(tblPayrollMaster[[#This Row],[Employee ID]],tblEmployee[Employee ID],tblEmployee[Employee Name],"")</f>
        <v/>
      </c>
      <c r="C427" s="24" t="str">
        <f>_xlfn.XLOOKUP(tblPayrollMaster[[#This Row],[Employee ID]],tblEmployee[Employee ID],tblEmployee[Employee Position],"")</f>
        <v/>
      </c>
      <c r="D427" s="24" t="str">
        <f>_xlfn.XLOOKUP(tblPayrollMaster[[#This Row],[Employee ID]], tblEmployee[Employee ID], tblEmployee[Pay Status], "Pay")</f>
        <v>Pay</v>
      </c>
      <c r="E427" s="24" t="str">
        <f>_xlfn.XLOOKUP(tblPayrollMaster[[#This Row],[Employee ID]], tblEmployee[Employee ID], tblEmployee[Payable Flag], "Y")</f>
        <v>Y</v>
      </c>
      <c r="F427" s="45">
        <f>IF(tblPayrollMaster[[#This Row],[Payable Flag]]="N",0,_xlfn.XLOOKUP(tblPayrollMaster[[#This Row],[Employee ID]],tblEmployee[Employee ID],tblEmployee[Pay Factor],1))</f>
        <v>1</v>
      </c>
      <c r="G427" s="26" t="str" cm="1">
        <f t="array" ref="G427">IF(tblPayrollMaster[[#This Row],[Employee ID]]="","",_xlfn.XLOOKUP(selPayPeriodID,tblPayCalendar[PayPeriodID],tblPayCalendar[PeriodStart],""))</f>
        <v/>
      </c>
      <c r="H427" s="26" t="str" cm="1">
        <f t="array" ref="H427">IF(tblPayrollMaster[[#This Row],[Employee ID]]="","",_xlfn.XLOOKUP(selPayPeriodID,tblPayCalendar[PayPeriodID],tblPayCalendar[PeriodEnd],""))</f>
        <v/>
      </c>
      <c r="I427" s="24" t="e" cm="1" vm="1">
        <f t="array" aca="1" ref="I427" ca="1">Table18[Employer Name]</f>
        <v>#VALUE!</v>
      </c>
      <c r="J427" s="3" cm="1">
        <f t="array" ref="J42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27" s="25" t="str">
        <f>_xlfn.XLOOKUP(tblPayrollMaster[[#This Row],[Employee Position]],tblPositionandPayRate[Employee Position],tblPositionandPayRate[Overtime], " ")</f>
        <v xml:space="preserve"> </v>
      </c>
      <c r="L427" s="25">
        <f>_xlfn.XLOOKUP(tblPayrollMaster[[#This Row],[Employee Position]],tblPositionandPayRate[Employee Position],tblPositionandPayRate[Allowance 1],0)*tblPayrollMaster[[#This Row],[Pay Factor]]</f>
        <v>0</v>
      </c>
      <c r="M427" s="25">
        <f>_xlfn.XLOOKUP(tblPayrollMaster[[#This Row],[Employee Position]],tblPositionandPayRate[Employee Position],tblPositionandPayRate[Allowance 2],0)*tblPayrollMaster[[#This Row],[Pay Factor]]</f>
        <v>0</v>
      </c>
      <c r="N427" s="25">
        <f>_xlfn.XLOOKUP(tblPayrollMaster[[#This Row],[Employee Position]],tblPositionandPayRate[Employee Position],tblPositionandPayRate[Allowance 3],0)*tblPayrollMaster[[#This Row],[Pay Factor]]</f>
        <v>0</v>
      </c>
      <c r="O427" s="25">
        <f>_xlfn.XLOOKUP(tblPayrollMaster[[#This Row],[Employee Position]],tblPositionandPayRate[Employee Position],tblPositionandPayRate[Allowance 4],0)*tblPayrollMaster[[#This Row],[Pay Factor]]</f>
        <v>0</v>
      </c>
      <c r="P427" s="25">
        <f>_xlfn.XLOOKUP(tblPayrollMaster[[#This Row],[Employee Position]],tblPositionandPayRate[Employee Position],tblPositionandPayRate[Allowance 5],0)*tblPayrollMaster[[#This Row],[Pay Factor]]</f>
        <v>0</v>
      </c>
      <c r="Q427" s="25">
        <f>SUM(tblPayrollMaster[[#This Row],[Basic Pay]:[Allowance 5]])</f>
        <v>0</v>
      </c>
      <c r="R42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27" s="51" cm="1">
        <f t="array" ref="S4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27" s="3" cm="1">
        <f t="array" ref="T4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27" s="25">
        <f>_xlfn.LET(
_xlpm.tos, _xlfn.XLOOKUP(tblPayrollMaster[[#This Row],[Employee ID]], tblEmployee[Employee ID], tblEmployee[Type of Service], ""),
IF(_xlpm.tos="Contract of Service", 8.25, 0)
)</f>
        <v>0</v>
      </c>
      <c r="V427" s="25">
        <f>tblPayrollMaster[[#This Row],[Basic Earnings]]-tblPayrollMaster[[#This Row],[Tax]]-tblPayrollMaster[[#This Row],[NIS - Employee]]-tblPayrollMaster[[#This Row],[Health Surcharge]]</f>
        <v>0</v>
      </c>
      <c r="W427" s="25">
        <f>tblPayrollMaster[[#This Row],[Net Pay]]</f>
        <v>0</v>
      </c>
      <c r="X427" s="25"/>
    </row>
    <row r="428" spans="1:24" x14ac:dyDescent="0.25">
      <c r="A428" s="24"/>
      <c r="B428" s="24" t="str">
        <f>_xlfn.XLOOKUP(tblPayrollMaster[[#This Row],[Employee ID]],tblEmployee[Employee ID],tblEmployee[Employee Name],"")</f>
        <v/>
      </c>
      <c r="C428" s="24" t="str">
        <f>_xlfn.XLOOKUP(tblPayrollMaster[[#This Row],[Employee ID]],tblEmployee[Employee ID],tblEmployee[Employee Position],"")</f>
        <v/>
      </c>
      <c r="D428" s="24" t="str">
        <f>_xlfn.XLOOKUP(tblPayrollMaster[[#This Row],[Employee ID]], tblEmployee[Employee ID], tblEmployee[Pay Status], "Pay")</f>
        <v>Pay</v>
      </c>
      <c r="E428" s="24" t="str">
        <f>_xlfn.XLOOKUP(tblPayrollMaster[[#This Row],[Employee ID]], tblEmployee[Employee ID], tblEmployee[Payable Flag], "Y")</f>
        <v>Y</v>
      </c>
      <c r="F428" s="45">
        <f>IF(tblPayrollMaster[[#This Row],[Payable Flag]]="N",0,_xlfn.XLOOKUP(tblPayrollMaster[[#This Row],[Employee ID]],tblEmployee[Employee ID],tblEmployee[Pay Factor],1))</f>
        <v>1</v>
      </c>
      <c r="G428" s="26" t="str" cm="1">
        <f t="array" ref="G428">IF(tblPayrollMaster[[#This Row],[Employee ID]]="","",_xlfn.XLOOKUP(selPayPeriodID,tblPayCalendar[PayPeriodID],tblPayCalendar[PeriodStart],""))</f>
        <v/>
      </c>
      <c r="H428" s="26" t="str" cm="1">
        <f t="array" ref="H428">IF(tblPayrollMaster[[#This Row],[Employee ID]]="","",_xlfn.XLOOKUP(selPayPeriodID,tblPayCalendar[PayPeriodID],tblPayCalendar[PeriodEnd],""))</f>
        <v/>
      </c>
      <c r="I428" s="24" t="e" cm="1" vm="1">
        <f t="array" aca="1" ref="I428" ca="1">Table18[Employer Name]</f>
        <v>#VALUE!</v>
      </c>
      <c r="J428" s="3" cm="1">
        <f t="array" ref="J42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28" s="25" t="str">
        <f>_xlfn.XLOOKUP(tblPayrollMaster[[#This Row],[Employee Position]],tblPositionandPayRate[Employee Position],tblPositionandPayRate[Overtime], " ")</f>
        <v xml:space="preserve"> </v>
      </c>
      <c r="L428" s="25">
        <f>_xlfn.XLOOKUP(tblPayrollMaster[[#This Row],[Employee Position]],tblPositionandPayRate[Employee Position],tblPositionandPayRate[Allowance 1],0)*tblPayrollMaster[[#This Row],[Pay Factor]]</f>
        <v>0</v>
      </c>
      <c r="M428" s="25">
        <f>_xlfn.XLOOKUP(tblPayrollMaster[[#This Row],[Employee Position]],tblPositionandPayRate[Employee Position],tblPositionandPayRate[Allowance 2],0)*tblPayrollMaster[[#This Row],[Pay Factor]]</f>
        <v>0</v>
      </c>
      <c r="N428" s="25">
        <f>_xlfn.XLOOKUP(tblPayrollMaster[[#This Row],[Employee Position]],tblPositionandPayRate[Employee Position],tblPositionandPayRate[Allowance 3],0)*tblPayrollMaster[[#This Row],[Pay Factor]]</f>
        <v>0</v>
      </c>
      <c r="O428" s="25">
        <f>_xlfn.XLOOKUP(tblPayrollMaster[[#This Row],[Employee Position]],tblPositionandPayRate[Employee Position],tblPositionandPayRate[Allowance 4],0)*tblPayrollMaster[[#This Row],[Pay Factor]]</f>
        <v>0</v>
      </c>
      <c r="P428" s="25">
        <f>_xlfn.XLOOKUP(tblPayrollMaster[[#This Row],[Employee Position]],tblPositionandPayRate[Employee Position],tblPositionandPayRate[Allowance 5],0)*tblPayrollMaster[[#This Row],[Pay Factor]]</f>
        <v>0</v>
      </c>
      <c r="Q428" s="25">
        <f>SUM(tblPayrollMaster[[#This Row],[Basic Pay]:[Allowance 5]])</f>
        <v>0</v>
      </c>
      <c r="R42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28" s="51" cm="1">
        <f t="array" ref="S4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28" s="3" cm="1">
        <f t="array" ref="T4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28" s="25">
        <f>_xlfn.LET(
_xlpm.tos, _xlfn.XLOOKUP(tblPayrollMaster[[#This Row],[Employee ID]], tblEmployee[Employee ID], tblEmployee[Type of Service], ""),
IF(_xlpm.tos="Contract of Service", 8.25, 0)
)</f>
        <v>0</v>
      </c>
      <c r="V428" s="25">
        <f>tblPayrollMaster[[#This Row],[Basic Earnings]]-tblPayrollMaster[[#This Row],[Tax]]-tblPayrollMaster[[#This Row],[NIS - Employee]]-tblPayrollMaster[[#This Row],[Health Surcharge]]</f>
        <v>0</v>
      </c>
      <c r="W428" s="25">
        <f>tblPayrollMaster[[#This Row],[Net Pay]]</f>
        <v>0</v>
      </c>
      <c r="X428" s="25"/>
    </row>
    <row r="429" spans="1:24" x14ac:dyDescent="0.25">
      <c r="A429" s="24"/>
      <c r="B429" s="24" t="str">
        <f>_xlfn.XLOOKUP(tblPayrollMaster[[#This Row],[Employee ID]],tblEmployee[Employee ID],tblEmployee[Employee Name],"")</f>
        <v/>
      </c>
      <c r="C429" s="24" t="str">
        <f>_xlfn.XLOOKUP(tblPayrollMaster[[#This Row],[Employee ID]],tblEmployee[Employee ID],tblEmployee[Employee Position],"")</f>
        <v/>
      </c>
      <c r="D429" s="24" t="str">
        <f>_xlfn.XLOOKUP(tblPayrollMaster[[#This Row],[Employee ID]], tblEmployee[Employee ID], tblEmployee[Pay Status], "Pay")</f>
        <v>Pay</v>
      </c>
      <c r="E429" s="24" t="str">
        <f>_xlfn.XLOOKUP(tblPayrollMaster[[#This Row],[Employee ID]], tblEmployee[Employee ID], tblEmployee[Payable Flag], "Y")</f>
        <v>Y</v>
      </c>
      <c r="F429" s="45">
        <f>IF(tblPayrollMaster[[#This Row],[Payable Flag]]="N",0,_xlfn.XLOOKUP(tblPayrollMaster[[#This Row],[Employee ID]],tblEmployee[Employee ID],tblEmployee[Pay Factor],1))</f>
        <v>1</v>
      </c>
      <c r="G429" s="26" t="str" cm="1">
        <f t="array" ref="G429">IF(tblPayrollMaster[[#This Row],[Employee ID]]="","",_xlfn.XLOOKUP(selPayPeriodID,tblPayCalendar[PayPeriodID],tblPayCalendar[PeriodStart],""))</f>
        <v/>
      </c>
      <c r="H429" s="26" t="str" cm="1">
        <f t="array" ref="H429">IF(tblPayrollMaster[[#This Row],[Employee ID]]="","",_xlfn.XLOOKUP(selPayPeriodID,tblPayCalendar[PayPeriodID],tblPayCalendar[PeriodEnd],""))</f>
        <v/>
      </c>
      <c r="I429" s="24" t="e" cm="1" vm="1">
        <f t="array" aca="1" ref="I429" ca="1">Table18[Employer Name]</f>
        <v>#VALUE!</v>
      </c>
      <c r="J429" s="3" cm="1">
        <f t="array" ref="J42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29" s="25" t="str">
        <f>_xlfn.XLOOKUP(tblPayrollMaster[[#This Row],[Employee Position]],tblPositionandPayRate[Employee Position],tblPositionandPayRate[Overtime], " ")</f>
        <v xml:space="preserve"> </v>
      </c>
      <c r="L429" s="25">
        <f>_xlfn.XLOOKUP(tblPayrollMaster[[#This Row],[Employee Position]],tblPositionandPayRate[Employee Position],tblPositionandPayRate[Allowance 1],0)*tblPayrollMaster[[#This Row],[Pay Factor]]</f>
        <v>0</v>
      </c>
      <c r="M429" s="25">
        <f>_xlfn.XLOOKUP(tblPayrollMaster[[#This Row],[Employee Position]],tblPositionandPayRate[Employee Position],tblPositionandPayRate[Allowance 2],0)*tblPayrollMaster[[#This Row],[Pay Factor]]</f>
        <v>0</v>
      </c>
      <c r="N429" s="25">
        <f>_xlfn.XLOOKUP(tblPayrollMaster[[#This Row],[Employee Position]],tblPositionandPayRate[Employee Position],tblPositionandPayRate[Allowance 3],0)*tblPayrollMaster[[#This Row],[Pay Factor]]</f>
        <v>0</v>
      </c>
      <c r="O429" s="25">
        <f>_xlfn.XLOOKUP(tblPayrollMaster[[#This Row],[Employee Position]],tblPositionandPayRate[Employee Position],tblPositionandPayRate[Allowance 4],0)*tblPayrollMaster[[#This Row],[Pay Factor]]</f>
        <v>0</v>
      </c>
      <c r="P429" s="25">
        <f>_xlfn.XLOOKUP(tblPayrollMaster[[#This Row],[Employee Position]],tblPositionandPayRate[Employee Position],tblPositionandPayRate[Allowance 5],0)*tblPayrollMaster[[#This Row],[Pay Factor]]</f>
        <v>0</v>
      </c>
      <c r="Q429" s="25">
        <f>SUM(tblPayrollMaster[[#This Row],[Basic Pay]:[Allowance 5]])</f>
        <v>0</v>
      </c>
      <c r="R42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29" s="51" cm="1">
        <f t="array" ref="S4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29" s="3" cm="1">
        <f t="array" ref="T4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29" s="25">
        <f>_xlfn.LET(
_xlpm.tos, _xlfn.XLOOKUP(tblPayrollMaster[[#This Row],[Employee ID]], tblEmployee[Employee ID], tblEmployee[Type of Service], ""),
IF(_xlpm.tos="Contract of Service", 8.25, 0)
)</f>
        <v>0</v>
      </c>
      <c r="V429" s="25">
        <f>tblPayrollMaster[[#This Row],[Basic Earnings]]-tblPayrollMaster[[#This Row],[Tax]]-tblPayrollMaster[[#This Row],[NIS - Employee]]-tblPayrollMaster[[#This Row],[Health Surcharge]]</f>
        <v>0</v>
      </c>
      <c r="W429" s="25">
        <f>tblPayrollMaster[[#This Row],[Net Pay]]</f>
        <v>0</v>
      </c>
      <c r="X429" s="25"/>
    </row>
    <row r="430" spans="1:24" x14ac:dyDescent="0.25">
      <c r="A430" s="24"/>
      <c r="B430" s="24" t="str">
        <f>_xlfn.XLOOKUP(tblPayrollMaster[[#This Row],[Employee ID]],tblEmployee[Employee ID],tblEmployee[Employee Name],"")</f>
        <v/>
      </c>
      <c r="C430" s="24" t="str">
        <f>_xlfn.XLOOKUP(tblPayrollMaster[[#This Row],[Employee ID]],tblEmployee[Employee ID],tblEmployee[Employee Position],"")</f>
        <v/>
      </c>
      <c r="D430" s="24" t="str">
        <f>_xlfn.XLOOKUP(tblPayrollMaster[[#This Row],[Employee ID]], tblEmployee[Employee ID], tblEmployee[Pay Status], "Pay")</f>
        <v>Pay</v>
      </c>
      <c r="E430" s="24" t="str">
        <f>_xlfn.XLOOKUP(tblPayrollMaster[[#This Row],[Employee ID]], tblEmployee[Employee ID], tblEmployee[Payable Flag], "Y")</f>
        <v>Y</v>
      </c>
      <c r="F430" s="45">
        <f>IF(tblPayrollMaster[[#This Row],[Payable Flag]]="N",0,_xlfn.XLOOKUP(tblPayrollMaster[[#This Row],[Employee ID]],tblEmployee[Employee ID],tblEmployee[Pay Factor],1))</f>
        <v>1</v>
      </c>
      <c r="G430" s="26" t="str" cm="1">
        <f t="array" ref="G430">IF(tblPayrollMaster[[#This Row],[Employee ID]]="","",_xlfn.XLOOKUP(selPayPeriodID,tblPayCalendar[PayPeriodID],tblPayCalendar[PeriodStart],""))</f>
        <v/>
      </c>
      <c r="H430" s="26" t="str" cm="1">
        <f t="array" ref="H430">IF(tblPayrollMaster[[#This Row],[Employee ID]]="","",_xlfn.XLOOKUP(selPayPeriodID,tblPayCalendar[PayPeriodID],tblPayCalendar[PeriodEnd],""))</f>
        <v/>
      </c>
      <c r="I430" s="24" t="e" cm="1" vm="1">
        <f t="array" aca="1" ref="I430" ca="1">Table18[Employer Name]</f>
        <v>#VALUE!</v>
      </c>
      <c r="J430" s="3" cm="1">
        <f t="array" ref="J43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30" s="25" t="str">
        <f>_xlfn.XLOOKUP(tblPayrollMaster[[#This Row],[Employee Position]],tblPositionandPayRate[Employee Position],tblPositionandPayRate[Overtime], " ")</f>
        <v xml:space="preserve"> </v>
      </c>
      <c r="L430" s="25">
        <f>_xlfn.XLOOKUP(tblPayrollMaster[[#This Row],[Employee Position]],tblPositionandPayRate[Employee Position],tblPositionandPayRate[Allowance 1],0)*tblPayrollMaster[[#This Row],[Pay Factor]]</f>
        <v>0</v>
      </c>
      <c r="M430" s="25">
        <f>_xlfn.XLOOKUP(tblPayrollMaster[[#This Row],[Employee Position]],tblPositionandPayRate[Employee Position],tblPositionandPayRate[Allowance 2],0)*tblPayrollMaster[[#This Row],[Pay Factor]]</f>
        <v>0</v>
      </c>
      <c r="N430" s="25">
        <f>_xlfn.XLOOKUP(tblPayrollMaster[[#This Row],[Employee Position]],tblPositionandPayRate[Employee Position],tblPositionandPayRate[Allowance 3],0)*tblPayrollMaster[[#This Row],[Pay Factor]]</f>
        <v>0</v>
      </c>
      <c r="O430" s="25">
        <f>_xlfn.XLOOKUP(tblPayrollMaster[[#This Row],[Employee Position]],tblPositionandPayRate[Employee Position],tblPositionandPayRate[Allowance 4],0)*tblPayrollMaster[[#This Row],[Pay Factor]]</f>
        <v>0</v>
      </c>
      <c r="P430" s="25">
        <f>_xlfn.XLOOKUP(tblPayrollMaster[[#This Row],[Employee Position]],tblPositionandPayRate[Employee Position],tblPositionandPayRate[Allowance 5],0)*tblPayrollMaster[[#This Row],[Pay Factor]]</f>
        <v>0</v>
      </c>
      <c r="Q430" s="25">
        <f>SUM(tblPayrollMaster[[#This Row],[Basic Pay]:[Allowance 5]])</f>
        <v>0</v>
      </c>
      <c r="R43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30" s="51" cm="1">
        <f t="array" ref="S4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30" s="3" cm="1">
        <f t="array" ref="T4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30" s="25">
        <f>_xlfn.LET(
_xlpm.tos, _xlfn.XLOOKUP(tblPayrollMaster[[#This Row],[Employee ID]], tblEmployee[Employee ID], tblEmployee[Type of Service], ""),
IF(_xlpm.tos="Contract of Service", 8.25, 0)
)</f>
        <v>0</v>
      </c>
      <c r="V430" s="25">
        <f>tblPayrollMaster[[#This Row],[Basic Earnings]]-tblPayrollMaster[[#This Row],[Tax]]-tblPayrollMaster[[#This Row],[NIS - Employee]]-tblPayrollMaster[[#This Row],[Health Surcharge]]</f>
        <v>0</v>
      </c>
      <c r="W430" s="25">
        <f>tblPayrollMaster[[#This Row],[Net Pay]]</f>
        <v>0</v>
      </c>
      <c r="X430" s="25"/>
    </row>
    <row r="431" spans="1:24" x14ac:dyDescent="0.25">
      <c r="A431" s="24"/>
      <c r="B431" s="24" t="str">
        <f>_xlfn.XLOOKUP(tblPayrollMaster[[#This Row],[Employee ID]],tblEmployee[Employee ID],tblEmployee[Employee Name],"")</f>
        <v/>
      </c>
      <c r="C431" s="24" t="str">
        <f>_xlfn.XLOOKUP(tblPayrollMaster[[#This Row],[Employee ID]],tblEmployee[Employee ID],tblEmployee[Employee Position],"")</f>
        <v/>
      </c>
      <c r="D431" s="24" t="str">
        <f>_xlfn.XLOOKUP(tblPayrollMaster[[#This Row],[Employee ID]], tblEmployee[Employee ID], tblEmployee[Pay Status], "Pay")</f>
        <v>Pay</v>
      </c>
      <c r="E431" s="24" t="str">
        <f>_xlfn.XLOOKUP(tblPayrollMaster[[#This Row],[Employee ID]], tblEmployee[Employee ID], tblEmployee[Payable Flag], "Y")</f>
        <v>Y</v>
      </c>
      <c r="F431" s="45">
        <f>IF(tblPayrollMaster[[#This Row],[Payable Flag]]="N",0,_xlfn.XLOOKUP(tblPayrollMaster[[#This Row],[Employee ID]],tblEmployee[Employee ID],tblEmployee[Pay Factor],1))</f>
        <v>1</v>
      </c>
      <c r="G431" s="26" t="str" cm="1">
        <f t="array" ref="G431">IF(tblPayrollMaster[[#This Row],[Employee ID]]="","",_xlfn.XLOOKUP(selPayPeriodID,tblPayCalendar[PayPeriodID],tblPayCalendar[PeriodStart],""))</f>
        <v/>
      </c>
      <c r="H431" s="26" t="str" cm="1">
        <f t="array" ref="H431">IF(tblPayrollMaster[[#This Row],[Employee ID]]="","",_xlfn.XLOOKUP(selPayPeriodID,tblPayCalendar[PayPeriodID],tblPayCalendar[PeriodEnd],""))</f>
        <v/>
      </c>
      <c r="I431" s="24" t="e" cm="1" vm="1">
        <f t="array" aca="1" ref="I431" ca="1">Table18[Employer Name]</f>
        <v>#VALUE!</v>
      </c>
      <c r="J431" s="3" cm="1">
        <f t="array" ref="J43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31" s="25" t="str">
        <f>_xlfn.XLOOKUP(tblPayrollMaster[[#This Row],[Employee Position]],tblPositionandPayRate[Employee Position],tblPositionandPayRate[Overtime], " ")</f>
        <v xml:space="preserve"> </v>
      </c>
      <c r="L431" s="25">
        <f>_xlfn.XLOOKUP(tblPayrollMaster[[#This Row],[Employee Position]],tblPositionandPayRate[Employee Position],tblPositionandPayRate[Allowance 1],0)*tblPayrollMaster[[#This Row],[Pay Factor]]</f>
        <v>0</v>
      </c>
      <c r="M431" s="25">
        <f>_xlfn.XLOOKUP(tblPayrollMaster[[#This Row],[Employee Position]],tblPositionandPayRate[Employee Position],tblPositionandPayRate[Allowance 2],0)*tblPayrollMaster[[#This Row],[Pay Factor]]</f>
        <v>0</v>
      </c>
      <c r="N431" s="25">
        <f>_xlfn.XLOOKUP(tblPayrollMaster[[#This Row],[Employee Position]],tblPositionandPayRate[Employee Position],tblPositionandPayRate[Allowance 3],0)*tblPayrollMaster[[#This Row],[Pay Factor]]</f>
        <v>0</v>
      </c>
      <c r="O431" s="25">
        <f>_xlfn.XLOOKUP(tblPayrollMaster[[#This Row],[Employee Position]],tblPositionandPayRate[Employee Position],tblPositionandPayRate[Allowance 4],0)*tblPayrollMaster[[#This Row],[Pay Factor]]</f>
        <v>0</v>
      </c>
      <c r="P431" s="25">
        <f>_xlfn.XLOOKUP(tblPayrollMaster[[#This Row],[Employee Position]],tblPositionandPayRate[Employee Position],tblPositionandPayRate[Allowance 5],0)*tblPayrollMaster[[#This Row],[Pay Factor]]</f>
        <v>0</v>
      </c>
      <c r="Q431" s="25">
        <f>SUM(tblPayrollMaster[[#This Row],[Basic Pay]:[Allowance 5]])</f>
        <v>0</v>
      </c>
      <c r="R43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31" s="51" cm="1">
        <f t="array" ref="S4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31" s="3" cm="1">
        <f t="array" ref="T4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31" s="25">
        <f>_xlfn.LET(
_xlpm.tos, _xlfn.XLOOKUP(tblPayrollMaster[[#This Row],[Employee ID]], tblEmployee[Employee ID], tblEmployee[Type of Service], ""),
IF(_xlpm.tos="Contract of Service", 8.25, 0)
)</f>
        <v>0</v>
      </c>
      <c r="V431" s="25">
        <f>tblPayrollMaster[[#This Row],[Basic Earnings]]-tblPayrollMaster[[#This Row],[Tax]]-tblPayrollMaster[[#This Row],[NIS - Employee]]-tblPayrollMaster[[#This Row],[Health Surcharge]]</f>
        <v>0</v>
      </c>
      <c r="W431" s="25">
        <f>tblPayrollMaster[[#This Row],[Net Pay]]</f>
        <v>0</v>
      </c>
      <c r="X431" s="25"/>
    </row>
    <row r="432" spans="1:24" x14ac:dyDescent="0.25">
      <c r="A432" s="24"/>
      <c r="B432" s="24" t="str">
        <f>_xlfn.XLOOKUP(tblPayrollMaster[[#This Row],[Employee ID]],tblEmployee[Employee ID],tblEmployee[Employee Name],"")</f>
        <v/>
      </c>
      <c r="C432" s="24" t="str">
        <f>_xlfn.XLOOKUP(tblPayrollMaster[[#This Row],[Employee ID]],tblEmployee[Employee ID],tblEmployee[Employee Position],"")</f>
        <v/>
      </c>
      <c r="D432" s="24" t="str">
        <f>_xlfn.XLOOKUP(tblPayrollMaster[[#This Row],[Employee ID]], tblEmployee[Employee ID], tblEmployee[Pay Status], "Pay")</f>
        <v>Pay</v>
      </c>
      <c r="E432" s="24" t="str">
        <f>_xlfn.XLOOKUP(tblPayrollMaster[[#This Row],[Employee ID]], tblEmployee[Employee ID], tblEmployee[Payable Flag], "Y")</f>
        <v>Y</v>
      </c>
      <c r="F432" s="45">
        <f>IF(tblPayrollMaster[[#This Row],[Payable Flag]]="N",0,_xlfn.XLOOKUP(tblPayrollMaster[[#This Row],[Employee ID]],tblEmployee[Employee ID],tblEmployee[Pay Factor],1))</f>
        <v>1</v>
      </c>
      <c r="G432" s="26" t="str" cm="1">
        <f t="array" ref="G432">IF(tblPayrollMaster[[#This Row],[Employee ID]]="","",_xlfn.XLOOKUP(selPayPeriodID,tblPayCalendar[PayPeriodID],tblPayCalendar[PeriodStart],""))</f>
        <v/>
      </c>
      <c r="H432" s="26" t="str" cm="1">
        <f t="array" ref="H432">IF(tblPayrollMaster[[#This Row],[Employee ID]]="","",_xlfn.XLOOKUP(selPayPeriodID,tblPayCalendar[PayPeriodID],tblPayCalendar[PeriodEnd],""))</f>
        <v/>
      </c>
      <c r="I432" s="24" t="e" cm="1" vm="1">
        <f t="array" aca="1" ref="I432" ca="1">Table18[Employer Name]</f>
        <v>#VALUE!</v>
      </c>
      <c r="J432" s="3" cm="1">
        <f t="array" ref="J43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32" s="25" t="str">
        <f>_xlfn.XLOOKUP(tblPayrollMaster[[#This Row],[Employee Position]],tblPositionandPayRate[Employee Position],tblPositionandPayRate[Overtime], " ")</f>
        <v xml:space="preserve"> </v>
      </c>
      <c r="L432" s="25">
        <f>_xlfn.XLOOKUP(tblPayrollMaster[[#This Row],[Employee Position]],tblPositionandPayRate[Employee Position],tblPositionandPayRate[Allowance 1],0)*tblPayrollMaster[[#This Row],[Pay Factor]]</f>
        <v>0</v>
      </c>
      <c r="M432" s="25">
        <f>_xlfn.XLOOKUP(tblPayrollMaster[[#This Row],[Employee Position]],tblPositionandPayRate[Employee Position],tblPositionandPayRate[Allowance 2],0)*tblPayrollMaster[[#This Row],[Pay Factor]]</f>
        <v>0</v>
      </c>
      <c r="N432" s="25">
        <f>_xlfn.XLOOKUP(tblPayrollMaster[[#This Row],[Employee Position]],tblPositionandPayRate[Employee Position],tblPositionandPayRate[Allowance 3],0)*tblPayrollMaster[[#This Row],[Pay Factor]]</f>
        <v>0</v>
      </c>
      <c r="O432" s="25">
        <f>_xlfn.XLOOKUP(tblPayrollMaster[[#This Row],[Employee Position]],tblPositionandPayRate[Employee Position],tblPositionandPayRate[Allowance 4],0)*tblPayrollMaster[[#This Row],[Pay Factor]]</f>
        <v>0</v>
      </c>
      <c r="P432" s="25">
        <f>_xlfn.XLOOKUP(tblPayrollMaster[[#This Row],[Employee Position]],tblPositionandPayRate[Employee Position],tblPositionandPayRate[Allowance 5],0)*tblPayrollMaster[[#This Row],[Pay Factor]]</f>
        <v>0</v>
      </c>
      <c r="Q432" s="25">
        <f>SUM(tblPayrollMaster[[#This Row],[Basic Pay]:[Allowance 5]])</f>
        <v>0</v>
      </c>
      <c r="R43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32" s="51" cm="1">
        <f t="array" ref="S4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32" s="3" cm="1">
        <f t="array" ref="T4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32" s="25">
        <f>_xlfn.LET(
_xlpm.tos, _xlfn.XLOOKUP(tblPayrollMaster[[#This Row],[Employee ID]], tblEmployee[Employee ID], tblEmployee[Type of Service], ""),
IF(_xlpm.tos="Contract of Service", 8.25, 0)
)</f>
        <v>0</v>
      </c>
      <c r="V432" s="25">
        <f>tblPayrollMaster[[#This Row],[Basic Earnings]]-tblPayrollMaster[[#This Row],[Tax]]-tblPayrollMaster[[#This Row],[NIS - Employee]]-tblPayrollMaster[[#This Row],[Health Surcharge]]</f>
        <v>0</v>
      </c>
      <c r="W432" s="25">
        <f>tblPayrollMaster[[#This Row],[Net Pay]]</f>
        <v>0</v>
      </c>
      <c r="X432" s="25"/>
    </row>
    <row r="433" spans="1:24" x14ac:dyDescent="0.25">
      <c r="A433" s="24"/>
      <c r="B433" s="24" t="str">
        <f>_xlfn.XLOOKUP(tblPayrollMaster[[#This Row],[Employee ID]],tblEmployee[Employee ID],tblEmployee[Employee Name],"")</f>
        <v/>
      </c>
      <c r="C433" s="24" t="str">
        <f>_xlfn.XLOOKUP(tblPayrollMaster[[#This Row],[Employee ID]],tblEmployee[Employee ID],tblEmployee[Employee Position],"")</f>
        <v/>
      </c>
      <c r="D433" s="24" t="str">
        <f>_xlfn.XLOOKUP(tblPayrollMaster[[#This Row],[Employee ID]], tblEmployee[Employee ID], tblEmployee[Pay Status], "Pay")</f>
        <v>Pay</v>
      </c>
      <c r="E433" s="24" t="str">
        <f>_xlfn.XLOOKUP(tblPayrollMaster[[#This Row],[Employee ID]], tblEmployee[Employee ID], tblEmployee[Payable Flag], "Y")</f>
        <v>Y</v>
      </c>
      <c r="F433" s="45">
        <f>IF(tblPayrollMaster[[#This Row],[Payable Flag]]="N",0,_xlfn.XLOOKUP(tblPayrollMaster[[#This Row],[Employee ID]],tblEmployee[Employee ID],tblEmployee[Pay Factor],1))</f>
        <v>1</v>
      </c>
      <c r="G433" s="26" t="str" cm="1">
        <f t="array" ref="G433">IF(tblPayrollMaster[[#This Row],[Employee ID]]="","",_xlfn.XLOOKUP(selPayPeriodID,tblPayCalendar[PayPeriodID],tblPayCalendar[PeriodStart],""))</f>
        <v/>
      </c>
      <c r="H433" s="26" t="str" cm="1">
        <f t="array" ref="H433">IF(tblPayrollMaster[[#This Row],[Employee ID]]="","",_xlfn.XLOOKUP(selPayPeriodID,tblPayCalendar[PayPeriodID],tblPayCalendar[PeriodEnd],""))</f>
        <v/>
      </c>
      <c r="I433" s="24" t="e" cm="1" vm="1">
        <f t="array" aca="1" ref="I433" ca="1">Table18[Employer Name]</f>
        <v>#VALUE!</v>
      </c>
      <c r="J433" s="3" cm="1">
        <f t="array" ref="J43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33" s="25" t="str">
        <f>_xlfn.XLOOKUP(tblPayrollMaster[[#This Row],[Employee Position]],tblPositionandPayRate[Employee Position],tblPositionandPayRate[Overtime], " ")</f>
        <v xml:space="preserve"> </v>
      </c>
      <c r="L433" s="25">
        <f>_xlfn.XLOOKUP(tblPayrollMaster[[#This Row],[Employee Position]],tblPositionandPayRate[Employee Position],tblPositionandPayRate[Allowance 1],0)*tblPayrollMaster[[#This Row],[Pay Factor]]</f>
        <v>0</v>
      </c>
      <c r="M433" s="25">
        <f>_xlfn.XLOOKUP(tblPayrollMaster[[#This Row],[Employee Position]],tblPositionandPayRate[Employee Position],tblPositionandPayRate[Allowance 2],0)*tblPayrollMaster[[#This Row],[Pay Factor]]</f>
        <v>0</v>
      </c>
      <c r="N433" s="25">
        <f>_xlfn.XLOOKUP(tblPayrollMaster[[#This Row],[Employee Position]],tblPositionandPayRate[Employee Position],tblPositionandPayRate[Allowance 3],0)*tblPayrollMaster[[#This Row],[Pay Factor]]</f>
        <v>0</v>
      </c>
      <c r="O433" s="25">
        <f>_xlfn.XLOOKUP(tblPayrollMaster[[#This Row],[Employee Position]],tblPositionandPayRate[Employee Position],tblPositionandPayRate[Allowance 4],0)*tblPayrollMaster[[#This Row],[Pay Factor]]</f>
        <v>0</v>
      </c>
      <c r="P433" s="25">
        <f>_xlfn.XLOOKUP(tblPayrollMaster[[#This Row],[Employee Position]],tblPositionandPayRate[Employee Position],tblPositionandPayRate[Allowance 5],0)*tblPayrollMaster[[#This Row],[Pay Factor]]</f>
        <v>0</v>
      </c>
      <c r="Q433" s="25">
        <f>SUM(tblPayrollMaster[[#This Row],[Basic Pay]:[Allowance 5]])</f>
        <v>0</v>
      </c>
      <c r="R43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33" s="51" cm="1">
        <f t="array" ref="S4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33" s="3" cm="1">
        <f t="array" ref="T4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33" s="25">
        <f>_xlfn.LET(
_xlpm.tos, _xlfn.XLOOKUP(tblPayrollMaster[[#This Row],[Employee ID]], tblEmployee[Employee ID], tblEmployee[Type of Service], ""),
IF(_xlpm.tos="Contract of Service", 8.25, 0)
)</f>
        <v>0</v>
      </c>
      <c r="V433" s="25">
        <f>tblPayrollMaster[[#This Row],[Basic Earnings]]-tblPayrollMaster[[#This Row],[Tax]]-tblPayrollMaster[[#This Row],[NIS - Employee]]-tblPayrollMaster[[#This Row],[Health Surcharge]]</f>
        <v>0</v>
      </c>
      <c r="W433" s="25">
        <f>tblPayrollMaster[[#This Row],[Net Pay]]</f>
        <v>0</v>
      </c>
      <c r="X433" s="25"/>
    </row>
    <row r="434" spans="1:24" x14ac:dyDescent="0.25">
      <c r="A434" s="24"/>
      <c r="B434" s="24" t="str">
        <f>_xlfn.XLOOKUP(tblPayrollMaster[[#This Row],[Employee ID]],tblEmployee[Employee ID],tblEmployee[Employee Name],"")</f>
        <v/>
      </c>
      <c r="C434" s="24" t="str">
        <f>_xlfn.XLOOKUP(tblPayrollMaster[[#This Row],[Employee ID]],tblEmployee[Employee ID],tblEmployee[Employee Position],"")</f>
        <v/>
      </c>
      <c r="D434" s="24" t="str">
        <f>_xlfn.XLOOKUP(tblPayrollMaster[[#This Row],[Employee ID]], tblEmployee[Employee ID], tblEmployee[Pay Status], "Pay")</f>
        <v>Pay</v>
      </c>
      <c r="E434" s="24" t="str">
        <f>_xlfn.XLOOKUP(tblPayrollMaster[[#This Row],[Employee ID]], tblEmployee[Employee ID], tblEmployee[Payable Flag], "Y")</f>
        <v>Y</v>
      </c>
      <c r="F434" s="45">
        <f>IF(tblPayrollMaster[[#This Row],[Payable Flag]]="N",0,_xlfn.XLOOKUP(tblPayrollMaster[[#This Row],[Employee ID]],tblEmployee[Employee ID],tblEmployee[Pay Factor],1))</f>
        <v>1</v>
      </c>
      <c r="G434" s="26" t="str" cm="1">
        <f t="array" ref="G434">IF(tblPayrollMaster[[#This Row],[Employee ID]]="","",_xlfn.XLOOKUP(selPayPeriodID,tblPayCalendar[PayPeriodID],tblPayCalendar[PeriodStart],""))</f>
        <v/>
      </c>
      <c r="H434" s="26" t="str" cm="1">
        <f t="array" ref="H434">IF(tblPayrollMaster[[#This Row],[Employee ID]]="","",_xlfn.XLOOKUP(selPayPeriodID,tblPayCalendar[PayPeriodID],tblPayCalendar[PeriodEnd],""))</f>
        <v/>
      </c>
      <c r="I434" s="24" t="e" cm="1" vm="1">
        <f t="array" aca="1" ref="I434" ca="1">Table18[Employer Name]</f>
        <v>#VALUE!</v>
      </c>
      <c r="J434" s="3" cm="1">
        <f t="array" ref="J43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34" s="25" t="str">
        <f>_xlfn.XLOOKUP(tblPayrollMaster[[#This Row],[Employee Position]],tblPositionandPayRate[Employee Position],tblPositionandPayRate[Overtime], " ")</f>
        <v xml:space="preserve"> </v>
      </c>
      <c r="L434" s="25">
        <f>_xlfn.XLOOKUP(tblPayrollMaster[[#This Row],[Employee Position]],tblPositionandPayRate[Employee Position],tblPositionandPayRate[Allowance 1],0)*tblPayrollMaster[[#This Row],[Pay Factor]]</f>
        <v>0</v>
      </c>
      <c r="M434" s="25">
        <f>_xlfn.XLOOKUP(tblPayrollMaster[[#This Row],[Employee Position]],tblPositionandPayRate[Employee Position],tblPositionandPayRate[Allowance 2],0)*tblPayrollMaster[[#This Row],[Pay Factor]]</f>
        <v>0</v>
      </c>
      <c r="N434" s="25">
        <f>_xlfn.XLOOKUP(tblPayrollMaster[[#This Row],[Employee Position]],tblPositionandPayRate[Employee Position],tblPositionandPayRate[Allowance 3],0)*tblPayrollMaster[[#This Row],[Pay Factor]]</f>
        <v>0</v>
      </c>
      <c r="O434" s="25">
        <f>_xlfn.XLOOKUP(tblPayrollMaster[[#This Row],[Employee Position]],tblPositionandPayRate[Employee Position],tblPositionandPayRate[Allowance 4],0)*tblPayrollMaster[[#This Row],[Pay Factor]]</f>
        <v>0</v>
      </c>
      <c r="P434" s="25">
        <f>_xlfn.XLOOKUP(tblPayrollMaster[[#This Row],[Employee Position]],tblPositionandPayRate[Employee Position],tblPositionandPayRate[Allowance 5],0)*tblPayrollMaster[[#This Row],[Pay Factor]]</f>
        <v>0</v>
      </c>
      <c r="Q434" s="25">
        <f>SUM(tblPayrollMaster[[#This Row],[Basic Pay]:[Allowance 5]])</f>
        <v>0</v>
      </c>
      <c r="R43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34" s="51" cm="1">
        <f t="array" ref="S4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34" s="3" cm="1">
        <f t="array" ref="T4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34" s="25">
        <f>_xlfn.LET(
_xlpm.tos, _xlfn.XLOOKUP(tblPayrollMaster[[#This Row],[Employee ID]], tblEmployee[Employee ID], tblEmployee[Type of Service], ""),
IF(_xlpm.tos="Contract of Service", 8.25, 0)
)</f>
        <v>0</v>
      </c>
      <c r="V434" s="25">
        <f>tblPayrollMaster[[#This Row],[Basic Earnings]]-tblPayrollMaster[[#This Row],[Tax]]-tblPayrollMaster[[#This Row],[NIS - Employee]]-tblPayrollMaster[[#This Row],[Health Surcharge]]</f>
        <v>0</v>
      </c>
      <c r="W434" s="25">
        <f>tblPayrollMaster[[#This Row],[Net Pay]]</f>
        <v>0</v>
      </c>
      <c r="X434" s="25"/>
    </row>
    <row r="435" spans="1:24" x14ac:dyDescent="0.25">
      <c r="A435" s="24"/>
      <c r="B435" s="24" t="str">
        <f>_xlfn.XLOOKUP(tblPayrollMaster[[#This Row],[Employee ID]],tblEmployee[Employee ID],tblEmployee[Employee Name],"")</f>
        <v/>
      </c>
      <c r="C435" s="24" t="str">
        <f>_xlfn.XLOOKUP(tblPayrollMaster[[#This Row],[Employee ID]],tblEmployee[Employee ID],tblEmployee[Employee Position],"")</f>
        <v/>
      </c>
      <c r="D435" s="24" t="str">
        <f>_xlfn.XLOOKUP(tblPayrollMaster[[#This Row],[Employee ID]], tblEmployee[Employee ID], tblEmployee[Pay Status], "Pay")</f>
        <v>Pay</v>
      </c>
      <c r="E435" s="24" t="str">
        <f>_xlfn.XLOOKUP(tblPayrollMaster[[#This Row],[Employee ID]], tblEmployee[Employee ID], tblEmployee[Payable Flag], "Y")</f>
        <v>Y</v>
      </c>
      <c r="F435" s="45">
        <f>IF(tblPayrollMaster[[#This Row],[Payable Flag]]="N",0,_xlfn.XLOOKUP(tblPayrollMaster[[#This Row],[Employee ID]],tblEmployee[Employee ID],tblEmployee[Pay Factor],1))</f>
        <v>1</v>
      </c>
      <c r="G435" s="26" t="str" cm="1">
        <f t="array" ref="G435">IF(tblPayrollMaster[[#This Row],[Employee ID]]="","",_xlfn.XLOOKUP(selPayPeriodID,tblPayCalendar[PayPeriodID],tblPayCalendar[PeriodStart],""))</f>
        <v/>
      </c>
      <c r="H435" s="26" t="str" cm="1">
        <f t="array" ref="H435">IF(tblPayrollMaster[[#This Row],[Employee ID]]="","",_xlfn.XLOOKUP(selPayPeriodID,tblPayCalendar[PayPeriodID],tblPayCalendar[PeriodEnd],""))</f>
        <v/>
      </c>
      <c r="I435" s="24" t="e" cm="1" vm="1">
        <f t="array" aca="1" ref="I435" ca="1">Table18[Employer Name]</f>
        <v>#VALUE!</v>
      </c>
      <c r="J435" s="3" cm="1">
        <f t="array" ref="J43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35" s="25" t="str">
        <f>_xlfn.XLOOKUP(tblPayrollMaster[[#This Row],[Employee Position]],tblPositionandPayRate[Employee Position],tblPositionandPayRate[Overtime], " ")</f>
        <v xml:space="preserve"> </v>
      </c>
      <c r="L435" s="25">
        <f>_xlfn.XLOOKUP(tblPayrollMaster[[#This Row],[Employee Position]],tblPositionandPayRate[Employee Position],tblPositionandPayRate[Allowance 1],0)*tblPayrollMaster[[#This Row],[Pay Factor]]</f>
        <v>0</v>
      </c>
      <c r="M435" s="25">
        <f>_xlfn.XLOOKUP(tblPayrollMaster[[#This Row],[Employee Position]],tblPositionandPayRate[Employee Position],tblPositionandPayRate[Allowance 2],0)*tblPayrollMaster[[#This Row],[Pay Factor]]</f>
        <v>0</v>
      </c>
      <c r="N435" s="25">
        <f>_xlfn.XLOOKUP(tblPayrollMaster[[#This Row],[Employee Position]],tblPositionandPayRate[Employee Position],tblPositionandPayRate[Allowance 3],0)*tblPayrollMaster[[#This Row],[Pay Factor]]</f>
        <v>0</v>
      </c>
      <c r="O435" s="25">
        <f>_xlfn.XLOOKUP(tblPayrollMaster[[#This Row],[Employee Position]],tblPositionandPayRate[Employee Position],tblPositionandPayRate[Allowance 4],0)*tblPayrollMaster[[#This Row],[Pay Factor]]</f>
        <v>0</v>
      </c>
      <c r="P435" s="25">
        <f>_xlfn.XLOOKUP(tblPayrollMaster[[#This Row],[Employee Position]],tblPositionandPayRate[Employee Position],tblPositionandPayRate[Allowance 5],0)*tblPayrollMaster[[#This Row],[Pay Factor]]</f>
        <v>0</v>
      </c>
      <c r="Q435" s="25">
        <f>SUM(tblPayrollMaster[[#This Row],[Basic Pay]:[Allowance 5]])</f>
        <v>0</v>
      </c>
      <c r="R43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35" s="51" cm="1">
        <f t="array" ref="S4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35" s="3" cm="1">
        <f t="array" ref="T4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35" s="25">
        <f>_xlfn.LET(
_xlpm.tos, _xlfn.XLOOKUP(tblPayrollMaster[[#This Row],[Employee ID]], tblEmployee[Employee ID], tblEmployee[Type of Service], ""),
IF(_xlpm.tos="Contract of Service", 8.25, 0)
)</f>
        <v>0</v>
      </c>
      <c r="V435" s="25">
        <f>tblPayrollMaster[[#This Row],[Basic Earnings]]-tblPayrollMaster[[#This Row],[Tax]]-tblPayrollMaster[[#This Row],[NIS - Employee]]-tblPayrollMaster[[#This Row],[Health Surcharge]]</f>
        <v>0</v>
      </c>
      <c r="W435" s="25">
        <f>tblPayrollMaster[[#This Row],[Net Pay]]</f>
        <v>0</v>
      </c>
      <c r="X435" s="25"/>
    </row>
    <row r="436" spans="1:24" x14ac:dyDescent="0.25">
      <c r="A436" s="24"/>
      <c r="B436" s="24" t="str">
        <f>_xlfn.XLOOKUP(tblPayrollMaster[[#This Row],[Employee ID]],tblEmployee[Employee ID],tblEmployee[Employee Name],"")</f>
        <v/>
      </c>
      <c r="C436" s="24" t="str">
        <f>_xlfn.XLOOKUP(tblPayrollMaster[[#This Row],[Employee ID]],tblEmployee[Employee ID],tblEmployee[Employee Position],"")</f>
        <v/>
      </c>
      <c r="D436" s="24" t="str">
        <f>_xlfn.XLOOKUP(tblPayrollMaster[[#This Row],[Employee ID]], tblEmployee[Employee ID], tblEmployee[Pay Status], "Pay")</f>
        <v>Pay</v>
      </c>
      <c r="E436" s="24" t="str">
        <f>_xlfn.XLOOKUP(tblPayrollMaster[[#This Row],[Employee ID]], tblEmployee[Employee ID], tblEmployee[Payable Flag], "Y")</f>
        <v>Y</v>
      </c>
      <c r="F436" s="45">
        <f>IF(tblPayrollMaster[[#This Row],[Payable Flag]]="N",0,_xlfn.XLOOKUP(tblPayrollMaster[[#This Row],[Employee ID]],tblEmployee[Employee ID],tblEmployee[Pay Factor],1))</f>
        <v>1</v>
      </c>
      <c r="G436" s="26" t="str" cm="1">
        <f t="array" ref="G436">IF(tblPayrollMaster[[#This Row],[Employee ID]]="","",_xlfn.XLOOKUP(selPayPeriodID,tblPayCalendar[PayPeriodID],tblPayCalendar[PeriodStart],""))</f>
        <v/>
      </c>
      <c r="H436" s="26" t="str" cm="1">
        <f t="array" ref="H436">IF(tblPayrollMaster[[#This Row],[Employee ID]]="","",_xlfn.XLOOKUP(selPayPeriodID,tblPayCalendar[PayPeriodID],tblPayCalendar[PeriodEnd],""))</f>
        <v/>
      </c>
      <c r="I436" s="24" t="e" cm="1" vm="1">
        <f t="array" aca="1" ref="I436" ca="1">Table18[Employer Name]</f>
        <v>#VALUE!</v>
      </c>
      <c r="J436" s="3" cm="1">
        <f t="array" ref="J43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36" s="25" t="str">
        <f>_xlfn.XLOOKUP(tblPayrollMaster[[#This Row],[Employee Position]],tblPositionandPayRate[Employee Position],tblPositionandPayRate[Overtime], " ")</f>
        <v xml:space="preserve"> </v>
      </c>
      <c r="L436" s="25">
        <f>_xlfn.XLOOKUP(tblPayrollMaster[[#This Row],[Employee Position]],tblPositionandPayRate[Employee Position],tblPositionandPayRate[Allowance 1],0)*tblPayrollMaster[[#This Row],[Pay Factor]]</f>
        <v>0</v>
      </c>
      <c r="M436" s="25">
        <f>_xlfn.XLOOKUP(tblPayrollMaster[[#This Row],[Employee Position]],tblPositionandPayRate[Employee Position],tblPositionandPayRate[Allowance 2],0)*tblPayrollMaster[[#This Row],[Pay Factor]]</f>
        <v>0</v>
      </c>
      <c r="N436" s="25">
        <f>_xlfn.XLOOKUP(tblPayrollMaster[[#This Row],[Employee Position]],tblPositionandPayRate[Employee Position],tblPositionandPayRate[Allowance 3],0)*tblPayrollMaster[[#This Row],[Pay Factor]]</f>
        <v>0</v>
      </c>
      <c r="O436" s="25">
        <f>_xlfn.XLOOKUP(tblPayrollMaster[[#This Row],[Employee Position]],tblPositionandPayRate[Employee Position],tblPositionandPayRate[Allowance 4],0)*tblPayrollMaster[[#This Row],[Pay Factor]]</f>
        <v>0</v>
      </c>
      <c r="P436" s="25">
        <f>_xlfn.XLOOKUP(tblPayrollMaster[[#This Row],[Employee Position]],tblPositionandPayRate[Employee Position],tblPositionandPayRate[Allowance 5],0)*tblPayrollMaster[[#This Row],[Pay Factor]]</f>
        <v>0</v>
      </c>
      <c r="Q436" s="25">
        <f>SUM(tblPayrollMaster[[#This Row],[Basic Pay]:[Allowance 5]])</f>
        <v>0</v>
      </c>
      <c r="R43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36" s="51" cm="1">
        <f t="array" ref="S4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36" s="3" cm="1">
        <f t="array" ref="T4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36" s="25">
        <f>_xlfn.LET(
_xlpm.tos, _xlfn.XLOOKUP(tblPayrollMaster[[#This Row],[Employee ID]], tblEmployee[Employee ID], tblEmployee[Type of Service], ""),
IF(_xlpm.tos="Contract of Service", 8.25, 0)
)</f>
        <v>0</v>
      </c>
      <c r="V436" s="25">
        <f>tblPayrollMaster[[#This Row],[Basic Earnings]]-tblPayrollMaster[[#This Row],[Tax]]-tblPayrollMaster[[#This Row],[NIS - Employee]]-tblPayrollMaster[[#This Row],[Health Surcharge]]</f>
        <v>0</v>
      </c>
      <c r="W436" s="25">
        <f>tblPayrollMaster[[#This Row],[Net Pay]]</f>
        <v>0</v>
      </c>
      <c r="X436" s="25"/>
    </row>
    <row r="437" spans="1:24" x14ac:dyDescent="0.25">
      <c r="A437" s="24"/>
      <c r="B437" s="24" t="str">
        <f>_xlfn.XLOOKUP(tblPayrollMaster[[#This Row],[Employee ID]],tblEmployee[Employee ID],tblEmployee[Employee Name],"")</f>
        <v/>
      </c>
      <c r="C437" s="24" t="str">
        <f>_xlfn.XLOOKUP(tblPayrollMaster[[#This Row],[Employee ID]],tblEmployee[Employee ID],tblEmployee[Employee Position],"")</f>
        <v/>
      </c>
      <c r="D437" s="24" t="str">
        <f>_xlfn.XLOOKUP(tblPayrollMaster[[#This Row],[Employee ID]], tblEmployee[Employee ID], tblEmployee[Pay Status], "Pay")</f>
        <v>Pay</v>
      </c>
      <c r="E437" s="24" t="str">
        <f>_xlfn.XLOOKUP(tblPayrollMaster[[#This Row],[Employee ID]], tblEmployee[Employee ID], tblEmployee[Payable Flag], "Y")</f>
        <v>Y</v>
      </c>
      <c r="F437" s="45">
        <f>IF(tblPayrollMaster[[#This Row],[Payable Flag]]="N",0,_xlfn.XLOOKUP(tblPayrollMaster[[#This Row],[Employee ID]],tblEmployee[Employee ID],tblEmployee[Pay Factor],1))</f>
        <v>1</v>
      </c>
      <c r="G437" s="26" t="str" cm="1">
        <f t="array" ref="G437">IF(tblPayrollMaster[[#This Row],[Employee ID]]="","",_xlfn.XLOOKUP(selPayPeriodID,tblPayCalendar[PayPeriodID],tblPayCalendar[PeriodStart],""))</f>
        <v/>
      </c>
      <c r="H437" s="26" t="str" cm="1">
        <f t="array" ref="H437">IF(tblPayrollMaster[[#This Row],[Employee ID]]="","",_xlfn.XLOOKUP(selPayPeriodID,tblPayCalendar[PayPeriodID],tblPayCalendar[PeriodEnd],""))</f>
        <v/>
      </c>
      <c r="I437" s="24" t="e" cm="1" vm="1">
        <f t="array" aca="1" ref="I437" ca="1">Table18[Employer Name]</f>
        <v>#VALUE!</v>
      </c>
      <c r="J437" s="3" cm="1">
        <f t="array" ref="J43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37" s="25" t="str">
        <f>_xlfn.XLOOKUP(tblPayrollMaster[[#This Row],[Employee Position]],tblPositionandPayRate[Employee Position],tblPositionandPayRate[Overtime], " ")</f>
        <v xml:space="preserve"> </v>
      </c>
      <c r="L437" s="25">
        <f>_xlfn.XLOOKUP(tblPayrollMaster[[#This Row],[Employee Position]],tblPositionandPayRate[Employee Position],tblPositionandPayRate[Allowance 1],0)*tblPayrollMaster[[#This Row],[Pay Factor]]</f>
        <v>0</v>
      </c>
      <c r="M437" s="25">
        <f>_xlfn.XLOOKUP(tblPayrollMaster[[#This Row],[Employee Position]],tblPositionandPayRate[Employee Position],tblPositionandPayRate[Allowance 2],0)*tblPayrollMaster[[#This Row],[Pay Factor]]</f>
        <v>0</v>
      </c>
      <c r="N437" s="25">
        <f>_xlfn.XLOOKUP(tblPayrollMaster[[#This Row],[Employee Position]],tblPositionandPayRate[Employee Position],tblPositionandPayRate[Allowance 3],0)*tblPayrollMaster[[#This Row],[Pay Factor]]</f>
        <v>0</v>
      </c>
      <c r="O437" s="25">
        <f>_xlfn.XLOOKUP(tblPayrollMaster[[#This Row],[Employee Position]],tblPositionandPayRate[Employee Position],tblPositionandPayRate[Allowance 4],0)*tblPayrollMaster[[#This Row],[Pay Factor]]</f>
        <v>0</v>
      </c>
      <c r="P437" s="25">
        <f>_xlfn.XLOOKUP(tblPayrollMaster[[#This Row],[Employee Position]],tblPositionandPayRate[Employee Position],tblPositionandPayRate[Allowance 5],0)*tblPayrollMaster[[#This Row],[Pay Factor]]</f>
        <v>0</v>
      </c>
      <c r="Q437" s="25">
        <f>SUM(tblPayrollMaster[[#This Row],[Basic Pay]:[Allowance 5]])</f>
        <v>0</v>
      </c>
      <c r="R43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37" s="51" cm="1">
        <f t="array" ref="S4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37" s="3" cm="1">
        <f t="array" ref="T4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37" s="25">
        <f>_xlfn.LET(
_xlpm.tos, _xlfn.XLOOKUP(tblPayrollMaster[[#This Row],[Employee ID]], tblEmployee[Employee ID], tblEmployee[Type of Service], ""),
IF(_xlpm.tos="Contract of Service", 8.25, 0)
)</f>
        <v>0</v>
      </c>
      <c r="V437" s="25">
        <f>tblPayrollMaster[[#This Row],[Basic Earnings]]-tblPayrollMaster[[#This Row],[Tax]]-tblPayrollMaster[[#This Row],[NIS - Employee]]-tblPayrollMaster[[#This Row],[Health Surcharge]]</f>
        <v>0</v>
      </c>
      <c r="W437" s="25">
        <f>tblPayrollMaster[[#This Row],[Net Pay]]</f>
        <v>0</v>
      </c>
      <c r="X437" s="25"/>
    </row>
    <row r="438" spans="1:24" x14ac:dyDescent="0.25">
      <c r="A438" s="24"/>
      <c r="B438" s="24" t="str">
        <f>_xlfn.XLOOKUP(tblPayrollMaster[[#This Row],[Employee ID]],tblEmployee[Employee ID],tblEmployee[Employee Name],"")</f>
        <v/>
      </c>
      <c r="C438" s="24" t="str">
        <f>_xlfn.XLOOKUP(tblPayrollMaster[[#This Row],[Employee ID]],tblEmployee[Employee ID],tblEmployee[Employee Position],"")</f>
        <v/>
      </c>
      <c r="D438" s="24" t="str">
        <f>_xlfn.XLOOKUP(tblPayrollMaster[[#This Row],[Employee ID]], tblEmployee[Employee ID], tblEmployee[Pay Status], "Pay")</f>
        <v>Pay</v>
      </c>
      <c r="E438" s="24" t="str">
        <f>_xlfn.XLOOKUP(tblPayrollMaster[[#This Row],[Employee ID]], tblEmployee[Employee ID], tblEmployee[Payable Flag], "Y")</f>
        <v>Y</v>
      </c>
      <c r="F438" s="45">
        <f>IF(tblPayrollMaster[[#This Row],[Payable Flag]]="N",0,_xlfn.XLOOKUP(tblPayrollMaster[[#This Row],[Employee ID]],tblEmployee[Employee ID],tblEmployee[Pay Factor],1))</f>
        <v>1</v>
      </c>
      <c r="G438" s="26" t="str" cm="1">
        <f t="array" ref="G438">IF(tblPayrollMaster[[#This Row],[Employee ID]]="","",_xlfn.XLOOKUP(selPayPeriodID,tblPayCalendar[PayPeriodID],tblPayCalendar[PeriodStart],""))</f>
        <v/>
      </c>
      <c r="H438" s="26" t="str" cm="1">
        <f t="array" ref="H438">IF(tblPayrollMaster[[#This Row],[Employee ID]]="","",_xlfn.XLOOKUP(selPayPeriodID,tblPayCalendar[PayPeriodID],tblPayCalendar[PeriodEnd],""))</f>
        <v/>
      </c>
      <c r="I438" s="24" t="e" cm="1" vm="1">
        <f t="array" aca="1" ref="I438" ca="1">Table18[Employer Name]</f>
        <v>#VALUE!</v>
      </c>
      <c r="J438" s="3" cm="1">
        <f t="array" ref="J43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38" s="25" t="str">
        <f>_xlfn.XLOOKUP(tblPayrollMaster[[#This Row],[Employee Position]],tblPositionandPayRate[Employee Position],tblPositionandPayRate[Overtime], " ")</f>
        <v xml:space="preserve"> </v>
      </c>
      <c r="L438" s="25">
        <f>_xlfn.XLOOKUP(tblPayrollMaster[[#This Row],[Employee Position]],tblPositionandPayRate[Employee Position],tblPositionandPayRate[Allowance 1],0)*tblPayrollMaster[[#This Row],[Pay Factor]]</f>
        <v>0</v>
      </c>
      <c r="M438" s="25">
        <f>_xlfn.XLOOKUP(tblPayrollMaster[[#This Row],[Employee Position]],tblPositionandPayRate[Employee Position],tblPositionandPayRate[Allowance 2],0)*tblPayrollMaster[[#This Row],[Pay Factor]]</f>
        <v>0</v>
      </c>
      <c r="N438" s="25">
        <f>_xlfn.XLOOKUP(tblPayrollMaster[[#This Row],[Employee Position]],tblPositionandPayRate[Employee Position],tblPositionandPayRate[Allowance 3],0)*tblPayrollMaster[[#This Row],[Pay Factor]]</f>
        <v>0</v>
      </c>
      <c r="O438" s="25">
        <f>_xlfn.XLOOKUP(tblPayrollMaster[[#This Row],[Employee Position]],tblPositionandPayRate[Employee Position],tblPositionandPayRate[Allowance 4],0)*tblPayrollMaster[[#This Row],[Pay Factor]]</f>
        <v>0</v>
      </c>
      <c r="P438" s="25">
        <f>_xlfn.XLOOKUP(tblPayrollMaster[[#This Row],[Employee Position]],tblPositionandPayRate[Employee Position],tblPositionandPayRate[Allowance 5],0)*tblPayrollMaster[[#This Row],[Pay Factor]]</f>
        <v>0</v>
      </c>
      <c r="Q438" s="25">
        <f>SUM(tblPayrollMaster[[#This Row],[Basic Pay]:[Allowance 5]])</f>
        <v>0</v>
      </c>
      <c r="R43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38" s="51" cm="1">
        <f t="array" ref="S4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38" s="3" cm="1">
        <f t="array" ref="T4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38" s="25">
        <f>_xlfn.LET(
_xlpm.tos, _xlfn.XLOOKUP(tblPayrollMaster[[#This Row],[Employee ID]], tblEmployee[Employee ID], tblEmployee[Type of Service], ""),
IF(_xlpm.tos="Contract of Service", 8.25, 0)
)</f>
        <v>0</v>
      </c>
      <c r="V438" s="25">
        <f>tblPayrollMaster[[#This Row],[Basic Earnings]]-tblPayrollMaster[[#This Row],[Tax]]-tblPayrollMaster[[#This Row],[NIS - Employee]]-tblPayrollMaster[[#This Row],[Health Surcharge]]</f>
        <v>0</v>
      </c>
      <c r="W438" s="25">
        <f>tblPayrollMaster[[#This Row],[Net Pay]]</f>
        <v>0</v>
      </c>
      <c r="X438" s="25"/>
    </row>
    <row r="439" spans="1:24" x14ac:dyDescent="0.25">
      <c r="A439" s="24"/>
      <c r="B439" s="24" t="str">
        <f>_xlfn.XLOOKUP(tblPayrollMaster[[#This Row],[Employee ID]],tblEmployee[Employee ID],tblEmployee[Employee Name],"")</f>
        <v/>
      </c>
      <c r="C439" s="24" t="str">
        <f>_xlfn.XLOOKUP(tblPayrollMaster[[#This Row],[Employee ID]],tblEmployee[Employee ID],tblEmployee[Employee Position],"")</f>
        <v/>
      </c>
      <c r="D439" s="24" t="str">
        <f>_xlfn.XLOOKUP(tblPayrollMaster[[#This Row],[Employee ID]], tblEmployee[Employee ID], tblEmployee[Pay Status], "Pay")</f>
        <v>Pay</v>
      </c>
      <c r="E439" s="24" t="str">
        <f>_xlfn.XLOOKUP(tblPayrollMaster[[#This Row],[Employee ID]], tblEmployee[Employee ID], tblEmployee[Payable Flag], "Y")</f>
        <v>Y</v>
      </c>
      <c r="F439" s="45">
        <f>IF(tblPayrollMaster[[#This Row],[Payable Flag]]="N",0,_xlfn.XLOOKUP(tblPayrollMaster[[#This Row],[Employee ID]],tblEmployee[Employee ID],tblEmployee[Pay Factor],1))</f>
        <v>1</v>
      </c>
      <c r="G439" s="26" t="str" cm="1">
        <f t="array" ref="G439">IF(tblPayrollMaster[[#This Row],[Employee ID]]="","",_xlfn.XLOOKUP(selPayPeriodID,tblPayCalendar[PayPeriodID],tblPayCalendar[PeriodStart],""))</f>
        <v/>
      </c>
      <c r="H439" s="26" t="str" cm="1">
        <f t="array" ref="H439">IF(tblPayrollMaster[[#This Row],[Employee ID]]="","",_xlfn.XLOOKUP(selPayPeriodID,tblPayCalendar[PayPeriodID],tblPayCalendar[PeriodEnd],""))</f>
        <v/>
      </c>
      <c r="I439" s="24" t="e" cm="1" vm="1">
        <f t="array" aca="1" ref="I439" ca="1">Table18[Employer Name]</f>
        <v>#VALUE!</v>
      </c>
      <c r="J439" s="3" cm="1">
        <f t="array" ref="J43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39" s="25" t="str">
        <f>_xlfn.XLOOKUP(tblPayrollMaster[[#This Row],[Employee Position]],tblPositionandPayRate[Employee Position],tblPositionandPayRate[Overtime], " ")</f>
        <v xml:space="preserve"> </v>
      </c>
      <c r="L439" s="25">
        <f>_xlfn.XLOOKUP(tblPayrollMaster[[#This Row],[Employee Position]],tblPositionandPayRate[Employee Position],tblPositionandPayRate[Allowance 1],0)*tblPayrollMaster[[#This Row],[Pay Factor]]</f>
        <v>0</v>
      </c>
      <c r="M439" s="25">
        <f>_xlfn.XLOOKUP(tblPayrollMaster[[#This Row],[Employee Position]],tblPositionandPayRate[Employee Position],tblPositionandPayRate[Allowance 2],0)*tblPayrollMaster[[#This Row],[Pay Factor]]</f>
        <v>0</v>
      </c>
      <c r="N439" s="25">
        <f>_xlfn.XLOOKUP(tblPayrollMaster[[#This Row],[Employee Position]],tblPositionandPayRate[Employee Position],tblPositionandPayRate[Allowance 3],0)*tblPayrollMaster[[#This Row],[Pay Factor]]</f>
        <v>0</v>
      </c>
      <c r="O439" s="25">
        <f>_xlfn.XLOOKUP(tblPayrollMaster[[#This Row],[Employee Position]],tblPositionandPayRate[Employee Position],tblPositionandPayRate[Allowance 4],0)*tblPayrollMaster[[#This Row],[Pay Factor]]</f>
        <v>0</v>
      </c>
      <c r="P439" s="25">
        <f>_xlfn.XLOOKUP(tblPayrollMaster[[#This Row],[Employee Position]],tblPositionandPayRate[Employee Position],tblPositionandPayRate[Allowance 5],0)*tblPayrollMaster[[#This Row],[Pay Factor]]</f>
        <v>0</v>
      </c>
      <c r="Q439" s="25">
        <f>SUM(tblPayrollMaster[[#This Row],[Basic Pay]:[Allowance 5]])</f>
        <v>0</v>
      </c>
      <c r="R43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39" s="51" cm="1">
        <f t="array" ref="S4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39" s="3" cm="1">
        <f t="array" ref="T4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39" s="25">
        <f>_xlfn.LET(
_xlpm.tos, _xlfn.XLOOKUP(tblPayrollMaster[[#This Row],[Employee ID]], tblEmployee[Employee ID], tblEmployee[Type of Service], ""),
IF(_xlpm.tos="Contract of Service", 8.25, 0)
)</f>
        <v>0</v>
      </c>
      <c r="V439" s="25">
        <f>tblPayrollMaster[[#This Row],[Basic Earnings]]-tblPayrollMaster[[#This Row],[Tax]]-tblPayrollMaster[[#This Row],[NIS - Employee]]-tblPayrollMaster[[#This Row],[Health Surcharge]]</f>
        <v>0</v>
      </c>
      <c r="W439" s="25">
        <f>tblPayrollMaster[[#This Row],[Net Pay]]</f>
        <v>0</v>
      </c>
      <c r="X439" s="25"/>
    </row>
    <row r="440" spans="1:24" x14ac:dyDescent="0.25">
      <c r="A440" s="24"/>
      <c r="B440" s="24" t="str">
        <f>_xlfn.XLOOKUP(tblPayrollMaster[[#This Row],[Employee ID]],tblEmployee[Employee ID],tblEmployee[Employee Name],"")</f>
        <v/>
      </c>
      <c r="C440" s="24" t="str">
        <f>_xlfn.XLOOKUP(tblPayrollMaster[[#This Row],[Employee ID]],tblEmployee[Employee ID],tblEmployee[Employee Position],"")</f>
        <v/>
      </c>
      <c r="D440" s="24" t="str">
        <f>_xlfn.XLOOKUP(tblPayrollMaster[[#This Row],[Employee ID]], tblEmployee[Employee ID], tblEmployee[Pay Status], "Pay")</f>
        <v>Pay</v>
      </c>
      <c r="E440" s="24" t="str">
        <f>_xlfn.XLOOKUP(tblPayrollMaster[[#This Row],[Employee ID]], tblEmployee[Employee ID], tblEmployee[Payable Flag], "Y")</f>
        <v>Y</v>
      </c>
      <c r="F440" s="45">
        <f>IF(tblPayrollMaster[[#This Row],[Payable Flag]]="N",0,_xlfn.XLOOKUP(tblPayrollMaster[[#This Row],[Employee ID]],tblEmployee[Employee ID],tblEmployee[Pay Factor],1))</f>
        <v>1</v>
      </c>
      <c r="G440" s="26" t="str" cm="1">
        <f t="array" ref="G440">IF(tblPayrollMaster[[#This Row],[Employee ID]]="","",_xlfn.XLOOKUP(selPayPeriodID,tblPayCalendar[PayPeriodID],tblPayCalendar[PeriodStart],""))</f>
        <v/>
      </c>
      <c r="H440" s="26" t="str" cm="1">
        <f t="array" ref="H440">IF(tblPayrollMaster[[#This Row],[Employee ID]]="","",_xlfn.XLOOKUP(selPayPeriodID,tblPayCalendar[PayPeriodID],tblPayCalendar[PeriodEnd],""))</f>
        <v/>
      </c>
      <c r="I440" s="24" t="e" cm="1" vm="1">
        <f t="array" aca="1" ref="I440" ca="1">Table18[Employer Name]</f>
        <v>#VALUE!</v>
      </c>
      <c r="J440" s="3" cm="1">
        <f t="array" ref="J44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40" s="25" t="str">
        <f>_xlfn.XLOOKUP(tblPayrollMaster[[#This Row],[Employee Position]],tblPositionandPayRate[Employee Position],tblPositionandPayRate[Overtime], " ")</f>
        <v xml:space="preserve"> </v>
      </c>
      <c r="L440" s="25">
        <f>_xlfn.XLOOKUP(tblPayrollMaster[[#This Row],[Employee Position]],tblPositionandPayRate[Employee Position],tblPositionandPayRate[Allowance 1],0)*tblPayrollMaster[[#This Row],[Pay Factor]]</f>
        <v>0</v>
      </c>
      <c r="M440" s="25">
        <f>_xlfn.XLOOKUP(tblPayrollMaster[[#This Row],[Employee Position]],tblPositionandPayRate[Employee Position],tblPositionandPayRate[Allowance 2],0)*tblPayrollMaster[[#This Row],[Pay Factor]]</f>
        <v>0</v>
      </c>
      <c r="N440" s="25">
        <f>_xlfn.XLOOKUP(tblPayrollMaster[[#This Row],[Employee Position]],tblPositionandPayRate[Employee Position],tblPositionandPayRate[Allowance 3],0)*tblPayrollMaster[[#This Row],[Pay Factor]]</f>
        <v>0</v>
      </c>
      <c r="O440" s="25">
        <f>_xlfn.XLOOKUP(tblPayrollMaster[[#This Row],[Employee Position]],tblPositionandPayRate[Employee Position],tblPositionandPayRate[Allowance 4],0)*tblPayrollMaster[[#This Row],[Pay Factor]]</f>
        <v>0</v>
      </c>
      <c r="P440" s="25">
        <f>_xlfn.XLOOKUP(tblPayrollMaster[[#This Row],[Employee Position]],tblPositionandPayRate[Employee Position],tblPositionandPayRate[Allowance 5],0)*tblPayrollMaster[[#This Row],[Pay Factor]]</f>
        <v>0</v>
      </c>
      <c r="Q440" s="25">
        <f>SUM(tblPayrollMaster[[#This Row],[Basic Pay]:[Allowance 5]])</f>
        <v>0</v>
      </c>
      <c r="R44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40" s="51" cm="1">
        <f t="array" ref="S4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40" s="3" cm="1">
        <f t="array" ref="T4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40" s="25">
        <f>_xlfn.LET(
_xlpm.tos, _xlfn.XLOOKUP(tblPayrollMaster[[#This Row],[Employee ID]], tblEmployee[Employee ID], tblEmployee[Type of Service], ""),
IF(_xlpm.tos="Contract of Service", 8.25, 0)
)</f>
        <v>0</v>
      </c>
      <c r="V440" s="25">
        <f>tblPayrollMaster[[#This Row],[Basic Earnings]]-tblPayrollMaster[[#This Row],[Tax]]-tblPayrollMaster[[#This Row],[NIS - Employee]]-tblPayrollMaster[[#This Row],[Health Surcharge]]</f>
        <v>0</v>
      </c>
      <c r="W440" s="25">
        <f>tblPayrollMaster[[#This Row],[Net Pay]]</f>
        <v>0</v>
      </c>
      <c r="X440" s="25"/>
    </row>
    <row r="441" spans="1:24" x14ac:dyDescent="0.25">
      <c r="A441" s="24"/>
      <c r="B441" s="24" t="str">
        <f>_xlfn.XLOOKUP(tblPayrollMaster[[#This Row],[Employee ID]],tblEmployee[Employee ID],tblEmployee[Employee Name],"")</f>
        <v/>
      </c>
      <c r="C441" s="24" t="str">
        <f>_xlfn.XLOOKUP(tblPayrollMaster[[#This Row],[Employee ID]],tblEmployee[Employee ID],tblEmployee[Employee Position],"")</f>
        <v/>
      </c>
      <c r="D441" s="24" t="str">
        <f>_xlfn.XLOOKUP(tblPayrollMaster[[#This Row],[Employee ID]], tblEmployee[Employee ID], tblEmployee[Pay Status], "Pay")</f>
        <v>Pay</v>
      </c>
      <c r="E441" s="24" t="str">
        <f>_xlfn.XLOOKUP(tblPayrollMaster[[#This Row],[Employee ID]], tblEmployee[Employee ID], tblEmployee[Payable Flag], "Y")</f>
        <v>Y</v>
      </c>
      <c r="F441" s="45">
        <f>IF(tblPayrollMaster[[#This Row],[Payable Flag]]="N",0,_xlfn.XLOOKUP(tblPayrollMaster[[#This Row],[Employee ID]],tblEmployee[Employee ID],tblEmployee[Pay Factor],1))</f>
        <v>1</v>
      </c>
      <c r="G441" s="26" t="str" cm="1">
        <f t="array" ref="G441">IF(tblPayrollMaster[[#This Row],[Employee ID]]="","",_xlfn.XLOOKUP(selPayPeriodID,tblPayCalendar[PayPeriodID],tblPayCalendar[PeriodStart],""))</f>
        <v/>
      </c>
      <c r="H441" s="26" t="str" cm="1">
        <f t="array" ref="H441">IF(tblPayrollMaster[[#This Row],[Employee ID]]="","",_xlfn.XLOOKUP(selPayPeriodID,tblPayCalendar[PayPeriodID],tblPayCalendar[PeriodEnd],""))</f>
        <v/>
      </c>
      <c r="I441" s="24" t="e" cm="1" vm="1">
        <f t="array" aca="1" ref="I441" ca="1">Table18[Employer Name]</f>
        <v>#VALUE!</v>
      </c>
      <c r="J441" s="3" cm="1">
        <f t="array" ref="J44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41" s="25" t="str">
        <f>_xlfn.XLOOKUP(tblPayrollMaster[[#This Row],[Employee Position]],tblPositionandPayRate[Employee Position],tblPositionandPayRate[Overtime], " ")</f>
        <v xml:space="preserve"> </v>
      </c>
      <c r="L441" s="25">
        <f>_xlfn.XLOOKUP(tblPayrollMaster[[#This Row],[Employee Position]],tblPositionandPayRate[Employee Position],tblPositionandPayRate[Allowance 1],0)*tblPayrollMaster[[#This Row],[Pay Factor]]</f>
        <v>0</v>
      </c>
      <c r="M441" s="25">
        <f>_xlfn.XLOOKUP(tblPayrollMaster[[#This Row],[Employee Position]],tblPositionandPayRate[Employee Position],tblPositionandPayRate[Allowance 2],0)*tblPayrollMaster[[#This Row],[Pay Factor]]</f>
        <v>0</v>
      </c>
      <c r="N441" s="25">
        <f>_xlfn.XLOOKUP(tblPayrollMaster[[#This Row],[Employee Position]],tblPositionandPayRate[Employee Position],tblPositionandPayRate[Allowance 3],0)*tblPayrollMaster[[#This Row],[Pay Factor]]</f>
        <v>0</v>
      </c>
      <c r="O441" s="25">
        <f>_xlfn.XLOOKUP(tblPayrollMaster[[#This Row],[Employee Position]],tblPositionandPayRate[Employee Position],tblPositionandPayRate[Allowance 4],0)*tblPayrollMaster[[#This Row],[Pay Factor]]</f>
        <v>0</v>
      </c>
      <c r="P441" s="25">
        <f>_xlfn.XLOOKUP(tblPayrollMaster[[#This Row],[Employee Position]],tblPositionandPayRate[Employee Position],tblPositionandPayRate[Allowance 5],0)*tblPayrollMaster[[#This Row],[Pay Factor]]</f>
        <v>0</v>
      </c>
      <c r="Q441" s="25">
        <f>SUM(tblPayrollMaster[[#This Row],[Basic Pay]:[Allowance 5]])</f>
        <v>0</v>
      </c>
      <c r="R44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41" s="51" cm="1">
        <f t="array" ref="S4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41" s="3" cm="1">
        <f t="array" ref="T4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41" s="25">
        <f>_xlfn.LET(
_xlpm.tos, _xlfn.XLOOKUP(tblPayrollMaster[[#This Row],[Employee ID]], tblEmployee[Employee ID], tblEmployee[Type of Service], ""),
IF(_xlpm.tos="Contract of Service", 8.25, 0)
)</f>
        <v>0</v>
      </c>
      <c r="V441" s="25">
        <f>tblPayrollMaster[[#This Row],[Basic Earnings]]-tblPayrollMaster[[#This Row],[Tax]]-tblPayrollMaster[[#This Row],[NIS - Employee]]-tblPayrollMaster[[#This Row],[Health Surcharge]]</f>
        <v>0</v>
      </c>
      <c r="W441" s="25">
        <f>tblPayrollMaster[[#This Row],[Net Pay]]</f>
        <v>0</v>
      </c>
      <c r="X441" s="25"/>
    </row>
    <row r="442" spans="1:24" x14ac:dyDescent="0.25">
      <c r="A442" s="24"/>
      <c r="B442" s="24" t="str">
        <f>_xlfn.XLOOKUP(tblPayrollMaster[[#This Row],[Employee ID]],tblEmployee[Employee ID],tblEmployee[Employee Name],"")</f>
        <v/>
      </c>
      <c r="C442" s="24" t="str">
        <f>_xlfn.XLOOKUP(tblPayrollMaster[[#This Row],[Employee ID]],tblEmployee[Employee ID],tblEmployee[Employee Position],"")</f>
        <v/>
      </c>
      <c r="D442" s="24" t="str">
        <f>_xlfn.XLOOKUP(tblPayrollMaster[[#This Row],[Employee ID]], tblEmployee[Employee ID], tblEmployee[Pay Status], "Pay")</f>
        <v>Pay</v>
      </c>
      <c r="E442" s="24" t="str">
        <f>_xlfn.XLOOKUP(tblPayrollMaster[[#This Row],[Employee ID]], tblEmployee[Employee ID], tblEmployee[Payable Flag], "Y")</f>
        <v>Y</v>
      </c>
      <c r="F442" s="45">
        <f>IF(tblPayrollMaster[[#This Row],[Payable Flag]]="N",0,_xlfn.XLOOKUP(tblPayrollMaster[[#This Row],[Employee ID]],tblEmployee[Employee ID],tblEmployee[Pay Factor],1))</f>
        <v>1</v>
      </c>
      <c r="G442" s="26" t="str" cm="1">
        <f t="array" ref="G442">IF(tblPayrollMaster[[#This Row],[Employee ID]]="","",_xlfn.XLOOKUP(selPayPeriodID,tblPayCalendar[PayPeriodID],tblPayCalendar[PeriodStart],""))</f>
        <v/>
      </c>
      <c r="H442" s="26" t="str" cm="1">
        <f t="array" ref="H442">IF(tblPayrollMaster[[#This Row],[Employee ID]]="","",_xlfn.XLOOKUP(selPayPeriodID,tblPayCalendar[PayPeriodID],tblPayCalendar[PeriodEnd],""))</f>
        <v/>
      </c>
      <c r="I442" s="24" t="e" cm="1" vm="1">
        <f t="array" aca="1" ref="I442" ca="1">Table18[Employer Name]</f>
        <v>#VALUE!</v>
      </c>
      <c r="J442" s="3" cm="1">
        <f t="array" ref="J44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42" s="25" t="str">
        <f>_xlfn.XLOOKUP(tblPayrollMaster[[#This Row],[Employee Position]],tblPositionandPayRate[Employee Position],tblPositionandPayRate[Overtime], " ")</f>
        <v xml:space="preserve"> </v>
      </c>
      <c r="L442" s="25">
        <f>_xlfn.XLOOKUP(tblPayrollMaster[[#This Row],[Employee Position]],tblPositionandPayRate[Employee Position],tblPositionandPayRate[Allowance 1],0)*tblPayrollMaster[[#This Row],[Pay Factor]]</f>
        <v>0</v>
      </c>
      <c r="M442" s="25">
        <f>_xlfn.XLOOKUP(tblPayrollMaster[[#This Row],[Employee Position]],tblPositionandPayRate[Employee Position],tblPositionandPayRate[Allowance 2],0)*tblPayrollMaster[[#This Row],[Pay Factor]]</f>
        <v>0</v>
      </c>
      <c r="N442" s="25">
        <f>_xlfn.XLOOKUP(tblPayrollMaster[[#This Row],[Employee Position]],tblPositionandPayRate[Employee Position],tblPositionandPayRate[Allowance 3],0)*tblPayrollMaster[[#This Row],[Pay Factor]]</f>
        <v>0</v>
      </c>
      <c r="O442" s="25">
        <f>_xlfn.XLOOKUP(tblPayrollMaster[[#This Row],[Employee Position]],tblPositionandPayRate[Employee Position],tblPositionandPayRate[Allowance 4],0)*tblPayrollMaster[[#This Row],[Pay Factor]]</f>
        <v>0</v>
      </c>
      <c r="P442" s="25">
        <f>_xlfn.XLOOKUP(tblPayrollMaster[[#This Row],[Employee Position]],tblPositionandPayRate[Employee Position],tblPositionandPayRate[Allowance 5],0)*tblPayrollMaster[[#This Row],[Pay Factor]]</f>
        <v>0</v>
      </c>
      <c r="Q442" s="25">
        <f>SUM(tblPayrollMaster[[#This Row],[Basic Pay]:[Allowance 5]])</f>
        <v>0</v>
      </c>
      <c r="R44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42" s="51" cm="1">
        <f t="array" ref="S4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42" s="3" cm="1">
        <f t="array" ref="T4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42" s="25">
        <f>_xlfn.LET(
_xlpm.tos, _xlfn.XLOOKUP(tblPayrollMaster[[#This Row],[Employee ID]], tblEmployee[Employee ID], tblEmployee[Type of Service], ""),
IF(_xlpm.tos="Contract of Service", 8.25, 0)
)</f>
        <v>0</v>
      </c>
      <c r="V442" s="25">
        <f>tblPayrollMaster[[#This Row],[Basic Earnings]]-tblPayrollMaster[[#This Row],[Tax]]-tblPayrollMaster[[#This Row],[NIS - Employee]]-tblPayrollMaster[[#This Row],[Health Surcharge]]</f>
        <v>0</v>
      </c>
      <c r="W442" s="25">
        <f>tblPayrollMaster[[#This Row],[Net Pay]]</f>
        <v>0</v>
      </c>
      <c r="X442" s="25"/>
    </row>
    <row r="443" spans="1:24" x14ac:dyDescent="0.25">
      <c r="A443" s="24"/>
      <c r="B443" s="24" t="str">
        <f>_xlfn.XLOOKUP(tblPayrollMaster[[#This Row],[Employee ID]],tblEmployee[Employee ID],tblEmployee[Employee Name],"")</f>
        <v/>
      </c>
      <c r="C443" s="24" t="str">
        <f>_xlfn.XLOOKUP(tblPayrollMaster[[#This Row],[Employee ID]],tblEmployee[Employee ID],tblEmployee[Employee Position],"")</f>
        <v/>
      </c>
      <c r="D443" s="24" t="str">
        <f>_xlfn.XLOOKUP(tblPayrollMaster[[#This Row],[Employee ID]], tblEmployee[Employee ID], tblEmployee[Pay Status], "Pay")</f>
        <v>Pay</v>
      </c>
      <c r="E443" s="24" t="str">
        <f>_xlfn.XLOOKUP(tblPayrollMaster[[#This Row],[Employee ID]], tblEmployee[Employee ID], tblEmployee[Payable Flag], "Y")</f>
        <v>Y</v>
      </c>
      <c r="F443" s="45">
        <f>IF(tblPayrollMaster[[#This Row],[Payable Flag]]="N",0,_xlfn.XLOOKUP(tblPayrollMaster[[#This Row],[Employee ID]],tblEmployee[Employee ID],tblEmployee[Pay Factor],1))</f>
        <v>1</v>
      </c>
      <c r="G443" s="26" t="str" cm="1">
        <f t="array" ref="G443">IF(tblPayrollMaster[[#This Row],[Employee ID]]="","",_xlfn.XLOOKUP(selPayPeriodID,tblPayCalendar[PayPeriodID],tblPayCalendar[PeriodStart],""))</f>
        <v/>
      </c>
      <c r="H443" s="26" t="str" cm="1">
        <f t="array" ref="H443">IF(tblPayrollMaster[[#This Row],[Employee ID]]="","",_xlfn.XLOOKUP(selPayPeriodID,tblPayCalendar[PayPeriodID],tblPayCalendar[PeriodEnd],""))</f>
        <v/>
      </c>
      <c r="I443" s="24" t="e" cm="1" vm="1">
        <f t="array" aca="1" ref="I443" ca="1">Table18[Employer Name]</f>
        <v>#VALUE!</v>
      </c>
      <c r="J443" s="3" cm="1">
        <f t="array" ref="J44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43" s="25" t="str">
        <f>_xlfn.XLOOKUP(tblPayrollMaster[[#This Row],[Employee Position]],tblPositionandPayRate[Employee Position],tblPositionandPayRate[Overtime], " ")</f>
        <v xml:space="preserve"> </v>
      </c>
      <c r="L443" s="25">
        <f>_xlfn.XLOOKUP(tblPayrollMaster[[#This Row],[Employee Position]],tblPositionandPayRate[Employee Position],tblPositionandPayRate[Allowance 1],0)*tblPayrollMaster[[#This Row],[Pay Factor]]</f>
        <v>0</v>
      </c>
      <c r="M443" s="25">
        <f>_xlfn.XLOOKUP(tblPayrollMaster[[#This Row],[Employee Position]],tblPositionandPayRate[Employee Position],tblPositionandPayRate[Allowance 2],0)*tblPayrollMaster[[#This Row],[Pay Factor]]</f>
        <v>0</v>
      </c>
      <c r="N443" s="25">
        <f>_xlfn.XLOOKUP(tblPayrollMaster[[#This Row],[Employee Position]],tblPositionandPayRate[Employee Position],tblPositionandPayRate[Allowance 3],0)*tblPayrollMaster[[#This Row],[Pay Factor]]</f>
        <v>0</v>
      </c>
      <c r="O443" s="25">
        <f>_xlfn.XLOOKUP(tblPayrollMaster[[#This Row],[Employee Position]],tblPositionandPayRate[Employee Position],tblPositionandPayRate[Allowance 4],0)*tblPayrollMaster[[#This Row],[Pay Factor]]</f>
        <v>0</v>
      </c>
      <c r="P443" s="25">
        <f>_xlfn.XLOOKUP(tblPayrollMaster[[#This Row],[Employee Position]],tblPositionandPayRate[Employee Position],tblPositionandPayRate[Allowance 5],0)*tblPayrollMaster[[#This Row],[Pay Factor]]</f>
        <v>0</v>
      </c>
      <c r="Q443" s="25">
        <f>SUM(tblPayrollMaster[[#This Row],[Basic Pay]:[Allowance 5]])</f>
        <v>0</v>
      </c>
      <c r="R44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43" s="51" cm="1">
        <f t="array" ref="S4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43" s="3" cm="1">
        <f t="array" ref="T4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43" s="25">
        <f>_xlfn.LET(
_xlpm.tos, _xlfn.XLOOKUP(tblPayrollMaster[[#This Row],[Employee ID]], tblEmployee[Employee ID], tblEmployee[Type of Service], ""),
IF(_xlpm.tos="Contract of Service", 8.25, 0)
)</f>
        <v>0</v>
      </c>
      <c r="V443" s="25">
        <f>tblPayrollMaster[[#This Row],[Basic Earnings]]-tblPayrollMaster[[#This Row],[Tax]]-tblPayrollMaster[[#This Row],[NIS - Employee]]-tblPayrollMaster[[#This Row],[Health Surcharge]]</f>
        <v>0</v>
      </c>
      <c r="W443" s="25">
        <f>tblPayrollMaster[[#This Row],[Net Pay]]</f>
        <v>0</v>
      </c>
      <c r="X443" s="25"/>
    </row>
    <row r="444" spans="1:24" x14ac:dyDescent="0.25">
      <c r="A444" s="24"/>
      <c r="B444" s="24" t="str">
        <f>_xlfn.XLOOKUP(tblPayrollMaster[[#This Row],[Employee ID]],tblEmployee[Employee ID],tblEmployee[Employee Name],"")</f>
        <v/>
      </c>
      <c r="C444" s="24" t="str">
        <f>_xlfn.XLOOKUP(tblPayrollMaster[[#This Row],[Employee ID]],tblEmployee[Employee ID],tblEmployee[Employee Position],"")</f>
        <v/>
      </c>
      <c r="D444" s="24" t="str">
        <f>_xlfn.XLOOKUP(tblPayrollMaster[[#This Row],[Employee ID]], tblEmployee[Employee ID], tblEmployee[Pay Status], "Pay")</f>
        <v>Pay</v>
      </c>
      <c r="E444" s="24" t="str">
        <f>_xlfn.XLOOKUP(tblPayrollMaster[[#This Row],[Employee ID]], tblEmployee[Employee ID], tblEmployee[Payable Flag], "Y")</f>
        <v>Y</v>
      </c>
      <c r="F444" s="45">
        <f>IF(tblPayrollMaster[[#This Row],[Payable Flag]]="N",0,_xlfn.XLOOKUP(tblPayrollMaster[[#This Row],[Employee ID]],tblEmployee[Employee ID],tblEmployee[Pay Factor],1))</f>
        <v>1</v>
      </c>
      <c r="G444" s="26" t="str" cm="1">
        <f t="array" ref="G444">IF(tblPayrollMaster[[#This Row],[Employee ID]]="","",_xlfn.XLOOKUP(selPayPeriodID,tblPayCalendar[PayPeriodID],tblPayCalendar[PeriodStart],""))</f>
        <v/>
      </c>
      <c r="H444" s="26" t="str" cm="1">
        <f t="array" ref="H444">IF(tblPayrollMaster[[#This Row],[Employee ID]]="","",_xlfn.XLOOKUP(selPayPeriodID,tblPayCalendar[PayPeriodID],tblPayCalendar[PeriodEnd],""))</f>
        <v/>
      </c>
      <c r="I444" s="24" t="e" cm="1" vm="1">
        <f t="array" aca="1" ref="I444" ca="1">Table18[Employer Name]</f>
        <v>#VALUE!</v>
      </c>
      <c r="J444" s="3" cm="1">
        <f t="array" ref="J44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44" s="25" t="str">
        <f>_xlfn.XLOOKUP(tblPayrollMaster[[#This Row],[Employee Position]],tblPositionandPayRate[Employee Position],tblPositionandPayRate[Overtime], " ")</f>
        <v xml:space="preserve"> </v>
      </c>
      <c r="L444" s="25">
        <f>_xlfn.XLOOKUP(tblPayrollMaster[[#This Row],[Employee Position]],tblPositionandPayRate[Employee Position],tblPositionandPayRate[Allowance 1],0)*tblPayrollMaster[[#This Row],[Pay Factor]]</f>
        <v>0</v>
      </c>
      <c r="M444" s="25">
        <f>_xlfn.XLOOKUP(tblPayrollMaster[[#This Row],[Employee Position]],tblPositionandPayRate[Employee Position],tblPositionandPayRate[Allowance 2],0)*tblPayrollMaster[[#This Row],[Pay Factor]]</f>
        <v>0</v>
      </c>
      <c r="N444" s="25">
        <f>_xlfn.XLOOKUP(tblPayrollMaster[[#This Row],[Employee Position]],tblPositionandPayRate[Employee Position],tblPositionandPayRate[Allowance 3],0)*tblPayrollMaster[[#This Row],[Pay Factor]]</f>
        <v>0</v>
      </c>
      <c r="O444" s="25">
        <f>_xlfn.XLOOKUP(tblPayrollMaster[[#This Row],[Employee Position]],tblPositionandPayRate[Employee Position],tblPositionandPayRate[Allowance 4],0)*tblPayrollMaster[[#This Row],[Pay Factor]]</f>
        <v>0</v>
      </c>
      <c r="P444" s="25">
        <f>_xlfn.XLOOKUP(tblPayrollMaster[[#This Row],[Employee Position]],tblPositionandPayRate[Employee Position],tblPositionandPayRate[Allowance 5],0)*tblPayrollMaster[[#This Row],[Pay Factor]]</f>
        <v>0</v>
      </c>
      <c r="Q444" s="25">
        <f>SUM(tblPayrollMaster[[#This Row],[Basic Pay]:[Allowance 5]])</f>
        <v>0</v>
      </c>
      <c r="R44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44" s="51" cm="1">
        <f t="array" ref="S4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44" s="3" cm="1">
        <f t="array" ref="T4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44" s="25">
        <f>_xlfn.LET(
_xlpm.tos, _xlfn.XLOOKUP(tblPayrollMaster[[#This Row],[Employee ID]], tblEmployee[Employee ID], tblEmployee[Type of Service], ""),
IF(_xlpm.tos="Contract of Service", 8.25, 0)
)</f>
        <v>0</v>
      </c>
      <c r="V444" s="25">
        <f>tblPayrollMaster[[#This Row],[Basic Earnings]]-tblPayrollMaster[[#This Row],[Tax]]-tblPayrollMaster[[#This Row],[NIS - Employee]]-tblPayrollMaster[[#This Row],[Health Surcharge]]</f>
        <v>0</v>
      </c>
      <c r="W444" s="25">
        <f>tblPayrollMaster[[#This Row],[Net Pay]]</f>
        <v>0</v>
      </c>
      <c r="X444" s="25"/>
    </row>
    <row r="445" spans="1:24" x14ac:dyDescent="0.25">
      <c r="A445" s="24"/>
      <c r="B445" s="24" t="str">
        <f>_xlfn.XLOOKUP(tblPayrollMaster[[#This Row],[Employee ID]],tblEmployee[Employee ID],tblEmployee[Employee Name],"")</f>
        <v/>
      </c>
      <c r="C445" s="24" t="str">
        <f>_xlfn.XLOOKUP(tblPayrollMaster[[#This Row],[Employee ID]],tblEmployee[Employee ID],tblEmployee[Employee Position],"")</f>
        <v/>
      </c>
      <c r="D445" s="24" t="str">
        <f>_xlfn.XLOOKUP(tblPayrollMaster[[#This Row],[Employee ID]], tblEmployee[Employee ID], tblEmployee[Pay Status], "Pay")</f>
        <v>Pay</v>
      </c>
      <c r="E445" s="24" t="str">
        <f>_xlfn.XLOOKUP(tblPayrollMaster[[#This Row],[Employee ID]], tblEmployee[Employee ID], tblEmployee[Payable Flag], "Y")</f>
        <v>Y</v>
      </c>
      <c r="F445" s="45">
        <f>IF(tblPayrollMaster[[#This Row],[Payable Flag]]="N",0,_xlfn.XLOOKUP(tblPayrollMaster[[#This Row],[Employee ID]],tblEmployee[Employee ID],tblEmployee[Pay Factor],1))</f>
        <v>1</v>
      </c>
      <c r="G445" s="26" t="str" cm="1">
        <f t="array" ref="G445">IF(tblPayrollMaster[[#This Row],[Employee ID]]="","",_xlfn.XLOOKUP(selPayPeriodID,tblPayCalendar[PayPeriodID],tblPayCalendar[PeriodStart],""))</f>
        <v/>
      </c>
      <c r="H445" s="26" t="str" cm="1">
        <f t="array" ref="H445">IF(tblPayrollMaster[[#This Row],[Employee ID]]="","",_xlfn.XLOOKUP(selPayPeriodID,tblPayCalendar[PayPeriodID],tblPayCalendar[PeriodEnd],""))</f>
        <v/>
      </c>
      <c r="I445" s="24" t="e" cm="1" vm="1">
        <f t="array" aca="1" ref="I445" ca="1">Table18[Employer Name]</f>
        <v>#VALUE!</v>
      </c>
      <c r="J445" s="3" cm="1">
        <f t="array" ref="J44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45" s="25" t="str">
        <f>_xlfn.XLOOKUP(tblPayrollMaster[[#This Row],[Employee Position]],tblPositionandPayRate[Employee Position],tblPositionandPayRate[Overtime], " ")</f>
        <v xml:space="preserve"> </v>
      </c>
      <c r="L445" s="25">
        <f>_xlfn.XLOOKUP(tblPayrollMaster[[#This Row],[Employee Position]],tblPositionandPayRate[Employee Position],tblPositionandPayRate[Allowance 1],0)*tblPayrollMaster[[#This Row],[Pay Factor]]</f>
        <v>0</v>
      </c>
      <c r="M445" s="25">
        <f>_xlfn.XLOOKUP(tblPayrollMaster[[#This Row],[Employee Position]],tblPositionandPayRate[Employee Position],tblPositionandPayRate[Allowance 2],0)*tblPayrollMaster[[#This Row],[Pay Factor]]</f>
        <v>0</v>
      </c>
      <c r="N445" s="25">
        <f>_xlfn.XLOOKUP(tblPayrollMaster[[#This Row],[Employee Position]],tblPositionandPayRate[Employee Position],tblPositionandPayRate[Allowance 3],0)*tblPayrollMaster[[#This Row],[Pay Factor]]</f>
        <v>0</v>
      </c>
      <c r="O445" s="25">
        <f>_xlfn.XLOOKUP(tblPayrollMaster[[#This Row],[Employee Position]],tblPositionandPayRate[Employee Position],tblPositionandPayRate[Allowance 4],0)*tblPayrollMaster[[#This Row],[Pay Factor]]</f>
        <v>0</v>
      </c>
      <c r="P445" s="25">
        <f>_xlfn.XLOOKUP(tblPayrollMaster[[#This Row],[Employee Position]],tblPositionandPayRate[Employee Position],tblPositionandPayRate[Allowance 5],0)*tblPayrollMaster[[#This Row],[Pay Factor]]</f>
        <v>0</v>
      </c>
      <c r="Q445" s="25">
        <f>SUM(tblPayrollMaster[[#This Row],[Basic Pay]:[Allowance 5]])</f>
        <v>0</v>
      </c>
      <c r="R44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45" s="51" cm="1">
        <f t="array" ref="S4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45" s="3" cm="1">
        <f t="array" ref="T4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45" s="25">
        <f>_xlfn.LET(
_xlpm.tos, _xlfn.XLOOKUP(tblPayrollMaster[[#This Row],[Employee ID]], tblEmployee[Employee ID], tblEmployee[Type of Service], ""),
IF(_xlpm.tos="Contract of Service", 8.25, 0)
)</f>
        <v>0</v>
      </c>
      <c r="V445" s="25">
        <f>tblPayrollMaster[[#This Row],[Basic Earnings]]-tblPayrollMaster[[#This Row],[Tax]]-tblPayrollMaster[[#This Row],[NIS - Employee]]-tblPayrollMaster[[#This Row],[Health Surcharge]]</f>
        <v>0</v>
      </c>
      <c r="W445" s="25">
        <f>tblPayrollMaster[[#This Row],[Net Pay]]</f>
        <v>0</v>
      </c>
      <c r="X445" s="25"/>
    </row>
    <row r="446" spans="1:24" x14ac:dyDescent="0.25">
      <c r="A446" s="24"/>
      <c r="B446" s="24" t="str">
        <f>_xlfn.XLOOKUP(tblPayrollMaster[[#This Row],[Employee ID]],tblEmployee[Employee ID],tblEmployee[Employee Name],"")</f>
        <v/>
      </c>
      <c r="C446" s="24" t="str">
        <f>_xlfn.XLOOKUP(tblPayrollMaster[[#This Row],[Employee ID]],tblEmployee[Employee ID],tblEmployee[Employee Position],"")</f>
        <v/>
      </c>
      <c r="D446" s="24" t="str">
        <f>_xlfn.XLOOKUP(tblPayrollMaster[[#This Row],[Employee ID]], tblEmployee[Employee ID], tblEmployee[Pay Status], "Pay")</f>
        <v>Pay</v>
      </c>
      <c r="E446" s="24" t="str">
        <f>_xlfn.XLOOKUP(tblPayrollMaster[[#This Row],[Employee ID]], tblEmployee[Employee ID], tblEmployee[Payable Flag], "Y")</f>
        <v>Y</v>
      </c>
      <c r="F446" s="45">
        <f>IF(tblPayrollMaster[[#This Row],[Payable Flag]]="N",0,_xlfn.XLOOKUP(tblPayrollMaster[[#This Row],[Employee ID]],tblEmployee[Employee ID],tblEmployee[Pay Factor],1))</f>
        <v>1</v>
      </c>
      <c r="G446" s="26" t="str" cm="1">
        <f t="array" ref="G446">IF(tblPayrollMaster[[#This Row],[Employee ID]]="","",_xlfn.XLOOKUP(selPayPeriodID,tblPayCalendar[PayPeriodID],tblPayCalendar[PeriodStart],""))</f>
        <v/>
      </c>
      <c r="H446" s="26" t="str" cm="1">
        <f t="array" ref="H446">IF(tblPayrollMaster[[#This Row],[Employee ID]]="","",_xlfn.XLOOKUP(selPayPeriodID,tblPayCalendar[PayPeriodID],tblPayCalendar[PeriodEnd],""))</f>
        <v/>
      </c>
      <c r="I446" s="24" t="e" cm="1" vm="1">
        <f t="array" aca="1" ref="I446" ca="1">Table18[Employer Name]</f>
        <v>#VALUE!</v>
      </c>
      <c r="J446" s="3" cm="1">
        <f t="array" ref="J44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46" s="25" t="str">
        <f>_xlfn.XLOOKUP(tblPayrollMaster[[#This Row],[Employee Position]],tblPositionandPayRate[Employee Position],tblPositionandPayRate[Overtime], " ")</f>
        <v xml:space="preserve"> </v>
      </c>
      <c r="L446" s="25">
        <f>_xlfn.XLOOKUP(tblPayrollMaster[[#This Row],[Employee Position]],tblPositionandPayRate[Employee Position],tblPositionandPayRate[Allowance 1],0)*tblPayrollMaster[[#This Row],[Pay Factor]]</f>
        <v>0</v>
      </c>
      <c r="M446" s="25">
        <f>_xlfn.XLOOKUP(tblPayrollMaster[[#This Row],[Employee Position]],tblPositionandPayRate[Employee Position],tblPositionandPayRate[Allowance 2],0)*tblPayrollMaster[[#This Row],[Pay Factor]]</f>
        <v>0</v>
      </c>
      <c r="N446" s="25">
        <f>_xlfn.XLOOKUP(tblPayrollMaster[[#This Row],[Employee Position]],tblPositionandPayRate[Employee Position],tblPositionandPayRate[Allowance 3],0)*tblPayrollMaster[[#This Row],[Pay Factor]]</f>
        <v>0</v>
      </c>
      <c r="O446" s="25">
        <f>_xlfn.XLOOKUP(tblPayrollMaster[[#This Row],[Employee Position]],tblPositionandPayRate[Employee Position],tblPositionandPayRate[Allowance 4],0)*tblPayrollMaster[[#This Row],[Pay Factor]]</f>
        <v>0</v>
      </c>
      <c r="P446" s="25">
        <f>_xlfn.XLOOKUP(tblPayrollMaster[[#This Row],[Employee Position]],tblPositionandPayRate[Employee Position],tblPositionandPayRate[Allowance 5],0)*tblPayrollMaster[[#This Row],[Pay Factor]]</f>
        <v>0</v>
      </c>
      <c r="Q446" s="25">
        <f>SUM(tblPayrollMaster[[#This Row],[Basic Pay]:[Allowance 5]])</f>
        <v>0</v>
      </c>
      <c r="R44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46" s="51" cm="1">
        <f t="array" ref="S4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46" s="3" cm="1">
        <f t="array" ref="T4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46" s="25">
        <f>_xlfn.LET(
_xlpm.tos, _xlfn.XLOOKUP(tblPayrollMaster[[#This Row],[Employee ID]], tblEmployee[Employee ID], tblEmployee[Type of Service], ""),
IF(_xlpm.tos="Contract of Service", 8.25, 0)
)</f>
        <v>0</v>
      </c>
      <c r="V446" s="25">
        <f>tblPayrollMaster[[#This Row],[Basic Earnings]]-tblPayrollMaster[[#This Row],[Tax]]-tblPayrollMaster[[#This Row],[NIS - Employee]]-tblPayrollMaster[[#This Row],[Health Surcharge]]</f>
        <v>0</v>
      </c>
      <c r="W446" s="25">
        <f>tblPayrollMaster[[#This Row],[Net Pay]]</f>
        <v>0</v>
      </c>
      <c r="X446" s="25"/>
    </row>
    <row r="447" spans="1:24" x14ac:dyDescent="0.25">
      <c r="A447" s="24"/>
      <c r="B447" s="24" t="str">
        <f>_xlfn.XLOOKUP(tblPayrollMaster[[#This Row],[Employee ID]],tblEmployee[Employee ID],tblEmployee[Employee Name],"")</f>
        <v/>
      </c>
      <c r="C447" s="24" t="str">
        <f>_xlfn.XLOOKUP(tblPayrollMaster[[#This Row],[Employee ID]],tblEmployee[Employee ID],tblEmployee[Employee Position],"")</f>
        <v/>
      </c>
      <c r="D447" s="24" t="str">
        <f>_xlfn.XLOOKUP(tblPayrollMaster[[#This Row],[Employee ID]], tblEmployee[Employee ID], tblEmployee[Pay Status], "Pay")</f>
        <v>Pay</v>
      </c>
      <c r="E447" s="24" t="str">
        <f>_xlfn.XLOOKUP(tblPayrollMaster[[#This Row],[Employee ID]], tblEmployee[Employee ID], tblEmployee[Payable Flag], "Y")</f>
        <v>Y</v>
      </c>
      <c r="F447" s="45">
        <f>IF(tblPayrollMaster[[#This Row],[Payable Flag]]="N",0,_xlfn.XLOOKUP(tblPayrollMaster[[#This Row],[Employee ID]],tblEmployee[Employee ID],tblEmployee[Pay Factor],1))</f>
        <v>1</v>
      </c>
      <c r="G447" s="26" t="str" cm="1">
        <f t="array" ref="G447">IF(tblPayrollMaster[[#This Row],[Employee ID]]="","",_xlfn.XLOOKUP(selPayPeriodID,tblPayCalendar[PayPeriodID],tblPayCalendar[PeriodStart],""))</f>
        <v/>
      </c>
      <c r="H447" s="26" t="str" cm="1">
        <f t="array" ref="H447">IF(tblPayrollMaster[[#This Row],[Employee ID]]="","",_xlfn.XLOOKUP(selPayPeriodID,tblPayCalendar[PayPeriodID],tblPayCalendar[PeriodEnd],""))</f>
        <v/>
      </c>
      <c r="I447" s="24" t="e" cm="1" vm="1">
        <f t="array" aca="1" ref="I447" ca="1">Table18[Employer Name]</f>
        <v>#VALUE!</v>
      </c>
      <c r="J447" s="3" cm="1">
        <f t="array" ref="J44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47" s="25" t="str">
        <f>_xlfn.XLOOKUP(tblPayrollMaster[[#This Row],[Employee Position]],tblPositionandPayRate[Employee Position],tblPositionandPayRate[Overtime], " ")</f>
        <v xml:space="preserve"> </v>
      </c>
      <c r="L447" s="25">
        <f>_xlfn.XLOOKUP(tblPayrollMaster[[#This Row],[Employee Position]],tblPositionandPayRate[Employee Position],tblPositionandPayRate[Allowance 1],0)*tblPayrollMaster[[#This Row],[Pay Factor]]</f>
        <v>0</v>
      </c>
      <c r="M447" s="25">
        <f>_xlfn.XLOOKUP(tblPayrollMaster[[#This Row],[Employee Position]],tblPositionandPayRate[Employee Position],tblPositionandPayRate[Allowance 2],0)*tblPayrollMaster[[#This Row],[Pay Factor]]</f>
        <v>0</v>
      </c>
      <c r="N447" s="25">
        <f>_xlfn.XLOOKUP(tblPayrollMaster[[#This Row],[Employee Position]],tblPositionandPayRate[Employee Position],tblPositionandPayRate[Allowance 3],0)*tblPayrollMaster[[#This Row],[Pay Factor]]</f>
        <v>0</v>
      </c>
      <c r="O447" s="25">
        <f>_xlfn.XLOOKUP(tblPayrollMaster[[#This Row],[Employee Position]],tblPositionandPayRate[Employee Position],tblPositionandPayRate[Allowance 4],0)*tblPayrollMaster[[#This Row],[Pay Factor]]</f>
        <v>0</v>
      </c>
      <c r="P447" s="25">
        <f>_xlfn.XLOOKUP(tblPayrollMaster[[#This Row],[Employee Position]],tblPositionandPayRate[Employee Position],tblPositionandPayRate[Allowance 5],0)*tblPayrollMaster[[#This Row],[Pay Factor]]</f>
        <v>0</v>
      </c>
      <c r="Q447" s="25">
        <f>SUM(tblPayrollMaster[[#This Row],[Basic Pay]:[Allowance 5]])</f>
        <v>0</v>
      </c>
      <c r="R44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47" s="51" cm="1">
        <f t="array" ref="S4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47" s="3" cm="1">
        <f t="array" ref="T4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47" s="25">
        <f>_xlfn.LET(
_xlpm.tos, _xlfn.XLOOKUP(tblPayrollMaster[[#This Row],[Employee ID]], tblEmployee[Employee ID], tblEmployee[Type of Service], ""),
IF(_xlpm.tos="Contract of Service", 8.25, 0)
)</f>
        <v>0</v>
      </c>
      <c r="V447" s="25">
        <f>tblPayrollMaster[[#This Row],[Basic Earnings]]-tblPayrollMaster[[#This Row],[Tax]]-tblPayrollMaster[[#This Row],[NIS - Employee]]-tblPayrollMaster[[#This Row],[Health Surcharge]]</f>
        <v>0</v>
      </c>
      <c r="W447" s="25">
        <f>tblPayrollMaster[[#This Row],[Net Pay]]</f>
        <v>0</v>
      </c>
      <c r="X447" s="25"/>
    </row>
    <row r="448" spans="1:24" x14ac:dyDescent="0.25">
      <c r="A448" s="24"/>
      <c r="B448" s="24" t="str">
        <f>_xlfn.XLOOKUP(tblPayrollMaster[[#This Row],[Employee ID]],tblEmployee[Employee ID],tblEmployee[Employee Name],"")</f>
        <v/>
      </c>
      <c r="C448" s="24" t="str">
        <f>_xlfn.XLOOKUP(tblPayrollMaster[[#This Row],[Employee ID]],tblEmployee[Employee ID],tblEmployee[Employee Position],"")</f>
        <v/>
      </c>
      <c r="D448" s="24" t="str">
        <f>_xlfn.XLOOKUP(tblPayrollMaster[[#This Row],[Employee ID]], tblEmployee[Employee ID], tblEmployee[Pay Status], "Pay")</f>
        <v>Pay</v>
      </c>
      <c r="E448" s="24" t="str">
        <f>_xlfn.XLOOKUP(tblPayrollMaster[[#This Row],[Employee ID]], tblEmployee[Employee ID], tblEmployee[Payable Flag], "Y")</f>
        <v>Y</v>
      </c>
      <c r="F448" s="45">
        <f>IF(tblPayrollMaster[[#This Row],[Payable Flag]]="N",0,_xlfn.XLOOKUP(tblPayrollMaster[[#This Row],[Employee ID]],tblEmployee[Employee ID],tblEmployee[Pay Factor],1))</f>
        <v>1</v>
      </c>
      <c r="G448" s="26" t="str" cm="1">
        <f t="array" ref="G448">IF(tblPayrollMaster[[#This Row],[Employee ID]]="","",_xlfn.XLOOKUP(selPayPeriodID,tblPayCalendar[PayPeriodID],tblPayCalendar[PeriodStart],""))</f>
        <v/>
      </c>
      <c r="H448" s="26" t="str" cm="1">
        <f t="array" ref="H448">IF(tblPayrollMaster[[#This Row],[Employee ID]]="","",_xlfn.XLOOKUP(selPayPeriodID,tblPayCalendar[PayPeriodID],tblPayCalendar[PeriodEnd],""))</f>
        <v/>
      </c>
      <c r="I448" s="24" t="e" cm="1" vm="1">
        <f t="array" aca="1" ref="I448" ca="1">Table18[Employer Name]</f>
        <v>#VALUE!</v>
      </c>
      <c r="J448" s="3" cm="1">
        <f t="array" ref="J44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48" s="25" t="str">
        <f>_xlfn.XLOOKUP(tblPayrollMaster[[#This Row],[Employee Position]],tblPositionandPayRate[Employee Position],tblPositionandPayRate[Overtime], " ")</f>
        <v xml:space="preserve"> </v>
      </c>
      <c r="L448" s="25">
        <f>_xlfn.XLOOKUP(tblPayrollMaster[[#This Row],[Employee Position]],tblPositionandPayRate[Employee Position],tblPositionandPayRate[Allowance 1],0)*tblPayrollMaster[[#This Row],[Pay Factor]]</f>
        <v>0</v>
      </c>
      <c r="M448" s="25">
        <f>_xlfn.XLOOKUP(tblPayrollMaster[[#This Row],[Employee Position]],tblPositionandPayRate[Employee Position],tblPositionandPayRate[Allowance 2],0)*tblPayrollMaster[[#This Row],[Pay Factor]]</f>
        <v>0</v>
      </c>
      <c r="N448" s="25">
        <f>_xlfn.XLOOKUP(tblPayrollMaster[[#This Row],[Employee Position]],tblPositionandPayRate[Employee Position],tblPositionandPayRate[Allowance 3],0)*tblPayrollMaster[[#This Row],[Pay Factor]]</f>
        <v>0</v>
      </c>
      <c r="O448" s="25">
        <f>_xlfn.XLOOKUP(tblPayrollMaster[[#This Row],[Employee Position]],tblPositionandPayRate[Employee Position],tblPositionandPayRate[Allowance 4],0)*tblPayrollMaster[[#This Row],[Pay Factor]]</f>
        <v>0</v>
      </c>
      <c r="P448" s="25">
        <f>_xlfn.XLOOKUP(tblPayrollMaster[[#This Row],[Employee Position]],tblPositionandPayRate[Employee Position],tblPositionandPayRate[Allowance 5],0)*tblPayrollMaster[[#This Row],[Pay Factor]]</f>
        <v>0</v>
      </c>
      <c r="Q448" s="25">
        <f>SUM(tblPayrollMaster[[#This Row],[Basic Pay]:[Allowance 5]])</f>
        <v>0</v>
      </c>
      <c r="R44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48" s="51" cm="1">
        <f t="array" ref="S4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48" s="3" cm="1">
        <f t="array" ref="T4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48" s="25">
        <f>_xlfn.LET(
_xlpm.tos, _xlfn.XLOOKUP(tblPayrollMaster[[#This Row],[Employee ID]], tblEmployee[Employee ID], tblEmployee[Type of Service], ""),
IF(_xlpm.tos="Contract of Service", 8.25, 0)
)</f>
        <v>0</v>
      </c>
      <c r="V448" s="25">
        <f>tblPayrollMaster[[#This Row],[Basic Earnings]]-tblPayrollMaster[[#This Row],[Tax]]-tblPayrollMaster[[#This Row],[NIS - Employee]]-tblPayrollMaster[[#This Row],[Health Surcharge]]</f>
        <v>0</v>
      </c>
      <c r="W448" s="25">
        <f>tblPayrollMaster[[#This Row],[Net Pay]]</f>
        <v>0</v>
      </c>
      <c r="X448" s="25"/>
    </row>
    <row r="449" spans="1:24" x14ac:dyDescent="0.25">
      <c r="A449" s="24"/>
      <c r="B449" s="24" t="str">
        <f>_xlfn.XLOOKUP(tblPayrollMaster[[#This Row],[Employee ID]],tblEmployee[Employee ID],tblEmployee[Employee Name],"")</f>
        <v/>
      </c>
      <c r="C449" s="24" t="str">
        <f>_xlfn.XLOOKUP(tblPayrollMaster[[#This Row],[Employee ID]],tblEmployee[Employee ID],tblEmployee[Employee Position],"")</f>
        <v/>
      </c>
      <c r="D449" s="24" t="str">
        <f>_xlfn.XLOOKUP(tblPayrollMaster[[#This Row],[Employee ID]], tblEmployee[Employee ID], tblEmployee[Pay Status], "Pay")</f>
        <v>Pay</v>
      </c>
      <c r="E449" s="24" t="str">
        <f>_xlfn.XLOOKUP(tblPayrollMaster[[#This Row],[Employee ID]], tblEmployee[Employee ID], tblEmployee[Payable Flag], "Y")</f>
        <v>Y</v>
      </c>
      <c r="F449" s="45">
        <f>IF(tblPayrollMaster[[#This Row],[Payable Flag]]="N",0,_xlfn.XLOOKUP(tblPayrollMaster[[#This Row],[Employee ID]],tblEmployee[Employee ID],tblEmployee[Pay Factor],1))</f>
        <v>1</v>
      </c>
      <c r="G449" s="26" t="str" cm="1">
        <f t="array" ref="G449">IF(tblPayrollMaster[[#This Row],[Employee ID]]="","",_xlfn.XLOOKUP(selPayPeriodID,tblPayCalendar[PayPeriodID],tblPayCalendar[PeriodStart],""))</f>
        <v/>
      </c>
      <c r="H449" s="26" t="str" cm="1">
        <f t="array" ref="H449">IF(tblPayrollMaster[[#This Row],[Employee ID]]="","",_xlfn.XLOOKUP(selPayPeriodID,tblPayCalendar[PayPeriodID],tblPayCalendar[PeriodEnd],""))</f>
        <v/>
      </c>
      <c r="I449" s="24" t="e" cm="1" vm="1">
        <f t="array" aca="1" ref="I449" ca="1">Table18[Employer Name]</f>
        <v>#VALUE!</v>
      </c>
      <c r="J449" s="3" cm="1">
        <f t="array" ref="J44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49" s="25" t="str">
        <f>_xlfn.XLOOKUP(tblPayrollMaster[[#This Row],[Employee Position]],tblPositionandPayRate[Employee Position],tblPositionandPayRate[Overtime], " ")</f>
        <v xml:space="preserve"> </v>
      </c>
      <c r="L449" s="25">
        <f>_xlfn.XLOOKUP(tblPayrollMaster[[#This Row],[Employee Position]],tblPositionandPayRate[Employee Position],tblPositionandPayRate[Allowance 1],0)*tblPayrollMaster[[#This Row],[Pay Factor]]</f>
        <v>0</v>
      </c>
      <c r="M449" s="25">
        <f>_xlfn.XLOOKUP(tblPayrollMaster[[#This Row],[Employee Position]],tblPositionandPayRate[Employee Position],tblPositionandPayRate[Allowance 2],0)*tblPayrollMaster[[#This Row],[Pay Factor]]</f>
        <v>0</v>
      </c>
      <c r="N449" s="25">
        <f>_xlfn.XLOOKUP(tblPayrollMaster[[#This Row],[Employee Position]],tblPositionandPayRate[Employee Position],tblPositionandPayRate[Allowance 3],0)*tblPayrollMaster[[#This Row],[Pay Factor]]</f>
        <v>0</v>
      </c>
      <c r="O449" s="25">
        <f>_xlfn.XLOOKUP(tblPayrollMaster[[#This Row],[Employee Position]],tblPositionandPayRate[Employee Position],tblPositionandPayRate[Allowance 4],0)*tblPayrollMaster[[#This Row],[Pay Factor]]</f>
        <v>0</v>
      </c>
      <c r="P449" s="25">
        <f>_xlfn.XLOOKUP(tblPayrollMaster[[#This Row],[Employee Position]],tblPositionandPayRate[Employee Position],tblPositionandPayRate[Allowance 5],0)*tblPayrollMaster[[#This Row],[Pay Factor]]</f>
        <v>0</v>
      </c>
      <c r="Q449" s="25">
        <f>SUM(tblPayrollMaster[[#This Row],[Basic Pay]:[Allowance 5]])</f>
        <v>0</v>
      </c>
      <c r="R44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49" s="51" cm="1">
        <f t="array" ref="S4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49" s="3" cm="1">
        <f t="array" ref="T4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49" s="25">
        <f>_xlfn.LET(
_xlpm.tos, _xlfn.XLOOKUP(tblPayrollMaster[[#This Row],[Employee ID]], tblEmployee[Employee ID], tblEmployee[Type of Service], ""),
IF(_xlpm.tos="Contract of Service", 8.25, 0)
)</f>
        <v>0</v>
      </c>
      <c r="V449" s="25">
        <f>tblPayrollMaster[[#This Row],[Basic Earnings]]-tblPayrollMaster[[#This Row],[Tax]]-tblPayrollMaster[[#This Row],[NIS - Employee]]-tblPayrollMaster[[#This Row],[Health Surcharge]]</f>
        <v>0</v>
      </c>
      <c r="W449" s="25">
        <f>tblPayrollMaster[[#This Row],[Net Pay]]</f>
        <v>0</v>
      </c>
      <c r="X449" s="25"/>
    </row>
    <row r="450" spans="1:24" x14ac:dyDescent="0.25">
      <c r="A450" s="24"/>
      <c r="B450" s="24" t="str">
        <f>_xlfn.XLOOKUP(tblPayrollMaster[[#This Row],[Employee ID]],tblEmployee[Employee ID],tblEmployee[Employee Name],"")</f>
        <v/>
      </c>
      <c r="C450" s="24" t="str">
        <f>_xlfn.XLOOKUP(tblPayrollMaster[[#This Row],[Employee ID]],tblEmployee[Employee ID],tblEmployee[Employee Position],"")</f>
        <v/>
      </c>
      <c r="D450" s="24" t="str">
        <f>_xlfn.XLOOKUP(tblPayrollMaster[[#This Row],[Employee ID]], tblEmployee[Employee ID], tblEmployee[Pay Status], "Pay")</f>
        <v>Pay</v>
      </c>
      <c r="E450" s="24" t="str">
        <f>_xlfn.XLOOKUP(tblPayrollMaster[[#This Row],[Employee ID]], tblEmployee[Employee ID], tblEmployee[Payable Flag], "Y")</f>
        <v>Y</v>
      </c>
      <c r="F450" s="45">
        <f>IF(tblPayrollMaster[[#This Row],[Payable Flag]]="N",0,_xlfn.XLOOKUP(tblPayrollMaster[[#This Row],[Employee ID]],tblEmployee[Employee ID],tblEmployee[Pay Factor],1))</f>
        <v>1</v>
      </c>
      <c r="G450" s="26" t="str" cm="1">
        <f t="array" ref="G450">IF(tblPayrollMaster[[#This Row],[Employee ID]]="","",_xlfn.XLOOKUP(selPayPeriodID,tblPayCalendar[PayPeriodID],tblPayCalendar[PeriodStart],""))</f>
        <v/>
      </c>
      <c r="H450" s="26" t="str" cm="1">
        <f t="array" ref="H450">IF(tblPayrollMaster[[#This Row],[Employee ID]]="","",_xlfn.XLOOKUP(selPayPeriodID,tblPayCalendar[PayPeriodID],tblPayCalendar[PeriodEnd],""))</f>
        <v/>
      </c>
      <c r="I450" s="24" t="e" cm="1" vm="1">
        <f t="array" aca="1" ref="I450" ca="1">Table18[Employer Name]</f>
        <v>#VALUE!</v>
      </c>
      <c r="J450" s="3" cm="1">
        <f t="array" ref="J45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50" s="25" t="str">
        <f>_xlfn.XLOOKUP(tblPayrollMaster[[#This Row],[Employee Position]],tblPositionandPayRate[Employee Position],tblPositionandPayRate[Overtime], " ")</f>
        <v xml:space="preserve"> </v>
      </c>
      <c r="L450" s="25">
        <f>_xlfn.XLOOKUP(tblPayrollMaster[[#This Row],[Employee Position]],tblPositionandPayRate[Employee Position],tblPositionandPayRate[Allowance 1],0)*tblPayrollMaster[[#This Row],[Pay Factor]]</f>
        <v>0</v>
      </c>
      <c r="M450" s="25">
        <f>_xlfn.XLOOKUP(tblPayrollMaster[[#This Row],[Employee Position]],tblPositionandPayRate[Employee Position],tblPositionandPayRate[Allowance 2],0)*tblPayrollMaster[[#This Row],[Pay Factor]]</f>
        <v>0</v>
      </c>
      <c r="N450" s="25">
        <f>_xlfn.XLOOKUP(tblPayrollMaster[[#This Row],[Employee Position]],tblPositionandPayRate[Employee Position],tblPositionandPayRate[Allowance 3],0)*tblPayrollMaster[[#This Row],[Pay Factor]]</f>
        <v>0</v>
      </c>
      <c r="O450" s="25">
        <f>_xlfn.XLOOKUP(tblPayrollMaster[[#This Row],[Employee Position]],tblPositionandPayRate[Employee Position],tblPositionandPayRate[Allowance 4],0)*tblPayrollMaster[[#This Row],[Pay Factor]]</f>
        <v>0</v>
      </c>
      <c r="P450" s="25">
        <f>_xlfn.XLOOKUP(tblPayrollMaster[[#This Row],[Employee Position]],tblPositionandPayRate[Employee Position],tblPositionandPayRate[Allowance 5],0)*tblPayrollMaster[[#This Row],[Pay Factor]]</f>
        <v>0</v>
      </c>
      <c r="Q450" s="25">
        <f>SUM(tblPayrollMaster[[#This Row],[Basic Pay]:[Allowance 5]])</f>
        <v>0</v>
      </c>
      <c r="R45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50" s="51" cm="1">
        <f t="array" ref="S4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50" s="3" cm="1">
        <f t="array" ref="T4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50" s="25">
        <f>_xlfn.LET(
_xlpm.tos, _xlfn.XLOOKUP(tblPayrollMaster[[#This Row],[Employee ID]], tblEmployee[Employee ID], tblEmployee[Type of Service], ""),
IF(_xlpm.tos="Contract of Service", 8.25, 0)
)</f>
        <v>0</v>
      </c>
      <c r="V450" s="25">
        <f>tblPayrollMaster[[#This Row],[Basic Earnings]]-tblPayrollMaster[[#This Row],[Tax]]-tblPayrollMaster[[#This Row],[NIS - Employee]]-tblPayrollMaster[[#This Row],[Health Surcharge]]</f>
        <v>0</v>
      </c>
      <c r="W450" s="25">
        <f>tblPayrollMaster[[#This Row],[Net Pay]]</f>
        <v>0</v>
      </c>
      <c r="X450" s="25"/>
    </row>
    <row r="451" spans="1:24" x14ac:dyDescent="0.25">
      <c r="A451" s="24"/>
      <c r="B451" s="24" t="str">
        <f>_xlfn.XLOOKUP(tblPayrollMaster[[#This Row],[Employee ID]],tblEmployee[Employee ID],tblEmployee[Employee Name],"")</f>
        <v/>
      </c>
      <c r="C451" s="24" t="str">
        <f>_xlfn.XLOOKUP(tblPayrollMaster[[#This Row],[Employee ID]],tblEmployee[Employee ID],tblEmployee[Employee Position],"")</f>
        <v/>
      </c>
      <c r="D451" s="24" t="str">
        <f>_xlfn.XLOOKUP(tblPayrollMaster[[#This Row],[Employee ID]], tblEmployee[Employee ID], tblEmployee[Pay Status], "Pay")</f>
        <v>Pay</v>
      </c>
      <c r="E451" s="24" t="str">
        <f>_xlfn.XLOOKUP(tblPayrollMaster[[#This Row],[Employee ID]], tblEmployee[Employee ID], tblEmployee[Payable Flag], "Y")</f>
        <v>Y</v>
      </c>
      <c r="F451" s="45">
        <f>IF(tblPayrollMaster[[#This Row],[Payable Flag]]="N",0,_xlfn.XLOOKUP(tblPayrollMaster[[#This Row],[Employee ID]],tblEmployee[Employee ID],tblEmployee[Pay Factor],1))</f>
        <v>1</v>
      </c>
      <c r="G451" s="26" t="str" cm="1">
        <f t="array" ref="G451">IF(tblPayrollMaster[[#This Row],[Employee ID]]="","",_xlfn.XLOOKUP(selPayPeriodID,tblPayCalendar[PayPeriodID],tblPayCalendar[PeriodStart],""))</f>
        <v/>
      </c>
      <c r="H451" s="26" t="str" cm="1">
        <f t="array" ref="H451">IF(tblPayrollMaster[[#This Row],[Employee ID]]="","",_xlfn.XLOOKUP(selPayPeriodID,tblPayCalendar[PayPeriodID],tblPayCalendar[PeriodEnd],""))</f>
        <v/>
      </c>
      <c r="I451" s="24" t="e" cm="1" vm="1">
        <f t="array" aca="1" ref="I451" ca="1">Table18[Employer Name]</f>
        <v>#VALUE!</v>
      </c>
      <c r="J451" s="3" cm="1">
        <f t="array" ref="J45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51" s="25" t="str">
        <f>_xlfn.XLOOKUP(tblPayrollMaster[[#This Row],[Employee Position]],tblPositionandPayRate[Employee Position],tblPositionandPayRate[Overtime], " ")</f>
        <v xml:space="preserve"> </v>
      </c>
      <c r="L451" s="25">
        <f>_xlfn.XLOOKUP(tblPayrollMaster[[#This Row],[Employee Position]],tblPositionandPayRate[Employee Position],tblPositionandPayRate[Allowance 1],0)*tblPayrollMaster[[#This Row],[Pay Factor]]</f>
        <v>0</v>
      </c>
      <c r="M451" s="25">
        <f>_xlfn.XLOOKUP(tblPayrollMaster[[#This Row],[Employee Position]],tblPositionandPayRate[Employee Position],tblPositionandPayRate[Allowance 2],0)*tblPayrollMaster[[#This Row],[Pay Factor]]</f>
        <v>0</v>
      </c>
      <c r="N451" s="25">
        <f>_xlfn.XLOOKUP(tblPayrollMaster[[#This Row],[Employee Position]],tblPositionandPayRate[Employee Position],tblPositionandPayRate[Allowance 3],0)*tblPayrollMaster[[#This Row],[Pay Factor]]</f>
        <v>0</v>
      </c>
      <c r="O451" s="25">
        <f>_xlfn.XLOOKUP(tblPayrollMaster[[#This Row],[Employee Position]],tblPositionandPayRate[Employee Position],tblPositionandPayRate[Allowance 4],0)*tblPayrollMaster[[#This Row],[Pay Factor]]</f>
        <v>0</v>
      </c>
      <c r="P451" s="25">
        <f>_xlfn.XLOOKUP(tblPayrollMaster[[#This Row],[Employee Position]],tblPositionandPayRate[Employee Position],tblPositionandPayRate[Allowance 5],0)*tblPayrollMaster[[#This Row],[Pay Factor]]</f>
        <v>0</v>
      </c>
      <c r="Q451" s="25">
        <f>SUM(tblPayrollMaster[[#This Row],[Basic Pay]:[Allowance 5]])</f>
        <v>0</v>
      </c>
      <c r="R45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51" s="51" cm="1">
        <f t="array" ref="S4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51" s="3" cm="1">
        <f t="array" ref="T4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51" s="25">
        <f>_xlfn.LET(
_xlpm.tos, _xlfn.XLOOKUP(tblPayrollMaster[[#This Row],[Employee ID]], tblEmployee[Employee ID], tblEmployee[Type of Service], ""),
IF(_xlpm.tos="Contract of Service", 8.25, 0)
)</f>
        <v>0</v>
      </c>
      <c r="V451" s="25">
        <f>tblPayrollMaster[[#This Row],[Basic Earnings]]-tblPayrollMaster[[#This Row],[Tax]]-tblPayrollMaster[[#This Row],[NIS - Employee]]-tblPayrollMaster[[#This Row],[Health Surcharge]]</f>
        <v>0</v>
      </c>
      <c r="W451" s="25">
        <f>tblPayrollMaster[[#This Row],[Net Pay]]</f>
        <v>0</v>
      </c>
      <c r="X451" s="25"/>
    </row>
    <row r="452" spans="1:24" x14ac:dyDescent="0.25">
      <c r="A452" s="24"/>
      <c r="B452" s="24" t="str">
        <f>_xlfn.XLOOKUP(tblPayrollMaster[[#This Row],[Employee ID]],tblEmployee[Employee ID],tblEmployee[Employee Name],"")</f>
        <v/>
      </c>
      <c r="C452" s="24" t="str">
        <f>_xlfn.XLOOKUP(tblPayrollMaster[[#This Row],[Employee ID]],tblEmployee[Employee ID],tblEmployee[Employee Position],"")</f>
        <v/>
      </c>
      <c r="D452" s="24" t="str">
        <f>_xlfn.XLOOKUP(tblPayrollMaster[[#This Row],[Employee ID]], tblEmployee[Employee ID], tblEmployee[Pay Status], "Pay")</f>
        <v>Pay</v>
      </c>
      <c r="E452" s="24" t="str">
        <f>_xlfn.XLOOKUP(tblPayrollMaster[[#This Row],[Employee ID]], tblEmployee[Employee ID], tblEmployee[Payable Flag], "Y")</f>
        <v>Y</v>
      </c>
      <c r="F452" s="45">
        <f>IF(tblPayrollMaster[[#This Row],[Payable Flag]]="N",0,_xlfn.XLOOKUP(tblPayrollMaster[[#This Row],[Employee ID]],tblEmployee[Employee ID],tblEmployee[Pay Factor],1))</f>
        <v>1</v>
      </c>
      <c r="G452" s="26" t="str" cm="1">
        <f t="array" ref="G452">IF(tblPayrollMaster[[#This Row],[Employee ID]]="","",_xlfn.XLOOKUP(selPayPeriodID,tblPayCalendar[PayPeriodID],tblPayCalendar[PeriodStart],""))</f>
        <v/>
      </c>
      <c r="H452" s="26" t="str" cm="1">
        <f t="array" ref="H452">IF(tblPayrollMaster[[#This Row],[Employee ID]]="","",_xlfn.XLOOKUP(selPayPeriodID,tblPayCalendar[PayPeriodID],tblPayCalendar[PeriodEnd],""))</f>
        <v/>
      </c>
      <c r="I452" s="24" t="e" cm="1" vm="1">
        <f t="array" aca="1" ref="I452" ca="1">Table18[Employer Name]</f>
        <v>#VALUE!</v>
      </c>
      <c r="J452" s="3" cm="1">
        <f t="array" ref="J45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52" s="25" t="str">
        <f>_xlfn.XLOOKUP(tblPayrollMaster[[#This Row],[Employee Position]],tblPositionandPayRate[Employee Position],tblPositionandPayRate[Overtime], " ")</f>
        <v xml:space="preserve"> </v>
      </c>
      <c r="L452" s="25">
        <f>_xlfn.XLOOKUP(tblPayrollMaster[[#This Row],[Employee Position]],tblPositionandPayRate[Employee Position],tblPositionandPayRate[Allowance 1],0)*tblPayrollMaster[[#This Row],[Pay Factor]]</f>
        <v>0</v>
      </c>
      <c r="M452" s="25">
        <f>_xlfn.XLOOKUP(tblPayrollMaster[[#This Row],[Employee Position]],tblPositionandPayRate[Employee Position],tblPositionandPayRate[Allowance 2],0)*tblPayrollMaster[[#This Row],[Pay Factor]]</f>
        <v>0</v>
      </c>
      <c r="N452" s="25">
        <f>_xlfn.XLOOKUP(tblPayrollMaster[[#This Row],[Employee Position]],tblPositionandPayRate[Employee Position],tblPositionandPayRate[Allowance 3],0)*tblPayrollMaster[[#This Row],[Pay Factor]]</f>
        <v>0</v>
      </c>
      <c r="O452" s="25">
        <f>_xlfn.XLOOKUP(tblPayrollMaster[[#This Row],[Employee Position]],tblPositionandPayRate[Employee Position],tblPositionandPayRate[Allowance 4],0)*tblPayrollMaster[[#This Row],[Pay Factor]]</f>
        <v>0</v>
      </c>
      <c r="P452" s="25">
        <f>_xlfn.XLOOKUP(tblPayrollMaster[[#This Row],[Employee Position]],tblPositionandPayRate[Employee Position],tblPositionandPayRate[Allowance 5],0)*tblPayrollMaster[[#This Row],[Pay Factor]]</f>
        <v>0</v>
      </c>
      <c r="Q452" s="25">
        <f>SUM(tblPayrollMaster[[#This Row],[Basic Pay]:[Allowance 5]])</f>
        <v>0</v>
      </c>
      <c r="R45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52" s="51" cm="1">
        <f t="array" ref="S4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52" s="3" cm="1">
        <f t="array" ref="T4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52" s="25">
        <f>_xlfn.LET(
_xlpm.tos, _xlfn.XLOOKUP(tblPayrollMaster[[#This Row],[Employee ID]], tblEmployee[Employee ID], tblEmployee[Type of Service], ""),
IF(_xlpm.tos="Contract of Service", 8.25, 0)
)</f>
        <v>0</v>
      </c>
      <c r="V452" s="25">
        <f>tblPayrollMaster[[#This Row],[Basic Earnings]]-tblPayrollMaster[[#This Row],[Tax]]-tblPayrollMaster[[#This Row],[NIS - Employee]]-tblPayrollMaster[[#This Row],[Health Surcharge]]</f>
        <v>0</v>
      </c>
      <c r="W452" s="25">
        <f>tblPayrollMaster[[#This Row],[Net Pay]]</f>
        <v>0</v>
      </c>
      <c r="X452" s="25"/>
    </row>
    <row r="453" spans="1:24" x14ac:dyDescent="0.25">
      <c r="A453" s="24"/>
      <c r="B453" s="24" t="str">
        <f>_xlfn.XLOOKUP(tblPayrollMaster[[#This Row],[Employee ID]],tblEmployee[Employee ID],tblEmployee[Employee Name],"")</f>
        <v/>
      </c>
      <c r="C453" s="24" t="str">
        <f>_xlfn.XLOOKUP(tblPayrollMaster[[#This Row],[Employee ID]],tblEmployee[Employee ID],tblEmployee[Employee Position],"")</f>
        <v/>
      </c>
      <c r="D453" s="24" t="str">
        <f>_xlfn.XLOOKUP(tblPayrollMaster[[#This Row],[Employee ID]], tblEmployee[Employee ID], tblEmployee[Pay Status], "Pay")</f>
        <v>Pay</v>
      </c>
      <c r="E453" s="24" t="str">
        <f>_xlfn.XLOOKUP(tblPayrollMaster[[#This Row],[Employee ID]], tblEmployee[Employee ID], tblEmployee[Payable Flag], "Y")</f>
        <v>Y</v>
      </c>
      <c r="F453" s="45">
        <f>IF(tblPayrollMaster[[#This Row],[Payable Flag]]="N",0,_xlfn.XLOOKUP(tblPayrollMaster[[#This Row],[Employee ID]],tblEmployee[Employee ID],tblEmployee[Pay Factor],1))</f>
        <v>1</v>
      </c>
      <c r="G453" s="26" t="str" cm="1">
        <f t="array" ref="G453">IF(tblPayrollMaster[[#This Row],[Employee ID]]="","",_xlfn.XLOOKUP(selPayPeriodID,tblPayCalendar[PayPeriodID],tblPayCalendar[PeriodStart],""))</f>
        <v/>
      </c>
      <c r="H453" s="26" t="str" cm="1">
        <f t="array" ref="H453">IF(tblPayrollMaster[[#This Row],[Employee ID]]="","",_xlfn.XLOOKUP(selPayPeriodID,tblPayCalendar[PayPeriodID],tblPayCalendar[PeriodEnd],""))</f>
        <v/>
      </c>
      <c r="I453" s="24" t="e" cm="1" vm="1">
        <f t="array" aca="1" ref="I453" ca="1">Table18[Employer Name]</f>
        <v>#VALUE!</v>
      </c>
      <c r="J453" s="3" cm="1">
        <f t="array" ref="J45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53" s="25" t="str">
        <f>_xlfn.XLOOKUP(tblPayrollMaster[[#This Row],[Employee Position]],tblPositionandPayRate[Employee Position],tblPositionandPayRate[Overtime], " ")</f>
        <v xml:space="preserve"> </v>
      </c>
      <c r="L453" s="25">
        <f>_xlfn.XLOOKUP(tblPayrollMaster[[#This Row],[Employee Position]],tblPositionandPayRate[Employee Position],tblPositionandPayRate[Allowance 1],0)*tblPayrollMaster[[#This Row],[Pay Factor]]</f>
        <v>0</v>
      </c>
      <c r="M453" s="25">
        <f>_xlfn.XLOOKUP(tblPayrollMaster[[#This Row],[Employee Position]],tblPositionandPayRate[Employee Position],tblPositionandPayRate[Allowance 2],0)*tblPayrollMaster[[#This Row],[Pay Factor]]</f>
        <v>0</v>
      </c>
      <c r="N453" s="25">
        <f>_xlfn.XLOOKUP(tblPayrollMaster[[#This Row],[Employee Position]],tblPositionandPayRate[Employee Position],tblPositionandPayRate[Allowance 3],0)*tblPayrollMaster[[#This Row],[Pay Factor]]</f>
        <v>0</v>
      </c>
      <c r="O453" s="25">
        <f>_xlfn.XLOOKUP(tblPayrollMaster[[#This Row],[Employee Position]],tblPositionandPayRate[Employee Position],tblPositionandPayRate[Allowance 4],0)*tblPayrollMaster[[#This Row],[Pay Factor]]</f>
        <v>0</v>
      </c>
      <c r="P453" s="25">
        <f>_xlfn.XLOOKUP(tblPayrollMaster[[#This Row],[Employee Position]],tblPositionandPayRate[Employee Position],tblPositionandPayRate[Allowance 5],0)*tblPayrollMaster[[#This Row],[Pay Factor]]</f>
        <v>0</v>
      </c>
      <c r="Q453" s="25">
        <f>SUM(tblPayrollMaster[[#This Row],[Basic Pay]:[Allowance 5]])</f>
        <v>0</v>
      </c>
      <c r="R45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53" s="51" cm="1">
        <f t="array" ref="S4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53" s="3" cm="1">
        <f t="array" ref="T4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53" s="25">
        <f>_xlfn.LET(
_xlpm.tos, _xlfn.XLOOKUP(tblPayrollMaster[[#This Row],[Employee ID]], tblEmployee[Employee ID], tblEmployee[Type of Service], ""),
IF(_xlpm.tos="Contract of Service", 8.25, 0)
)</f>
        <v>0</v>
      </c>
      <c r="V453" s="25">
        <f>tblPayrollMaster[[#This Row],[Basic Earnings]]-tblPayrollMaster[[#This Row],[Tax]]-tblPayrollMaster[[#This Row],[NIS - Employee]]-tblPayrollMaster[[#This Row],[Health Surcharge]]</f>
        <v>0</v>
      </c>
      <c r="W453" s="25">
        <f>tblPayrollMaster[[#This Row],[Net Pay]]</f>
        <v>0</v>
      </c>
      <c r="X453" s="25"/>
    </row>
    <row r="454" spans="1:24" x14ac:dyDescent="0.25">
      <c r="A454" s="24"/>
      <c r="B454" s="24" t="str">
        <f>_xlfn.XLOOKUP(tblPayrollMaster[[#This Row],[Employee ID]],tblEmployee[Employee ID],tblEmployee[Employee Name],"")</f>
        <v/>
      </c>
      <c r="C454" s="24" t="str">
        <f>_xlfn.XLOOKUP(tblPayrollMaster[[#This Row],[Employee ID]],tblEmployee[Employee ID],tblEmployee[Employee Position],"")</f>
        <v/>
      </c>
      <c r="D454" s="24" t="str">
        <f>_xlfn.XLOOKUP(tblPayrollMaster[[#This Row],[Employee ID]], tblEmployee[Employee ID], tblEmployee[Pay Status], "Pay")</f>
        <v>Pay</v>
      </c>
      <c r="E454" s="24" t="str">
        <f>_xlfn.XLOOKUP(tblPayrollMaster[[#This Row],[Employee ID]], tblEmployee[Employee ID], tblEmployee[Payable Flag], "Y")</f>
        <v>Y</v>
      </c>
      <c r="F454" s="45">
        <f>IF(tblPayrollMaster[[#This Row],[Payable Flag]]="N",0,_xlfn.XLOOKUP(tblPayrollMaster[[#This Row],[Employee ID]],tblEmployee[Employee ID],tblEmployee[Pay Factor],1))</f>
        <v>1</v>
      </c>
      <c r="G454" s="26" t="str" cm="1">
        <f t="array" ref="G454">IF(tblPayrollMaster[[#This Row],[Employee ID]]="","",_xlfn.XLOOKUP(selPayPeriodID,tblPayCalendar[PayPeriodID],tblPayCalendar[PeriodStart],""))</f>
        <v/>
      </c>
      <c r="H454" s="26" t="str" cm="1">
        <f t="array" ref="H454">IF(tblPayrollMaster[[#This Row],[Employee ID]]="","",_xlfn.XLOOKUP(selPayPeriodID,tblPayCalendar[PayPeriodID],tblPayCalendar[PeriodEnd],""))</f>
        <v/>
      </c>
      <c r="I454" s="24" t="e" cm="1" vm="1">
        <f t="array" aca="1" ref="I454" ca="1">Table18[Employer Name]</f>
        <v>#VALUE!</v>
      </c>
      <c r="J454" s="3" cm="1">
        <f t="array" ref="J45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54" s="25" t="str">
        <f>_xlfn.XLOOKUP(tblPayrollMaster[[#This Row],[Employee Position]],tblPositionandPayRate[Employee Position],tblPositionandPayRate[Overtime], " ")</f>
        <v xml:space="preserve"> </v>
      </c>
      <c r="L454" s="25">
        <f>_xlfn.XLOOKUP(tblPayrollMaster[[#This Row],[Employee Position]],tblPositionandPayRate[Employee Position],tblPositionandPayRate[Allowance 1],0)*tblPayrollMaster[[#This Row],[Pay Factor]]</f>
        <v>0</v>
      </c>
      <c r="M454" s="25">
        <f>_xlfn.XLOOKUP(tblPayrollMaster[[#This Row],[Employee Position]],tblPositionandPayRate[Employee Position],tblPositionandPayRate[Allowance 2],0)*tblPayrollMaster[[#This Row],[Pay Factor]]</f>
        <v>0</v>
      </c>
      <c r="N454" s="25">
        <f>_xlfn.XLOOKUP(tblPayrollMaster[[#This Row],[Employee Position]],tblPositionandPayRate[Employee Position],tblPositionandPayRate[Allowance 3],0)*tblPayrollMaster[[#This Row],[Pay Factor]]</f>
        <v>0</v>
      </c>
      <c r="O454" s="25">
        <f>_xlfn.XLOOKUP(tblPayrollMaster[[#This Row],[Employee Position]],tblPositionandPayRate[Employee Position],tblPositionandPayRate[Allowance 4],0)*tblPayrollMaster[[#This Row],[Pay Factor]]</f>
        <v>0</v>
      </c>
      <c r="P454" s="25">
        <f>_xlfn.XLOOKUP(tblPayrollMaster[[#This Row],[Employee Position]],tblPositionandPayRate[Employee Position],tblPositionandPayRate[Allowance 5],0)*tblPayrollMaster[[#This Row],[Pay Factor]]</f>
        <v>0</v>
      </c>
      <c r="Q454" s="25">
        <f>SUM(tblPayrollMaster[[#This Row],[Basic Pay]:[Allowance 5]])</f>
        <v>0</v>
      </c>
      <c r="R45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54" s="51" cm="1">
        <f t="array" ref="S4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54" s="3" cm="1">
        <f t="array" ref="T4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54" s="25">
        <f>_xlfn.LET(
_xlpm.tos, _xlfn.XLOOKUP(tblPayrollMaster[[#This Row],[Employee ID]], tblEmployee[Employee ID], tblEmployee[Type of Service], ""),
IF(_xlpm.tos="Contract of Service", 8.25, 0)
)</f>
        <v>0</v>
      </c>
      <c r="V454" s="25">
        <f>tblPayrollMaster[[#This Row],[Basic Earnings]]-tblPayrollMaster[[#This Row],[Tax]]-tblPayrollMaster[[#This Row],[NIS - Employee]]-tblPayrollMaster[[#This Row],[Health Surcharge]]</f>
        <v>0</v>
      </c>
      <c r="W454" s="25">
        <f>tblPayrollMaster[[#This Row],[Net Pay]]</f>
        <v>0</v>
      </c>
      <c r="X454" s="25"/>
    </row>
    <row r="455" spans="1:24" x14ac:dyDescent="0.25">
      <c r="A455" s="24"/>
      <c r="B455" s="24" t="str">
        <f>_xlfn.XLOOKUP(tblPayrollMaster[[#This Row],[Employee ID]],tblEmployee[Employee ID],tblEmployee[Employee Name],"")</f>
        <v/>
      </c>
      <c r="C455" s="24" t="str">
        <f>_xlfn.XLOOKUP(tblPayrollMaster[[#This Row],[Employee ID]],tblEmployee[Employee ID],tblEmployee[Employee Position],"")</f>
        <v/>
      </c>
      <c r="D455" s="24" t="str">
        <f>_xlfn.XLOOKUP(tblPayrollMaster[[#This Row],[Employee ID]], tblEmployee[Employee ID], tblEmployee[Pay Status], "Pay")</f>
        <v>Pay</v>
      </c>
      <c r="E455" s="24" t="str">
        <f>_xlfn.XLOOKUP(tblPayrollMaster[[#This Row],[Employee ID]], tblEmployee[Employee ID], tblEmployee[Payable Flag], "Y")</f>
        <v>Y</v>
      </c>
      <c r="F455" s="45">
        <f>IF(tblPayrollMaster[[#This Row],[Payable Flag]]="N",0,_xlfn.XLOOKUP(tblPayrollMaster[[#This Row],[Employee ID]],tblEmployee[Employee ID],tblEmployee[Pay Factor],1))</f>
        <v>1</v>
      </c>
      <c r="G455" s="26" t="str" cm="1">
        <f t="array" ref="G455">IF(tblPayrollMaster[[#This Row],[Employee ID]]="","",_xlfn.XLOOKUP(selPayPeriodID,tblPayCalendar[PayPeriodID],tblPayCalendar[PeriodStart],""))</f>
        <v/>
      </c>
      <c r="H455" s="26" t="str" cm="1">
        <f t="array" ref="H455">IF(tblPayrollMaster[[#This Row],[Employee ID]]="","",_xlfn.XLOOKUP(selPayPeriodID,tblPayCalendar[PayPeriodID],tblPayCalendar[PeriodEnd],""))</f>
        <v/>
      </c>
      <c r="I455" s="24" t="e" cm="1" vm="1">
        <f t="array" aca="1" ref="I455" ca="1">Table18[Employer Name]</f>
        <v>#VALUE!</v>
      </c>
      <c r="J455" s="3" cm="1">
        <f t="array" ref="J45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55" s="25" t="str">
        <f>_xlfn.XLOOKUP(tblPayrollMaster[[#This Row],[Employee Position]],tblPositionandPayRate[Employee Position],tblPositionandPayRate[Overtime], " ")</f>
        <v xml:space="preserve"> </v>
      </c>
      <c r="L455" s="25">
        <f>_xlfn.XLOOKUP(tblPayrollMaster[[#This Row],[Employee Position]],tblPositionandPayRate[Employee Position],tblPositionandPayRate[Allowance 1],0)*tblPayrollMaster[[#This Row],[Pay Factor]]</f>
        <v>0</v>
      </c>
      <c r="M455" s="25">
        <f>_xlfn.XLOOKUP(tblPayrollMaster[[#This Row],[Employee Position]],tblPositionandPayRate[Employee Position],tblPositionandPayRate[Allowance 2],0)*tblPayrollMaster[[#This Row],[Pay Factor]]</f>
        <v>0</v>
      </c>
      <c r="N455" s="25">
        <f>_xlfn.XLOOKUP(tblPayrollMaster[[#This Row],[Employee Position]],tblPositionandPayRate[Employee Position],tblPositionandPayRate[Allowance 3],0)*tblPayrollMaster[[#This Row],[Pay Factor]]</f>
        <v>0</v>
      </c>
      <c r="O455" s="25">
        <f>_xlfn.XLOOKUP(tblPayrollMaster[[#This Row],[Employee Position]],tblPositionandPayRate[Employee Position],tblPositionandPayRate[Allowance 4],0)*tblPayrollMaster[[#This Row],[Pay Factor]]</f>
        <v>0</v>
      </c>
      <c r="P455" s="25">
        <f>_xlfn.XLOOKUP(tblPayrollMaster[[#This Row],[Employee Position]],tblPositionandPayRate[Employee Position],tblPositionandPayRate[Allowance 5],0)*tblPayrollMaster[[#This Row],[Pay Factor]]</f>
        <v>0</v>
      </c>
      <c r="Q455" s="25">
        <f>SUM(tblPayrollMaster[[#This Row],[Basic Pay]:[Allowance 5]])</f>
        <v>0</v>
      </c>
      <c r="R45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55" s="51" cm="1">
        <f t="array" ref="S4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55" s="3" cm="1">
        <f t="array" ref="T4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55" s="25">
        <f>_xlfn.LET(
_xlpm.tos, _xlfn.XLOOKUP(tblPayrollMaster[[#This Row],[Employee ID]], tblEmployee[Employee ID], tblEmployee[Type of Service], ""),
IF(_xlpm.tos="Contract of Service", 8.25, 0)
)</f>
        <v>0</v>
      </c>
      <c r="V455" s="25">
        <f>tblPayrollMaster[[#This Row],[Basic Earnings]]-tblPayrollMaster[[#This Row],[Tax]]-tblPayrollMaster[[#This Row],[NIS - Employee]]-tblPayrollMaster[[#This Row],[Health Surcharge]]</f>
        <v>0</v>
      </c>
      <c r="W455" s="25">
        <f>tblPayrollMaster[[#This Row],[Net Pay]]</f>
        <v>0</v>
      </c>
      <c r="X455" s="25"/>
    </row>
    <row r="456" spans="1:24" x14ac:dyDescent="0.25">
      <c r="A456" s="24"/>
      <c r="B456" s="24" t="str">
        <f>_xlfn.XLOOKUP(tblPayrollMaster[[#This Row],[Employee ID]],tblEmployee[Employee ID],tblEmployee[Employee Name],"")</f>
        <v/>
      </c>
      <c r="C456" s="24" t="str">
        <f>_xlfn.XLOOKUP(tblPayrollMaster[[#This Row],[Employee ID]],tblEmployee[Employee ID],tblEmployee[Employee Position],"")</f>
        <v/>
      </c>
      <c r="D456" s="24" t="str">
        <f>_xlfn.XLOOKUP(tblPayrollMaster[[#This Row],[Employee ID]], tblEmployee[Employee ID], tblEmployee[Pay Status], "Pay")</f>
        <v>Pay</v>
      </c>
      <c r="E456" s="24" t="str">
        <f>_xlfn.XLOOKUP(tblPayrollMaster[[#This Row],[Employee ID]], tblEmployee[Employee ID], tblEmployee[Payable Flag], "Y")</f>
        <v>Y</v>
      </c>
      <c r="F456" s="45">
        <f>IF(tblPayrollMaster[[#This Row],[Payable Flag]]="N",0,_xlfn.XLOOKUP(tblPayrollMaster[[#This Row],[Employee ID]],tblEmployee[Employee ID],tblEmployee[Pay Factor],1))</f>
        <v>1</v>
      </c>
      <c r="G456" s="26" t="str" cm="1">
        <f t="array" ref="G456">IF(tblPayrollMaster[[#This Row],[Employee ID]]="","",_xlfn.XLOOKUP(selPayPeriodID,tblPayCalendar[PayPeriodID],tblPayCalendar[PeriodStart],""))</f>
        <v/>
      </c>
      <c r="H456" s="26" t="str" cm="1">
        <f t="array" ref="H456">IF(tblPayrollMaster[[#This Row],[Employee ID]]="","",_xlfn.XLOOKUP(selPayPeriodID,tblPayCalendar[PayPeriodID],tblPayCalendar[PeriodEnd],""))</f>
        <v/>
      </c>
      <c r="I456" s="24" t="e" cm="1" vm="1">
        <f t="array" aca="1" ref="I456" ca="1">Table18[Employer Name]</f>
        <v>#VALUE!</v>
      </c>
      <c r="J456" s="3" cm="1">
        <f t="array" ref="J45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56" s="25" t="str">
        <f>_xlfn.XLOOKUP(tblPayrollMaster[[#This Row],[Employee Position]],tblPositionandPayRate[Employee Position],tblPositionandPayRate[Overtime], " ")</f>
        <v xml:space="preserve"> </v>
      </c>
      <c r="L456" s="25">
        <f>_xlfn.XLOOKUP(tblPayrollMaster[[#This Row],[Employee Position]],tblPositionandPayRate[Employee Position],tblPositionandPayRate[Allowance 1],0)*tblPayrollMaster[[#This Row],[Pay Factor]]</f>
        <v>0</v>
      </c>
      <c r="M456" s="25">
        <f>_xlfn.XLOOKUP(tblPayrollMaster[[#This Row],[Employee Position]],tblPositionandPayRate[Employee Position],tblPositionandPayRate[Allowance 2],0)*tblPayrollMaster[[#This Row],[Pay Factor]]</f>
        <v>0</v>
      </c>
      <c r="N456" s="25">
        <f>_xlfn.XLOOKUP(tblPayrollMaster[[#This Row],[Employee Position]],tblPositionandPayRate[Employee Position],tblPositionandPayRate[Allowance 3],0)*tblPayrollMaster[[#This Row],[Pay Factor]]</f>
        <v>0</v>
      </c>
      <c r="O456" s="25">
        <f>_xlfn.XLOOKUP(tblPayrollMaster[[#This Row],[Employee Position]],tblPositionandPayRate[Employee Position],tblPositionandPayRate[Allowance 4],0)*tblPayrollMaster[[#This Row],[Pay Factor]]</f>
        <v>0</v>
      </c>
      <c r="P456" s="25">
        <f>_xlfn.XLOOKUP(tblPayrollMaster[[#This Row],[Employee Position]],tblPositionandPayRate[Employee Position],tblPositionandPayRate[Allowance 5],0)*tblPayrollMaster[[#This Row],[Pay Factor]]</f>
        <v>0</v>
      </c>
      <c r="Q456" s="25">
        <f>SUM(tblPayrollMaster[[#This Row],[Basic Pay]:[Allowance 5]])</f>
        <v>0</v>
      </c>
      <c r="R45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56" s="51" cm="1">
        <f t="array" ref="S4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56" s="3" cm="1">
        <f t="array" ref="T4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56" s="25">
        <f>_xlfn.LET(
_xlpm.tos, _xlfn.XLOOKUP(tblPayrollMaster[[#This Row],[Employee ID]], tblEmployee[Employee ID], tblEmployee[Type of Service], ""),
IF(_xlpm.tos="Contract of Service", 8.25, 0)
)</f>
        <v>0</v>
      </c>
      <c r="V456" s="25">
        <f>tblPayrollMaster[[#This Row],[Basic Earnings]]-tblPayrollMaster[[#This Row],[Tax]]-tblPayrollMaster[[#This Row],[NIS - Employee]]-tblPayrollMaster[[#This Row],[Health Surcharge]]</f>
        <v>0</v>
      </c>
      <c r="W456" s="25">
        <f>tblPayrollMaster[[#This Row],[Net Pay]]</f>
        <v>0</v>
      </c>
      <c r="X456" s="25"/>
    </row>
    <row r="457" spans="1:24" x14ac:dyDescent="0.25">
      <c r="A457" s="24"/>
      <c r="B457" s="24" t="str">
        <f>_xlfn.XLOOKUP(tblPayrollMaster[[#This Row],[Employee ID]],tblEmployee[Employee ID],tblEmployee[Employee Name],"")</f>
        <v/>
      </c>
      <c r="C457" s="24" t="str">
        <f>_xlfn.XLOOKUP(tblPayrollMaster[[#This Row],[Employee ID]],tblEmployee[Employee ID],tblEmployee[Employee Position],"")</f>
        <v/>
      </c>
      <c r="D457" s="24" t="str">
        <f>_xlfn.XLOOKUP(tblPayrollMaster[[#This Row],[Employee ID]], tblEmployee[Employee ID], tblEmployee[Pay Status], "Pay")</f>
        <v>Pay</v>
      </c>
      <c r="E457" s="24" t="str">
        <f>_xlfn.XLOOKUP(tblPayrollMaster[[#This Row],[Employee ID]], tblEmployee[Employee ID], tblEmployee[Payable Flag], "Y")</f>
        <v>Y</v>
      </c>
      <c r="F457" s="45">
        <f>IF(tblPayrollMaster[[#This Row],[Payable Flag]]="N",0,_xlfn.XLOOKUP(tblPayrollMaster[[#This Row],[Employee ID]],tblEmployee[Employee ID],tblEmployee[Pay Factor],1))</f>
        <v>1</v>
      </c>
      <c r="G457" s="26" t="str" cm="1">
        <f t="array" ref="G457">IF(tblPayrollMaster[[#This Row],[Employee ID]]="","",_xlfn.XLOOKUP(selPayPeriodID,tblPayCalendar[PayPeriodID],tblPayCalendar[PeriodStart],""))</f>
        <v/>
      </c>
      <c r="H457" s="26" t="str" cm="1">
        <f t="array" ref="H457">IF(tblPayrollMaster[[#This Row],[Employee ID]]="","",_xlfn.XLOOKUP(selPayPeriodID,tblPayCalendar[PayPeriodID],tblPayCalendar[PeriodEnd],""))</f>
        <v/>
      </c>
      <c r="I457" s="24" t="e" cm="1" vm="1">
        <f t="array" aca="1" ref="I457" ca="1">Table18[Employer Name]</f>
        <v>#VALUE!</v>
      </c>
      <c r="J457" s="3" cm="1">
        <f t="array" ref="J45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57" s="25" t="str">
        <f>_xlfn.XLOOKUP(tblPayrollMaster[[#This Row],[Employee Position]],tblPositionandPayRate[Employee Position],tblPositionandPayRate[Overtime], " ")</f>
        <v xml:space="preserve"> </v>
      </c>
      <c r="L457" s="25">
        <f>_xlfn.XLOOKUP(tblPayrollMaster[[#This Row],[Employee Position]],tblPositionandPayRate[Employee Position],tblPositionandPayRate[Allowance 1],0)*tblPayrollMaster[[#This Row],[Pay Factor]]</f>
        <v>0</v>
      </c>
      <c r="M457" s="25">
        <f>_xlfn.XLOOKUP(tblPayrollMaster[[#This Row],[Employee Position]],tblPositionandPayRate[Employee Position],tblPositionandPayRate[Allowance 2],0)*tblPayrollMaster[[#This Row],[Pay Factor]]</f>
        <v>0</v>
      </c>
      <c r="N457" s="25">
        <f>_xlfn.XLOOKUP(tblPayrollMaster[[#This Row],[Employee Position]],tblPositionandPayRate[Employee Position],tblPositionandPayRate[Allowance 3],0)*tblPayrollMaster[[#This Row],[Pay Factor]]</f>
        <v>0</v>
      </c>
      <c r="O457" s="25">
        <f>_xlfn.XLOOKUP(tblPayrollMaster[[#This Row],[Employee Position]],tblPositionandPayRate[Employee Position],tblPositionandPayRate[Allowance 4],0)*tblPayrollMaster[[#This Row],[Pay Factor]]</f>
        <v>0</v>
      </c>
      <c r="P457" s="25">
        <f>_xlfn.XLOOKUP(tblPayrollMaster[[#This Row],[Employee Position]],tblPositionandPayRate[Employee Position],tblPositionandPayRate[Allowance 5],0)*tblPayrollMaster[[#This Row],[Pay Factor]]</f>
        <v>0</v>
      </c>
      <c r="Q457" s="25">
        <f>SUM(tblPayrollMaster[[#This Row],[Basic Pay]:[Allowance 5]])</f>
        <v>0</v>
      </c>
      <c r="R45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57" s="51" cm="1">
        <f t="array" ref="S4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57" s="3" cm="1">
        <f t="array" ref="T4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57" s="25">
        <f>_xlfn.LET(
_xlpm.tos, _xlfn.XLOOKUP(tblPayrollMaster[[#This Row],[Employee ID]], tblEmployee[Employee ID], tblEmployee[Type of Service], ""),
IF(_xlpm.tos="Contract of Service", 8.25, 0)
)</f>
        <v>0</v>
      </c>
      <c r="V457" s="25">
        <f>tblPayrollMaster[[#This Row],[Basic Earnings]]-tblPayrollMaster[[#This Row],[Tax]]-tblPayrollMaster[[#This Row],[NIS - Employee]]-tblPayrollMaster[[#This Row],[Health Surcharge]]</f>
        <v>0</v>
      </c>
      <c r="W457" s="25">
        <f>tblPayrollMaster[[#This Row],[Net Pay]]</f>
        <v>0</v>
      </c>
      <c r="X457" s="25"/>
    </row>
    <row r="458" spans="1:24" x14ac:dyDescent="0.25">
      <c r="A458" s="24"/>
      <c r="B458" s="24" t="str">
        <f>_xlfn.XLOOKUP(tblPayrollMaster[[#This Row],[Employee ID]],tblEmployee[Employee ID],tblEmployee[Employee Name],"")</f>
        <v/>
      </c>
      <c r="C458" s="24" t="str">
        <f>_xlfn.XLOOKUP(tblPayrollMaster[[#This Row],[Employee ID]],tblEmployee[Employee ID],tblEmployee[Employee Position],"")</f>
        <v/>
      </c>
      <c r="D458" s="24" t="str">
        <f>_xlfn.XLOOKUP(tblPayrollMaster[[#This Row],[Employee ID]], tblEmployee[Employee ID], tblEmployee[Pay Status], "Pay")</f>
        <v>Pay</v>
      </c>
      <c r="E458" s="24" t="str">
        <f>_xlfn.XLOOKUP(tblPayrollMaster[[#This Row],[Employee ID]], tblEmployee[Employee ID], tblEmployee[Payable Flag], "Y")</f>
        <v>Y</v>
      </c>
      <c r="F458" s="45">
        <f>IF(tblPayrollMaster[[#This Row],[Payable Flag]]="N",0,_xlfn.XLOOKUP(tblPayrollMaster[[#This Row],[Employee ID]],tblEmployee[Employee ID],tblEmployee[Pay Factor],1))</f>
        <v>1</v>
      </c>
      <c r="G458" s="26" t="str" cm="1">
        <f t="array" ref="G458">IF(tblPayrollMaster[[#This Row],[Employee ID]]="","",_xlfn.XLOOKUP(selPayPeriodID,tblPayCalendar[PayPeriodID],tblPayCalendar[PeriodStart],""))</f>
        <v/>
      </c>
      <c r="H458" s="26" t="str" cm="1">
        <f t="array" ref="H458">IF(tblPayrollMaster[[#This Row],[Employee ID]]="","",_xlfn.XLOOKUP(selPayPeriodID,tblPayCalendar[PayPeriodID],tblPayCalendar[PeriodEnd],""))</f>
        <v/>
      </c>
      <c r="I458" s="24" t="e" cm="1" vm="1">
        <f t="array" aca="1" ref="I458" ca="1">Table18[Employer Name]</f>
        <v>#VALUE!</v>
      </c>
      <c r="J458" s="3" cm="1">
        <f t="array" ref="J45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58" s="25" t="str">
        <f>_xlfn.XLOOKUP(tblPayrollMaster[[#This Row],[Employee Position]],tblPositionandPayRate[Employee Position],tblPositionandPayRate[Overtime], " ")</f>
        <v xml:space="preserve"> </v>
      </c>
      <c r="L458" s="25">
        <f>_xlfn.XLOOKUP(tblPayrollMaster[[#This Row],[Employee Position]],tblPositionandPayRate[Employee Position],tblPositionandPayRate[Allowance 1],0)*tblPayrollMaster[[#This Row],[Pay Factor]]</f>
        <v>0</v>
      </c>
      <c r="M458" s="25">
        <f>_xlfn.XLOOKUP(tblPayrollMaster[[#This Row],[Employee Position]],tblPositionandPayRate[Employee Position],tblPositionandPayRate[Allowance 2],0)*tblPayrollMaster[[#This Row],[Pay Factor]]</f>
        <v>0</v>
      </c>
      <c r="N458" s="25">
        <f>_xlfn.XLOOKUP(tblPayrollMaster[[#This Row],[Employee Position]],tblPositionandPayRate[Employee Position],tblPositionandPayRate[Allowance 3],0)*tblPayrollMaster[[#This Row],[Pay Factor]]</f>
        <v>0</v>
      </c>
      <c r="O458" s="25">
        <f>_xlfn.XLOOKUP(tblPayrollMaster[[#This Row],[Employee Position]],tblPositionandPayRate[Employee Position],tblPositionandPayRate[Allowance 4],0)*tblPayrollMaster[[#This Row],[Pay Factor]]</f>
        <v>0</v>
      </c>
      <c r="P458" s="25">
        <f>_xlfn.XLOOKUP(tblPayrollMaster[[#This Row],[Employee Position]],tblPositionandPayRate[Employee Position],tblPositionandPayRate[Allowance 5],0)*tblPayrollMaster[[#This Row],[Pay Factor]]</f>
        <v>0</v>
      </c>
      <c r="Q458" s="25">
        <f>SUM(tblPayrollMaster[[#This Row],[Basic Pay]:[Allowance 5]])</f>
        <v>0</v>
      </c>
      <c r="R45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58" s="51" cm="1">
        <f t="array" ref="S4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58" s="3" cm="1">
        <f t="array" ref="T4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58" s="25">
        <f>_xlfn.LET(
_xlpm.tos, _xlfn.XLOOKUP(tblPayrollMaster[[#This Row],[Employee ID]], tblEmployee[Employee ID], tblEmployee[Type of Service], ""),
IF(_xlpm.tos="Contract of Service", 8.25, 0)
)</f>
        <v>0</v>
      </c>
      <c r="V458" s="25">
        <f>tblPayrollMaster[[#This Row],[Basic Earnings]]-tblPayrollMaster[[#This Row],[Tax]]-tblPayrollMaster[[#This Row],[NIS - Employee]]-tblPayrollMaster[[#This Row],[Health Surcharge]]</f>
        <v>0</v>
      </c>
      <c r="W458" s="25">
        <f>tblPayrollMaster[[#This Row],[Net Pay]]</f>
        <v>0</v>
      </c>
      <c r="X458" s="25"/>
    </row>
    <row r="459" spans="1:24" x14ac:dyDescent="0.25">
      <c r="A459" s="24"/>
      <c r="B459" s="24" t="str">
        <f>_xlfn.XLOOKUP(tblPayrollMaster[[#This Row],[Employee ID]],tblEmployee[Employee ID],tblEmployee[Employee Name],"")</f>
        <v/>
      </c>
      <c r="C459" s="24" t="str">
        <f>_xlfn.XLOOKUP(tblPayrollMaster[[#This Row],[Employee ID]],tblEmployee[Employee ID],tblEmployee[Employee Position],"")</f>
        <v/>
      </c>
      <c r="D459" s="24" t="str">
        <f>_xlfn.XLOOKUP(tblPayrollMaster[[#This Row],[Employee ID]], tblEmployee[Employee ID], tblEmployee[Pay Status], "Pay")</f>
        <v>Pay</v>
      </c>
      <c r="E459" s="24" t="str">
        <f>_xlfn.XLOOKUP(tblPayrollMaster[[#This Row],[Employee ID]], tblEmployee[Employee ID], tblEmployee[Payable Flag], "Y")</f>
        <v>Y</v>
      </c>
      <c r="F459" s="45">
        <f>IF(tblPayrollMaster[[#This Row],[Payable Flag]]="N",0,_xlfn.XLOOKUP(tblPayrollMaster[[#This Row],[Employee ID]],tblEmployee[Employee ID],tblEmployee[Pay Factor],1))</f>
        <v>1</v>
      </c>
      <c r="G459" s="26" t="str" cm="1">
        <f t="array" ref="G459">IF(tblPayrollMaster[[#This Row],[Employee ID]]="","",_xlfn.XLOOKUP(selPayPeriodID,tblPayCalendar[PayPeriodID],tblPayCalendar[PeriodStart],""))</f>
        <v/>
      </c>
      <c r="H459" s="26" t="str" cm="1">
        <f t="array" ref="H459">IF(tblPayrollMaster[[#This Row],[Employee ID]]="","",_xlfn.XLOOKUP(selPayPeriodID,tblPayCalendar[PayPeriodID],tblPayCalendar[PeriodEnd],""))</f>
        <v/>
      </c>
      <c r="I459" s="24" t="e" cm="1" vm="1">
        <f t="array" aca="1" ref="I459" ca="1">Table18[Employer Name]</f>
        <v>#VALUE!</v>
      </c>
      <c r="J459" s="3" cm="1">
        <f t="array" ref="J45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59" s="25" t="str">
        <f>_xlfn.XLOOKUP(tblPayrollMaster[[#This Row],[Employee Position]],tblPositionandPayRate[Employee Position],tblPositionandPayRate[Overtime], " ")</f>
        <v xml:space="preserve"> </v>
      </c>
      <c r="L459" s="25">
        <f>_xlfn.XLOOKUP(tblPayrollMaster[[#This Row],[Employee Position]],tblPositionandPayRate[Employee Position],tblPositionandPayRate[Allowance 1],0)*tblPayrollMaster[[#This Row],[Pay Factor]]</f>
        <v>0</v>
      </c>
      <c r="M459" s="25">
        <f>_xlfn.XLOOKUP(tblPayrollMaster[[#This Row],[Employee Position]],tblPositionandPayRate[Employee Position],tblPositionandPayRate[Allowance 2],0)*tblPayrollMaster[[#This Row],[Pay Factor]]</f>
        <v>0</v>
      </c>
      <c r="N459" s="25">
        <f>_xlfn.XLOOKUP(tblPayrollMaster[[#This Row],[Employee Position]],tblPositionandPayRate[Employee Position],tblPositionandPayRate[Allowance 3],0)*tblPayrollMaster[[#This Row],[Pay Factor]]</f>
        <v>0</v>
      </c>
      <c r="O459" s="25">
        <f>_xlfn.XLOOKUP(tblPayrollMaster[[#This Row],[Employee Position]],tblPositionandPayRate[Employee Position],tblPositionandPayRate[Allowance 4],0)*tblPayrollMaster[[#This Row],[Pay Factor]]</f>
        <v>0</v>
      </c>
      <c r="P459" s="25">
        <f>_xlfn.XLOOKUP(tblPayrollMaster[[#This Row],[Employee Position]],tblPositionandPayRate[Employee Position],tblPositionandPayRate[Allowance 5],0)*tblPayrollMaster[[#This Row],[Pay Factor]]</f>
        <v>0</v>
      </c>
      <c r="Q459" s="25">
        <f>SUM(tblPayrollMaster[[#This Row],[Basic Pay]:[Allowance 5]])</f>
        <v>0</v>
      </c>
      <c r="R45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59" s="51" cm="1">
        <f t="array" ref="S4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59" s="3" cm="1">
        <f t="array" ref="T4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59" s="25">
        <f>_xlfn.LET(
_xlpm.tos, _xlfn.XLOOKUP(tblPayrollMaster[[#This Row],[Employee ID]], tblEmployee[Employee ID], tblEmployee[Type of Service], ""),
IF(_xlpm.tos="Contract of Service", 8.25, 0)
)</f>
        <v>0</v>
      </c>
      <c r="V459" s="25">
        <f>tblPayrollMaster[[#This Row],[Basic Earnings]]-tblPayrollMaster[[#This Row],[Tax]]-tblPayrollMaster[[#This Row],[NIS - Employee]]-tblPayrollMaster[[#This Row],[Health Surcharge]]</f>
        <v>0</v>
      </c>
      <c r="W459" s="25">
        <f>tblPayrollMaster[[#This Row],[Net Pay]]</f>
        <v>0</v>
      </c>
      <c r="X459" s="25"/>
    </row>
    <row r="460" spans="1:24" x14ac:dyDescent="0.25">
      <c r="A460" s="24"/>
      <c r="B460" s="24" t="str">
        <f>_xlfn.XLOOKUP(tblPayrollMaster[[#This Row],[Employee ID]],tblEmployee[Employee ID],tblEmployee[Employee Name],"")</f>
        <v/>
      </c>
      <c r="C460" s="24" t="str">
        <f>_xlfn.XLOOKUP(tblPayrollMaster[[#This Row],[Employee ID]],tblEmployee[Employee ID],tblEmployee[Employee Position],"")</f>
        <v/>
      </c>
      <c r="D460" s="24" t="str">
        <f>_xlfn.XLOOKUP(tblPayrollMaster[[#This Row],[Employee ID]], tblEmployee[Employee ID], tblEmployee[Pay Status], "Pay")</f>
        <v>Pay</v>
      </c>
      <c r="E460" s="24" t="str">
        <f>_xlfn.XLOOKUP(tblPayrollMaster[[#This Row],[Employee ID]], tblEmployee[Employee ID], tblEmployee[Payable Flag], "Y")</f>
        <v>Y</v>
      </c>
      <c r="F460" s="45">
        <f>IF(tblPayrollMaster[[#This Row],[Payable Flag]]="N",0,_xlfn.XLOOKUP(tblPayrollMaster[[#This Row],[Employee ID]],tblEmployee[Employee ID],tblEmployee[Pay Factor],1))</f>
        <v>1</v>
      </c>
      <c r="G460" s="26" t="str" cm="1">
        <f t="array" ref="G460">IF(tblPayrollMaster[[#This Row],[Employee ID]]="","",_xlfn.XLOOKUP(selPayPeriodID,tblPayCalendar[PayPeriodID],tblPayCalendar[PeriodStart],""))</f>
        <v/>
      </c>
      <c r="H460" s="26" t="str" cm="1">
        <f t="array" ref="H460">IF(tblPayrollMaster[[#This Row],[Employee ID]]="","",_xlfn.XLOOKUP(selPayPeriodID,tblPayCalendar[PayPeriodID],tblPayCalendar[PeriodEnd],""))</f>
        <v/>
      </c>
      <c r="I460" s="24" t="e" cm="1" vm="1">
        <f t="array" aca="1" ref="I460" ca="1">Table18[Employer Name]</f>
        <v>#VALUE!</v>
      </c>
      <c r="J460" s="3" cm="1">
        <f t="array" ref="J46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60" s="25" t="str">
        <f>_xlfn.XLOOKUP(tblPayrollMaster[[#This Row],[Employee Position]],tblPositionandPayRate[Employee Position],tblPositionandPayRate[Overtime], " ")</f>
        <v xml:space="preserve"> </v>
      </c>
      <c r="L460" s="25">
        <f>_xlfn.XLOOKUP(tblPayrollMaster[[#This Row],[Employee Position]],tblPositionandPayRate[Employee Position],tblPositionandPayRate[Allowance 1],0)*tblPayrollMaster[[#This Row],[Pay Factor]]</f>
        <v>0</v>
      </c>
      <c r="M460" s="25">
        <f>_xlfn.XLOOKUP(tblPayrollMaster[[#This Row],[Employee Position]],tblPositionandPayRate[Employee Position],tblPositionandPayRate[Allowance 2],0)*tblPayrollMaster[[#This Row],[Pay Factor]]</f>
        <v>0</v>
      </c>
      <c r="N460" s="25">
        <f>_xlfn.XLOOKUP(tblPayrollMaster[[#This Row],[Employee Position]],tblPositionandPayRate[Employee Position],tblPositionandPayRate[Allowance 3],0)*tblPayrollMaster[[#This Row],[Pay Factor]]</f>
        <v>0</v>
      </c>
      <c r="O460" s="25">
        <f>_xlfn.XLOOKUP(tblPayrollMaster[[#This Row],[Employee Position]],tblPositionandPayRate[Employee Position],tblPositionandPayRate[Allowance 4],0)*tblPayrollMaster[[#This Row],[Pay Factor]]</f>
        <v>0</v>
      </c>
      <c r="P460" s="25">
        <f>_xlfn.XLOOKUP(tblPayrollMaster[[#This Row],[Employee Position]],tblPositionandPayRate[Employee Position],tblPositionandPayRate[Allowance 5],0)*tblPayrollMaster[[#This Row],[Pay Factor]]</f>
        <v>0</v>
      </c>
      <c r="Q460" s="25">
        <f>SUM(tblPayrollMaster[[#This Row],[Basic Pay]:[Allowance 5]])</f>
        <v>0</v>
      </c>
      <c r="R46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60" s="51" cm="1">
        <f t="array" ref="S4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60" s="3" cm="1">
        <f t="array" ref="T4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60" s="25">
        <f>_xlfn.LET(
_xlpm.tos, _xlfn.XLOOKUP(tblPayrollMaster[[#This Row],[Employee ID]], tblEmployee[Employee ID], tblEmployee[Type of Service], ""),
IF(_xlpm.tos="Contract of Service", 8.25, 0)
)</f>
        <v>0</v>
      </c>
      <c r="V460" s="25">
        <f>tblPayrollMaster[[#This Row],[Basic Earnings]]-tblPayrollMaster[[#This Row],[Tax]]-tblPayrollMaster[[#This Row],[NIS - Employee]]-tblPayrollMaster[[#This Row],[Health Surcharge]]</f>
        <v>0</v>
      </c>
      <c r="W460" s="25">
        <f>tblPayrollMaster[[#This Row],[Net Pay]]</f>
        <v>0</v>
      </c>
      <c r="X460" s="25"/>
    </row>
    <row r="461" spans="1:24" x14ac:dyDescent="0.25">
      <c r="A461" s="24"/>
      <c r="B461" s="24" t="str">
        <f>_xlfn.XLOOKUP(tblPayrollMaster[[#This Row],[Employee ID]],tblEmployee[Employee ID],tblEmployee[Employee Name],"")</f>
        <v/>
      </c>
      <c r="C461" s="24" t="str">
        <f>_xlfn.XLOOKUP(tblPayrollMaster[[#This Row],[Employee ID]],tblEmployee[Employee ID],tblEmployee[Employee Position],"")</f>
        <v/>
      </c>
      <c r="D461" s="24" t="str">
        <f>_xlfn.XLOOKUP(tblPayrollMaster[[#This Row],[Employee ID]], tblEmployee[Employee ID], tblEmployee[Pay Status], "Pay")</f>
        <v>Pay</v>
      </c>
      <c r="E461" s="24" t="str">
        <f>_xlfn.XLOOKUP(tblPayrollMaster[[#This Row],[Employee ID]], tblEmployee[Employee ID], tblEmployee[Payable Flag], "Y")</f>
        <v>Y</v>
      </c>
      <c r="F461" s="45">
        <f>IF(tblPayrollMaster[[#This Row],[Payable Flag]]="N",0,_xlfn.XLOOKUP(tblPayrollMaster[[#This Row],[Employee ID]],tblEmployee[Employee ID],tblEmployee[Pay Factor],1))</f>
        <v>1</v>
      </c>
      <c r="G461" s="26" t="str" cm="1">
        <f t="array" ref="G461">IF(tblPayrollMaster[[#This Row],[Employee ID]]="","",_xlfn.XLOOKUP(selPayPeriodID,tblPayCalendar[PayPeriodID],tblPayCalendar[PeriodStart],""))</f>
        <v/>
      </c>
      <c r="H461" s="26" t="str" cm="1">
        <f t="array" ref="H461">IF(tblPayrollMaster[[#This Row],[Employee ID]]="","",_xlfn.XLOOKUP(selPayPeriodID,tblPayCalendar[PayPeriodID],tblPayCalendar[PeriodEnd],""))</f>
        <v/>
      </c>
      <c r="I461" s="24" t="e" cm="1" vm="1">
        <f t="array" aca="1" ref="I461" ca="1">Table18[Employer Name]</f>
        <v>#VALUE!</v>
      </c>
      <c r="J461" s="3" cm="1">
        <f t="array" ref="J46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61" s="25" t="str">
        <f>_xlfn.XLOOKUP(tblPayrollMaster[[#This Row],[Employee Position]],tblPositionandPayRate[Employee Position],tblPositionandPayRate[Overtime], " ")</f>
        <v xml:space="preserve"> </v>
      </c>
      <c r="L461" s="25">
        <f>_xlfn.XLOOKUP(tblPayrollMaster[[#This Row],[Employee Position]],tblPositionandPayRate[Employee Position],tblPositionandPayRate[Allowance 1],0)*tblPayrollMaster[[#This Row],[Pay Factor]]</f>
        <v>0</v>
      </c>
      <c r="M461" s="25">
        <f>_xlfn.XLOOKUP(tblPayrollMaster[[#This Row],[Employee Position]],tblPositionandPayRate[Employee Position],tblPositionandPayRate[Allowance 2],0)*tblPayrollMaster[[#This Row],[Pay Factor]]</f>
        <v>0</v>
      </c>
      <c r="N461" s="25">
        <f>_xlfn.XLOOKUP(tblPayrollMaster[[#This Row],[Employee Position]],tblPositionandPayRate[Employee Position],tblPositionandPayRate[Allowance 3],0)*tblPayrollMaster[[#This Row],[Pay Factor]]</f>
        <v>0</v>
      </c>
      <c r="O461" s="25">
        <f>_xlfn.XLOOKUP(tblPayrollMaster[[#This Row],[Employee Position]],tblPositionandPayRate[Employee Position],tblPositionandPayRate[Allowance 4],0)*tblPayrollMaster[[#This Row],[Pay Factor]]</f>
        <v>0</v>
      </c>
      <c r="P461" s="25">
        <f>_xlfn.XLOOKUP(tblPayrollMaster[[#This Row],[Employee Position]],tblPositionandPayRate[Employee Position],tblPositionandPayRate[Allowance 5],0)*tblPayrollMaster[[#This Row],[Pay Factor]]</f>
        <v>0</v>
      </c>
      <c r="Q461" s="25">
        <f>SUM(tblPayrollMaster[[#This Row],[Basic Pay]:[Allowance 5]])</f>
        <v>0</v>
      </c>
      <c r="R46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61" s="51" cm="1">
        <f t="array" ref="S4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61" s="3" cm="1">
        <f t="array" ref="T4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61" s="25">
        <f>_xlfn.LET(
_xlpm.tos, _xlfn.XLOOKUP(tblPayrollMaster[[#This Row],[Employee ID]], tblEmployee[Employee ID], tblEmployee[Type of Service], ""),
IF(_xlpm.tos="Contract of Service", 8.25, 0)
)</f>
        <v>0</v>
      </c>
      <c r="V461" s="25">
        <f>tblPayrollMaster[[#This Row],[Basic Earnings]]-tblPayrollMaster[[#This Row],[Tax]]-tblPayrollMaster[[#This Row],[NIS - Employee]]-tblPayrollMaster[[#This Row],[Health Surcharge]]</f>
        <v>0</v>
      </c>
      <c r="W461" s="25">
        <f>tblPayrollMaster[[#This Row],[Net Pay]]</f>
        <v>0</v>
      </c>
      <c r="X461" s="25"/>
    </row>
    <row r="462" spans="1:24" x14ac:dyDescent="0.25">
      <c r="A462" s="24"/>
      <c r="B462" s="24" t="str">
        <f>_xlfn.XLOOKUP(tblPayrollMaster[[#This Row],[Employee ID]],tblEmployee[Employee ID],tblEmployee[Employee Name],"")</f>
        <v/>
      </c>
      <c r="C462" s="24" t="str">
        <f>_xlfn.XLOOKUP(tblPayrollMaster[[#This Row],[Employee ID]],tblEmployee[Employee ID],tblEmployee[Employee Position],"")</f>
        <v/>
      </c>
      <c r="D462" s="24" t="str">
        <f>_xlfn.XLOOKUP(tblPayrollMaster[[#This Row],[Employee ID]], tblEmployee[Employee ID], tblEmployee[Pay Status], "Pay")</f>
        <v>Pay</v>
      </c>
      <c r="E462" s="24" t="str">
        <f>_xlfn.XLOOKUP(tblPayrollMaster[[#This Row],[Employee ID]], tblEmployee[Employee ID], tblEmployee[Payable Flag], "Y")</f>
        <v>Y</v>
      </c>
      <c r="F462" s="45">
        <f>IF(tblPayrollMaster[[#This Row],[Payable Flag]]="N",0,_xlfn.XLOOKUP(tblPayrollMaster[[#This Row],[Employee ID]],tblEmployee[Employee ID],tblEmployee[Pay Factor],1))</f>
        <v>1</v>
      </c>
      <c r="G462" s="26" t="str" cm="1">
        <f t="array" ref="G462">IF(tblPayrollMaster[[#This Row],[Employee ID]]="","",_xlfn.XLOOKUP(selPayPeriodID,tblPayCalendar[PayPeriodID],tblPayCalendar[PeriodStart],""))</f>
        <v/>
      </c>
      <c r="H462" s="26" t="str" cm="1">
        <f t="array" ref="H462">IF(tblPayrollMaster[[#This Row],[Employee ID]]="","",_xlfn.XLOOKUP(selPayPeriodID,tblPayCalendar[PayPeriodID],tblPayCalendar[PeriodEnd],""))</f>
        <v/>
      </c>
      <c r="I462" s="24" t="e" cm="1" vm="1">
        <f t="array" aca="1" ref="I462" ca="1">Table18[Employer Name]</f>
        <v>#VALUE!</v>
      </c>
      <c r="J462" s="3" cm="1">
        <f t="array" ref="J46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62" s="25" t="str">
        <f>_xlfn.XLOOKUP(tblPayrollMaster[[#This Row],[Employee Position]],tblPositionandPayRate[Employee Position],tblPositionandPayRate[Overtime], " ")</f>
        <v xml:space="preserve"> </v>
      </c>
      <c r="L462" s="25">
        <f>_xlfn.XLOOKUP(tblPayrollMaster[[#This Row],[Employee Position]],tblPositionandPayRate[Employee Position],tblPositionandPayRate[Allowance 1],0)*tblPayrollMaster[[#This Row],[Pay Factor]]</f>
        <v>0</v>
      </c>
      <c r="M462" s="25">
        <f>_xlfn.XLOOKUP(tblPayrollMaster[[#This Row],[Employee Position]],tblPositionandPayRate[Employee Position],tblPositionandPayRate[Allowance 2],0)*tblPayrollMaster[[#This Row],[Pay Factor]]</f>
        <v>0</v>
      </c>
      <c r="N462" s="25">
        <f>_xlfn.XLOOKUP(tblPayrollMaster[[#This Row],[Employee Position]],tblPositionandPayRate[Employee Position],tblPositionandPayRate[Allowance 3],0)*tblPayrollMaster[[#This Row],[Pay Factor]]</f>
        <v>0</v>
      </c>
      <c r="O462" s="25">
        <f>_xlfn.XLOOKUP(tblPayrollMaster[[#This Row],[Employee Position]],tblPositionandPayRate[Employee Position],tblPositionandPayRate[Allowance 4],0)*tblPayrollMaster[[#This Row],[Pay Factor]]</f>
        <v>0</v>
      </c>
      <c r="P462" s="25">
        <f>_xlfn.XLOOKUP(tblPayrollMaster[[#This Row],[Employee Position]],tblPositionandPayRate[Employee Position],tblPositionandPayRate[Allowance 5],0)*tblPayrollMaster[[#This Row],[Pay Factor]]</f>
        <v>0</v>
      </c>
      <c r="Q462" s="25">
        <f>SUM(tblPayrollMaster[[#This Row],[Basic Pay]:[Allowance 5]])</f>
        <v>0</v>
      </c>
      <c r="R46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62" s="51" cm="1">
        <f t="array" ref="S4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62" s="3" cm="1">
        <f t="array" ref="T4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62" s="25">
        <f>_xlfn.LET(
_xlpm.tos, _xlfn.XLOOKUP(tblPayrollMaster[[#This Row],[Employee ID]], tblEmployee[Employee ID], tblEmployee[Type of Service], ""),
IF(_xlpm.tos="Contract of Service", 8.25, 0)
)</f>
        <v>0</v>
      </c>
      <c r="V462" s="25">
        <f>tblPayrollMaster[[#This Row],[Basic Earnings]]-tblPayrollMaster[[#This Row],[Tax]]-tblPayrollMaster[[#This Row],[NIS - Employee]]-tblPayrollMaster[[#This Row],[Health Surcharge]]</f>
        <v>0</v>
      </c>
      <c r="W462" s="25">
        <f>tblPayrollMaster[[#This Row],[Net Pay]]</f>
        <v>0</v>
      </c>
      <c r="X462" s="25"/>
    </row>
    <row r="463" spans="1:24" x14ac:dyDescent="0.25">
      <c r="A463" s="24"/>
      <c r="B463" s="24" t="str">
        <f>_xlfn.XLOOKUP(tblPayrollMaster[[#This Row],[Employee ID]],tblEmployee[Employee ID],tblEmployee[Employee Name],"")</f>
        <v/>
      </c>
      <c r="C463" s="24" t="str">
        <f>_xlfn.XLOOKUP(tblPayrollMaster[[#This Row],[Employee ID]],tblEmployee[Employee ID],tblEmployee[Employee Position],"")</f>
        <v/>
      </c>
      <c r="D463" s="24" t="str">
        <f>_xlfn.XLOOKUP(tblPayrollMaster[[#This Row],[Employee ID]], tblEmployee[Employee ID], tblEmployee[Pay Status], "Pay")</f>
        <v>Pay</v>
      </c>
      <c r="E463" s="24" t="str">
        <f>_xlfn.XLOOKUP(tblPayrollMaster[[#This Row],[Employee ID]], tblEmployee[Employee ID], tblEmployee[Payable Flag], "Y")</f>
        <v>Y</v>
      </c>
      <c r="F463" s="45">
        <f>IF(tblPayrollMaster[[#This Row],[Payable Flag]]="N",0,_xlfn.XLOOKUP(tblPayrollMaster[[#This Row],[Employee ID]],tblEmployee[Employee ID],tblEmployee[Pay Factor],1))</f>
        <v>1</v>
      </c>
      <c r="G463" s="26" t="str" cm="1">
        <f t="array" ref="G463">IF(tblPayrollMaster[[#This Row],[Employee ID]]="","",_xlfn.XLOOKUP(selPayPeriodID,tblPayCalendar[PayPeriodID],tblPayCalendar[PeriodStart],""))</f>
        <v/>
      </c>
      <c r="H463" s="26" t="str" cm="1">
        <f t="array" ref="H463">IF(tblPayrollMaster[[#This Row],[Employee ID]]="","",_xlfn.XLOOKUP(selPayPeriodID,tblPayCalendar[PayPeriodID],tblPayCalendar[PeriodEnd],""))</f>
        <v/>
      </c>
      <c r="I463" s="24" t="e" cm="1" vm="1">
        <f t="array" aca="1" ref="I463" ca="1">Table18[Employer Name]</f>
        <v>#VALUE!</v>
      </c>
      <c r="J463" s="3" cm="1">
        <f t="array" ref="J46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63" s="25" t="str">
        <f>_xlfn.XLOOKUP(tblPayrollMaster[[#This Row],[Employee Position]],tblPositionandPayRate[Employee Position],tblPositionandPayRate[Overtime], " ")</f>
        <v xml:space="preserve"> </v>
      </c>
      <c r="L463" s="25">
        <f>_xlfn.XLOOKUP(tblPayrollMaster[[#This Row],[Employee Position]],tblPositionandPayRate[Employee Position],tblPositionandPayRate[Allowance 1],0)*tblPayrollMaster[[#This Row],[Pay Factor]]</f>
        <v>0</v>
      </c>
      <c r="M463" s="25">
        <f>_xlfn.XLOOKUP(tblPayrollMaster[[#This Row],[Employee Position]],tblPositionandPayRate[Employee Position],tblPositionandPayRate[Allowance 2],0)*tblPayrollMaster[[#This Row],[Pay Factor]]</f>
        <v>0</v>
      </c>
      <c r="N463" s="25">
        <f>_xlfn.XLOOKUP(tblPayrollMaster[[#This Row],[Employee Position]],tblPositionandPayRate[Employee Position],tblPositionandPayRate[Allowance 3],0)*tblPayrollMaster[[#This Row],[Pay Factor]]</f>
        <v>0</v>
      </c>
      <c r="O463" s="25">
        <f>_xlfn.XLOOKUP(tblPayrollMaster[[#This Row],[Employee Position]],tblPositionandPayRate[Employee Position],tblPositionandPayRate[Allowance 4],0)*tblPayrollMaster[[#This Row],[Pay Factor]]</f>
        <v>0</v>
      </c>
      <c r="P463" s="25">
        <f>_xlfn.XLOOKUP(tblPayrollMaster[[#This Row],[Employee Position]],tblPositionandPayRate[Employee Position],tblPositionandPayRate[Allowance 5],0)*tblPayrollMaster[[#This Row],[Pay Factor]]</f>
        <v>0</v>
      </c>
      <c r="Q463" s="25">
        <f>SUM(tblPayrollMaster[[#This Row],[Basic Pay]:[Allowance 5]])</f>
        <v>0</v>
      </c>
      <c r="R46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63" s="51" cm="1">
        <f t="array" ref="S4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63" s="3" cm="1">
        <f t="array" ref="T4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63" s="25">
        <f>_xlfn.LET(
_xlpm.tos, _xlfn.XLOOKUP(tblPayrollMaster[[#This Row],[Employee ID]], tblEmployee[Employee ID], tblEmployee[Type of Service], ""),
IF(_xlpm.tos="Contract of Service", 8.25, 0)
)</f>
        <v>0</v>
      </c>
      <c r="V463" s="25">
        <f>tblPayrollMaster[[#This Row],[Basic Earnings]]-tblPayrollMaster[[#This Row],[Tax]]-tblPayrollMaster[[#This Row],[NIS - Employee]]-tblPayrollMaster[[#This Row],[Health Surcharge]]</f>
        <v>0</v>
      </c>
      <c r="W463" s="25">
        <f>tblPayrollMaster[[#This Row],[Net Pay]]</f>
        <v>0</v>
      </c>
      <c r="X463" s="25"/>
    </row>
    <row r="464" spans="1:24" x14ac:dyDescent="0.25">
      <c r="A464" s="24"/>
      <c r="B464" s="24" t="str">
        <f>_xlfn.XLOOKUP(tblPayrollMaster[[#This Row],[Employee ID]],tblEmployee[Employee ID],tblEmployee[Employee Name],"")</f>
        <v/>
      </c>
      <c r="C464" s="24" t="str">
        <f>_xlfn.XLOOKUP(tblPayrollMaster[[#This Row],[Employee ID]],tblEmployee[Employee ID],tblEmployee[Employee Position],"")</f>
        <v/>
      </c>
      <c r="D464" s="24" t="str">
        <f>_xlfn.XLOOKUP(tblPayrollMaster[[#This Row],[Employee ID]], tblEmployee[Employee ID], tblEmployee[Pay Status], "Pay")</f>
        <v>Pay</v>
      </c>
      <c r="E464" s="24" t="str">
        <f>_xlfn.XLOOKUP(tblPayrollMaster[[#This Row],[Employee ID]], tblEmployee[Employee ID], tblEmployee[Payable Flag], "Y")</f>
        <v>Y</v>
      </c>
      <c r="F464" s="45">
        <f>IF(tblPayrollMaster[[#This Row],[Payable Flag]]="N",0,_xlfn.XLOOKUP(tblPayrollMaster[[#This Row],[Employee ID]],tblEmployee[Employee ID],tblEmployee[Pay Factor],1))</f>
        <v>1</v>
      </c>
      <c r="G464" s="26" t="str" cm="1">
        <f t="array" ref="G464">IF(tblPayrollMaster[[#This Row],[Employee ID]]="","",_xlfn.XLOOKUP(selPayPeriodID,tblPayCalendar[PayPeriodID],tblPayCalendar[PeriodStart],""))</f>
        <v/>
      </c>
      <c r="H464" s="26" t="str" cm="1">
        <f t="array" ref="H464">IF(tblPayrollMaster[[#This Row],[Employee ID]]="","",_xlfn.XLOOKUP(selPayPeriodID,tblPayCalendar[PayPeriodID],tblPayCalendar[PeriodEnd],""))</f>
        <v/>
      </c>
      <c r="I464" s="24" t="e" cm="1" vm="1">
        <f t="array" aca="1" ref="I464" ca="1">Table18[Employer Name]</f>
        <v>#VALUE!</v>
      </c>
      <c r="J464" s="3" cm="1">
        <f t="array" ref="J46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64" s="25" t="str">
        <f>_xlfn.XLOOKUP(tblPayrollMaster[[#This Row],[Employee Position]],tblPositionandPayRate[Employee Position],tblPositionandPayRate[Overtime], " ")</f>
        <v xml:space="preserve"> </v>
      </c>
      <c r="L464" s="25">
        <f>_xlfn.XLOOKUP(tblPayrollMaster[[#This Row],[Employee Position]],tblPositionandPayRate[Employee Position],tblPositionandPayRate[Allowance 1],0)*tblPayrollMaster[[#This Row],[Pay Factor]]</f>
        <v>0</v>
      </c>
      <c r="M464" s="25">
        <f>_xlfn.XLOOKUP(tblPayrollMaster[[#This Row],[Employee Position]],tblPositionandPayRate[Employee Position],tblPositionandPayRate[Allowance 2],0)*tblPayrollMaster[[#This Row],[Pay Factor]]</f>
        <v>0</v>
      </c>
      <c r="N464" s="25">
        <f>_xlfn.XLOOKUP(tblPayrollMaster[[#This Row],[Employee Position]],tblPositionandPayRate[Employee Position],tblPositionandPayRate[Allowance 3],0)*tblPayrollMaster[[#This Row],[Pay Factor]]</f>
        <v>0</v>
      </c>
      <c r="O464" s="25">
        <f>_xlfn.XLOOKUP(tblPayrollMaster[[#This Row],[Employee Position]],tblPositionandPayRate[Employee Position],tblPositionandPayRate[Allowance 4],0)*tblPayrollMaster[[#This Row],[Pay Factor]]</f>
        <v>0</v>
      </c>
      <c r="P464" s="25">
        <f>_xlfn.XLOOKUP(tblPayrollMaster[[#This Row],[Employee Position]],tblPositionandPayRate[Employee Position],tblPositionandPayRate[Allowance 5],0)*tblPayrollMaster[[#This Row],[Pay Factor]]</f>
        <v>0</v>
      </c>
      <c r="Q464" s="25">
        <f>SUM(tblPayrollMaster[[#This Row],[Basic Pay]:[Allowance 5]])</f>
        <v>0</v>
      </c>
      <c r="R46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64" s="51" cm="1">
        <f t="array" ref="S4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64" s="3" cm="1">
        <f t="array" ref="T4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64" s="25">
        <f>_xlfn.LET(
_xlpm.tos, _xlfn.XLOOKUP(tblPayrollMaster[[#This Row],[Employee ID]], tblEmployee[Employee ID], tblEmployee[Type of Service], ""),
IF(_xlpm.tos="Contract of Service", 8.25, 0)
)</f>
        <v>0</v>
      </c>
      <c r="V464" s="25">
        <f>tblPayrollMaster[[#This Row],[Basic Earnings]]-tblPayrollMaster[[#This Row],[Tax]]-tblPayrollMaster[[#This Row],[NIS - Employee]]-tblPayrollMaster[[#This Row],[Health Surcharge]]</f>
        <v>0</v>
      </c>
      <c r="W464" s="25">
        <f>tblPayrollMaster[[#This Row],[Net Pay]]</f>
        <v>0</v>
      </c>
      <c r="X464" s="25"/>
    </row>
    <row r="465" spans="1:24" x14ac:dyDescent="0.25">
      <c r="A465" s="24"/>
      <c r="B465" s="24" t="str">
        <f>_xlfn.XLOOKUP(tblPayrollMaster[[#This Row],[Employee ID]],tblEmployee[Employee ID],tblEmployee[Employee Name],"")</f>
        <v/>
      </c>
      <c r="C465" s="24" t="str">
        <f>_xlfn.XLOOKUP(tblPayrollMaster[[#This Row],[Employee ID]],tblEmployee[Employee ID],tblEmployee[Employee Position],"")</f>
        <v/>
      </c>
      <c r="D465" s="24" t="str">
        <f>_xlfn.XLOOKUP(tblPayrollMaster[[#This Row],[Employee ID]], tblEmployee[Employee ID], tblEmployee[Pay Status], "Pay")</f>
        <v>Pay</v>
      </c>
      <c r="E465" s="24" t="str">
        <f>_xlfn.XLOOKUP(tblPayrollMaster[[#This Row],[Employee ID]], tblEmployee[Employee ID], tblEmployee[Payable Flag], "Y")</f>
        <v>Y</v>
      </c>
      <c r="F465" s="45">
        <f>IF(tblPayrollMaster[[#This Row],[Payable Flag]]="N",0,_xlfn.XLOOKUP(tblPayrollMaster[[#This Row],[Employee ID]],tblEmployee[Employee ID],tblEmployee[Pay Factor],1))</f>
        <v>1</v>
      </c>
      <c r="G465" s="26" t="str" cm="1">
        <f t="array" ref="G465">IF(tblPayrollMaster[[#This Row],[Employee ID]]="","",_xlfn.XLOOKUP(selPayPeriodID,tblPayCalendar[PayPeriodID],tblPayCalendar[PeriodStart],""))</f>
        <v/>
      </c>
      <c r="H465" s="26" t="str" cm="1">
        <f t="array" ref="H465">IF(tblPayrollMaster[[#This Row],[Employee ID]]="","",_xlfn.XLOOKUP(selPayPeriodID,tblPayCalendar[PayPeriodID],tblPayCalendar[PeriodEnd],""))</f>
        <v/>
      </c>
      <c r="I465" s="24" t="e" cm="1" vm="1">
        <f t="array" aca="1" ref="I465" ca="1">Table18[Employer Name]</f>
        <v>#VALUE!</v>
      </c>
      <c r="J465" s="3" cm="1">
        <f t="array" ref="J46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65" s="25" t="str">
        <f>_xlfn.XLOOKUP(tblPayrollMaster[[#This Row],[Employee Position]],tblPositionandPayRate[Employee Position],tblPositionandPayRate[Overtime], " ")</f>
        <v xml:space="preserve"> </v>
      </c>
      <c r="L465" s="25">
        <f>_xlfn.XLOOKUP(tblPayrollMaster[[#This Row],[Employee Position]],tblPositionandPayRate[Employee Position],tblPositionandPayRate[Allowance 1],0)*tblPayrollMaster[[#This Row],[Pay Factor]]</f>
        <v>0</v>
      </c>
      <c r="M465" s="25">
        <f>_xlfn.XLOOKUP(tblPayrollMaster[[#This Row],[Employee Position]],tblPositionandPayRate[Employee Position],tblPositionandPayRate[Allowance 2],0)*tblPayrollMaster[[#This Row],[Pay Factor]]</f>
        <v>0</v>
      </c>
      <c r="N465" s="25">
        <f>_xlfn.XLOOKUP(tblPayrollMaster[[#This Row],[Employee Position]],tblPositionandPayRate[Employee Position],tblPositionandPayRate[Allowance 3],0)*tblPayrollMaster[[#This Row],[Pay Factor]]</f>
        <v>0</v>
      </c>
      <c r="O465" s="25">
        <f>_xlfn.XLOOKUP(tblPayrollMaster[[#This Row],[Employee Position]],tblPositionandPayRate[Employee Position],tblPositionandPayRate[Allowance 4],0)*tblPayrollMaster[[#This Row],[Pay Factor]]</f>
        <v>0</v>
      </c>
      <c r="P465" s="25">
        <f>_xlfn.XLOOKUP(tblPayrollMaster[[#This Row],[Employee Position]],tblPositionandPayRate[Employee Position],tblPositionandPayRate[Allowance 5],0)*tblPayrollMaster[[#This Row],[Pay Factor]]</f>
        <v>0</v>
      </c>
      <c r="Q465" s="25">
        <f>SUM(tblPayrollMaster[[#This Row],[Basic Pay]:[Allowance 5]])</f>
        <v>0</v>
      </c>
      <c r="R46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65" s="51" cm="1">
        <f t="array" ref="S4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65" s="3" cm="1">
        <f t="array" ref="T4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65" s="25">
        <f>_xlfn.LET(
_xlpm.tos, _xlfn.XLOOKUP(tblPayrollMaster[[#This Row],[Employee ID]], tblEmployee[Employee ID], tblEmployee[Type of Service], ""),
IF(_xlpm.tos="Contract of Service", 8.25, 0)
)</f>
        <v>0</v>
      </c>
      <c r="V465" s="25">
        <f>tblPayrollMaster[[#This Row],[Basic Earnings]]-tblPayrollMaster[[#This Row],[Tax]]-tblPayrollMaster[[#This Row],[NIS - Employee]]-tblPayrollMaster[[#This Row],[Health Surcharge]]</f>
        <v>0</v>
      </c>
      <c r="W465" s="25">
        <f>tblPayrollMaster[[#This Row],[Net Pay]]</f>
        <v>0</v>
      </c>
      <c r="X465" s="25"/>
    </row>
    <row r="466" spans="1:24" x14ac:dyDescent="0.25">
      <c r="A466" s="24"/>
      <c r="B466" s="24" t="str">
        <f>_xlfn.XLOOKUP(tblPayrollMaster[[#This Row],[Employee ID]],tblEmployee[Employee ID],tblEmployee[Employee Name],"")</f>
        <v/>
      </c>
      <c r="C466" s="24" t="str">
        <f>_xlfn.XLOOKUP(tblPayrollMaster[[#This Row],[Employee ID]],tblEmployee[Employee ID],tblEmployee[Employee Position],"")</f>
        <v/>
      </c>
      <c r="D466" s="24" t="str">
        <f>_xlfn.XLOOKUP(tblPayrollMaster[[#This Row],[Employee ID]], tblEmployee[Employee ID], tblEmployee[Pay Status], "Pay")</f>
        <v>Pay</v>
      </c>
      <c r="E466" s="24" t="str">
        <f>_xlfn.XLOOKUP(tblPayrollMaster[[#This Row],[Employee ID]], tblEmployee[Employee ID], tblEmployee[Payable Flag], "Y")</f>
        <v>Y</v>
      </c>
      <c r="F466" s="45">
        <f>IF(tblPayrollMaster[[#This Row],[Payable Flag]]="N",0,_xlfn.XLOOKUP(tblPayrollMaster[[#This Row],[Employee ID]],tblEmployee[Employee ID],tblEmployee[Pay Factor],1))</f>
        <v>1</v>
      </c>
      <c r="G466" s="26" t="str" cm="1">
        <f t="array" ref="G466">IF(tblPayrollMaster[[#This Row],[Employee ID]]="","",_xlfn.XLOOKUP(selPayPeriodID,tblPayCalendar[PayPeriodID],tblPayCalendar[PeriodStart],""))</f>
        <v/>
      </c>
      <c r="H466" s="26" t="str" cm="1">
        <f t="array" ref="H466">IF(tblPayrollMaster[[#This Row],[Employee ID]]="","",_xlfn.XLOOKUP(selPayPeriodID,tblPayCalendar[PayPeriodID],tblPayCalendar[PeriodEnd],""))</f>
        <v/>
      </c>
      <c r="I466" s="24" t="e" cm="1" vm="1">
        <f t="array" aca="1" ref="I466" ca="1">Table18[Employer Name]</f>
        <v>#VALUE!</v>
      </c>
      <c r="J466" s="3" cm="1">
        <f t="array" ref="J46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66" s="25" t="str">
        <f>_xlfn.XLOOKUP(tblPayrollMaster[[#This Row],[Employee Position]],tblPositionandPayRate[Employee Position],tblPositionandPayRate[Overtime], " ")</f>
        <v xml:space="preserve"> </v>
      </c>
      <c r="L466" s="25">
        <f>_xlfn.XLOOKUP(tblPayrollMaster[[#This Row],[Employee Position]],tblPositionandPayRate[Employee Position],tblPositionandPayRate[Allowance 1],0)*tblPayrollMaster[[#This Row],[Pay Factor]]</f>
        <v>0</v>
      </c>
      <c r="M466" s="25">
        <f>_xlfn.XLOOKUP(tblPayrollMaster[[#This Row],[Employee Position]],tblPositionandPayRate[Employee Position],tblPositionandPayRate[Allowance 2],0)*tblPayrollMaster[[#This Row],[Pay Factor]]</f>
        <v>0</v>
      </c>
      <c r="N466" s="25">
        <f>_xlfn.XLOOKUP(tblPayrollMaster[[#This Row],[Employee Position]],tblPositionandPayRate[Employee Position],tblPositionandPayRate[Allowance 3],0)*tblPayrollMaster[[#This Row],[Pay Factor]]</f>
        <v>0</v>
      </c>
      <c r="O466" s="25">
        <f>_xlfn.XLOOKUP(tblPayrollMaster[[#This Row],[Employee Position]],tblPositionandPayRate[Employee Position],tblPositionandPayRate[Allowance 4],0)*tblPayrollMaster[[#This Row],[Pay Factor]]</f>
        <v>0</v>
      </c>
      <c r="P466" s="25">
        <f>_xlfn.XLOOKUP(tblPayrollMaster[[#This Row],[Employee Position]],tblPositionandPayRate[Employee Position],tblPositionandPayRate[Allowance 5],0)*tblPayrollMaster[[#This Row],[Pay Factor]]</f>
        <v>0</v>
      </c>
      <c r="Q466" s="25">
        <f>SUM(tblPayrollMaster[[#This Row],[Basic Pay]:[Allowance 5]])</f>
        <v>0</v>
      </c>
      <c r="R46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66" s="51" cm="1">
        <f t="array" ref="S4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66" s="3" cm="1">
        <f t="array" ref="T4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66" s="25">
        <f>_xlfn.LET(
_xlpm.tos, _xlfn.XLOOKUP(tblPayrollMaster[[#This Row],[Employee ID]], tblEmployee[Employee ID], tblEmployee[Type of Service], ""),
IF(_xlpm.tos="Contract of Service", 8.25, 0)
)</f>
        <v>0</v>
      </c>
      <c r="V466" s="25">
        <f>tblPayrollMaster[[#This Row],[Basic Earnings]]-tblPayrollMaster[[#This Row],[Tax]]-tblPayrollMaster[[#This Row],[NIS - Employee]]-tblPayrollMaster[[#This Row],[Health Surcharge]]</f>
        <v>0</v>
      </c>
      <c r="W466" s="25">
        <f>tblPayrollMaster[[#This Row],[Net Pay]]</f>
        <v>0</v>
      </c>
      <c r="X466" s="25"/>
    </row>
    <row r="467" spans="1:24" x14ac:dyDescent="0.25">
      <c r="A467" s="24"/>
      <c r="B467" s="24" t="str">
        <f>_xlfn.XLOOKUP(tblPayrollMaster[[#This Row],[Employee ID]],tblEmployee[Employee ID],tblEmployee[Employee Name],"")</f>
        <v/>
      </c>
      <c r="C467" s="24" t="str">
        <f>_xlfn.XLOOKUP(tblPayrollMaster[[#This Row],[Employee ID]],tblEmployee[Employee ID],tblEmployee[Employee Position],"")</f>
        <v/>
      </c>
      <c r="D467" s="24" t="str">
        <f>_xlfn.XLOOKUP(tblPayrollMaster[[#This Row],[Employee ID]], tblEmployee[Employee ID], tblEmployee[Pay Status], "Pay")</f>
        <v>Pay</v>
      </c>
      <c r="E467" s="24" t="str">
        <f>_xlfn.XLOOKUP(tblPayrollMaster[[#This Row],[Employee ID]], tblEmployee[Employee ID], tblEmployee[Payable Flag], "Y")</f>
        <v>Y</v>
      </c>
      <c r="F467" s="45">
        <f>IF(tblPayrollMaster[[#This Row],[Payable Flag]]="N",0,_xlfn.XLOOKUP(tblPayrollMaster[[#This Row],[Employee ID]],tblEmployee[Employee ID],tblEmployee[Pay Factor],1))</f>
        <v>1</v>
      </c>
      <c r="G467" s="26" t="str" cm="1">
        <f t="array" ref="G467">IF(tblPayrollMaster[[#This Row],[Employee ID]]="","",_xlfn.XLOOKUP(selPayPeriodID,tblPayCalendar[PayPeriodID],tblPayCalendar[PeriodStart],""))</f>
        <v/>
      </c>
      <c r="H467" s="26" t="str" cm="1">
        <f t="array" ref="H467">IF(tblPayrollMaster[[#This Row],[Employee ID]]="","",_xlfn.XLOOKUP(selPayPeriodID,tblPayCalendar[PayPeriodID],tblPayCalendar[PeriodEnd],""))</f>
        <v/>
      </c>
      <c r="I467" s="24" t="e" cm="1" vm="1">
        <f t="array" aca="1" ref="I467" ca="1">Table18[Employer Name]</f>
        <v>#VALUE!</v>
      </c>
      <c r="J467" s="3" cm="1">
        <f t="array" ref="J46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67" s="25" t="str">
        <f>_xlfn.XLOOKUP(tblPayrollMaster[[#This Row],[Employee Position]],tblPositionandPayRate[Employee Position],tblPositionandPayRate[Overtime], " ")</f>
        <v xml:space="preserve"> </v>
      </c>
      <c r="L467" s="25">
        <f>_xlfn.XLOOKUP(tblPayrollMaster[[#This Row],[Employee Position]],tblPositionandPayRate[Employee Position],tblPositionandPayRate[Allowance 1],0)*tblPayrollMaster[[#This Row],[Pay Factor]]</f>
        <v>0</v>
      </c>
      <c r="M467" s="25">
        <f>_xlfn.XLOOKUP(tblPayrollMaster[[#This Row],[Employee Position]],tblPositionandPayRate[Employee Position],tblPositionandPayRate[Allowance 2],0)*tblPayrollMaster[[#This Row],[Pay Factor]]</f>
        <v>0</v>
      </c>
      <c r="N467" s="25">
        <f>_xlfn.XLOOKUP(tblPayrollMaster[[#This Row],[Employee Position]],tblPositionandPayRate[Employee Position],tblPositionandPayRate[Allowance 3],0)*tblPayrollMaster[[#This Row],[Pay Factor]]</f>
        <v>0</v>
      </c>
      <c r="O467" s="25">
        <f>_xlfn.XLOOKUP(tblPayrollMaster[[#This Row],[Employee Position]],tblPositionandPayRate[Employee Position],tblPositionandPayRate[Allowance 4],0)*tblPayrollMaster[[#This Row],[Pay Factor]]</f>
        <v>0</v>
      </c>
      <c r="P467" s="25">
        <f>_xlfn.XLOOKUP(tblPayrollMaster[[#This Row],[Employee Position]],tblPositionandPayRate[Employee Position],tblPositionandPayRate[Allowance 5],0)*tblPayrollMaster[[#This Row],[Pay Factor]]</f>
        <v>0</v>
      </c>
      <c r="Q467" s="25">
        <f>SUM(tblPayrollMaster[[#This Row],[Basic Pay]:[Allowance 5]])</f>
        <v>0</v>
      </c>
      <c r="R46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67" s="51" cm="1">
        <f t="array" ref="S4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67" s="3" cm="1">
        <f t="array" ref="T4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67" s="25">
        <f>_xlfn.LET(
_xlpm.tos, _xlfn.XLOOKUP(tblPayrollMaster[[#This Row],[Employee ID]], tblEmployee[Employee ID], tblEmployee[Type of Service], ""),
IF(_xlpm.tos="Contract of Service", 8.25, 0)
)</f>
        <v>0</v>
      </c>
      <c r="V467" s="25">
        <f>tblPayrollMaster[[#This Row],[Basic Earnings]]-tblPayrollMaster[[#This Row],[Tax]]-tblPayrollMaster[[#This Row],[NIS - Employee]]-tblPayrollMaster[[#This Row],[Health Surcharge]]</f>
        <v>0</v>
      </c>
      <c r="W467" s="25">
        <f>tblPayrollMaster[[#This Row],[Net Pay]]</f>
        <v>0</v>
      </c>
      <c r="X467" s="25"/>
    </row>
    <row r="468" spans="1:24" x14ac:dyDescent="0.25">
      <c r="A468" s="24"/>
      <c r="B468" s="24" t="str">
        <f>_xlfn.XLOOKUP(tblPayrollMaster[[#This Row],[Employee ID]],tblEmployee[Employee ID],tblEmployee[Employee Name],"")</f>
        <v/>
      </c>
      <c r="C468" s="24" t="str">
        <f>_xlfn.XLOOKUP(tblPayrollMaster[[#This Row],[Employee ID]],tblEmployee[Employee ID],tblEmployee[Employee Position],"")</f>
        <v/>
      </c>
      <c r="D468" s="24" t="str">
        <f>_xlfn.XLOOKUP(tblPayrollMaster[[#This Row],[Employee ID]], tblEmployee[Employee ID], tblEmployee[Pay Status], "Pay")</f>
        <v>Pay</v>
      </c>
      <c r="E468" s="24" t="str">
        <f>_xlfn.XLOOKUP(tblPayrollMaster[[#This Row],[Employee ID]], tblEmployee[Employee ID], tblEmployee[Payable Flag], "Y")</f>
        <v>Y</v>
      </c>
      <c r="F468" s="45">
        <f>IF(tblPayrollMaster[[#This Row],[Payable Flag]]="N",0,_xlfn.XLOOKUP(tblPayrollMaster[[#This Row],[Employee ID]],tblEmployee[Employee ID],tblEmployee[Pay Factor],1))</f>
        <v>1</v>
      </c>
      <c r="G468" s="26" t="str" cm="1">
        <f t="array" ref="G468">IF(tblPayrollMaster[[#This Row],[Employee ID]]="","",_xlfn.XLOOKUP(selPayPeriodID,tblPayCalendar[PayPeriodID],tblPayCalendar[PeriodStart],""))</f>
        <v/>
      </c>
      <c r="H468" s="26" t="str" cm="1">
        <f t="array" ref="H468">IF(tblPayrollMaster[[#This Row],[Employee ID]]="","",_xlfn.XLOOKUP(selPayPeriodID,tblPayCalendar[PayPeriodID],tblPayCalendar[PeriodEnd],""))</f>
        <v/>
      </c>
      <c r="I468" s="24" t="e" cm="1" vm="1">
        <f t="array" aca="1" ref="I468" ca="1">Table18[Employer Name]</f>
        <v>#VALUE!</v>
      </c>
      <c r="J468" s="3" cm="1">
        <f t="array" ref="J46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68" s="25" t="str">
        <f>_xlfn.XLOOKUP(tblPayrollMaster[[#This Row],[Employee Position]],tblPositionandPayRate[Employee Position],tblPositionandPayRate[Overtime], " ")</f>
        <v xml:space="preserve"> </v>
      </c>
      <c r="L468" s="25">
        <f>_xlfn.XLOOKUP(tblPayrollMaster[[#This Row],[Employee Position]],tblPositionandPayRate[Employee Position],tblPositionandPayRate[Allowance 1],0)*tblPayrollMaster[[#This Row],[Pay Factor]]</f>
        <v>0</v>
      </c>
      <c r="M468" s="25">
        <f>_xlfn.XLOOKUP(tblPayrollMaster[[#This Row],[Employee Position]],tblPositionandPayRate[Employee Position],tblPositionandPayRate[Allowance 2],0)*tblPayrollMaster[[#This Row],[Pay Factor]]</f>
        <v>0</v>
      </c>
      <c r="N468" s="25">
        <f>_xlfn.XLOOKUP(tblPayrollMaster[[#This Row],[Employee Position]],tblPositionandPayRate[Employee Position],tblPositionandPayRate[Allowance 3],0)*tblPayrollMaster[[#This Row],[Pay Factor]]</f>
        <v>0</v>
      </c>
      <c r="O468" s="25">
        <f>_xlfn.XLOOKUP(tblPayrollMaster[[#This Row],[Employee Position]],tblPositionandPayRate[Employee Position],tblPositionandPayRate[Allowance 4],0)*tblPayrollMaster[[#This Row],[Pay Factor]]</f>
        <v>0</v>
      </c>
      <c r="P468" s="25">
        <f>_xlfn.XLOOKUP(tblPayrollMaster[[#This Row],[Employee Position]],tblPositionandPayRate[Employee Position],tblPositionandPayRate[Allowance 5],0)*tblPayrollMaster[[#This Row],[Pay Factor]]</f>
        <v>0</v>
      </c>
      <c r="Q468" s="25">
        <f>SUM(tblPayrollMaster[[#This Row],[Basic Pay]:[Allowance 5]])</f>
        <v>0</v>
      </c>
      <c r="R46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68" s="51" cm="1">
        <f t="array" ref="S4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68" s="3" cm="1">
        <f t="array" ref="T4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68" s="25">
        <f>_xlfn.LET(
_xlpm.tos, _xlfn.XLOOKUP(tblPayrollMaster[[#This Row],[Employee ID]], tblEmployee[Employee ID], tblEmployee[Type of Service], ""),
IF(_xlpm.tos="Contract of Service", 8.25, 0)
)</f>
        <v>0</v>
      </c>
      <c r="V468" s="25">
        <f>tblPayrollMaster[[#This Row],[Basic Earnings]]-tblPayrollMaster[[#This Row],[Tax]]-tblPayrollMaster[[#This Row],[NIS - Employee]]-tblPayrollMaster[[#This Row],[Health Surcharge]]</f>
        <v>0</v>
      </c>
      <c r="W468" s="25">
        <f>tblPayrollMaster[[#This Row],[Net Pay]]</f>
        <v>0</v>
      </c>
      <c r="X468" s="25"/>
    </row>
    <row r="469" spans="1:24" x14ac:dyDescent="0.25">
      <c r="A469" s="24"/>
      <c r="B469" s="24" t="str">
        <f>_xlfn.XLOOKUP(tblPayrollMaster[[#This Row],[Employee ID]],tblEmployee[Employee ID],tblEmployee[Employee Name],"")</f>
        <v/>
      </c>
      <c r="C469" s="24" t="str">
        <f>_xlfn.XLOOKUP(tblPayrollMaster[[#This Row],[Employee ID]],tblEmployee[Employee ID],tblEmployee[Employee Position],"")</f>
        <v/>
      </c>
      <c r="D469" s="24" t="str">
        <f>_xlfn.XLOOKUP(tblPayrollMaster[[#This Row],[Employee ID]], tblEmployee[Employee ID], tblEmployee[Pay Status], "Pay")</f>
        <v>Pay</v>
      </c>
      <c r="E469" s="24" t="str">
        <f>_xlfn.XLOOKUP(tblPayrollMaster[[#This Row],[Employee ID]], tblEmployee[Employee ID], tblEmployee[Payable Flag], "Y")</f>
        <v>Y</v>
      </c>
      <c r="F469" s="45">
        <f>IF(tblPayrollMaster[[#This Row],[Payable Flag]]="N",0,_xlfn.XLOOKUP(tblPayrollMaster[[#This Row],[Employee ID]],tblEmployee[Employee ID],tblEmployee[Pay Factor],1))</f>
        <v>1</v>
      </c>
      <c r="G469" s="26" t="str" cm="1">
        <f t="array" ref="G469">IF(tblPayrollMaster[[#This Row],[Employee ID]]="","",_xlfn.XLOOKUP(selPayPeriodID,tblPayCalendar[PayPeriodID],tblPayCalendar[PeriodStart],""))</f>
        <v/>
      </c>
      <c r="H469" s="26" t="str" cm="1">
        <f t="array" ref="H469">IF(tblPayrollMaster[[#This Row],[Employee ID]]="","",_xlfn.XLOOKUP(selPayPeriodID,tblPayCalendar[PayPeriodID],tblPayCalendar[PeriodEnd],""))</f>
        <v/>
      </c>
      <c r="I469" s="24" t="e" cm="1" vm="1">
        <f t="array" aca="1" ref="I469" ca="1">Table18[Employer Name]</f>
        <v>#VALUE!</v>
      </c>
      <c r="J469" s="3" cm="1">
        <f t="array" ref="J46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69" s="25" t="str">
        <f>_xlfn.XLOOKUP(tblPayrollMaster[[#This Row],[Employee Position]],tblPositionandPayRate[Employee Position],tblPositionandPayRate[Overtime], " ")</f>
        <v xml:space="preserve"> </v>
      </c>
      <c r="L469" s="25">
        <f>_xlfn.XLOOKUP(tblPayrollMaster[[#This Row],[Employee Position]],tblPositionandPayRate[Employee Position],tblPositionandPayRate[Allowance 1],0)*tblPayrollMaster[[#This Row],[Pay Factor]]</f>
        <v>0</v>
      </c>
      <c r="M469" s="25">
        <f>_xlfn.XLOOKUP(tblPayrollMaster[[#This Row],[Employee Position]],tblPositionandPayRate[Employee Position],tblPositionandPayRate[Allowance 2],0)*tblPayrollMaster[[#This Row],[Pay Factor]]</f>
        <v>0</v>
      </c>
      <c r="N469" s="25">
        <f>_xlfn.XLOOKUP(tblPayrollMaster[[#This Row],[Employee Position]],tblPositionandPayRate[Employee Position],tblPositionandPayRate[Allowance 3],0)*tblPayrollMaster[[#This Row],[Pay Factor]]</f>
        <v>0</v>
      </c>
      <c r="O469" s="25">
        <f>_xlfn.XLOOKUP(tblPayrollMaster[[#This Row],[Employee Position]],tblPositionandPayRate[Employee Position],tblPositionandPayRate[Allowance 4],0)*tblPayrollMaster[[#This Row],[Pay Factor]]</f>
        <v>0</v>
      </c>
      <c r="P469" s="25">
        <f>_xlfn.XLOOKUP(tblPayrollMaster[[#This Row],[Employee Position]],tblPositionandPayRate[Employee Position],tblPositionandPayRate[Allowance 5],0)*tblPayrollMaster[[#This Row],[Pay Factor]]</f>
        <v>0</v>
      </c>
      <c r="Q469" s="25">
        <f>SUM(tblPayrollMaster[[#This Row],[Basic Pay]:[Allowance 5]])</f>
        <v>0</v>
      </c>
      <c r="R46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69" s="51" cm="1">
        <f t="array" ref="S4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69" s="3" cm="1">
        <f t="array" ref="T4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69" s="25">
        <f>_xlfn.LET(
_xlpm.tos, _xlfn.XLOOKUP(tblPayrollMaster[[#This Row],[Employee ID]], tblEmployee[Employee ID], tblEmployee[Type of Service], ""),
IF(_xlpm.tos="Contract of Service", 8.25, 0)
)</f>
        <v>0</v>
      </c>
      <c r="V469" s="25">
        <f>tblPayrollMaster[[#This Row],[Basic Earnings]]-tblPayrollMaster[[#This Row],[Tax]]-tblPayrollMaster[[#This Row],[NIS - Employee]]-tblPayrollMaster[[#This Row],[Health Surcharge]]</f>
        <v>0</v>
      </c>
      <c r="W469" s="25">
        <f>tblPayrollMaster[[#This Row],[Net Pay]]</f>
        <v>0</v>
      </c>
      <c r="X469" s="25"/>
    </row>
    <row r="470" spans="1:24" x14ac:dyDescent="0.25">
      <c r="A470" s="24"/>
      <c r="B470" s="24" t="str">
        <f>_xlfn.XLOOKUP(tblPayrollMaster[[#This Row],[Employee ID]],tblEmployee[Employee ID],tblEmployee[Employee Name],"")</f>
        <v/>
      </c>
      <c r="C470" s="24" t="str">
        <f>_xlfn.XLOOKUP(tblPayrollMaster[[#This Row],[Employee ID]],tblEmployee[Employee ID],tblEmployee[Employee Position],"")</f>
        <v/>
      </c>
      <c r="D470" s="24" t="str">
        <f>_xlfn.XLOOKUP(tblPayrollMaster[[#This Row],[Employee ID]], tblEmployee[Employee ID], tblEmployee[Pay Status], "Pay")</f>
        <v>Pay</v>
      </c>
      <c r="E470" s="24" t="str">
        <f>_xlfn.XLOOKUP(tblPayrollMaster[[#This Row],[Employee ID]], tblEmployee[Employee ID], tblEmployee[Payable Flag], "Y")</f>
        <v>Y</v>
      </c>
      <c r="F470" s="45">
        <f>IF(tblPayrollMaster[[#This Row],[Payable Flag]]="N",0,_xlfn.XLOOKUP(tblPayrollMaster[[#This Row],[Employee ID]],tblEmployee[Employee ID],tblEmployee[Pay Factor],1))</f>
        <v>1</v>
      </c>
      <c r="G470" s="26" t="str" cm="1">
        <f t="array" ref="G470">IF(tblPayrollMaster[[#This Row],[Employee ID]]="","",_xlfn.XLOOKUP(selPayPeriodID,tblPayCalendar[PayPeriodID],tblPayCalendar[PeriodStart],""))</f>
        <v/>
      </c>
      <c r="H470" s="26" t="str" cm="1">
        <f t="array" ref="H470">IF(tblPayrollMaster[[#This Row],[Employee ID]]="","",_xlfn.XLOOKUP(selPayPeriodID,tblPayCalendar[PayPeriodID],tblPayCalendar[PeriodEnd],""))</f>
        <v/>
      </c>
      <c r="I470" s="24" t="e" cm="1" vm="1">
        <f t="array" aca="1" ref="I470" ca="1">Table18[Employer Name]</f>
        <v>#VALUE!</v>
      </c>
      <c r="J470" s="3" cm="1">
        <f t="array" ref="J47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70" s="25" t="str">
        <f>_xlfn.XLOOKUP(tblPayrollMaster[[#This Row],[Employee Position]],tblPositionandPayRate[Employee Position],tblPositionandPayRate[Overtime], " ")</f>
        <v xml:space="preserve"> </v>
      </c>
      <c r="L470" s="25">
        <f>_xlfn.XLOOKUP(tblPayrollMaster[[#This Row],[Employee Position]],tblPositionandPayRate[Employee Position],tblPositionandPayRate[Allowance 1],0)*tblPayrollMaster[[#This Row],[Pay Factor]]</f>
        <v>0</v>
      </c>
      <c r="M470" s="25">
        <f>_xlfn.XLOOKUP(tblPayrollMaster[[#This Row],[Employee Position]],tblPositionandPayRate[Employee Position],tblPositionandPayRate[Allowance 2],0)*tblPayrollMaster[[#This Row],[Pay Factor]]</f>
        <v>0</v>
      </c>
      <c r="N470" s="25">
        <f>_xlfn.XLOOKUP(tblPayrollMaster[[#This Row],[Employee Position]],tblPositionandPayRate[Employee Position],tblPositionandPayRate[Allowance 3],0)*tblPayrollMaster[[#This Row],[Pay Factor]]</f>
        <v>0</v>
      </c>
      <c r="O470" s="25">
        <f>_xlfn.XLOOKUP(tblPayrollMaster[[#This Row],[Employee Position]],tblPositionandPayRate[Employee Position],tblPositionandPayRate[Allowance 4],0)*tblPayrollMaster[[#This Row],[Pay Factor]]</f>
        <v>0</v>
      </c>
      <c r="P470" s="25">
        <f>_xlfn.XLOOKUP(tblPayrollMaster[[#This Row],[Employee Position]],tblPositionandPayRate[Employee Position],tblPositionandPayRate[Allowance 5],0)*tblPayrollMaster[[#This Row],[Pay Factor]]</f>
        <v>0</v>
      </c>
      <c r="Q470" s="25">
        <f>SUM(tblPayrollMaster[[#This Row],[Basic Pay]:[Allowance 5]])</f>
        <v>0</v>
      </c>
      <c r="R47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70" s="51" cm="1">
        <f t="array" ref="S4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70" s="3" cm="1">
        <f t="array" ref="T4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70" s="25">
        <f>_xlfn.LET(
_xlpm.tos, _xlfn.XLOOKUP(tblPayrollMaster[[#This Row],[Employee ID]], tblEmployee[Employee ID], tblEmployee[Type of Service], ""),
IF(_xlpm.tos="Contract of Service", 8.25, 0)
)</f>
        <v>0</v>
      </c>
      <c r="V470" s="25">
        <f>tblPayrollMaster[[#This Row],[Basic Earnings]]-tblPayrollMaster[[#This Row],[Tax]]-tblPayrollMaster[[#This Row],[NIS - Employee]]-tblPayrollMaster[[#This Row],[Health Surcharge]]</f>
        <v>0</v>
      </c>
      <c r="W470" s="25">
        <f>tblPayrollMaster[[#This Row],[Net Pay]]</f>
        <v>0</v>
      </c>
      <c r="X470" s="25"/>
    </row>
    <row r="471" spans="1:24" x14ac:dyDescent="0.25">
      <c r="A471" s="24"/>
      <c r="B471" s="24" t="str">
        <f>_xlfn.XLOOKUP(tblPayrollMaster[[#This Row],[Employee ID]],tblEmployee[Employee ID],tblEmployee[Employee Name],"")</f>
        <v/>
      </c>
      <c r="C471" s="24" t="str">
        <f>_xlfn.XLOOKUP(tblPayrollMaster[[#This Row],[Employee ID]],tblEmployee[Employee ID],tblEmployee[Employee Position],"")</f>
        <v/>
      </c>
      <c r="D471" s="24" t="str">
        <f>_xlfn.XLOOKUP(tblPayrollMaster[[#This Row],[Employee ID]], tblEmployee[Employee ID], tblEmployee[Pay Status], "Pay")</f>
        <v>Pay</v>
      </c>
      <c r="E471" s="24" t="str">
        <f>_xlfn.XLOOKUP(tblPayrollMaster[[#This Row],[Employee ID]], tblEmployee[Employee ID], tblEmployee[Payable Flag], "Y")</f>
        <v>Y</v>
      </c>
      <c r="F471" s="45">
        <f>IF(tblPayrollMaster[[#This Row],[Payable Flag]]="N",0,_xlfn.XLOOKUP(tblPayrollMaster[[#This Row],[Employee ID]],tblEmployee[Employee ID],tblEmployee[Pay Factor],1))</f>
        <v>1</v>
      </c>
      <c r="G471" s="26" t="str" cm="1">
        <f t="array" ref="G471">IF(tblPayrollMaster[[#This Row],[Employee ID]]="","",_xlfn.XLOOKUP(selPayPeriodID,tblPayCalendar[PayPeriodID],tblPayCalendar[PeriodStart],""))</f>
        <v/>
      </c>
      <c r="H471" s="26" t="str" cm="1">
        <f t="array" ref="H471">IF(tblPayrollMaster[[#This Row],[Employee ID]]="","",_xlfn.XLOOKUP(selPayPeriodID,tblPayCalendar[PayPeriodID],tblPayCalendar[PeriodEnd],""))</f>
        <v/>
      </c>
      <c r="I471" s="24" t="e" cm="1" vm="1">
        <f t="array" aca="1" ref="I471" ca="1">Table18[Employer Name]</f>
        <v>#VALUE!</v>
      </c>
      <c r="J471" s="3" cm="1">
        <f t="array" ref="J47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71" s="25" t="str">
        <f>_xlfn.XLOOKUP(tblPayrollMaster[[#This Row],[Employee Position]],tblPositionandPayRate[Employee Position],tblPositionandPayRate[Overtime], " ")</f>
        <v xml:space="preserve"> </v>
      </c>
      <c r="L471" s="25">
        <f>_xlfn.XLOOKUP(tblPayrollMaster[[#This Row],[Employee Position]],tblPositionandPayRate[Employee Position],tblPositionandPayRate[Allowance 1],0)*tblPayrollMaster[[#This Row],[Pay Factor]]</f>
        <v>0</v>
      </c>
      <c r="M471" s="25">
        <f>_xlfn.XLOOKUP(tblPayrollMaster[[#This Row],[Employee Position]],tblPositionandPayRate[Employee Position],tblPositionandPayRate[Allowance 2],0)*tblPayrollMaster[[#This Row],[Pay Factor]]</f>
        <v>0</v>
      </c>
      <c r="N471" s="25">
        <f>_xlfn.XLOOKUP(tblPayrollMaster[[#This Row],[Employee Position]],tblPositionandPayRate[Employee Position],tblPositionandPayRate[Allowance 3],0)*tblPayrollMaster[[#This Row],[Pay Factor]]</f>
        <v>0</v>
      </c>
      <c r="O471" s="25">
        <f>_xlfn.XLOOKUP(tblPayrollMaster[[#This Row],[Employee Position]],tblPositionandPayRate[Employee Position],tblPositionandPayRate[Allowance 4],0)*tblPayrollMaster[[#This Row],[Pay Factor]]</f>
        <v>0</v>
      </c>
      <c r="P471" s="25">
        <f>_xlfn.XLOOKUP(tblPayrollMaster[[#This Row],[Employee Position]],tblPositionandPayRate[Employee Position],tblPositionandPayRate[Allowance 5],0)*tblPayrollMaster[[#This Row],[Pay Factor]]</f>
        <v>0</v>
      </c>
      <c r="Q471" s="25">
        <f>SUM(tblPayrollMaster[[#This Row],[Basic Pay]:[Allowance 5]])</f>
        <v>0</v>
      </c>
      <c r="R47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71" s="51" cm="1">
        <f t="array" ref="S4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71" s="3" cm="1">
        <f t="array" ref="T4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71" s="25">
        <f>_xlfn.LET(
_xlpm.tos, _xlfn.XLOOKUP(tblPayrollMaster[[#This Row],[Employee ID]], tblEmployee[Employee ID], tblEmployee[Type of Service], ""),
IF(_xlpm.tos="Contract of Service", 8.25, 0)
)</f>
        <v>0</v>
      </c>
      <c r="V471" s="25">
        <f>tblPayrollMaster[[#This Row],[Basic Earnings]]-tblPayrollMaster[[#This Row],[Tax]]-tblPayrollMaster[[#This Row],[NIS - Employee]]-tblPayrollMaster[[#This Row],[Health Surcharge]]</f>
        <v>0</v>
      </c>
      <c r="W471" s="25">
        <f>tblPayrollMaster[[#This Row],[Net Pay]]</f>
        <v>0</v>
      </c>
      <c r="X471" s="25"/>
    </row>
    <row r="472" spans="1:24" x14ac:dyDescent="0.25">
      <c r="A472" s="24"/>
      <c r="B472" s="24" t="str">
        <f>_xlfn.XLOOKUP(tblPayrollMaster[[#This Row],[Employee ID]],tblEmployee[Employee ID],tblEmployee[Employee Name],"")</f>
        <v/>
      </c>
      <c r="C472" s="24" t="str">
        <f>_xlfn.XLOOKUP(tblPayrollMaster[[#This Row],[Employee ID]],tblEmployee[Employee ID],tblEmployee[Employee Position],"")</f>
        <v/>
      </c>
      <c r="D472" s="24" t="str">
        <f>_xlfn.XLOOKUP(tblPayrollMaster[[#This Row],[Employee ID]], tblEmployee[Employee ID], tblEmployee[Pay Status], "Pay")</f>
        <v>Pay</v>
      </c>
      <c r="E472" s="24" t="str">
        <f>_xlfn.XLOOKUP(tblPayrollMaster[[#This Row],[Employee ID]], tblEmployee[Employee ID], tblEmployee[Payable Flag], "Y")</f>
        <v>Y</v>
      </c>
      <c r="F472" s="45">
        <f>IF(tblPayrollMaster[[#This Row],[Payable Flag]]="N",0,_xlfn.XLOOKUP(tblPayrollMaster[[#This Row],[Employee ID]],tblEmployee[Employee ID],tblEmployee[Pay Factor],1))</f>
        <v>1</v>
      </c>
      <c r="G472" s="26" t="str" cm="1">
        <f t="array" ref="G472">IF(tblPayrollMaster[[#This Row],[Employee ID]]="","",_xlfn.XLOOKUP(selPayPeriodID,tblPayCalendar[PayPeriodID],tblPayCalendar[PeriodStart],""))</f>
        <v/>
      </c>
      <c r="H472" s="26" t="str" cm="1">
        <f t="array" ref="H472">IF(tblPayrollMaster[[#This Row],[Employee ID]]="","",_xlfn.XLOOKUP(selPayPeriodID,tblPayCalendar[PayPeriodID],tblPayCalendar[PeriodEnd],""))</f>
        <v/>
      </c>
      <c r="I472" s="24" t="e" cm="1" vm="1">
        <f t="array" aca="1" ref="I472" ca="1">Table18[Employer Name]</f>
        <v>#VALUE!</v>
      </c>
      <c r="J472" s="3" cm="1">
        <f t="array" ref="J47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72" s="25" t="str">
        <f>_xlfn.XLOOKUP(tblPayrollMaster[[#This Row],[Employee Position]],tblPositionandPayRate[Employee Position],tblPositionandPayRate[Overtime], " ")</f>
        <v xml:space="preserve"> </v>
      </c>
      <c r="L472" s="25">
        <f>_xlfn.XLOOKUP(tblPayrollMaster[[#This Row],[Employee Position]],tblPositionandPayRate[Employee Position],tblPositionandPayRate[Allowance 1],0)*tblPayrollMaster[[#This Row],[Pay Factor]]</f>
        <v>0</v>
      </c>
      <c r="M472" s="25">
        <f>_xlfn.XLOOKUP(tblPayrollMaster[[#This Row],[Employee Position]],tblPositionandPayRate[Employee Position],tblPositionandPayRate[Allowance 2],0)*tblPayrollMaster[[#This Row],[Pay Factor]]</f>
        <v>0</v>
      </c>
      <c r="N472" s="25">
        <f>_xlfn.XLOOKUP(tblPayrollMaster[[#This Row],[Employee Position]],tblPositionandPayRate[Employee Position],tblPositionandPayRate[Allowance 3],0)*tblPayrollMaster[[#This Row],[Pay Factor]]</f>
        <v>0</v>
      </c>
      <c r="O472" s="25">
        <f>_xlfn.XLOOKUP(tblPayrollMaster[[#This Row],[Employee Position]],tblPositionandPayRate[Employee Position],tblPositionandPayRate[Allowance 4],0)*tblPayrollMaster[[#This Row],[Pay Factor]]</f>
        <v>0</v>
      </c>
      <c r="P472" s="25">
        <f>_xlfn.XLOOKUP(tblPayrollMaster[[#This Row],[Employee Position]],tblPositionandPayRate[Employee Position],tblPositionandPayRate[Allowance 5],0)*tblPayrollMaster[[#This Row],[Pay Factor]]</f>
        <v>0</v>
      </c>
      <c r="Q472" s="25">
        <f>SUM(tblPayrollMaster[[#This Row],[Basic Pay]:[Allowance 5]])</f>
        <v>0</v>
      </c>
      <c r="R47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72" s="51" cm="1">
        <f t="array" ref="S4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72" s="3" cm="1">
        <f t="array" ref="T4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72" s="25">
        <f>_xlfn.LET(
_xlpm.tos, _xlfn.XLOOKUP(tblPayrollMaster[[#This Row],[Employee ID]], tblEmployee[Employee ID], tblEmployee[Type of Service], ""),
IF(_xlpm.tos="Contract of Service", 8.25, 0)
)</f>
        <v>0</v>
      </c>
      <c r="V472" s="25">
        <f>tblPayrollMaster[[#This Row],[Basic Earnings]]-tblPayrollMaster[[#This Row],[Tax]]-tblPayrollMaster[[#This Row],[NIS - Employee]]-tblPayrollMaster[[#This Row],[Health Surcharge]]</f>
        <v>0</v>
      </c>
      <c r="W472" s="25">
        <f>tblPayrollMaster[[#This Row],[Net Pay]]</f>
        <v>0</v>
      </c>
      <c r="X472" s="25"/>
    </row>
    <row r="473" spans="1:24" x14ac:dyDescent="0.25">
      <c r="A473" s="24"/>
      <c r="B473" s="24" t="str">
        <f>_xlfn.XLOOKUP(tblPayrollMaster[[#This Row],[Employee ID]],tblEmployee[Employee ID],tblEmployee[Employee Name],"")</f>
        <v/>
      </c>
      <c r="C473" s="24" t="str">
        <f>_xlfn.XLOOKUP(tblPayrollMaster[[#This Row],[Employee ID]],tblEmployee[Employee ID],tblEmployee[Employee Position],"")</f>
        <v/>
      </c>
      <c r="D473" s="24" t="str">
        <f>_xlfn.XLOOKUP(tblPayrollMaster[[#This Row],[Employee ID]], tblEmployee[Employee ID], tblEmployee[Pay Status], "Pay")</f>
        <v>Pay</v>
      </c>
      <c r="E473" s="24" t="str">
        <f>_xlfn.XLOOKUP(tblPayrollMaster[[#This Row],[Employee ID]], tblEmployee[Employee ID], tblEmployee[Payable Flag], "Y")</f>
        <v>Y</v>
      </c>
      <c r="F473" s="45">
        <f>IF(tblPayrollMaster[[#This Row],[Payable Flag]]="N",0,_xlfn.XLOOKUP(tblPayrollMaster[[#This Row],[Employee ID]],tblEmployee[Employee ID],tblEmployee[Pay Factor],1))</f>
        <v>1</v>
      </c>
      <c r="G473" s="26" t="str" cm="1">
        <f t="array" ref="G473">IF(tblPayrollMaster[[#This Row],[Employee ID]]="","",_xlfn.XLOOKUP(selPayPeriodID,tblPayCalendar[PayPeriodID],tblPayCalendar[PeriodStart],""))</f>
        <v/>
      </c>
      <c r="H473" s="26" t="str" cm="1">
        <f t="array" ref="H473">IF(tblPayrollMaster[[#This Row],[Employee ID]]="","",_xlfn.XLOOKUP(selPayPeriodID,tblPayCalendar[PayPeriodID],tblPayCalendar[PeriodEnd],""))</f>
        <v/>
      </c>
      <c r="I473" s="24" t="e" cm="1" vm="1">
        <f t="array" aca="1" ref="I473" ca="1">Table18[Employer Name]</f>
        <v>#VALUE!</v>
      </c>
      <c r="J473" s="3" cm="1">
        <f t="array" ref="J47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73" s="25" t="str">
        <f>_xlfn.XLOOKUP(tblPayrollMaster[[#This Row],[Employee Position]],tblPositionandPayRate[Employee Position],tblPositionandPayRate[Overtime], " ")</f>
        <v xml:space="preserve"> </v>
      </c>
      <c r="L473" s="25">
        <f>_xlfn.XLOOKUP(tblPayrollMaster[[#This Row],[Employee Position]],tblPositionandPayRate[Employee Position],tblPositionandPayRate[Allowance 1],0)*tblPayrollMaster[[#This Row],[Pay Factor]]</f>
        <v>0</v>
      </c>
      <c r="M473" s="25">
        <f>_xlfn.XLOOKUP(tblPayrollMaster[[#This Row],[Employee Position]],tblPositionandPayRate[Employee Position],tblPositionandPayRate[Allowance 2],0)*tblPayrollMaster[[#This Row],[Pay Factor]]</f>
        <v>0</v>
      </c>
      <c r="N473" s="25">
        <f>_xlfn.XLOOKUP(tblPayrollMaster[[#This Row],[Employee Position]],tblPositionandPayRate[Employee Position],tblPositionandPayRate[Allowance 3],0)*tblPayrollMaster[[#This Row],[Pay Factor]]</f>
        <v>0</v>
      </c>
      <c r="O473" s="25">
        <f>_xlfn.XLOOKUP(tblPayrollMaster[[#This Row],[Employee Position]],tblPositionandPayRate[Employee Position],tblPositionandPayRate[Allowance 4],0)*tblPayrollMaster[[#This Row],[Pay Factor]]</f>
        <v>0</v>
      </c>
      <c r="P473" s="25">
        <f>_xlfn.XLOOKUP(tblPayrollMaster[[#This Row],[Employee Position]],tblPositionandPayRate[Employee Position],tblPositionandPayRate[Allowance 5],0)*tblPayrollMaster[[#This Row],[Pay Factor]]</f>
        <v>0</v>
      </c>
      <c r="Q473" s="25">
        <f>SUM(tblPayrollMaster[[#This Row],[Basic Pay]:[Allowance 5]])</f>
        <v>0</v>
      </c>
      <c r="R47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73" s="51" cm="1">
        <f t="array" ref="S4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73" s="3" cm="1">
        <f t="array" ref="T4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73" s="25">
        <f>_xlfn.LET(
_xlpm.tos, _xlfn.XLOOKUP(tblPayrollMaster[[#This Row],[Employee ID]], tblEmployee[Employee ID], tblEmployee[Type of Service], ""),
IF(_xlpm.tos="Contract of Service", 8.25, 0)
)</f>
        <v>0</v>
      </c>
      <c r="V473" s="25">
        <f>tblPayrollMaster[[#This Row],[Basic Earnings]]-tblPayrollMaster[[#This Row],[Tax]]-tblPayrollMaster[[#This Row],[NIS - Employee]]-tblPayrollMaster[[#This Row],[Health Surcharge]]</f>
        <v>0</v>
      </c>
      <c r="W473" s="25">
        <f>tblPayrollMaster[[#This Row],[Net Pay]]</f>
        <v>0</v>
      </c>
      <c r="X473" s="25"/>
    </row>
    <row r="474" spans="1:24" x14ac:dyDescent="0.25">
      <c r="A474" s="24"/>
      <c r="B474" s="24" t="str">
        <f>_xlfn.XLOOKUP(tblPayrollMaster[[#This Row],[Employee ID]],tblEmployee[Employee ID],tblEmployee[Employee Name],"")</f>
        <v/>
      </c>
      <c r="C474" s="24" t="str">
        <f>_xlfn.XLOOKUP(tblPayrollMaster[[#This Row],[Employee ID]],tblEmployee[Employee ID],tblEmployee[Employee Position],"")</f>
        <v/>
      </c>
      <c r="D474" s="24" t="str">
        <f>_xlfn.XLOOKUP(tblPayrollMaster[[#This Row],[Employee ID]], tblEmployee[Employee ID], tblEmployee[Pay Status], "Pay")</f>
        <v>Pay</v>
      </c>
      <c r="E474" s="24" t="str">
        <f>_xlfn.XLOOKUP(tblPayrollMaster[[#This Row],[Employee ID]], tblEmployee[Employee ID], tblEmployee[Payable Flag], "Y")</f>
        <v>Y</v>
      </c>
      <c r="F474" s="45">
        <f>IF(tblPayrollMaster[[#This Row],[Payable Flag]]="N",0,_xlfn.XLOOKUP(tblPayrollMaster[[#This Row],[Employee ID]],tblEmployee[Employee ID],tblEmployee[Pay Factor],1))</f>
        <v>1</v>
      </c>
      <c r="G474" s="26" t="str" cm="1">
        <f t="array" ref="G474">IF(tblPayrollMaster[[#This Row],[Employee ID]]="","",_xlfn.XLOOKUP(selPayPeriodID,tblPayCalendar[PayPeriodID],tblPayCalendar[PeriodStart],""))</f>
        <v/>
      </c>
      <c r="H474" s="26" t="str" cm="1">
        <f t="array" ref="H474">IF(tblPayrollMaster[[#This Row],[Employee ID]]="","",_xlfn.XLOOKUP(selPayPeriodID,tblPayCalendar[PayPeriodID],tblPayCalendar[PeriodEnd],""))</f>
        <v/>
      </c>
      <c r="I474" s="24" t="e" cm="1" vm="1">
        <f t="array" aca="1" ref="I474" ca="1">Table18[Employer Name]</f>
        <v>#VALUE!</v>
      </c>
      <c r="J474" s="3" cm="1">
        <f t="array" ref="J47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74" s="25" t="str">
        <f>_xlfn.XLOOKUP(tblPayrollMaster[[#This Row],[Employee Position]],tblPositionandPayRate[Employee Position],tblPositionandPayRate[Overtime], " ")</f>
        <v xml:space="preserve"> </v>
      </c>
      <c r="L474" s="25">
        <f>_xlfn.XLOOKUP(tblPayrollMaster[[#This Row],[Employee Position]],tblPositionandPayRate[Employee Position],tblPositionandPayRate[Allowance 1],0)*tblPayrollMaster[[#This Row],[Pay Factor]]</f>
        <v>0</v>
      </c>
      <c r="M474" s="25">
        <f>_xlfn.XLOOKUP(tblPayrollMaster[[#This Row],[Employee Position]],tblPositionandPayRate[Employee Position],tblPositionandPayRate[Allowance 2],0)*tblPayrollMaster[[#This Row],[Pay Factor]]</f>
        <v>0</v>
      </c>
      <c r="N474" s="25">
        <f>_xlfn.XLOOKUP(tblPayrollMaster[[#This Row],[Employee Position]],tblPositionandPayRate[Employee Position],tblPositionandPayRate[Allowance 3],0)*tblPayrollMaster[[#This Row],[Pay Factor]]</f>
        <v>0</v>
      </c>
      <c r="O474" s="25">
        <f>_xlfn.XLOOKUP(tblPayrollMaster[[#This Row],[Employee Position]],tblPositionandPayRate[Employee Position],tblPositionandPayRate[Allowance 4],0)*tblPayrollMaster[[#This Row],[Pay Factor]]</f>
        <v>0</v>
      </c>
      <c r="P474" s="25">
        <f>_xlfn.XLOOKUP(tblPayrollMaster[[#This Row],[Employee Position]],tblPositionandPayRate[Employee Position],tblPositionandPayRate[Allowance 5],0)*tblPayrollMaster[[#This Row],[Pay Factor]]</f>
        <v>0</v>
      </c>
      <c r="Q474" s="25">
        <f>SUM(tblPayrollMaster[[#This Row],[Basic Pay]:[Allowance 5]])</f>
        <v>0</v>
      </c>
      <c r="R47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74" s="51" cm="1">
        <f t="array" ref="S4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74" s="3" cm="1">
        <f t="array" ref="T4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74" s="25">
        <f>_xlfn.LET(
_xlpm.tos, _xlfn.XLOOKUP(tblPayrollMaster[[#This Row],[Employee ID]], tblEmployee[Employee ID], tblEmployee[Type of Service], ""),
IF(_xlpm.tos="Contract of Service", 8.25, 0)
)</f>
        <v>0</v>
      </c>
      <c r="V474" s="25">
        <f>tblPayrollMaster[[#This Row],[Basic Earnings]]-tblPayrollMaster[[#This Row],[Tax]]-tblPayrollMaster[[#This Row],[NIS - Employee]]-tblPayrollMaster[[#This Row],[Health Surcharge]]</f>
        <v>0</v>
      </c>
      <c r="W474" s="25">
        <f>tblPayrollMaster[[#This Row],[Net Pay]]</f>
        <v>0</v>
      </c>
      <c r="X474" s="25"/>
    </row>
    <row r="475" spans="1:24" x14ac:dyDescent="0.25">
      <c r="A475" s="24"/>
      <c r="B475" s="24" t="str">
        <f>_xlfn.XLOOKUP(tblPayrollMaster[[#This Row],[Employee ID]],tblEmployee[Employee ID],tblEmployee[Employee Name],"")</f>
        <v/>
      </c>
      <c r="C475" s="24" t="str">
        <f>_xlfn.XLOOKUP(tblPayrollMaster[[#This Row],[Employee ID]],tblEmployee[Employee ID],tblEmployee[Employee Position],"")</f>
        <v/>
      </c>
      <c r="D475" s="24" t="str">
        <f>_xlfn.XLOOKUP(tblPayrollMaster[[#This Row],[Employee ID]], tblEmployee[Employee ID], tblEmployee[Pay Status], "Pay")</f>
        <v>Pay</v>
      </c>
      <c r="E475" s="24" t="str">
        <f>_xlfn.XLOOKUP(tblPayrollMaster[[#This Row],[Employee ID]], tblEmployee[Employee ID], tblEmployee[Payable Flag], "Y")</f>
        <v>Y</v>
      </c>
      <c r="F475" s="45">
        <f>IF(tblPayrollMaster[[#This Row],[Payable Flag]]="N",0,_xlfn.XLOOKUP(tblPayrollMaster[[#This Row],[Employee ID]],tblEmployee[Employee ID],tblEmployee[Pay Factor],1))</f>
        <v>1</v>
      </c>
      <c r="G475" s="26" t="str" cm="1">
        <f t="array" ref="G475">IF(tblPayrollMaster[[#This Row],[Employee ID]]="","",_xlfn.XLOOKUP(selPayPeriodID,tblPayCalendar[PayPeriodID],tblPayCalendar[PeriodStart],""))</f>
        <v/>
      </c>
      <c r="H475" s="26" t="str" cm="1">
        <f t="array" ref="H475">IF(tblPayrollMaster[[#This Row],[Employee ID]]="","",_xlfn.XLOOKUP(selPayPeriodID,tblPayCalendar[PayPeriodID],tblPayCalendar[PeriodEnd],""))</f>
        <v/>
      </c>
      <c r="I475" s="24" t="e" cm="1" vm="1">
        <f t="array" aca="1" ref="I475" ca="1">Table18[Employer Name]</f>
        <v>#VALUE!</v>
      </c>
      <c r="J475" s="3" cm="1">
        <f t="array" ref="J47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75" s="25" t="str">
        <f>_xlfn.XLOOKUP(tblPayrollMaster[[#This Row],[Employee Position]],tblPositionandPayRate[Employee Position],tblPositionandPayRate[Overtime], " ")</f>
        <v xml:space="preserve"> </v>
      </c>
      <c r="L475" s="25">
        <f>_xlfn.XLOOKUP(tblPayrollMaster[[#This Row],[Employee Position]],tblPositionandPayRate[Employee Position],tblPositionandPayRate[Allowance 1],0)*tblPayrollMaster[[#This Row],[Pay Factor]]</f>
        <v>0</v>
      </c>
      <c r="M475" s="25">
        <f>_xlfn.XLOOKUP(tblPayrollMaster[[#This Row],[Employee Position]],tblPositionandPayRate[Employee Position],tblPositionandPayRate[Allowance 2],0)*tblPayrollMaster[[#This Row],[Pay Factor]]</f>
        <v>0</v>
      </c>
      <c r="N475" s="25">
        <f>_xlfn.XLOOKUP(tblPayrollMaster[[#This Row],[Employee Position]],tblPositionandPayRate[Employee Position],tblPositionandPayRate[Allowance 3],0)*tblPayrollMaster[[#This Row],[Pay Factor]]</f>
        <v>0</v>
      </c>
      <c r="O475" s="25">
        <f>_xlfn.XLOOKUP(tblPayrollMaster[[#This Row],[Employee Position]],tblPositionandPayRate[Employee Position],tblPositionandPayRate[Allowance 4],0)*tblPayrollMaster[[#This Row],[Pay Factor]]</f>
        <v>0</v>
      </c>
      <c r="P475" s="25">
        <f>_xlfn.XLOOKUP(tblPayrollMaster[[#This Row],[Employee Position]],tblPositionandPayRate[Employee Position],tblPositionandPayRate[Allowance 5],0)*tblPayrollMaster[[#This Row],[Pay Factor]]</f>
        <v>0</v>
      </c>
      <c r="Q475" s="25">
        <f>SUM(tblPayrollMaster[[#This Row],[Basic Pay]:[Allowance 5]])</f>
        <v>0</v>
      </c>
      <c r="R47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75" s="51" cm="1">
        <f t="array" ref="S4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75" s="3" cm="1">
        <f t="array" ref="T4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75" s="25">
        <f>_xlfn.LET(
_xlpm.tos, _xlfn.XLOOKUP(tblPayrollMaster[[#This Row],[Employee ID]], tblEmployee[Employee ID], tblEmployee[Type of Service], ""),
IF(_xlpm.tos="Contract of Service", 8.25, 0)
)</f>
        <v>0</v>
      </c>
      <c r="V475" s="25">
        <f>tblPayrollMaster[[#This Row],[Basic Earnings]]-tblPayrollMaster[[#This Row],[Tax]]-tblPayrollMaster[[#This Row],[NIS - Employee]]-tblPayrollMaster[[#This Row],[Health Surcharge]]</f>
        <v>0</v>
      </c>
      <c r="W475" s="25">
        <f>tblPayrollMaster[[#This Row],[Net Pay]]</f>
        <v>0</v>
      </c>
      <c r="X475" s="25"/>
    </row>
    <row r="476" spans="1:24" x14ac:dyDescent="0.25">
      <c r="A476" s="24"/>
      <c r="B476" s="24" t="str">
        <f>_xlfn.XLOOKUP(tblPayrollMaster[[#This Row],[Employee ID]],tblEmployee[Employee ID],tblEmployee[Employee Name],"")</f>
        <v/>
      </c>
      <c r="C476" s="24" t="str">
        <f>_xlfn.XLOOKUP(tblPayrollMaster[[#This Row],[Employee ID]],tblEmployee[Employee ID],tblEmployee[Employee Position],"")</f>
        <v/>
      </c>
      <c r="D476" s="24" t="str">
        <f>_xlfn.XLOOKUP(tblPayrollMaster[[#This Row],[Employee ID]], tblEmployee[Employee ID], tblEmployee[Pay Status], "Pay")</f>
        <v>Pay</v>
      </c>
      <c r="E476" s="24" t="str">
        <f>_xlfn.XLOOKUP(tblPayrollMaster[[#This Row],[Employee ID]], tblEmployee[Employee ID], tblEmployee[Payable Flag], "Y")</f>
        <v>Y</v>
      </c>
      <c r="F476" s="45">
        <f>IF(tblPayrollMaster[[#This Row],[Payable Flag]]="N",0,_xlfn.XLOOKUP(tblPayrollMaster[[#This Row],[Employee ID]],tblEmployee[Employee ID],tblEmployee[Pay Factor],1))</f>
        <v>1</v>
      </c>
      <c r="G476" s="26" t="str" cm="1">
        <f t="array" ref="G476">IF(tblPayrollMaster[[#This Row],[Employee ID]]="","",_xlfn.XLOOKUP(selPayPeriodID,tblPayCalendar[PayPeriodID],tblPayCalendar[PeriodStart],""))</f>
        <v/>
      </c>
      <c r="H476" s="26" t="str" cm="1">
        <f t="array" ref="H476">IF(tblPayrollMaster[[#This Row],[Employee ID]]="","",_xlfn.XLOOKUP(selPayPeriodID,tblPayCalendar[PayPeriodID],tblPayCalendar[PeriodEnd],""))</f>
        <v/>
      </c>
      <c r="I476" s="24" t="e" cm="1" vm="1">
        <f t="array" aca="1" ref="I476" ca="1">Table18[Employer Name]</f>
        <v>#VALUE!</v>
      </c>
      <c r="J476" s="3" cm="1">
        <f t="array" ref="J47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76" s="25" t="str">
        <f>_xlfn.XLOOKUP(tblPayrollMaster[[#This Row],[Employee Position]],tblPositionandPayRate[Employee Position],tblPositionandPayRate[Overtime], " ")</f>
        <v xml:space="preserve"> </v>
      </c>
      <c r="L476" s="25">
        <f>_xlfn.XLOOKUP(tblPayrollMaster[[#This Row],[Employee Position]],tblPositionandPayRate[Employee Position],tblPositionandPayRate[Allowance 1],0)*tblPayrollMaster[[#This Row],[Pay Factor]]</f>
        <v>0</v>
      </c>
      <c r="M476" s="25">
        <f>_xlfn.XLOOKUP(tblPayrollMaster[[#This Row],[Employee Position]],tblPositionandPayRate[Employee Position],tblPositionandPayRate[Allowance 2],0)*tblPayrollMaster[[#This Row],[Pay Factor]]</f>
        <v>0</v>
      </c>
      <c r="N476" s="25">
        <f>_xlfn.XLOOKUP(tblPayrollMaster[[#This Row],[Employee Position]],tblPositionandPayRate[Employee Position],tblPositionandPayRate[Allowance 3],0)*tblPayrollMaster[[#This Row],[Pay Factor]]</f>
        <v>0</v>
      </c>
      <c r="O476" s="25">
        <f>_xlfn.XLOOKUP(tblPayrollMaster[[#This Row],[Employee Position]],tblPositionandPayRate[Employee Position],tblPositionandPayRate[Allowance 4],0)*tblPayrollMaster[[#This Row],[Pay Factor]]</f>
        <v>0</v>
      </c>
      <c r="P476" s="25">
        <f>_xlfn.XLOOKUP(tblPayrollMaster[[#This Row],[Employee Position]],tblPositionandPayRate[Employee Position],tblPositionandPayRate[Allowance 5],0)*tblPayrollMaster[[#This Row],[Pay Factor]]</f>
        <v>0</v>
      </c>
      <c r="Q476" s="25">
        <f>SUM(tblPayrollMaster[[#This Row],[Basic Pay]:[Allowance 5]])</f>
        <v>0</v>
      </c>
      <c r="R47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76" s="51" cm="1">
        <f t="array" ref="S4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76" s="3" cm="1">
        <f t="array" ref="T4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76" s="25">
        <f>_xlfn.LET(
_xlpm.tos, _xlfn.XLOOKUP(tblPayrollMaster[[#This Row],[Employee ID]], tblEmployee[Employee ID], tblEmployee[Type of Service], ""),
IF(_xlpm.tos="Contract of Service", 8.25, 0)
)</f>
        <v>0</v>
      </c>
      <c r="V476" s="25">
        <f>tblPayrollMaster[[#This Row],[Basic Earnings]]-tblPayrollMaster[[#This Row],[Tax]]-tblPayrollMaster[[#This Row],[NIS - Employee]]-tblPayrollMaster[[#This Row],[Health Surcharge]]</f>
        <v>0</v>
      </c>
      <c r="W476" s="25">
        <f>tblPayrollMaster[[#This Row],[Net Pay]]</f>
        <v>0</v>
      </c>
      <c r="X476" s="25"/>
    </row>
    <row r="477" spans="1:24" x14ac:dyDescent="0.25">
      <c r="A477" s="24"/>
      <c r="B477" s="24" t="str">
        <f>_xlfn.XLOOKUP(tblPayrollMaster[[#This Row],[Employee ID]],tblEmployee[Employee ID],tblEmployee[Employee Name],"")</f>
        <v/>
      </c>
      <c r="C477" s="24" t="str">
        <f>_xlfn.XLOOKUP(tblPayrollMaster[[#This Row],[Employee ID]],tblEmployee[Employee ID],tblEmployee[Employee Position],"")</f>
        <v/>
      </c>
      <c r="D477" s="24" t="str">
        <f>_xlfn.XLOOKUP(tblPayrollMaster[[#This Row],[Employee ID]], tblEmployee[Employee ID], tblEmployee[Pay Status], "Pay")</f>
        <v>Pay</v>
      </c>
      <c r="E477" s="24" t="str">
        <f>_xlfn.XLOOKUP(tblPayrollMaster[[#This Row],[Employee ID]], tblEmployee[Employee ID], tblEmployee[Payable Flag], "Y")</f>
        <v>Y</v>
      </c>
      <c r="F477" s="45">
        <f>IF(tblPayrollMaster[[#This Row],[Payable Flag]]="N",0,_xlfn.XLOOKUP(tblPayrollMaster[[#This Row],[Employee ID]],tblEmployee[Employee ID],tblEmployee[Pay Factor],1))</f>
        <v>1</v>
      </c>
      <c r="G477" s="26" t="str" cm="1">
        <f t="array" ref="G477">IF(tblPayrollMaster[[#This Row],[Employee ID]]="","",_xlfn.XLOOKUP(selPayPeriodID,tblPayCalendar[PayPeriodID],tblPayCalendar[PeriodStart],""))</f>
        <v/>
      </c>
      <c r="H477" s="26" t="str" cm="1">
        <f t="array" ref="H477">IF(tblPayrollMaster[[#This Row],[Employee ID]]="","",_xlfn.XLOOKUP(selPayPeriodID,tblPayCalendar[PayPeriodID],tblPayCalendar[PeriodEnd],""))</f>
        <v/>
      </c>
      <c r="I477" s="24" t="e" cm="1" vm="1">
        <f t="array" aca="1" ref="I477" ca="1">Table18[Employer Name]</f>
        <v>#VALUE!</v>
      </c>
      <c r="J477" s="3" cm="1">
        <f t="array" ref="J47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77" s="25" t="str">
        <f>_xlfn.XLOOKUP(tblPayrollMaster[[#This Row],[Employee Position]],tblPositionandPayRate[Employee Position],tblPositionandPayRate[Overtime], " ")</f>
        <v xml:space="preserve"> </v>
      </c>
      <c r="L477" s="25">
        <f>_xlfn.XLOOKUP(tblPayrollMaster[[#This Row],[Employee Position]],tblPositionandPayRate[Employee Position],tblPositionandPayRate[Allowance 1],0)*tblPayrollMaster[[#This Row],[Pay Factor]]</f>
        <v>0</v>
      </c>
      <c r="M477" s="25">
        <f>_xlfn.XLOOKUP(tblPayrollMaster[[#This Row],[Employee Position]],tblPositionandPayRate[Employee Position],tblPositionandPayRate[Allowance 2],0)*tblPayrollMaster[[#This Row],[Pay Factor]]</f>
        <v>0</v>
      </c>
      <c r="N477" s="25">
        <f>_xlfn.XLOOKUP(tblPayrollMaster[[#This Row],[Employee Position]],tblPositionandPayRate[Employee Position],tblPositionandPayRate[Allowance 3],0)*tblPayrollMaster[[#This Row],[Pay Factor]]</f>
        <v>0</v>
      </c>
      <c r="O477" s="25">
        <f>_xlfn.XLOOKUP(tblPayrollMaster[[#This Row],[Employee Position]],tblPositionandPayRate[Employee Position],tblPositionandPayRate[Allowance 4],0)*tblPayrollMaster[[#This Row],[Pay Factor]]</f>
        <v>0</v>
      </c>
      <c r="P477" s="25">
        <f>_xlfn.XLOOKUP(tblPayrollMaster[[#This Row],[Employee Position]],tblPositionandPayRate[Employee Position],tblPositionandPayRate[Allowance 5],0)*tblPayrollMaster[[#This Row],[Pay Factor]]</f>
        <v>0</v>
      </c>
      <c r="Q477" s="25">
        <f>SUM(tblPayrollMaster[[#This Row],[Basic Pay]:[Allowance 5]])</f>
        <v>0</v>
      </c>
      <c r="R47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77" s="51" cm="1">
        <f t="array" ref="S4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77" s="3" cm="1">
        <f t="array" ref="T4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77" s="25">
        <f>_xlfn.LET(
_xlpm.tos, _xlfn.XLOOKUP(tblPayrollMaster[[#This Row],[Employee ID]], tblEmployee[Employee ID], tblEmployee[Type of Service], ""),
IF(_xlpm.tos="Contract of Service", 8.25, 0)
)</f>
        <v>0</v>
      </c>
      <c r="V477" s="25">
        <f>tblPayrollMaster[[#This Row],[Basic Earnings]]-tblPayrollMaster[[#This Row],[Tax]]-tblPayrollMaster[[#This Row],[NIS - Employee]]-tblPayrollMaster[[#This Row],[Health Surcharge]]</f>
        <v>0</v>
      </c>
      <c r="W477" s="25">
        <f>tblPayrollMaster[[#This Row],[Net Pay]]</f>
        <v>0</v>
      </c>
      <c r="X477" s="25"/>
    </row>
    <row r="478" spans="1:24" x14ac:dyDescent="0.25">
      <c r="A478" s="24"/>
      <c r="B478" s="24" t="str">
        <f>_xlfn.XLOOKUP(tblPayrollMaster[[#This Row],[Employee ID]],tblEmployee[Employee ID],tblEmployee[Employee Name],"")</f>
        <v/>
      </c>
      <c r="C478" s="24" t="str">
        <f>_xlfn.XLOOKUP(tblPayrollMaster[[#This Row],[Employee ID]],tblEmployee[Employee ID],tblEmployee[Employee Position],"")</f>
        <v/>
      </c>
      <c r="D478" s="24" t="str">
        <f>_xlfn.XLOOKUP(tblPayrollMaster[[#This Row],[Employee ID]], tblEmployee[Employee ID], tblEmployee[Pay Status], "Pay")</f>
        <v>Pay</v>
      </c>
      <c r="E478" s="24" t="str">
        <f>_xlfn.XLOOKUP(tblPayrollMaster[[#This Row],[Employee ID]], tblEmployee[Employee ID], tblEmployee[Payable Flag], "Y")</f>
        <v>Y</v>
      </c>
      <c r="F478" s="45">
        <f>IF(tblPayrollMaster[[#This Row],[Payable Flag]]="N",0,_xlfn.XLOOKUP(tblPayrollMaster[[#This Row],[Employee ID]],tblEmployee[Employee ID],tblEmployee[Pay Factor],1))</f>
        <v>1</v>
      </c>
      <c r="G478" s="26" t="str" cm="1">
        <f t="array" ref="G478">IF(tblPayrollMaster[[#This Row],[Employee ID]]="","",_xlfn.XLOOKUP(selPayPeriodID,tblPayCalendar[PayPeriodID],tblPayCalendar[PeriodStart],""))</f>
        <v/>
      </c>
      <c r="H478" s="26" t="str" cm="1">
        <f t="array" ref="H478">IF(tblPayrollMaster[[#This Row],[Employee ID]]="","",_xlfn.XLOOKUP(selPayPeriodID,tblPayCalendar[PayPeriodID],tblPayCalendar[PeriodEnd],""))</f>
        <v/>
      </c>
      <c r="I478" s="24" t="e" cm="1" vm="1">
        <f t="array" aca="1" ref="I478" ca="1">Table18[Employer Name]</f>
        <v>#VALUE!</v>
      </c>
      <c r="J478" s="3" cm="1">
        <f t="array" ref="J47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78" s="25" t="str">
        <f>_xlfn.XLOOKUP(tblPayrollMaster[[#This Row],[Employee Position]],tblPositionandPayRate[Employee Position],tblPositionandPayRate[Overtime], " ")</f>
        <v xml:space="preserve"> </v>
      </c>
      <c r="L478" s="25">
        <f>_xlfn.XLOOKUP(tblPayrollMaster[[#This Row],[Employee Position]],tblPositionandPayRate[Employee Position],tblPositionandPayRate[Allowance 1],0)*tblPayrollMaster[[#This Row],[Pay Factor]]</f>
        <v>0</v>
      </c>
      <c r="M478" s="25">
        <f>_xlfn.XLOOKUP(tblPayrollMaster[[#This Row],[Employee Position]],tblPositionandPayRate[Employee Position],tblPositionandPayRate[Allowance 2],0)*tblPayrollMaster[[#This Row],[Pay Factor]]</f>
        <v>0</v>
      </c>
      <c r="N478" s="25">
        <f>_xlfn.XLOOKUP(tblPayrollMaster[[#This Row],[Employee Position]],tblPositionandPayRate[Employee Position],tblPositionandPayRate[Allowance 3],0)*tblPayrollMaster[[#This Row],[Pay Factor]]</f>
        <v>0</v>
      </c>
      <c r="O478" s="25">
        <f>_xlfn.XLOOKUP(tblPayrollMaster[[#This Row],[Employee Position]],tblPositionandPayRate[Employee Position],tblPositionandPayRate[Allowance 4],0)*tblPayrollMaster[[#This Row],[Pay Factor]]</f>
        <v>0</v>
      </c>
      <c r="P478" s="25">
        <f>_xlfn.XLOOKUP(tblPayrollMaster[[#This Row],[Employee Position]],tblPositionandPayRate[Employee Position],tblPositionandPayRate[Allowance 5],0)*tblPayrollMaster[[#This Row],[Pay Factor]]</f>
        <v>0</v>
      </c>
      <c r="Q478" s="25">
        <f>SUM(tblPayrollMaster[[#This Row],[Basic Pay]:[Allowance 5]])</f>
        <v>0</v>
      </c>
      <c r="R47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78" s="51" cm="1">
        <f t="array" ref="S4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78" s="3" cm="1">
        <f t="array" ref="T4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78" s="25">
        <f>_xlfn.LET(
_xlpm.tos, _xlfn.XLOOKUP(tblPayrollMaster[[#This Row],[Employee ID]], tblEmployee[Employee ID], tblEmployee[Type of Service], ""),
IF(_xlpm.tos="Contract of Service", 8.25, 0)
)</f>
        <v>0</v>
      </c>
      <c r="V478" s="25">
        <f>tblPayrollMaster[[#This Row],[Basic Earnings]]-tblPayrollMaster[[#This Row],[Tax]]-tblPayrollMaster[[#This Row],[NIS - Employee]]-tblPayrollMaster[[#This Row],[Health Surcharge]]</f>
        <v>0</v>
      </c>
      <c r="W478" s="25">
        <f>tblPayrollMaster[[#This Row],[Net Pay]]</f>
        <v>0</v>
      </c>
      <c r="X478" s="25"/>
    </row>
    <row r="479" spans="1:24" x14ac:dyDescent="0.25">
      <c r="A479" s="24"/>
      <c r="B479" s="24" t="str">
        <f>_xlfn.XLOOKUP(tblPayrollMaster[[#This Row],[Employee ID]],tblEmployee[Employee ID],tblEmployee[Employee Name],"")</f>
        <v/>
      </c>
      <c r="C479" s="24" t="str">
        <f>_xlfn.XLOOKUP(tblPayrollMaster[[#This Row],[Employee ID]],tblEmployee[Employee ID],tblEmployee[Employee Position],"")</f>
        <v/>
      </c>
      <c r="D479" s="24" t="str">
        <f>_xlfn.XLOOKUP(tblPayrollMaster[[#This Row],[Employee ID]], tblEmployee[Employee ID], tblEmployee[Pay Status], "Pay")</f>
        <v>Pay</v>
      </c>
      <c r="E479" s="24" t="str">
        <f>_xlfn.XLOOKUP(tblPayrollMaster[[#This Row],[Employee ID]], tblEmployee[Employee ID], tblEmployee[Payable Flag], "Y")</f>
        <v>Y</v>
      </c>
      <c r="F479" s="45">
        <f>IF(tblPayrollMaster[[#This Row],[Payable Flag]]="N",0,_xlfn.XLOOKUP(tblPayrollMaster[[#This Row],[Employee ID]],tblEmployee[Employee ID],tblEmployee[Pay Factor],1))</f>
        <v>1</v>
      </c>
      <c r="G479" s="26" t="str" cm="1">
        <f t="array" ref="G479">IF(tblPayrollMaster[[#This Row],[Employee ID]]="","",_xlfn.XLOOKUP(selPayPeriodID,tblPayCalendar[PayPeriodID],tblPayCalendar[PeriodStart],""))</f>
        <v/>
      </c>
      <c r="H479" s="26" t="str" cm="1">
        <f t="array" ref="H479">IF(tblPayrollMaster[[#This Row],[Employee ID]]="","",_xlfn.XLOOKUP(selPayPeriodID,tblPayCalendar[PayPeriodID],tblPayCalendar[PeriodEnd],""))</f>
        <v/>
      </c>
      <c r="I479" s="24" t="e" cm="1" vm="1">
        <f t="array" aca="1" ref="I479" ca="1">Table18[Employer Name]</f>
        <v>#VALUE!</v>
      </c>
      <c r="J479" s="3" cm="1">
        <f t="array" ref="J47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79" s="25" t="str">
        <f>_xlfn.XLOOKUP(tblPayrollMaster[[#This Row],[Employee Position]],tblPositionandPayRate[Employee Position],tblPositionandPayRate[Overtime], " ")</f>
        <v xml:space="preserve"> </v>
      </c>
      <c r="L479" s="25">
        <f>_xlfn.XLOOKUP(tblPayrollMaster[[#This Row],[Employee Position]],tblPositionandPayRate[Employee Position],tblPositionandPayRate[Allowance 1],0)*tblPayrollMaster[[#This Row],[Pay Factor]]</f>
        <v>0</v>
      </c>
      <c r="M479" s="25">
        <f>_xlfn.XLOOKUP(tblPayrollMaster[[#This Row],[Employee Position]],tblPositionandPayRate[Employee Position],tblPositionandPayRate[Allowance 2],0)*tblPayrollMaster[[#This Row],[Pay Factor]]</f>
        <v>0</v>
      </c>
      <c r="N479" s="25">
        <f>_xlfn.XLOOKUP(tblPayrollMaster[[#This Row],[Employee Position]],tblPositionandPayRate[Employee Position],tblPositionandPayRate[Allowance 3],0)*tblPayrollMaster[[#This Row],[Pay Factor]]</f>
        <v>0</v>
      </c>
      <c r="O479" s="25">
        <f>_xlfn.XLOOKUP(tblPayrollMaster[[#This Row],[Employee Position]],tblPositionandPayRate[Employee Position],tblPositionandPayRate[Allowance 4],0)*tblPayrollMaster[[#This Row],[Pay Factor]]</f>
        <v>0</v>
      </c>
      <c r="P479" s="25">
        <f>_xlfn.XLOOKUP(tblPayrollMaster[[#This Row],[Employee Position]],tblPositionandPayRate[Employee Position],tblPositionandPayRate[Allowance 5],0)*tblPayrollMaster[[#This Row],[Pay Factor]]</f>
        <v>0</v>
      </c>
      <c r="Q479" s="25">
        <f>SUM(tblPayrollMaster[[#This Row],[Basic Pay]:[Allowance 5]])</f>
        <v>0</v>
      </c>
      <c r="R47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79" s="51" cm="1">
        <f t="array" ref="S4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79" s="3" cm="1">
        <f t="array" ref="T4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79" s="25">
        <f>_xlfn.LET(
_xlpm.tos, _xlfn.XLOOKUP(tblPayrollMaster[[#This Row],[Employee ID]], tblEmployee[Employee ID], tblEmployee[Type of Service], ""),
IF(_xlpm.tos="Contract of Service", 8.25, 0)
)</f>
        <v>0</v>
      </c>
      <c r="V479" s="25">
        <f>tblPayrollMaster[[#This Row],[Basic Earnings]]-tblPayrollMaster[[#This Row],[Tax]]-tblPayrollMaster[[#This Row],[NIS - Employee]]-tblPayrollMaster[[#This Row],[Health Surcharge]]</f>
        <v>0</v>
      </c>
      <c r="W479" s="25">
        <f>tblPayrollMaster[[#This Row],[Net Pay]]</f>
        <v>0</v>
      </c>
      <c r="X479" s="25"/>
    </row>
    <row r="480" spans="1:24" x14ac:dyDescent="0.25">
      <c r="A480" s="24"/>
      <c r="B480" s="24" t="str">
        <f>_xlfn.XLOOKUP(tblPayrollMaster[[#This Row],[Employee ID]],tblEmployee[Employee ID],tblEmployee[Employee Name],"")</f>
        <v/>
      </c>
      <c r="C480" s="24" t="str">
        <f>_xlfn.XLOOKUP(tblPayrollMaster[[#This Row],[Employee ID]],tblEmployee[Employee ID],tblEmployee[Employee Position],"")</f>
        <v/>
      </c>
      <c r="D480" s="24" t="str">
        <f>_xlfn.XLOOKUP(tblPayrollMaster[[#This Row],[Employee ID]], tblEmployee[Employee ID], tblEmployee[Pay Status], "Pay")</f>
        <v>Pay</v>
      </c>
      <c r="E480" s="24" t="str">
        <f>_xlfn.XLOOKUP(tblPayrollMaster[[#This Row],[Employee ID]], tblEmployee[Employee ID], tblEmployee[Payable Flag], "Y")</f>
        <v>Y</v>
      </c>
      <c r="F480" s="45">
        <f>IF(tblPayrollMaster[[#This Row],[Payable Flag]]="N",0,_xlfn.XLOOKUP(tblPayrollMaster[[#This Row],[Employee ID]],tblEmployee[Employee ID],tblEmployee[Pay Factor],1))</f>
        <v>1</v>
      </c>
      <c r="G480" s="26" t="str" cm="1">
        <f t="array" ref="G480">IF(tblPayrollMaster[[#This Row],[Employee ID]]="","",_xlfn.XLOOKUP(selPayPeriodID,tblPayCalendar[PayPeriodID],tblPayCalendar[PeriodStart],""))</f>
        <v/>
      </c>
      <c r="H480" s="26" t="str" cm="1">
        <f t="array" ref="H480">IF(tblPayrollMaster[[#This Row],[Employee ID]]="","",_xlfn.XLOOKUP(selPayPeriodID,tblPayCalendar[PayPeriodID],tblPayCalendar[PeriodEnd],""))</f>
        <v/>
      </c>
      <c r="I480" s="24" t="e" cm="1" vm="1">
        <f t="array" aca="1" ref="I480" ca="1">Table18[Employer Name]</f>
        <v>#VALUE!</v>
      </c>
      <c r="J480" s="3" cm="1">
        <f t="array" ref="J48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80" s="25" t="str">
        <f>_xlfn.XLOOKUP(tblPayrollMaster[[#This Row],[Employee Position]],tblPositionandPayRate[Employee Position],tblPositionandPayRate[Overtime], " ")</f>
        <v xml:space="preserve"> </v>
      </c>
      <c r="L480" s="25">
        <f>_xlfn.XLOOKUP(tblPayrollMaster[[#This Row],[Employee Position]],tblPositionandPayRate[Employee Position],tblPositionandPayRate[Allowance 1],0)*tblPayrollMaster[[#This Row],[Pay Factor]]</f>
        <v>0</v>
      </c>
      <c r="M480" s="25">
        <f>_xlfn.XLOOKUP(tblPayrollMaster[[#This Row],[Employee Position]],tblPositionandPayRate[Employee Position],tblPositionandPayRate[Allowance 2],0)*tblPayrollMaster[[#This Row],[Pay Factor]]</f>
        <v>0</v>
      </c>
      <c r="N480" s="25">
        <f>_xlfn.XLOOKUP(tblPayrollMaster[[#This Row],[Employee Position]],tblPositionandPayRate[Employee Position],tblPositionandPayRate[Allowance 3],0)*tblPayrollMaster[[#This Row],[Pay Factor]]</f>
        <v>0</v>
      </c>
      <c r="O480" s="25">
        <f>_xlfn.XLOOKUP(tblPayrollMaster[[#This Row],[Employee Position]],tblPositionandPayRate[Employee Position],tblPositionandPayRate[Allowance 4],0)*tblPayrollMaster[[#This Row],[Pay Factor]]</f>
        <v>0</v>
      </c>
      <c r="P480" s="25">
        <f>_xlfn.XLOOKUP(tblPayrollMaster[[#This Row],[Employee Position]],tblPositionandPayRate[Employee Position],tblPositionandPayRate[Allowance 5],0)*tblPayrollMaster[[#This Row],[Pay Factor]]</f>
        <v>0</v>
      </c>
      <c r="Q480" s="25">
        <f>SUM(tblPayrollMaster[[#This Row],[Basic Pay]:[Allowance 5]])</f>
        <v>0</v>
      </c>
      <c r="R48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80" s="51" cm="1">
        <f t="array" ref="S4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80" s="3" cm="1">
        <f t="array" ref="T4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80" s="25">
        <f>_xlfn.LET(
_xlpm.tos, _xlfn.XLOOKUP(tblPayrollMaster[[#This Row],[Employee ID]], tblEmployee[Employee ID], tblEmployee[Type of Service], ""),
IF(_xlpm.tos="Contract of Service", 8.25, 0)
)</f>
        <v>0</v>
      </c>
      <c r="V480" s="25">
        <f>tblPayrollMaster[[#This Row],[Basic Earnings]]-tblPayrollMaster[[#This Row],[Tax]]-tblPayrollMaster[[#This Row],[NIS - Employee]]-tblPayrollMaster[[#This Row],[Health Surcharge]]</f>
        <v>0</v>
      </c>
      <c r="W480" s="25">
        <f>tblPayrollMaster[[#This Row],[Net Pay]]</f>
        <v>0</v>
      </c>
      <c r="X480" s="25"/>
    </row>
    <row r="481" spans="1:24" x14ac:dyDescent="0.25">
      <c r="A481" s="24"/>
      <c r="B481" s="24" t="str">
        <f>_xlfn.XLOOKUP(tblPayrollMaster[[#This Row],[Employee ID]],tblEmployee[Employee ID],tblEmployee[Employee Name],"")</f>
        <v/>
      </c>
      <c r="C481" s="24" t="str">
        <f>_xlfn.XLOOKUP(tblPayrollMaster[[#This Row],[Employee ID]],tblEmployee[Employee ID],tblEmployee[Employee Position],"")</f>
        <v/>
      </c>
      <c r="D481" s="24" t="str">
        <f>_xlfn.XLOOKUP(tblPayrollMaster[[#This Row],[Employee ID]], tblEmployee[Employee ID], tblEmployee[Pay Status], "Pay")</f>
        <v>Pay</v>
      </c>
      <c r="E481" s="24" t="str">
        <f>_xlfn.XLOOKUP(tblPayrollMaster[[#This Row],[Employee ID]], tblEmployee[Employee ID], tblEmployee[Payable Flag], "Y")</f>
        <v>Y</v>
      </c>
      <c r="F481" s="45">
        <f>IF(tblPayrollMaster[[#This Row],[Payable Flag]]="N",0,_xlfn.XLOOKUP(tblPayrollMaster[[#This Row],[Employee ID]],tblEmployee[Employee ID],tblEmployee[Pay Factor],1))</f>
        <v>1</v>
      </c>
      <c r="G481" s="26" t="str" cm="1">
        <f t="array" ref="G481">IF(tblPayrollMaster[[#This Row],[Employee ID]]="","",_xlfn.XLOOKUP(selPayPeriodID,tblPayCalendar[PayPeriodID],tblPayCalendar[PeriodStart],""))</f>
        <v/>
      </c>
      <c r="H481" s="26" t="str" cm="1">
        <f t="array" ref="H481">IF(tblPayrollMaster[[#This Row],[Employee ID]]="","",_xlfn.XLOOKUP(selPayPeriodID,tblPayCalendar[PayPeriodID],tblPayCalendar[PeriodEnd],""))</f>
        <v/>
      </c>
      <c r="I481" s="24" t="e" cm="1" vm="1">
        <f t="array" aca="1" ref="I481" ca="1">Table18[Employer Name]</f>
        <v>#VALUE!</v>
      </c>
      <c r="J481" s="3" cm="1">
        <f t="array" ref="J48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81" s="25" t="str">
        <f>_xlfn.XLOOKUP(tblPayrollMaster[[#This Row],[Employee Position]],tblPositionandPayRate[Employee Position],tblPositionandPayRate[Overtime], " ")</f>
        <v xml:space="preserve"> </v>
      </c>
      <c r="L481" s="25">
        <f>_xlfn.XLOOKUP(tblPayrollMaster[[#This Row],[Employee Position]],tblPositionandPayRate[Employee Position],tblPositionandPayRate[Allowance 1],0)*tblPayrollMaster[[#This Row],[Pay Factor]]</f>
        <v>0</v>
      </c>
      <c r="M481" s="25">
        <f>_xlfn.XLOOKUP(tblPayrollMaster[[#This Row],[Employee Position]],tblPositionandPayRate[Employee Position],tblPositionandPayRate[Allowance 2],0)*tblPayrollMaster[[#This Row],[Pay Factor]]</f>
        <v>0</v>
      </c>
      <c r="N481" s="25">
        <f>_xlfn.XLOOKUP(tblPayrollMaster[[#This Row],[Employee Position]],tblPositionandPayRate[Employee Position],tblPositionandPayRate[Allowance 3],0)*tblPayrollMaster[[#This Row],[Pay Factor]]</f>
        <v>0</v>
      </c>
      <c r="O481" s="25">
        <f>_xlfn.XLOOKUP(tblPayrollMaster[[#This Row],[Employee Position]],tblPositionandPayRate[Employee Position],tblPositionandPayRate[Allowance 4],0)*tblPayrollMaster[[#This Row],[Pay Factor]]</f>
        <v>0</v>
      </c>
      <c r="P481" s="25">
        <f>_xlfn.XLOOKUP(tblPayrollMaster[[#This Row],[Employee Position]],tblPositionandPayRate[Employee Position],tblPositionandPayRate[Allowance 5],0)*tblPayrollMaster[[#This Row],[Pay Factor]]</f>
        <v>0</v>
      </c>
      <c r="Q481" s="25">
        <f>SUM(tblPayrollMaster[[#This Row],[Basic Pay]:[Allowance 5]])</f>
        <v>0</v>
      </c>
      <c r="R48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81" s="51" cm="1">
        <f t="array" ref="S4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81" s="3" cm="1">
        <f t="array" ref="T4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81" s="25">
        <f>_xlfn.LET(
_xlpm.tos, _xlfn.XLOOKUP(tblPayrollMaster[[#This Row],[Employee ID]], tblEmployee[Employee ID], tblEmployee[Type of Service], ""),
IF(_xlpm.tos="Contract of Service", 8.25, 0)
)</f>
        <v>0</v>
      </c>
      <c r="V481" s="25">
        <f>tblPayrollMaster[[#This Row],[Basic Earnings]]-tblPayrollMaster[[#This Row],[Tax]]-tblPayrollMaster[[#This Row],[NIS - Employee]]-tblPayrollMaster[[#This Row],[Health Surcharge]]</f>
        <v>0</v>
      </c>
      <c r="W481" s="25">
        <f>tblPayrollMaster[[#This Row],[Net Pay]]</f>
        <v>0</v>
      </c>
      <c r="X481" s="25"/>
    </row>
    <row r="482" spans="1:24" x14ac:dyDescent="0.25">
      <c r="A482" s="24"/>
      <c r="B482" s="24" t="str">
        <f>_xlfn.XLOOKUP(tblPayrollMaster[[#This Row],[Employee ID]],tblEmployee[Employee ID],tblEmployee[Employee Name],"")</f>
        <v/>
      </c>
      <c r="C482" s="24" t="str">
        <f>_xlfn.XLOOKUP(tblPayrollMaster[[#This Row],[Employee ID]],tblEmployee[Employee ID],tblEmployee[Employee Position],"")</f>
        <v/>
      </c>
      <c r="D482" s="24" t="str">
        <f>_xlfn.XLOOKUP(tblPayrollMaster[[#This Row],[Employee ID]], tblEmployee[Employee ID], tblEmployee[Pay Status], "Pay")</f>
        <v>Pay</v>
      </c>
      <c r="E482" s="24" t="str">
        <f>_xlfn.XLOOKUP(tblPayrollMaster[[#This Row],[Employee ID]], tblEmployee[Employee ID], tblEmployee[Payable Flag], "Y")</f>
        <v>Y</v>
      </c>
      <c r="F482" s="45">
        <f>IF(tblPayrollMaster[[#This Row],[Payable Flag]]="N",0,_xlfn.XLOOKUP(tblPayrollMaster[[#This Row],[Employee ID]],tblEmployee[Employee ID],tblEmployee[Pay Factor],1))</f>
        <v>1</v>
      </c>
      <c r="G482" s="26" t="str" cm="1">
        <f t="array" ref="G482">IF(tblPayrollMaster[[#This Row],[Employee ID]]="","",_xlfn.XLOOKUP(selPayPeriodID,tblPayCalendar[PayPeriodID],tblPayCalendar[PeriodStart],""))</f>
        <v/>
      </c>
      <c r="H482" s="26" t="str" cm="1">
        <f t="array" ref="H482">IF(tblPayrollMaster[[#This Row],[Employee ID]]="","",_xlfn.XLOOKUP(selPayPeriodID,tblPayCalendar[PayPeriodID],tblPayCalendar[PeriodEnd],""))</f>
        <v/>
      </c>
      <c r="I482" s="24" t="e" cm="1" vm="1">
        <f t="array" aca="1" ref="I482" ca="1">Table18[Employer Name]</f>
        <v>#VALUE!</v>
      </c>
      <c r="J482" s="3" cm="1">
        <f t="array" ref="J48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82" s="25" t="str">
        <f>_xlfn.XLOOKUP(tblPayrollMaster[[#This Row],[Employee Position]],tblPositionandPayRate[Employee Position],tblPositionandPayRate[Overtime], " ")</f>
        <v xml:space="preserve"> </v>
      </c>
      <c r="L482" s="25">
        <f>_xlfn.XLOOKUP(tblPayrollMaster[[#This Row],[Employee Position]],tblPositionandPayRate[Employee Position],tblPositionandPayRate[Allowance 1],0)*tblPayrollMaster[[#This Row],[Pay Factor]]</f>
        <v>0</v>
      </c>
      <c r="M482" s="25">
        <f>_xlfn.XLOOKUP(tblPayrollMaster[[#This Row],[Employee Position]],tblPositionandPayRate[Employee Position],tblPositionandPayRate[Allowance 2],0)*tblPayrollMaster[[#This Row],[Pay Factor]]</f>
        <v>0</v>
      </c>
      <c r="N482" s="25">
        <f>_xlfn.XLOOKUP(tblPayrollMaster[[#This Row],[Employee Position]],tblPositionandPayRate[Employee Position],tblPositionandPayRate[Allowance 3],0)*tblPayrollMaster[[#This Row],[Pay Factor]]</f>
        <v>0</v>
      </c>
      <c r="O482" s="25">
        <f>_xlfn.XLOOKUP(tblPayrollMaster[[#This Row],[Employee Position]],tblPositionandPayRate[Employee Position],tblPositionandPayRate[Allowance 4],0)*tblPayrollMaster[[#This Row],[Pay Factor]]</f>
        <v>0</v>
      </c>
      <c r="P482" s="25">
        <f>_xlfn.XLOOKUP(tblPayrollMaster[[#This Row],[Employee Position]],tblPositionandPayRate[Employee Position],tblPositionandPayRate[Allowance 5],0)*tblPayrollMaster[[#This Row],[Pay Factor]]</f>
        <v>0</v>
      </c>
      <c r="Q482" s="25">
        <f>SUM(tblPayrollMaster[[#This Row],[Basic Pay]:[Allowance 5]])</f>
        <v>0</v>
      </c>
      <c r="R48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82" s="51" cm="1">
        <f t="array" ref="S4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82" s="3" cm="1">
        <f t="array" ref="T4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82" s="25">
        <f>_xlfn.LET(
_xlpm.tos, _xlfn.XLOOKUP(tblPayrollMaster[[#This Row],[Employee ID]], tblEmployee[Employee ID], tblEmployee[Type of Service], ""),
IF(_xlpm.tos="Contract of Service", 8.25, 0)
)</f>
        <v>0</v>
      </c>
      <c r="V482" s="25">
        <f>tblPayrollMaster[[#This Row],[Basic Earnings]]-tblPayrollMaster[[#This Row],[Tax]]-tblPayrollMaster[[#This Row],[NIS - Employee]]-tblPayrollMaster[[#This Row],[Health Surcharge]]</f>
        <v>0</v>
      </c>
      <c r="W482" s="25">
        <f>tblPayrollMaster[[#This Row],[Net Pay]]</f>
        <v>0</v>
      </c>
      <c r="X482" s="25"/>
    </row>
    <row r="483" spans="1:24" x14ac:dyDescent="0.25">
      <c r="A483" s="24"/>
      <c r="B483" s="24" t="str">
        <f>_xlfn.XLOOKUP(tblPayrollMaster[[#This Row],[Employee ID]],tblEmployee[Employee ID],tblEmployee[Employee Name],"")</f>
        <v/>
      </c>
      <c r="C483" s="24" t="str">
        <f>_xlfn.XLOOKUP(tblPayrollMaster[[#This Row],[Employee ID]],tblEmployee[Employee ID],tblEmployee[Employee Position],"")</f>
        <v/>
      </c>
      <c r="D483" s="24" t="str">
        <f>_xlfn.XLOOKUP(tblPayrollMaster[[#This Row],[Employee ID]], tblEmployee[Employee ID], tblEmployee[Pay Status], "Pay")</f>
        <v>Pay</v>
      </c>
      <c r="E483" s="24" t="str">
        <f>_xlfn.XLOOKUP(tblPayrollMaster[[#This Row],[Employee ID]], tblEmployee[Employee ID], tblEmployee[Payable Flag], "Y")</f>
        <v>Y</v>
      </c>
      <c r="F483" s="45">
        <f>IF(tblPayrollMaster[[#This Row],[Payable Flag]]="N",0,_xlfn.XLOOKUP(tblPayrollMaster[[#This Row],[Employee ID]],tblEmployee[Employee ID],tblEmployee[Pay Factor],1))</f>
        <v>1</v>
      </c>
      <c r="G483" s="26" t="str" cm="1">
        <f t="array" ref="G483">IF(tblPayrollMaster[[#This Row],[Employee ID]]="","",_xlfn.XLOOKUP(selPayPeriodID,tblPayCalendar[PayPeriodID],tblPayCalendar[PeriodStart],""))</f>
        <v/>
      </c>
      <c r="H483" s="26" t="str" cm="1">
        <f t="array" ref="H483">IF(tblPayrollMaster[[#This Row],[Employee ID]]="","",_xlfn.XLOOKUP(selPayPeriodID,tblPayCalendar[PayPeriodID],tblPayCalendar[PeriodEnd],""))</f>
        <v/>
      </c>
      <c r="I483" s="24" t="e" cm="1" vm="1">
        <f t="array" aca="1" ref="I483" ca="1">Table18[Employer Name]</f>
        <v>#VALUE!</v>
      </c>
      <c r="J483" s="3" cm="1">
        <f t="array" ref="J48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83" s="25" t="str">
        <f>_xlfn.XLOOKUP(tblPayrollMaster[[#This Row],[Employee Position]],tblPositionandPayRate[Employee Position],tblPositionandPayRate[Overtime], " ")</f>
        <v xml:space="preserve"> </v>
      </c>
      <c r="L483" s="25">
        <f>_xlfn.XLOOKUP(tblPayrollMaster[[#This Row],[Employee Position]],tblPositionandPayRate[Employee Position],tblPositionandPayRate[Allowance 1],0)*tblPayrollMaster[[#This Row],[Pay Factor]]</f>
        <v>0</v>
      </c>
      <c r="M483" s="25">
        <f>_xlfn.XLOOKUP(tblPayrollMaster[[#This Row],[Employee Position]],tblPositionandPayRate[Employee Position],tblPositionandPayRate[Allowance 2],0)*tblPayrollMaster[[#This Row],[Pay Factor]]</f>
        <v>0</v>
      </c>
      <c r="N483" s="25">
        <f>_xlfn.XLOOKUP(tblPayrollMaster[[#This Row],[Employee Position]],tblPositionandPayRate[Employee Position],tblPositionandPayRate[Allowance 3],0)*tblPayrollMaster[[#This Row],[Pay Factor]]</f>
        <v>0</v>
      </c>
      <c r="O483" s="25">
        <f>_xlfn.XLOOKUP(tblPayrollMaster[[#This Row],[Employee Position]],tblPositionandPayRate[Employee Position],tblPositionandPayRate[Allowance 4],0)*tblPayrollMaster[[#This Row],[Pay Factor]]</f>
        <v>0</v>
      </c>
      <c r="P483" s="25">
        <f>_xlfn.XLOOKUP(tblPayrollMaster[[#This Row],[Employee Position]],tblPositionandPayRate[Employee Position],tblPositionandPayRate[Allowance 5],0)*tblPayrollMaster[[#This Row],[Pay Factor]]</f>
        <v>0</v>
      </c>
      <c r="Q483" s="25">
        <f>SUM(tblPayrollMaster[[#This Row],[Basic Pay]:[Allowance 5]])</f>
        <v>0</v>
      </c>
      <c r="R48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83" s="51" cm="1">
        <f t="array" ref="S4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83" s="3" cm="1">
        <f t="array" ref="T4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83" s="25">
        <f>_xlfn.LET(
_xlpm.tos, _xlfn.XLOOKUP(tblPayrollMaster[[#This Row],[Employee ID]], tblEmployee[Employee ID], tblEmployee[Type of Service], ""),
IF(_xlpm.tos="Contract of Service", 8.25, 0)
)</f>
        <v>0</v>
      </c>
      <c r="V483" s="25">
        <f>tblPayrollMaster[[#This Row],[Basic Earnings]]-tblPayrollMaster[[#This Row],[Tax]]-tblPayrollMaster[[#This Row],[NIS - Employee]]-tblPayrollMaster[[#This Row],[Health Surcharge]]</f>
        <v>0</v>
      </c>
      <c r="W483" s="25">
        <f>tblPayrollMaster[[#This Row],[Net Pay]]</f>
        <v>0</v>
      </c>
      <c r="X483" s="25"/>
    </row>
    <row r="484" spans="1:24" x14ac:dyDescent="0.25">
      <c r="A484" s="24"/>
      <c r="B484" s="24" t="str">
        <f>_xlfn.XLOOKUP(tblPayrollMaster[[#This Row],[Employee ID]],tblEmployee[Employee ID],tblEmployee[Employee Name],"")</f>
        <v/>
      </c>
      <c r="C484" s="24" t="str">
        <f>_xlfn.XLOOKUP(tblPayrollMaster[[#This Row],[Employee ID]],tblEmployee[Employee ID],tblEmployee[Employee Position],"")</f>
        <v/>
      </c>
      <c r="D484" s="24" t="str">
        <f>_xlfn.XLOOKUP(tblPayrollMaster[[#This Row],[Employee ID]], tblEmployee[Employee ID], tblEmployee[Pay Status], "Pay")</f>
        <v>Pay</v>
      </c>
      <c r="E484" s="24" t="str">
        <f>_xlfn.XLOOKUP(tblPayrollMaster[[#This Row],[Employee ID]], tblEmployee[Employee ID], tblEmployee[Payable Flag], "Y")</f>
        <v>Y</v>
      </c>
      <c r="F484" s="45">
        <f>IF(tblPayrollMaster[[#This Row],[Payable Flag]]="N",0,_xlfn.XLOOKUP(tblPayrollMaster[[#This Row],[Employee ID]],tblEmployee[Employee ID],tblEmployee[Pay Factor],1))</f>
        <v>1</v>
      </c>
      <c r="G484" s="26" t="str" cm="1">
        <f t="array" ref="G484">IF(tblPayrollMaster[[#This Row],[Employee ID]]="","",_xlfn.XLOOKUP(selPayPeriodID,tblPayCalendar[PayPeriodID],tblPayCalendar[PeriodStart],""))</f>
        <v/>
      </c>
      <c r="H484" s="26" t="str" cm="1">
        <f t="array" ref="H484">IF(tblPayrollMaster[[#This Row],[Employee ID]]="","",_xlfn.XLOOKUP(selPayPeriodID,tblPayCalendar[PayPeriodID],tblPayCalendar[PeriodEnd],""))</f>
        <v/>
      </c>
      <c r="I484" s="24" t="e" cm="1" vm="1">
        <f t="array" aca="1" ref="I484" ca="1">Table18[Employer Name]</f>
        <v>#VALUE!</v>
      </c>
      <c r="J484" s="3" cm="1">
        <f t="array" ref="J48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84" s="25" t="str">
        <f>_xlfn.XLOOKUP(tblPayrollMaster[[#This Row],[Employee Position]],tblPositionandPayRate[Employee Position],tblPositionandPayRate[Overtime], " ")</f>
        <v xml:space="preserve"> </v>
      </c>
      <c r="L484" s="25">
        <f>_xlfn.XLOOKUP(tblPayrollMaster[[#This Row],[Employee Position]],tblPositionandPayRate[Employee Position],tblPositionandPayRate[Allowance 1],0)*tblPayrollMaster[[#This Row],[Pay Factor]]</f>
        <v>0</v>
      </c>
      <c r="M484" s="25">
        <f>_xlfn.XLOOKUP(tblPayrollMaster[[#This Row],[Employee Position]],tblPositionandPayRate[Employee Position],tblPositionandPayRate[Allowance 2],0)*tblPayrollMaster[[#This Row],[Pay Factor]]</f>
        <v>0</v>
      </c>
      <c r="N484" s="25">
        <f>_xlfn.XLOOKUP(tblPayrollMaster[[#This Row],[Employee Position]],tblPositionandPayRate[Employee Position],tblPositionandPayRate[Allowance 3],0)*tblPayrollMaster[[#This Row],[Pay Factor]]</f>
        <v>0</v>
      </c>
      <c r="O484" s="25">
        <f>_xlfn.XLOOKUP(tblPayrollMaster[[#This Row],[Employee Position]],tblPositionandPayRate[Employee Position],tblPositionandPayRate[Allowance 4],0)*tblPayrollMaster[[#This Row],[Pay Factor]]</f>
        <v>0</v>
      </c>
      <c r="P484" s="25">
        <f>_xlfn.XLOOKUP(tblPayrollMaster[[#This Row],[Employee Position]],tblPositionandPayRate[Employee Position],tblPositionandPayRate[Allowance 5],0)*tblPayrollMaster[[#This Row],[Pay Factor]]</f>
        <v>0</v>
      </c>
      <c r="Q484" s="25">
        <f>SUM(tblPayrollMaster[[#This Row],[Basic Pay]:[Allowance 5]])</f>
        <v>0</v>
      </c>
      <c r="R48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84" s="51" cm="1">
        <f t="array" ref="S4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84" s="3" cm="1">
        <f t="array" ref="T4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84" s="25">
        <f>_xlfn.LET(
_xlpm.tos, _xlfn.XLOOKUP(tblPayrollMaster[[#This Row],[Employee ID]], tblEmployee[Employee ID], tblEmployee[Type of Service], ""),
IF(_xlpm.tos="Contract of Service", 8.25, 0)
)</f>
        <v>0</v>
      </c>
      <c r="V484" s="25">
        <f>tblPayrollMaster[[#This Row],[Basic Earnings]]-tblPayrollMaster[[#This Row],[Tax]]-tblPayrollMaster[[#This Row],[NIS - Employee]]-tblPayrollMaster[[#This Row],[Health Surcharge]]</f>
        <v>0</v>
      </c>
      <c r="W484" s="25">
        <f>tblPayrollMaster[[#This Row],[Net Pay]]</f>
        <v>0</v>
      </c>
      <c r="X484" s="25"/>
    </row>
    <row r="485" spans="1:24" x14ac:dyDescent="0.25">
      <c r="A485" s="24"/>
      <c r="B485" s="24" t="str">
        <f>_xlfn.XLOOKUP(tblPayrollMaster[[#This Row],[Employee ID]],tblEmployee[Employee ID],tblEmployee[Employee Name],"")</f>
        <v/>
      </c>
      <c r="C485" s="24" t="str">
        <f>_xlfn.XLOOKUP(tblPayrollMaster[[#This Row],[Employee ID]],tblEmployee[Employee ID],tblEmployee[Employee Position],"")</f>
        <v/>
      </c>
      <c r="D485" s="24" t="str">
        <f>_xlfn.XLOOKUP(tblPayrollMaster[[#This Row],[Employee ID]], tblEmployee[Employee ID], tblEmployee[Pay Status], "Pay")</f>
        <v>Pay</v>
      </c>
      <c r="E485" s="24" t="str">
        <f>_xlfn.XLOOKUP(tblPayrollMaster[[#This Row],[Employee ID]], tblEmployee[Employee ID], tblEmployee[Payable Flag], "Y")</f>
        <v>Y</v>
      </c>
      <c r="F485" s="45">
        <f>IF(tblPayrollMaster[[#This Row],[Payable Flag]]="N",0,_xlfn.XLOOKUP(tblPayrollMaster[[#This Row],[Employee ID]],tblEmployee[Employee ID],tblEmployee[Pay Factor],1))</f>
        <v>1</v>
      </c>
      <c r="G485" s="26" t="str" cm="1">
        <f t="array" ref="G485">IF(tblPayrollMaster[[#This Row],[Employee ID]]="","",_xlfn.XLOOKUP(selPayPeriodID,tblPayCalendar[PayPeriodID],tblPayCalendar[PeriodStart],""))</f>
        <v/>
      </c>
      <c r="H485" s="26" t="str" cm="1">
        <f t="array" ref="H485">IF(tblPayrollMaster[[#This Row],[Employee ID]]="","",_xlfn.XLOOKUP(selPayPeriodID,tblPayCalendar[PayPeriodID],tblPayCalendar[PeriodEnd],""))</f>
        <v/>
      </c>
      <c r="I485" s="24" t="e" cm="1" vm="1">
        <f t="array" aca="1" ref="I485" ca="1">Table18[Employer Name]</f>
        <v>#VALUE!</v>
      </c>
      <c r="J485" s="3" cm="1">
        <f t="array" ref="J48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85" s="25" t="str">
        <f>_xlfn.XLOOKUP(tblPayrollMaster[[#This Row],[Employee Position]],tblPositionandPayRate[Employee Position],tblPositionandPayRate[Overtime], " ")</f>
        <v xml:space="preserve"> </v>
      </c>
      <c r="L485" s="25">
        <f>_xlfn.XLOOKUP(tblPayrollMaster[[#This Row],[Employee Position]],tblPositionandPayRate[Employee Position],tblPositionandPayRate[Allowance 1],0)*tblPayrollMaster[[#This Row],[Pay Factor]]</f>
        <v>0</v>
      </c>
      <c r="M485" s="25">
        <f>_xlfn.XLOOKUP(tblPayrollMaster[[#This Row],[Employee Position]],tblPositionandPayRate[Employee Position],tblPositionandPayRate[Allowance 2],0)*tblPayrollMaster[[#This Row],[Pay Factor]]</f>
        <v>0</v>
      </c>
      <c r="N485" s="25">
        <f>_xlfn.XLOOKUP(tblPayrollMaster[[#This Row],[Employee Position]],tblPositionandPayRate[Employee Position],tblPositionandPayRate[Allowance 3],0)*tblPayrollMaster[[#This Row],[Pay Factor]]</f>
        <v>0</v>
      </c>
      <c r="O485" s="25">
        <f>_xlfn.XLOOKUP(tblPayrollMaster[[#This Row],[Employee Position]],tblPositionandPayRate[Employee Position],tblPositionandPayRate[Allowance 4],0)*tblPayrollMaster[[#This Row],[Pay Factor]]</f>
        <v>0</v>
      </c>
      <c r="P485" s="25">
        <f>_xlfn.XLOOKUP(tblPayrollMaster[[#This Row],[Employee Position]],tblPositionandPayRate[Employee Position],tblPositionandPayRate[Allowance 5],0)*tblPayrollMaster[[#This Row],[Pay Factor]]</f>
        <v>0</v>
      </c>
      <c r="Q485" s="25">
        <f>SUM(tblPayrollMaster[[#This Row],[Basic Pay]:[Allowance 5]])</f>
        <v>0</v>
      </c>
      <c r="R48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85" s="51" cm="1">
        <f t="array" ref="S4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85" s="3" cm="1">
        <f t="array" ref="T4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85" s="25">
        <f>_xlfn.LET(
_xlpm.tos, _xlfn.XLOOKUP(tblPayrollMaster[[#This Row],[Employee ID]], tblEmployee[Employee ID], tblEmployee[Type of Service], ""),
IF(_xlpm.tos="Contract of Service", 8.25, 0)
)</f>
        <v>0</v>
      </c>
      <c r="V485" s="25">
        <f>tblPayrollMaster[[#This Row],[Basic Earnings]]-tblPayrollMaster[[#This Row],[Tax]]-tblPayrollMaster[[#This Row],[NIS - Employee]]-tblPayrollMaster[[#This Row],[Health Surcharge]]</f>
        <v>0</v>
      </c>
      <c r="W485" s="25">
        <f>tblPayrollMaster[[#This Row],[Net Pay]]</f>
        <v>0</v>
      </c>
      <c r="X485" s="25"/>
    </row>
    <row r="486" spans="1:24" x14ac:dyDescent="0.25">
      <c r="A486" s="24"/>
      <c r="B486" s="24" t="str">
        <f>_xlfn.XLOOKUP(tblPayrollMaster[[#This Row],[Employee ID]],tblEmployee[Employee ID],tblEmployee[Employee Name],"")</f>
        <v/>
      </c>
      <c r="C486" s="24" t="str">
        <f>_xlfn.XLOOKUP(tblPayrollMaster[[#This Row],[Employee ID]],tblEmployee[Employee ID],tblEmployee[Employee Position],"")</f>
        <v/>
      </c>
      <c r="D486" s="24" t="str">
        <f>_xlfn.XLOOKUP(tblPayrollMaster[[#This Row],[Employee ID]], tblEmployee[Employee ID], tblEmployee[Pay Status], "Pay")</f>
        <v>Pay</v>
      </c>
      <c r="E486" s="24" t="str">
        <f>_xlfn.XLOOKUP(tblPayrollMaster[[#This Row],[Employee ID]], tblEmployee[Employee ID], tblEmployee[Payable Flag], "Y")</f>
        <v>Y</v>
      </c>
      <c r="F486" s="45">
        <f>IF(tblPayrollMaster[[#This Row],[Payable Flag]]="N",0,_xlfn.XLOOKUP(tblPayrollMaster[[#This Row],[Employee ID]],tblEmployee[Employee ID],tblEmployee[Pay Factor],1))</f>
        <v>1</v>
      </c>
      <c r="G486" s="26" t="str" cm="1">
        <f t="array" ref="G486">IF(tblPayrollMaster[[#This Row],[Employee ID]]="","",_xlfn.XLOOKUP(selPayPeriodID,tblPayCalendar[PayPeriodID],tblPayCalendar[PeriodStart],""))</f>
        <v/>
      </c>
      <c r="H486" s="26" t="str" cm="1">
        <f t="array" ref="H486">IF(tblPayrollMaster[[#This Row],[Employee ID]]="","",_xlfn.XLOOKUP(selPayPeriodID,tblPayCalendar[PayPeriodID],tblPayCalendar[PeriodEnd],""))</f>
        <v/>
      </c>
      <c r="I486" s="24" t="e" cm="1" vm="1">
        <f t="array" aca="1" ref="I486" ca="1">Table18[Employer Name]</f>
        <v>#VALUE!</v>
      </c>
      <c r="J486" s="3" cm="1">
        <f t="array" ref="J48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86" s="25" t="str">
        <f>_xlfn.XLOOKUP(tblPayrollMaster[[#This Row],[Employee Position]],tblPositionandPayRate[Employee Position],tblPositionandPayRate[Overtime], " ")</f>
        <v xml:space="preserve"> </v>
      </c>
      <c r="L486" s="25">
        <f>_xlfn.XLOOKUP(tblPayrollMaster[[#This Row],[Employee Position]],tblPositionandPayRate[Employee Position],tblPositionandPayRate[Allowance 1],0)*tblPayrollMaster[[#This Row],[Pay Factor]]</f>
        <v>0</v>
      </c>
      <c r="M486" s="25">
        <f>_xlfn.XLOOKUP(tblPayrollMaster[[#This Row],[Employee Position]],tblPositionandPayRate[Employee Position],tblPositionandPayRate[Allowance 2],0)*tblPayrollMaster[[#This Row],[Pay Factor]]</f>
        <v>0</v>
      </c>
      <c r="N486" s="25">
        <f>_xlfn.XLOOKUP(tblPayrollMaster[[#This Row],[Employee Position]],tblPositionandPayRate[Employee Position],tblPositionandPayRate[Allowance 3],0)*tblPayrollMaster[[#This Row],[Pay Factor]]</f>
        <v>0</v>
      </c>
      <c r="O486" s="25">
        <f>_xlfn.XLOOKUP(tblPayrollMaster[[#This Row],[Employee Position]],tblPositionandPayRate[Employee Position],tblPositionandPayRate[Allowance 4],0)*tblPayrollMaster[[#This Row],[Pay Factor]]</f>
        <v>0</v>
      </c>
      <c r="P486" s="25">
        <f>_xlfn.XLOOKUP(tblPayrollMaster[[#This Row],[Employee Position]],tblPositionandPayRate[Employee Position],tblPositionandPayRate[Allowance 5],0)*tblPayrollMaster[[#This Row],[Pay Factor]]</f>
        <v>0</v>
      </c>
      <c r="Q486" s="25">
        <f>SUM(tblPayrollMaster[[#This Row],[Basic Pay]:[Allowance 5]])</f>
        <v>0</v>
      </c>
      <c r="R48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86" s="51" cm="1">
        <f t="array" ref="S4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86" s="3" cm="1">
        <f t="array" ref="T4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86" s="25">
        <f>_xlfn.LET(
_xlpm.tos, _xlfn.XLOOKUP(tblPayrollMaster[[#This Row],[Employee ID]], tblEmployee[Employee ID], tblEmployee[Type of Service], ""),
IF(_xlpm.tos="Contract of Service", 8.25, 0)
)</f>
        <v>0</v>
      </c>
      <c r="V486" s="25">
        <f>tblPayrollMaster[[#This Row],[Basic Earnings]]-tblPayrollMaster[[#This Row],[Tax]]-tblPayrollMaster[[#This Row],[NIS - Employee]]-tblPayrollMaster[[#This Row],[Health Surcharge]]</f>
        <v>0</v>
      </c>
      <c r="W486" s="25">
        <f>tblPayrollMaster[[#This Row],[Net Pay]]</f>
        <v>0</v>
      </c>
      <c r="X486" s="25"/>
    </row>
    <row r="487" spans="1:24" x14ac:dyDescent="0.25">
      <c r="A487" s="24"/>
      <c r="B487" s="24" t="str">
        <f>_xlfn.XLOOKUP(tblPayrollMaster[[#This Row],[Employee ID]],tblEmployee[Employee ID],tblEmployee[Employee Name],"")</f>
        <v/>
      </c>
      <c r="C487" s="24" t="str">
        <f>_xlfn.XLOOKUP(tblPayrollMaster[[#This Row],[Employee ID]],tblEmployee[Employee ID],tblEmployee[Employee Position],"")</f>
        <v/>
      </c>
      <c r="D487" s="24" t="str">
        <f>_xlfn.XLOOKUP(tblPayrollMaster[[#This Row],[Employee ID]], tblEmployee[Employee ID], tblEmployee[Pay Status], "Pay")</f>
        <v>Pay</v>
      </c>
      <c r="E487" s="24" t="str">
        <f>_xlfn.XLOOKUP(tblPayrollMaster[[#This Row],[Employee ID]], tblEmployee[Employee ID], tblEmployee[Payable Flag], "Y")</f>
        <v>Y</v>
      </c>
      <c r="F487" s="45">
        <f>IF(tblPayrollMaster[[#This Row],[Payable Flag]]="N",0,_xlfn.XLOOKUP(tblPayrollMaster[[#This Row],[Employee ID]],tblEmployee[Employee ID],tblEmployee[Pay Factor],1))</f>
        <v>1</v>
      </c>
      <c r="G487" s="26" t="str" cm="1">
        <f t="array" ref="G487">IF(tblPayrollMaster[[#This Row],[Employee ID]]="","",_xlfn.XLOOKUP(selPayPeriodID,tblPayCalendar[PayPeriodID],tblPayCalendar[PeriodStart],""))</f>
        <v/>
      </c>
      <c r="H487" s="26" t="str" cm="1">
        <f t="array" ref="H487">IF(tblPayrollMaster[[#This Row],[Employee ID]]="","",_xlfn.XLOOKUP(selPayPeriodID,tblPayCalendar[PayPeriodID],tblPayCalendar[PeriodEnd],""))</f>
        <v/>
      </c>
      <c r="I487" s="24" t="e" cm="1" vm="1">
        <f t="array" aca="1" ref="I487" ca="1">Table18[Employer Name]</f>
        <v>#VALUE!</v>
      </c>
      <c r="J487" s="3" cm="1">
        <f t="array" ref="J48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87" s="25" t="str">
        <f>_xlfn.XLOOKUP(tblPayrollMaster[[#This Row],[Employee Position]],tblPositionandPayRate[Employee Position],tblPositionandPayRate[Overtime], " ")</f>
        <v xml:space="preserve"> </v>
      </c>
      <c r="L487" s="25">
        <f>_xlfn.XLOOKUP(tblPayrollMaster[[#This Row],[Employee Position]],tblPositionandPayRate[Employee Position],tblPositionandPayRate[Allowance 1],0)*tblPayrollMaster[[#This Row],[Pay Factor]]</f>
        <v>0</v>
      </c>
      <c r="M487" s="25">
        <f>_xlfn.XLOOKUP(tblPayrollMaster[[#This Row],[Employee Position]],tblPositionandPayRate[Employee Position],tblPositionandPayRate[Allowance 2],0)*tblPayrollMaster[[#This Row],[Pay Factor]]</f>
        <v>0</v>
      </c>
      <c r="N487" s="25">
        <f>_xlfn.XLOOKUP(tblPayrollMaster[[#This Row],[Employee Position]],tblPositionandPayRate[Employee Position],tblPositionandPayRate[Allowance 3],0)*tblPayrollMaster[[#This Row],[Pay Factor]]</f>
        <v>0</v>
      </c>
      <c r="O487" s="25">
        <f>_xlfn.XLOOKUP(tblPayrollMaster[[#This Row],[Employee Position]],tblPositionandPayRate[Employee Position],tblPositionandPayRate[Allowance 4],0)*tblPayrollMaster[[#This Row],[Pay Factor]]</f>
        <v>0</v>
      </c>
      <c r="P487" s="25">
        <f>_xlfn.XLOOKUP(tblPayrollMaster[[#This Row],[Employee Position]],tblPositionandPayRate[Employee Position],tblPositionandPayRate[Allowance 5],0)*tblPayrollMaster[[#This Row],[Pay Factor]]</f>
        <v>0</v>
      </c>
      <c r="Q487" s="25">
        <f>SUM(tblPayrollMaster[[#This Row],[Basic Pay]:[Allowance 5]])</f>
        <v>0</v>
      </c>
      <c r="R48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87" s="51" cm="1">
        <f t="array" ref="S4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87" s="3" cm="1">
        <f t="array" ref="T4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87" s="25">
        <f>_xlfn.LET(
_xlpm.tos, _xlfn.XLOOKUP(tblPayrollMaster[[#This Row],[Employee ID]], tblEmployee[Employee ID], tblEmployee[Type of Service], ""),
IF(_xlpm.tos="Contract of Service", 8.25, 0)
)</f>
        <v>0</v>
      </c>
      <c r="V487" s="25">
        <f>tblPayrollMaster[[#This Row],[Basic Earnings]]-tblPayrollMaster[[#This Row],[Tax]]-tblPayrollMaster[[#This Row],[NIS - Employee]]-tblPayrollMaster[[#This Row],[Health Surcharge]]</f>
        <v>0</v>
      </c>
      <c r="W487" s="25">
        <f>tblPayrollMaster[[#This Row],[Net Pay]]</f>
        <v>0</v>
      </c>
      <c r="X487" s="25"/>
    </row>
    <row r="488" spans="1:24" x14ac:dyDescent="0.25">
      <c r="A488" s="24"/>
      <c r="B488" s="24" t="str">
        <f>_xlfn.XLOOKUP(tblPayrollMaster[[#This Row],[Employee ID]],tblEmployee[Employee ID],tblEmployee[Employee Name],"")</f>
        <v/>
      </c>
      <c r="C488" s="24" t="str">
        <f>_xlfn.XLOOKUP(tblPayrollMaster[[#This Row],[Employee ID]],tblEmployee[Employee ID],tblEmployee[Employee Position],"")</f>
        <v/>
      </c>
      <c r="D488" s="24" t="str">
        <f>_xlfn.XLOOKUP(tblPayrollMaster[[#This Row],[Employee ID]], tblEmployee[Employee ID], tblEmployee[Pay Status], "Pay")</f>
        <v>Pay</v>
      </c>
      <c r="E488" s="24" t="str">
        <f>_xlfn.XLOOKUP(tblPayrollMaster[[#This Row],[Employee ID]], tblEmployee[Employee ID], tblEmployee[Payable Flag], "Y")</f>
        <v>Y</v>
      </c>
      <c r="F488" s="45">
        <f>IF(tblPayrollMaster[[#This Row],[Payable Flag]]="N",0,_xlfn.XLOOKUP(tblPayrollMaster[[#This Row],[Employee ID]],tblEmployee[Employee ID],tblEmployee[Pay Factor],1))</f>
        <v>1</v>
      </c>
      <c r="G488" s="26" t="str" cm="1">
        <f t="array" ref="G488">IF(tblPayrollMaster[[#This Row],[Employee ID]]="","",_xlfn.XLOOKUP(selPayPeriodID,tblPayCalendar[PayPeriodID],tblPayCalendar[PeriodStart],""))</f>
        <v/>
      </c>
      <c r="H488" s="26" t="str" cm="1">
        <f t="array" ref="H488">IF(tblPayrollMaster[[#This Row],[Employee ID]]="","",_xlfn.XLOOKUP(selPayPeriodID,tblPayCalendar[PayPeriodID],tblPayCalendar[PeriodEnd],""))</f>
        <v/>
      </c>
      <c r="I488" s="24" t="e" cm="1" vm="1">
        <f t="array" aca="1" ref="I488" ca="1">Table18[Employer Name]</f>
        <v>#VALUE!</v>
      </c>
      <c r="J488" s="3" cm="1">
        <f t="array" ref="J48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88" s="25" t="str">
        <f>_xlfn.XLOOKUP(tblPayrollMaster[[#This Row],[Employee Position]],tblPositionandPayRate[Employee Position],tblPositionandPayRate[Overtime], " ")</f>
        <v xml:space="preserve"> </v>
      </c>
      <c r="L488" s="25">
        <f>_xlfn.XLOOKUP(tblPayrollMaster[[#This Row],[Employee Position]],tblPositionandPayRate[Employee Position],tblPositionandPayRate[Allowance 1],0)*tblPayrollMaster[[#This Row],[Pay Factor]]</f>
        <v>0</v>
      </c>
      <c r="M488" s="25">
        <f>_xlfn.XLOOKUP(tblPayrollMaster[[#This Row],[Employee Position]],tblPositionandPayRate[Employee Position],tblPositionandPayRate[Allowance 2],0)*tblPayrollMaster[[#This Row],[Pay Factor]]</f>
        <v>0</v>
      </c>
      <c r="N488" s="25">
        <f>_xlfn.XLOOKUP(tblPayrollMaster[[#This Row],[Employee Position]],tblPositionandPayRate[Employee Position],tblPositionandPayRate[Allowance 3],0)*tblPayrollMaster[[#This Row],[Pay Factor]]</f>
        <v>0</v>
      </c>
      <c r="O488" s="25">
        <f>_xlfn.XLOOKUP(tblPayrollMaster[[#This Row],[Employee Position]],tblPositionandPayRate[Employee Position],tblPositionandPayRate[Allowance 4],0)*tblPayrollMaster[[#This Row],[Pay Factor]]</f>
        <v>0</v>
      </c>
      <c r="P488" s="25">
        <f>_xlfn.XLOOKUP(tblPayrollMaster[[#This Row],[Employee Position]],tblPositionandPayRate[Employee Position],tblPositionandPayRate[Allowance 5],0)*tblPayrollMaster[[#This Row],[Pay Factor]]</f>
        <v>0</v>
      </c>
      <c r="Q488" s="25">
        <f>SUM(tblPayrollMaster[[#This Row],[Basic Pay]:[Allowance 5]])</f>
        <v>0</v>
      </c>
      <c r="R48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88" s="51" cm="1">
        <f t="array" ref="S4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88" s="3" cm="1">
        <f t="array" ref="T4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88" s="25">
        <f>_xlfn.LET(
_xlpm.tos, _xlfn.XLOOKUP(tblPayrollMaster[[#This Row],[Employee ID]], tblEmployee[Employee ID], tblEmployee[Type of Service], ""),
IF(_xlpm.tos="Contract of Service", 8.25, 0)
)</f>
        <v>0</v>
      </c>
      <c r="V488" s="25">
        <f>tblPayrollMaster[[#This Row],[Basic Earnings]]-tblPayrollMaster[[#This Row],[Tax]]-tblPayrollMaster[[#This Row],[NIS - Employee]]-tblPayrollMaster[[#This Row],[Health Surcharge]]</f>
        <v>0</v>
      </c>
      <c r="W488" s="25">
        <f>tblPayrollMaster[[#This Row],[Net Pay]]</f>
        <v>0</v>
      </c>
      <c r="X488" s="25"/>
    </row>
    <row r="489" spans="1:24" x14ac:dyDescent="0.25">
      <c r="A489" s="24"/>
      <c r="B489" s="24" t="str">
        <f>_xlfn.XLOOKUP(tblPayrollMaster[[#This Row],[Employee ID]],tblEmployee[Employee ID],tblEmployee[Employee Name],"")</f>
        <v/>
      </c>
      <c r="C489" s="24" t="str">
        <f>_xlfn.XLOOKUP(tblPayrollMaster[[#This Row],[Employee ID]],tblEmployee[Employee ID],tblEmployee[Employee Position],"")</f>
        <v/>
      </c>
      <c r="D489" s="24" t="str">
        <f>_xlfn.XLOOKUP(tblPayrollMaster[[#This Row],[Employee ID]], tblEmployee[Employee ID], tblEmployee[Pay Status], "Pay")</f>
        <v>Pay</v>
      </c>
      <c r="E489" s="24" t="str">
        <f>_xlfn.XLOOKUP(tblPayrollMaster[[#This Row],[Employee ID]], tblEmployee[Employee ID], tblEmployee[Payable Flag], "Y")</f>
        <v>Y</v>
      </c>
      <c r="F489" s="45">
        <f>IF(tblPayrollMaster[[#This Row],[Payable Flag]]="N",0,_xlfn.XLOOKUP(tblPayrollMaster[[#This Row],[Employee ID]],tblEmployee[Employee ID],tblEmployee[Pay Factor],1))</f>
        <v>1</v>
      </c>
      <c r="G489" s="26" t="str" cm="1">
        <f t="array" ref="G489">IF(tblPayrollMaster[[#This Row],[Employee ID]]="","",_xlfn.XLOOKUP(selPayPeriodID,tblPayCalendar[PayPeriodID],tblPayCalendar[PeriodStart],""))</f>
        <v/>
      </c>
      <c r="H489" s="26" t="str" cm="1">
        <f t="array" ref="H489">IF(tblPayrollMaster[[#This Row],[Employee ID]]="","",_xlfn.XLOOKUP(selPayPeriodID,tblPayCalendar[PayPeriodID],tblPayCalendar[PeriodEnd],""))</f>
        <v/>
      </c>
      <c r="I489" s="24" t="e" cm="1" vm="1">
        <f t="array" aca="1" ref="I489" ca="1">Table18[Employer Name]</f>
        <v>#VALUE!</v>
      </c>
      <c r="J489" s="3" cm="1">
        <f t="array" ref="J48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89" s="25" t="str">
        <f>_xlfn.XLOOKUP(tblPayrollMaster[[#This Row],[Employee Position]],tblPositionandPayRate[Employee Position],tblPositionandPayRate[Overtime], " ")</f>
        <v xml:space="preserve"> </v>
      </c>
      <c r="L489" s="25">
        <f>_xlfn.XLOOKUP(tblPayrollMaster[[#This Row],[Employee Position]],tblPositionandPayRate[Employee Position],tblPositionandPayRate[Allowance 1],0)*tblPayrollMaster[[#This Row],[Pay Factor]]</f>
        <v>0</v>
      </c>
      <c r="M489" s="25">
        <f>_xlfn.XLOOKUP(tblPayrollMaster[[#This Row],[Employee Position]],tblPositionandPayRate[Employee Position],tblPositionandPayRate[Allowance 2],0)*tblPayrollMaster[[#This Row],[Pay Factor]]</f>
        <v>0</v>
      </c>
      <c r="N489" s="25">
        <f>_xlfn.XLOOKUP(tblPayrollMaster[[#This Row],[Employee Position]],tblPositionandPayRate[Employee Position],tblPositionandPayRate[Allowance 3],0)*tblPayrollMaster[[#This Row],[Pay Factor]]</f>
        <v>0</v>
      </c>
      <c r="O489" s="25">
        <f>_xlfn.XLOOKUP(tblPayrollMaster[[#This Row],[Employee Position]],tblPositionandPayRate[Employee Position],tblPositionandPayRate[Allowance 4],0)*tblPayrollMaster[[#This Row],[Pay Factor]]</f>
        <v>0</v>
      </c>
      <c r="P489" s="25">
        <f>_xlfn.XLOOKUP(tblPayrollMaster[[#This Row],[Employee Position]],tblPositionandPayRate[Employee Position],tblPositionandPayRate[Allowance 5],0)*tblPayrollMaster[[#This Row],[Pay Factor]]</f>
        <v>0</v>
      </c>
      <c r="Q489" s="25">
        <f>SUM(tblPayrollMaster[[#This Row],[Basic Pay]:[Allowance 5]])</f>
        <v>0</v>
      </c>
      <c r="R48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89" s="51" cm="1">
        <f t="array" ref="S4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89" s="3" cm="1">
        <f t="array" ref="T4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89" s="25">
        <f>_xlfn.LET(
_xlpm.tos, _xlfn.XLOOKUP(tblPayrollMaster[[#This Row],[Employee ID]], tblEmployee[Employee ID], tblEmployee[Type of Service], ""),
IF(_xlpm.tos="Contract of Service", 8.25, 0)
)</f>
        <v>0</v>
      </c>
      <c r="V489" s="25">
        <f>tblPayrollMaster[[#This Row],[Basic Earnings]]-tblPayrollMaster[[#This Row],[Tax]]-tblPayrollMaster[[#This Row],[NIS - Employee]]-tblPayrollMaster[[#This Row],[Health Surcharge]]</f>
        <v>0</v>
      </c>
      <c r="W489" s="25">
        <f>tblPayrollMaster[[#This Row],[Net Pay]]</f>
        <v>0</v>
      </c>
      <c r="X489" s="25"/>
    </row>
    <row r="490" spans="1:24" x14ac:dyDescent="0.25">
      <c r="A490" s="24"/>
      <c r="B490" s="24" t="str">
        <f>_xlfn.XLOOKUP(tblPayrollMaster[[#This Row],[Employee ID]],tblEmployee[Employee ID],tblEmployee[Employee Name],"")</f>
        <v/>
      </c>
      <c r="C490" s="24" t="str">
        <f>_xlfn.XLOOKUP(tblPayrollMaster[[#This Row],[Employee ID]],tblEmployee[Employee ID],tblEmployee[Employee Position],"")</f>
        <v/>
      </c>
      <c r="D490" s="24" t="str">
        <f>_xlfn.XLOOKUP(tblPayrollMaster[[#This Row],[Employee ID]], tblEmployee[Employee ID], tblEmployee[Pay Status], "Pay")</f>
        <v>Pay</v>
      </c>
      <c r="E490" s="24" t="str">
        <f>_xlfn.XLOOKUP(tblPayrollMaster[[#This Row],[Employee ID]], tblEmployee[Employee ID], tblEmployee[Payable Flag], "Y")</f>
        <v>Y</v>
      </c>
      <c r="F490" s="45">
        <f>IF(tblPayrollMaster[[#This Row],[Payable Flag]]="N",0,_xlfn.XLOOKUP(tblPayrollMaster[[#This Row],[Employee ID]],tblEmployee[Employee ID],tblEmployee[Pay Factor],1))</f>
        <v>1</v>
      </c>
      <c r="G490" s="26" t="str" cm="1">
        <f t="array" ref="G490">IF(tblPayrollMaster[[#This Row],[Employee ID]]="","",_xlfn.XLOOKUP(selPayPeriodID,tblPayCalendar[PayPeriodID],tblPayCalendar[PeriodStart],""))</f>
        <v/>
      </c>
      <c r="H490" s="26" t="str" cm="1">
        <f t="array" ref="H490">IF(tblPayrollMaster[[#This Row],[Employee ID]]="","",_xlfn.XLOOKUP(selPayPeriodID,tblPayCalendar[PayPeriodID],tblPayCalendar[PeriodEnd],""))</f>
        <v/>
      </c>
      <c r="I490" s="24" t="e" cm="1" vm="1">
        <f t="array" aca="1" ref="I490" ca="1">Table18[Employer Name]</f>
        <v>#VALUE!</v>
      </c>
      <c r="J490" s="3" cm="1">
        <f t="array" ref="J49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90" s="25" t="str">
        <f>_xlfn.XLOOKUP(tblPayrollMaster[[#This Row],[Employee Position]],tblPositionandPayRate[Employee Position],tblPositionandPayRate[Overtime], " ")</f>
        <v xml:space="preserve"> </v>
      </c>
      <c r="L490" s="25">
        <f>_xlfn.XLOOKUP(tblPayrollMaster[[#This Row],[Employee Position]],tblPositionandPayRate[Employee Position],tblPositionandPayRate[Allowance 1],0)*tblPayrollMaster[[#This Row],[Pay Factor]]</f>
        <v>0</v>
      </c>
      <c r="M490" s="25">
        <f>_xlfn.XLOOKUP(tblPayrollMaster[[#This Row],[Employee Position]],tblPositionandPayRate[Employee Position],tblPositionandPayRate[Allowance 2],0)*tblPayrollMaster[[#This Row],[Pay Factor]]</f>
        <v>0</v>
      </c>
      <c r="N490" s="25">
        <f>_xlfn.XLOOKUP(tblPayrollMaster[[#This Row],[Employee Position]],tblPositionandPayRate[Employee Position],tblPositionandPayRate[Allowance 3],0)*tblPayrollMaster[[#This Row],[Pay Factor]]</f>
        <v>0</v>
      </c>
      <c r="O490" s="25">
        <f>_xlfn.XLOOKUP(tblPayrollMaster[[#This Row],[Employee Position]],tblPositionandPayRate[Employee Position],tblPositionandPayRate[Allowance 4],0)*tblPayrollMaster[[#This Row],[Pay Factor]]</f>
        <v>0</v>
      </c>
      <c r="P490" s="25">
        <f>_xlfn.XLOOKUP(tblPayrollMaster[[#This Row],[Employee Position]],tblPositionandPayRate[Employee Position],tblPositionandPayRate[Allowance 5],0)*tblPayrollMaster[[#This Row],[Pay Factor]]</f>
        <v>0</v>
      </c>
      <c r="Q490" s="25">
        <f>SUM(tblPayrollMaster[[#This Row],[Basic Pay]:[Allowance 5]])</f>
        <v>0</v>
      </c>
      <c r="R49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90" s="51" cm="1">
        <f t="array" ref="S4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90" s="3" cm="1">
        <f t="array" ref="T4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90" s="25">
        <f>_xlfn.LET(
_xlpm.tos, _xlfn.XLOOKUP(tblPayrollMaster[[#This Row],[Employee ID]], tblEmployee[Employee ID], tblEmployee[Type of Service], ""),
IF(_xlpm.tos="Contract of Service", 8.25, 0)
)</f>
        <v>0</v>
      </c>
      <c r="V490" s="25">
        <f>tblPayrollMaster[[#This Row],[Basic Earnings]]-tblPayrollMaster[[#This Row],[Tax]]-tblPayrollMaster[[#This Row],[NIS - Employee]]-tblPayrollMaster[[#This Row],[Health Surcharge]]</f>
        <v>0</v>
      </c>
      <c r="W490" s="25">
        <f>tblPayrollMaster[[#This Row],[Net Pay]]</f>
        <v>0</v>
      </c>
      <c r="X490" s="25"/>
    </row>
    <row r="491" spans="1:24" x14ac:dyDescent="0.25">
      <c r="A491" s="24"/>
      <c r="B491" s="24" t="str">
        <f>_xlfn.XLOOKUP(tblPayrollMaster[[#This Row],[Employee ID]],tblEmployee[Employee ID],tblEmployee[Employee Name],"")</f>
        <v/>
      </c>
      <c r="C491" s="24" t="str">
        <f>_xlfn.XLOOKUP(tblPayrollMaster[[#This Row],[Employee ID]],tblEmployee[Employee ID],tblEmployee[Employee Position],"")</f>
        <v/>
      </c>
      <c r="D491" s="24" t="str">
        <f>_xlfn.XLOOKUP(tblPayrollMaster[[#This Row],[Employee ID]], tblEmployee[Employee ID], tblEmployee[Pay Status], "Pay")</f>
        <v>Pay</v>
      </c>
      <c r="E491" s="24" t="str">
        <f>_xlfn.XLOOKUP(tblPayrollMaster[[#This Row],[Employee ID]], tblEmployee[Employee ID], tblEmployee[Payable Flag], "Y")</f>
        <v>Y</v>
      </c>
      <c r="F491" s="45">
        <f>IF(tblPayrollMaster[[#This Row],[Payable Flag]]="N",0,_xlfn.XLOOKUP(tblPayrollMaster[[#This Row],[Employee ID]],tblEmployee[Employee ID],tblEmployee[Pay Factor],1))</f>
        <v>1</v>
      </c>
      <c r="G491" s="26" t="str" cm="1">
        <f t="array" ref="G491">IF(tblPayrollMaster[[#This Row],[Employee ID]]="","",_xlfn.XLOOKUP(selPayPeriodID,tblPayCalendar[PayPeriodID],tblPayCalendar[PeriodStart],""))</f>
        <v/>
      </c>
      <c r="H491" s="26" t="str" cm="1">
        <f t="array" ref="H491">IF(tblPayrollMaster[[#This Row],[Employee ID]]="","",_xlfn.XLOOKUP(selPayPeriodID,tblPayCalendar[PayPeriodID],tblPayCalendar[PeriodEnd],""))</f>
        <v/>
      </c>
      <c r="I491" s="24" t="e" cm="1" vm="1">
        <f t="array" aca="1" ref="I491" ca="1">Table18[Employer Name]</f>
        <v>#VALUE!</v>
      </c>
      <c r="J491" s="3" cm="1">
        <f t="array" ref="J49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91" s="25" t="str">
        <f>_xlfn.XLOOKUP(tblPayrollMaster[[#This Row],[Employee Position]],tblPositionandPayRate[Employee Position],tblPositionandPayRate[Overtime], " ")</f>
        <v xml:space="preserve"> </v>
      </c>
      <c r="L491" s="25">
        <f>_xlfn.XLOOKUP(tblPayrollMaster[[#This Row],[Employee Position]],tblPositionandPayRate[Employee Position],tblPositionandPayRate[Allowance 1],0)*tblPayrollMaster[[#This Row],[Pay Factor]]</f>
        <v>0</v>
      </c>
      <c r="M491" s="25">
        <f>_xlfn.XLOOKUP(tblPayrollMaster[[#This Row],[Employee Position]],tblPositionandPayRate[Employee Position],tblPositionandPayRate[Allowance 2],0)*tblPayrollMaster[[#This Row],[Pay Factor]]</f>
        <v>0</v>
      </c>
      <c r="N491" s="25">
        <f>_xlfn.XLOOKUP(tblPayrollMaster[[#This Row],[Employee Position]],tblPositionandPayRate[Employee Position],tblPositionandPayRate[Allowance 3],0)*tblPayrollMaster[[#This Row],[Pay Factor]]</f>
        <v>0</v>
      </c>
      <c r="O491" s="25">
        <f>_xlfn.XLOOKUP(tblPayrollMaster[[#This Row],[Employee Position]],tblPositionandPayRate[Employee Position],tblPositionandPayRate[Allowance 4],0)*tblPayrollMaster[[#This Row],[Pay Factor]]</f>
        <v>0</v>
      </c>
      <c r="P491" s="25">
        <f>_xlfn.XLOOKUP(tblPayrollMaster[[#This Row],[Employee Position]],tblPositionandPayRate[Employee Position],tblPositionandPayRate[Allowance 5],0)*tblPayrollMaster[[#This Row],[Pay Factor]]</f>
        <v>0</v>
      </c>
      <c r="Q491" s="25">
        <f>SUM(tblPayrollMaster[[#This Row],[Basic Pay]:[Allowance 5]])</f>
        <v>0</v>
      </c>
      <c r="R49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91" s="51" cm="1">
        <f t="array" ref="S4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91" s="3" cm="1">
        <f t="array" ref="T4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91" s="25">
        <f>_xlfn.LET(
_xlpm.tos, _xlfn.XLOOKUP(tblPayrollMaster[[#This Row],[Employee ID]], tblEmployee[Employee ID], tblEmployee[Type of Service], ""),
IF(_xlpm.tos="Contract of Service", 8.25, 0)
)</f>
        <v>0</v>
      </c>
      <c r="V491" s="25">
        <f>tblPayrollMaster[[#This Row],[Basic Earnings]]-tblPayrollMaster[[#This Row],[Tax]]-tblPayrollMaster[[#This Row],[NIS - Employee]]-tblPayrollMaster[[#This Row],[Health Surcharge]]</f>
        <v>0</v>
      </c>
      <c r="W491" s="25">
        <f>tblPayrollMaster[[#This Row],[Net Pay]]</f>
        <v>0</v>
      </c>
      <c r="X491" s="25"/>
    </row>
    <row r="492" spans="1:24" x14ac:dyDescent="0.25">
      <c r="A492" s="24"/>
      <c r="B492" s="24" t="str">
        <f>_xlfn.XLOOKUP(tblPayrollMaster[[#This Row],[Employee ID]],tblEmployee[Employee ID],tblEmployee[Employee Name],"")</f>
        <v/>
      </c>
      <c r="C492" s="24" t="str">
        <f>_xlfn.XLOOKUP(tblPayrollMaster[[#This Row],[Employee ID]],tblEmployee[Employee ID],tblEmployee[Employee Position],"")</f>
        <v/>
      </c>
      <c r="D492" s="24" t="str">
        <f>_xlfn.XLOOKUP(tblPayrollMaster[[#This Row],[Employee ID]], tblEmployee[Employee ID], tblEmployee[Pay Status], "Pay")</f>
        <v>Pay</v>
      </c>
      <c r="E492" s="24" t="str">
        <f>_xlfn.XLOOKUP(tblPayrollMaster[[#This Row],[Employee ID]], tblEmployee[Employee ID], tblEmployee[Payable Flag], "Y")</f>
        <v>Y</v>
      </c>
      <c r="F492" s="45">
        <f>IF(tblPayrollMaster[[#This Row],[Payable Flag]]="N",0,_xlfn.XLOOKUP(tblPayrollMaster[[#This Row],[Employee ID]],tblEmployee[Employee ID],tblEmployee[Pay Factor],1))</f>
        <v>1</v>
      </c>
      <c r="G492" s="26" t="str" cm="1">
        <f t="array" ref="G492">IF(tblPayrollMaster[[#This Row],[Employee ID]]="","",_xlfn.XLOOKUP(selPayPeriodID,tblPayCalendar[PayPeriodID],tblPayCalendar[PeriodStart],""))</f>
        <v/>
      </c>
      <c r="H492" s="26" t="str" cm="1">
        <f t="array" ref="H492">IF(tblPayrollMaster[[#This Row],[Employee ID]]="","",_xlfn.XLOOKUP(selPayPeriodID,tblPayCalendar[PayPeriodID],tblPayCalendar[PeriodEnd],""))</f>
        <v/>
      </c>
      <c r="I492" s="24" t="e" cm="1" vm="1">
        <f t="array" aca="1" ref="I492" ca="1">Table18[Employer Name]</f>
        <v>#VALUE!</v>
      </c>
      <c r="J492" s="3" cm="1">
        <f t="array" ref="J49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92" s="25" t="str">
        <f>_xlfn.XLOOKUP(tblPayrollMaster[[#This Row],[Employee Position]],tblPositionandPayRate[Employee Position],tblPositionandPayRate[Overtime], " ")</f>
        <v xml:space="preserve"> </v>
      </c>
      <c r="L492" s="25">
        <f>_xlfn.XLOOKUP(tblPayrollMaster[[#This Row],[Employee Position]],tblPositionandPayRate[Employee Position],tblPositionandPayRate[Allowance 1],0)*tblPayrollMaster[[#This Row],[Pay Factor]]</f>
        <v>0</v>
      </c>
      <c r="M492" s="25">
        <f>_xlfn.XLOOKUP(tblPayrollMaster[[#This Row],[Employee Position]],tblPositionandPayRate[Employee Position],tblPositionandPayRate[Allowance 2],0)*tblPayrollMaster[[#This Row],[Pay Factor]]</f>
        <v>0</v>
      </c>
      <c r="N492" s="25">
        <f>_xlfn.XLOOKUP(tblPayrollMaster[[#This Row],[Employee Position]],tblPositionandPayRate[Employee Position],tblPositionandPayRate[Allowance 3],0)*tblPayrollMaster[[#This Row],[Pay Factor]]</f>
        <v>0</v>
      </c>
      <c r="O492" s="25">
        <f>_xlfn.XLOOKUP(tblPayrollMaster[[#This Row],[Employee Position]],tblPositionandPayRate[Employee Position],tblPositionandPayRate[Allowance 4],0)*tblPayrollMaster[[#This Row],[Pay Factor]]</f>
        <v>0</v>
      </c>
      <c r="P492" s="25">
        <f>_xlfn.XLOOKUP(tblPayrollMaster[[#This Row],[Employee Position]],tblPositionandPayRate[Employee Position],tblPositionandPayRate[Allowance 5],0)*tblPayrollMaster[[#This Row],[Pay Factor]]</f>
        <v>0</v>
      </c>
      <c r="Q492" s="25">
        <f>SUM(tblPayrollMaster[[#This Row],[Basic Pay]:[Allowance 5]])</f>
        <v>0</v>
      </c>
      <c r="R49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92" s="51" cm="1">
        <f t="array" ref="S4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92" s="3" cm="1">
        <f t="array" ref="T4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92" s="25">
        <f>_xlfn.LET(
_xlpm.tos, _xlfn.XLOOKUP(tblPayrollMaster[[#This Row],[Employee ID]], tblEmployee[Employee ID], tblEmployee[Type of Service], ""),
IF(_xlpm.tos="Contract of Service", 8.25, 0)
)</f>
        <v>0</v>
      </c>
      <c r="V492" s="25">
        <f>tblPayrollMaster[[#This Row],[Basic Earnings]]-tblPayrollMaster[[#This Row],[Tax]]-tblPayrollMaster[[#This Row],[NIS - Employee]]-tblPayrollMaster[[#This Row],[Health Surcharge]]</f>
        <v>0</v>
      </c>
      <c r="W492" s="25">
        <f>tblPayrollMaster[[#This Row],[Net Pay]]</f>
        <v>0</v>
      </c>
      <c r="X492" s="25"/>
    </row>
    <row r="493" spans="1:24" x14ac:dyDescent="0.25">
      <c r="A493" s="24"/>
      <c r="B493" s="24" t="str">
        <f>_xlfn.XLOOKUP(tblPayrollMaster[[#This Row],[Employee ID]],tblEmployee[Employee ID],tblEmployee[Employee Name],"")</f>
        <v/>
      </c>
      <c r="C493" s="24" t="str">
        <f>_xlfn.XLOOKUP(tblPayrollMaster[[#This Row],[Employee ID]],tblEmployee[Employee ID],tblEmployee[Employee Position],"")</f>
        <v/>
      </c>
      <c r="D493" s="24" t="str">
        <f>_xlfn.XLOOKUP(tblPayrollMaster[[#This Row],[Employee ID]], tblEmployee[Employee ID], tblEmployee[Pay Status], "Pay")</f>
        <v>Pay</v>
      </c>
      <c r="E493" s="24" t="str">
        <f>_xlfn.XLOOKUP(tblPayrollMaster[[#This Row],[Employee ID]], tblEmployee[Employee ID], tblEmployee[Payable Flag], "Y")</f>
        <v>Y</v>
      </c>
      <c r="F493" s="45">
        <f>IF(tblPayrollMaster[[#This Row],[Payable Flag]]="N",0,_xlfn.XLOOKUP(tblPayrollMaster[[#This Row],[Employee ID]],tblEmployee[Employee ID],tblEmployee[Pay Factor],1))</f>
        <v>1</v>
      </c>
      <c r="G493" s="26" t="str" cm="1">
        <f t="array" ref="G493">IF(tblPayrollMaster[[#This Row],[Employee ID]]="","",_xlfn.XLOOKUP(selPayPeriodID,tblPayCalendar[PayPeriodID],tblPayCalendar[PeriodStart],""))</f>
        <v/>
      </c>
      <c r="H493" s="26" t="str" cm="1">
        <f t="array" ref="H493">IF(tblPayrollMaster[[#This Row],[Employee ID]]="","",_xlfn.XLOOKUP(selPayPeriodID,tblPayCalendar[PayPeriodID],tblPayCalendar[PeriodEnd],""))</f>
        <v/>
      </c>
      <c r="I493" s="24" t="e" cm="1" vm="1">
        <f t="array" aca="1" ref="I493" ca="1">Table18[Employer Name]</f>
        <v>#VALUE!</v>
      </c>
      <c r="J493" s="3" cm="1">
        <f t="array" ref="J49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93" s="25" t="str">
        <f>_xlfn.XLOOKUP(tblPayrollMaster[[#This Row],[Employee Position]],tblPositionandPayRate[Employee Position],tblPositionandPayRate[Overtime], " ")</f>
        <v xml:space="preserve"> </v>
      </c>
      <c r="L493" s="25">
        <f>_xlfn.XLOOKUP(tblPayrollMaster[[#This Row],[Employee Position]],tblPositionandPayRate[Employee Position],tblPositionandPayRate[Allowance 1],0)*tblPayrollMaster[[#This Row],[Pay Factor]]</f>
        <v>0</v>
      </c>
      <c r="M493" s="25">
        <f>_xlfn.XLOOKUP(tblPayrollMaster[[#This Row],[Employee Position]],tblPositionandPayRate[Employee Position],tblPositionandPayRate[Allowance 2],0)*tblPayrollMaster[[#This Row],[Pay Factor]]</f>
        <v>0</v>
      </c>
      <c r="N493" s="25">
        <f>_xlfn.XLOOKUP(tblPayrollMaster[[#This Row],[Employee Position]],tblPositionandPayRate[Employee Position],tblPositionandPayRate[Allowance 3],0)*tblPayrollMaster[[#This Row],[Pay Factor]]</f>
        <v>0</v>
      </c>
      <c r="O493" s="25">
        <f>_xlfn.XLOOKUP(tblPayrollMaster[[#This Row],[Employee Position]],tblPositionandPayRate[Employee Position],tblPositionandPayRate[Allowance 4],0)*tblPayrollMaster[[#This Row],[Pay Factor]]</f>
        <v>0</v>
      </c>
      <c r="P493" s="25">
        <f>_xlfn.XLOOKUP(tblPayrollMaster[[#This Row],[Employee Position]],tblPositionandPayRate[Employee Position],tblPositionandPayRate[Allowance 5],0)*tblPayrollMaster[[#This Row],[Pay Factor]]</f>
        <v>0</v>
      </c>
      <c r="Q493" s="25">
        <f>SUM(tblPayrollMaster[[#This Row],[Basic Pay]:[Allowance 5]])</f>
        <v>0</v>
      </c>
      <c r="R49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93" s="51" cm="1">
        <f t="array" ref="S4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93" s="3" cm="1">
        <f t="array" ref="T4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93" s="25">
        <f>_xlfn.LET(
_xlpm.tos, _xlfn.XLOOKUP(tblPayrollMaster[[#This Row],[Employee ID]], tblEmployee[Employee ID], tblEmployee[Type of Service], ""),
IF(_xlpm.tos="Contract of Service", 8.25, 0)
)</f>
        <v>0</v>
      </c>
      <c r="V493" s="25">
        <f>tblPayrollMaster[[#This Row],[Basic Earnings]]-tblPayrollMaster[[#This Row],[Tax]]-tblPayrollMaster[[#This Row],[NIS - Employee]]-tblPayrollMaster[[#This Row],[Health Surcharge]]</f>
        <v>0</v>
      </c>
      <c r="W493" s="25">
        <f>tblPayrollMaster[[#This Row],[Net Pay]]</f>
        <v>0</v>
      </c>
      <c r="X493" s="25"/>
    </row>
    <row r="494" spans="1:24" x14ac:dyDescent="0.25">
      <c r="A494" s="24"/>
      <c r="B494" s="24" t="str">
        <f>_xlfn.XLOOKUP(tblPayrollMaster[[#This Row],[Employee ID]],tblEmployee[Employee ID],tblEmployee[Employee Name],"")</f>
        <v/>
      </c>
      <c r="C494" s="24" t="str">
        <f>_xlfn.XLOOKUP(tblPayrollMaster[[#This Row],[Employee ID]],tblEmployee[Employee ID],tblEmployee[Employee Position],"")</f>
        <v/>
      </c>
      <c r="D494" s="24" t="str">
        <f>_xlfn.XLOOKUP(tblPayrollMaster[[#This Row],[Employee ID]], tblEmployee[Employee ID], tblEmployee[Pay Status], "Pay")</f>
        <v>Pay</v>
      </c>
      <c r="E494" s="24" t="str">
        <f>_xlfn.XLOOKUP(tblPayrollMaster[[#This Row],[Employee ID]], tblEmployee[Employee ID], tblEmployee[Payable Flag], "Y")</f>
        <v>Y</v>
      </c>
      <c r="F494" s="45">
        <f>IF(tblPayrollMaster[[#This Row],[Payable Flag]]="N",0,_xlfn.XLOOKUP(tblPayrollMaster[[#This Row],[Employee ID]],tblEmployee[Employee ID],tblEmployee[Pay Factor],1))</f>
        <v>1</v>
      </c>
      <c r="G494" s="26" t="str" cm="1">
        <f t="array" ref="G494">IF(tblPayrollMaster[[#This Row],[Employee ID]]="","",_xlfn.XLOOKUP(selPayPeriodID,tblPayCalendar[PayPeriodID],tblPayCalendar[PeriodStart],""))</f>
        <v/>
      </c>
      <c r="H494" s="26" t="str" cm="1">
        <f t="array" ref="H494">IF(tblPayrollMaster[[#This Row],[Employee ID]]="","",_xlfn.XLOOKUP(selPayPeriodID,tblPayCalendar[PayPeriodID],tblPayCalendar[PeriodEnd],""))</f>
        <v/>
      </c>
      <c r="I494" s="24" t="e" cm="1" vm="1">
        <f t="array" aca="1" ref="I494" ca="1">Table18[Employer Name]</f>
        <v>#VALUE!</v>
      </c>
      <c r="J494" s="3" cm="1">
        <f t="array" ref="J49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94" s="25" t="str">
        <f>_xlfn.XLOOKUP(tblPayrollMaster[[#This Row],[Employee Position]],tblPositionandPayRate[Employee Position],tblPositionandPayRate[Overtime], " ")</f>
        <v xml:space="preserve"> </v>
      </c>
      <c r="L494" s="25">
        <f>_xlfn.XLOOKUP(tblPayrollMaster[[#This Row],[Employee Position]],tblPositionandPayRate[Employee Position],tblPositionandPayRate[Allowance 1],0)*tblPayrollMaster[[#This Row],[Pay Factor]]</f>
        <v>0</v>
      </c>
      <c r="M494" s="25">
        <f>_xlfn.XLOOKUP(tblPayrollMaster[[#This Row],[Employee Position]],tblPositionandPayRate[Employee Position],tblPositionandPayRate[Allowance 2],0)*tblPayrollMaster[[#This Row],[Pay Factor]]</f>
        <v>0</v>
      </c>
      <c r="N494" s="25">
        <f>_xlfn.XLOOKUP(tblPayrollMaster[[#This Row],[Employee Position]],tblPositionandPayRate[Employee Position],tblPositionandPayRate[Allowance 3],0)*tblPayrollMaster[[#This Row],[Pay Factor]]</f>
        <v>0</v>
      </c>
      <c r="O494" s="25">
        <f>_xlfn.XLOOKUP(tblPayrollMaster[[#This Row],[Employee Position]],tblPositionandPayRate[Employee Position],tblPositionandPayRate[Allowance 4],0)*tblPayrollMaster[[#This Row],[Pay Factor]]</f>
        <v>0</v>
      </c>
      <c r="P494" s="25">
        <f>_xlfn.XLOOKUP(tblPayrollMaster[[#This Row],[Employee Position]],tblPositionandPayRate[Employee Position],tblPositionandPayRate[Allowance 5],0)*tblPayrollMaster[[#This Row],[Pay Factor]]</f>
        <v>0</v>
      </c>
      <c r="Q494" s="25">
        <f>SUM(tblPayrollMaster[[#This Row],[Basic Pay]:[Allowance 5]])</f>
        <v>0</v>
      </c>
      <c r="R49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94" s="51" cm="1">
        <f t="array" ref="S4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94" s="3" cm="1">
        <f t="array" ref="T4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94" s="25">
        <f>_xlfn.LET(
_xlpm.tos, _xlfn.XLOOKUP(tblPayrollMaster[[#This Row],[Employee ID]], tblEmployee[Employee ID], tblEmployee[Type of Service], ""),
IF(_xlpm.tos="Contract of Service", 8.25, 0)
)</f>
        <v>0</v>
      </c>
      <c r="V494" s="25">
        <f>tblPayrollMaster[[#This Row],[Basic Earnings]]-tblPayrollMaster[[#This Row],[Tax]]-tblPayrollMaster[[#This Row],[NIS - Employee]]-tblPayrollMaster[[#This Row],[Health Surcharge]]</f>
        <v>0</v>
      </c>
      <c r="W494" s="25">
        <f>tblPayrollMaster[[#This Row],[Net Pay]]</f>
        <v>0</v>
      </c>
      <c r="X494" s="25"/>
    </row>
    <row r="495" spans="1:24" x14ac:dyDescent="0.25">
      <c r="A495" s="24"/>
      <c r="B495" s="24" t="str">
        <f>_xlfn.XLOOKUP(tblPayrollMaster[[#This Row],[Employee ID]],tblEmployee[Employee ID],tblEmployee[Employee Name],"")</f>
        <v/>
      </c>
      <c r="C495" s="24" t="str">
        <f>_xlfn.XLOOKUP(tblPayrollMaster[[#This Row],[Employee ID]],tblEmployee[Employee ID],tblEmployee[Employee Position],"")</f>
        <v/>
      </c>
      <c r="D495" s="24" t="str">
        <f>_xlfn.XLOOKUP(tblPayrollMaster[[#This Row],[Employee ID]], tblEmployee[Employee ID], tblEmployee[Pay Status], "Pay")</f>
        <v>Pay</v>
      </c>
      <c r="E495" s="24" t="str">
        <f>_xlfn.XLOOKUP(tblPayrollMaster[[#This Row],[Employee ID]], tblEmployee[Employee ID], tblEmployee[Payable Flag], "Y")</f>
        <v>Y</v>
      </c>
      <c r="F495" s="45">
        <f>IF(tblPayrollMaster[[#This Row],[Payable Flag]]="N",0,_xlfn.XLOOKUP(tblPayrollMaster[[#This Row],[Employee ID]],tblEmployee[Employee ID],tblEmployee[Pay Factor],1))</f>
        <v>1</v>
      </c>
      <c r="G495" s="26" t="str" cm="1">
        <f t="array" ref="G495">IF(tblPayrollMaster[[#This Row],[Employee ID]]="","",_xlfn.XLOOKUP(selPayPeriodID,tblPayCalendar[PayPeriodID],tblPayCalendar[PeriodStart],""))</f>
        <v/>
      </c>
      <c r="H495" s="26" t="str" cm="1">
        <f t="array" ref="H495">IF(tblPayrollMaster[[#This Row],[Employee ID]]="","",_xlfn.XLOOKUP(selPayPeriodID,tblPayCalendar[PayPeriodID],tblPayCalendar[PeriodEnd],""))</f>
        <v/>
      </c>
      <c r="I495" s="24" t="e" cm="1" vm="1">
        <f t="array" aca="1" ref="I495" ca="1">Table18[Employer Name]</f>
        <v>#VALUE!</v>
      </c>
      <c r="J495" s="3" cm="1">
        <f t="array" ref="J49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95" s="25" t="str">
        <f>_xlfn.XLOOKUP(tblPayrollMaster[[#This Row],[Employee Position]],tblPositionandPayRate[Employee Position],tblPositionandPayRate[Overtime], " ")</f>
        <v xml:space="preserve"> </v>
      </c>
      <c r="L495" s="25">
        <f>_xlfn.XLOOKUP(tblPayrollMaster[[#This Row],[Employee Position]],tblPositionandPayRate[Employee Position],tblPositionandPayRate[Allowance 1],0)*tblPayrollMaster[[#This Row],[Pay Factor]]</f>
        <v>0</v>
      </c>
      <c r="M495" s="25">
        <f>_xlfn.XLOOKUP(tblPayrollMaster[[#This Row],[Employee Position]],tblPositionandPayRate[Employee Position],tblPositionandPayRate[Allowance 2],0)*tblPayrollMaster[[#This Row],[Pay Factor]]</f>
        <v>0</v>
      </c>
      <c r="N495" s="25">
        <f>_xlfn.XLOOKUP(tblPayrollMaster[[#This Row],[Employee Position]],tblPositionandPayRate[Employee Position],tblPositionandPayRate[Allowance 3],0)*tblPayrollMaster[[#This Row],[Pay Factor]]</f>
        <v>0</v>
      </c>
      <c r="O495" s="25">
        <f>_xlfn.XLOOKUP(tblPayrollMaster[[#This Row],[Employee Position]],tblPositionandPayRate[Employee Position],tblPositionandPayRate[Allowance 4],0)*tblPayrollMaster[[#This Row],[Pay Factor]]</f>
        <v>0</v>
      </c>
      <c r="P495" s="25">
        <f>_xlfn.XLOOKUP(tblPayrollMaster[[#This Row],[Employee Position]],tblPositionandPayRate[Employee Position],tblPositionandPayRate[Allowance 5],0)*tblPayrollMaster[[#This Row],[Pay Factor]]</f>
        <v>0</v>
      </c>
      <c r="Q495" s="25">
        <f>SUM(tblPayrollMaster[[#This Row],[Basic Pay]:[Allowance 5]])</f>
        <v>0</v>
      </c>
      <c r="R49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95" s="51" cm="1">
        <f t="array" ref="S4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95" s="3" cm="1">
        <f t="array" ref="T4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95" s="25">
        <f>_xlfn.LET(
_xlpm.tos, _xlfn.XLOOKUP(tblPayrollMaster[[#This Row],[Employee ID]], tblEmployee[Employee ID], tblEmployee[Type of Service], ""),
IF(_xlpm.tos="Contract of Service", 8.25, 0)
)</f>
        <v>0</v>
      </c>
      <c r="V495" s="25">
        <f>tblPayrollMaster[[#This Row],[Basic Earnings]]-tblPayrollMaster[[#This Row],[Tax]]-tblPayrollMaster[[#This Row],[NIS - Employee]]-tblPayrollMaster[[#This Row],[Health Surcharge]]</f>
        <v>0</v>
      </c>
      <c r="W495" s="25">
        <f>tblPayrollMaster[[#This Row],[Net Pay]]</f>
        <v>0</v>
      </c>
      <c r="X495" s="25"/>
    </row>
    <row r="496" spans="1:24" x14ac:dyDescent="0.25">
      <c r="A496" s="24"/>
      <c r="B496" s="24" t="str">
        <f>_xlfn.XLOOKUP(tblPayrollMaster[[#This Row],[Employee ID]],tblEmployee[Employee ID],tblEmployee[Employee Name],"")</f>
        <v/>
      </c>
      <c r="C496" s="24" t="str">
        <f>_xlfn.XLOOKUP(tblPayrollMaster[[#This Row],[Employee ID]],tblEmployee[Employee ID],tblEmployee[Employee Position],"")</f>
        <v/>
      </c>
      <c r="D496" s="24" t="str">
        <f>_xlfn.XLOOKUP(tblPayrollMaster[[#This Row],[Employee ID]], tblEmployee[Employee ID], tblEmployee[Pay Status], "Pay")</f>
        <v>Pay</v>
      </c>
      <c r="E496" s="24" t="str">
        <f>_xlfn.XLOOKUP(tblPayrollMaster[[#This Row],[Employee ID]], tblEmployee[Employee ID], tblEmployee[Payable Flag], "Y")</f>
        <v>Y</v>
      </c>
      <c r="F496" s="45">
        <f>IF(tblPayrollMaster[[#This Row],[Payable Flag]]="N",0,_xlfn.XLOOKUP(tblPayrollMaster[[#This Row],[Employee ID]],tblEmployee[Employee ID],tblEmployee[Pay Factor],1))</f>
        <v>1</v>
      </c>
      <c r="G496" s="26" t="str" cm="1">
        <f t="array" ref="G496">IF(tblPayrollMaster[[#This Row],[Employee ID]]="","",_xlfn.XLOOKUP(selPayPeriodID,tblPayCalendar[PayPeriodID],tblPayCalendar[PeriodStart],""))</f>
        <v/>
      </c>
      <c r="H496" s="26" t="str" cm="1">
        <f t="array" ref="H496">IF(tblPayrollMaster[[#This Row],[Employee ID]]="","",_xlfn.XLOOKUP(selPayPeriodID,tblPayCalendar[PayPeriodID],tblPayCalendar[PeriodEnd],""))</f>
        <v/>
      </c>
      <c r="I496" s="24" t="e" cm="1" vm="1">
        <f t="array" aca="1" ref="I496" ca="1">Table18[Employer Name]</f>
        <v>#VALUE!</v>
      </c>
      <c r="J496" s="3" cm="1">
        <f t="array" ref="J49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96" s="25" t="str">
        <f>_xlfn.XLOOKUP(tblPayrollMaster[[#This Row],[Employee Position]],tblPositionandPayRate[Employee Position],tblPositionandPayRate[Overtime], " ")</f>
        <v xml:space="preserve"> </v>
      </c>
      <c r="L496" s="25">
        <f>_xlfn.XLOOKUP(tblPayrollMaster[[#This Row],[Employee Position]],tblPositionandPayRate[Employee Position],tblPositionandPayRate[Allowance 1],0)*tblPayrollMaster[[#This Row],[Pay Factor]]</f>
        <v>0</v>
      </c>
      <c r="M496" s="25">
        <f>_xlfn.XLOOKUP(tblPayrollMaster[[#This Row],[Employee Position]],tblPositionandPayRate[Employee Position],tblPositionandPayRate[Allowance 2],0)*tblPayrollMaster[[#This Row],[Pay Factor]]</f>
        <v>0</v>
      </c>
      <c r="N496" s="25">
        <f>_xlfn.XLOOKUP(tblPayrollMaster[[#This Row],[Employee Position]],tblPositionandPayRate[Employee Position],tblPositionandPayRate[Allowance 3],0)*tblPayrollMaster[[#This Row],[Pay Factor]]</f>
        <v>0</v>
      </c>
      <c r="O496" s="25">
        <f>_xlfn.XLOOKUP(tblPayrollMaster[[#This Row],[Employee Position]],tblPositionandPayRate[Employee Position],tblPositionandPayRate[Allowance 4],0)*tblPayrollMaster[[#This Row],[Pay Factor]]</f>
        <v>0</v>
      </c>
      <c r="P496" s="25">
        <f>_xlfn.XLOOKUP(tblPayrollMaster[[#This Row],[Employee Position]],tblPositionandPayRate[Employee Position],tblPositionandPayRate[Allowance 5],0)*tblPayrollMaster[[#This Row],[Pay Factor]]</f>
        <v>0</v>
      </c>
      <c r="Q496" s="25">
        <f>SUM(tblPayrollMaster[[#This Row],[Basic Pay]:[Allowance 5]])</f>
        <v>0</v>
      </c>
      <c r="R49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96" s="51" cm="1">
        <f t="array" ref="S4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96" s="3" cm="1">
        <f t="array" ref="T4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96" s="25">
        <f>_xlfn.LET(
_xlpm.tos, _xlfn.XLOOKUP(tblPayrollMaster[[#This Row],[Employee ID]], tblEmployee[Employee ID], tblEmployee[Type of Service], ""),
IF(_xlpm.tos="Contract of Service", 8.25, 0)
)</f>
        <v>0</v>
      </c>
      <c r="V496" s="25">
        <f>tblPayrollMaster[[#This Row],[Basic Earnings]]-tblPayrollMaster[[#This Row],[Tax]]-tblPayrollMaster[[#This Row],[NIS - Employee]]-tblPayrollMaster[[#This Row],[Health Surcharge]]</f>
        <v>0</v>
      </c>
      <c r="W496" s="25">
        <f>tblPayrollMaster[[#This Row],[Net Pay]]</f>
        <v>0</v>
      </c>
      <c r="X496" s="25"/>
    </row>
    <row r="497" spans="1:24" x14ac:dyDescent="0.25">
      <c r="A497" s="24"/>
      <c r="B497" s="24" t="str">
        <f>_xlfn.XLOOKUP(tblPayrollMaster[[#This Row],[Employee ID]],tblEmployee[Employee ID],tblEmployee[Employee Name],"")</f>
        <v/>
      </c>
      <c r="C497" s="24" t="str">
        <f>_xlfn.XLOOKUP(tblPayrollMaster[[#This Row],[Employee ID]],tblEmployee[Employee ID],tblEmployee[Employee Position],"")</f>
        <v/>
      </c>
      <c r="D497" s="24" t="str">
        <f>_xlfn.XLOOKUP(tblPayrollMaster[[#This Row],[Employee ID]], tblEmployee[Employee ID], tblEmployee[Pay Status], "Pay")</f>
        <v>Pay</v>
      </c>
      <c r="E497" s="24" t="str">
        <f>_xlfn.XLOOKUP(tblPayrollMaster[[#This Row],[Employee ID]], tblEmployee[Employee ID], tblEmployee[Payable Flag], "Y")</f>
        <v>Y</v>
      </c>
      <c r="F497" s="45">
        <f>IF(tblPayrollMaster[[#This Row],[Payable Flag]]="N",0,_xlfn.XLOOKUP(tblPayrollMaster[[#This Row],[Employee ID]],tblEmployee[Employee ID],tblEmployee[Pay Factor],1))</f>
        <v>1</v>
      </c>
      <c r="G497" s="26" t="str" cm="1">
        <f t="array" ref="G497">IF(tblPayrollMaster[[#This Row],[Employee ID]]="","",_xlfn.XLOOKUP(selPayPeriodID,tblPayCalendar[PayPeriodID],tblPayCalendar[PeriodStart],""))</f>
        <v/>
      </c>
      <c r="H497" s="26" t="str" cm="1">
        <f t="array" ref="H497">IF(tblPayrollMaster[[#This Row],[Employee ID]]="","",_xlfn.XLOOKUP(selPayPeriodID,tblPayCalendar[PayPeriodID],tblPayCalendar[PeriodEnd],""))</f>
        <v/>
      </c>
      <c r="I497" s="24" t="e" cm="1" vm="1">
        <f t="array" aca="1" ref="I497" ca="1">Table18[Employer Name]</f>
        <v>#VALUE!</v>
      </c>
      <c r="J497" s="3" cm="1">
        <f t="array" ref="J49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97" s="25" t="str">
        <f>_xlfn.XLOOKUP(tblPayrollMaster[[#This Row],[Employee Position]],tblPositionandPayRate[Employee Position],tblPositionandPayRate[Overtime], " ")</f>
        <v xml:space="preserve"> </v>
      </c>
      <c r="L497" s="25">
        <f>_xlfn.XLOOKUP(tblPayrollMaster[[#This Row],[Employee Position]],tblPositionandPayRate[Employee Position],tblPositionandPayRate[Allowance 1],0)*tblPayrollMaster[[#This Row],[Pay Factor]]</f>
        <v>0</v>
      </c>
      <c r="M497" s="25">
        <f>_xlfn.XLOOKUP(tblPayrollMaster[[#This Row],[Employee Position]],tblPositionandPayRate[Employee Position],tblPositionandPayRate[Allowance 2],0)*tblPayrollMaster[[#This Row],[Pay Factor]]</f>
        <v>0</v>
      </c>
      <c r="N497" s="25">
        <f>_xlfn.XLOOKUP(tblPayrollMaster[[#This Row],[Employee Position]],tblPositionandPayRate[Employee Position],tblPositionandPayRate[Allowance 3],0)*tblPayrollMaster[[#This Row],[Pay Factor]]</f>
        <v>0</v>
      </c>
      <c r="O497" s="25">
        <f>_xlfn.XLOOKUP(tblPayrollMaster[[#This Row],[Employee Position]],tblPositionandPayRate[Employee Position],tblPositionandPayRate[Allowance 4],0)*tblPayrollMaster[[#This Row],[Pay Factor]]</f>
        <v>0</v>
      </c>
      <c r="P497" s="25">
        <f>_xlfn.XLOOKUP(tblPayrollMaster[[#This Row],[Employee Position]],tblPositionandPayRate[Employee Position],tblPositionandPayRate[Allowance 5],0)*tblPayrollMaster[[#This Row],[Pay Factor]]</f>
        <v>0</v>
      </c>
      <c r="Q497" s="25">
        <f>SUM(tblPayrollMaster[[#This Row],[Basic Pay]:[Allowance 5]])</f>
        <v>0</v>
      </c>
      <c r="R49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97" s="51" cm="1">
        <f t="array" ref="S4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97" s="3" cm="1">
        <f t="array" ref="T4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97" s="25">
        <f>_xlfn.LET(
_xlpm.tos, _xlfn.XLOOKUP(tblPayrollMaster[[#This Row],[Employee ID]], tblEmployee[Employee ID], tblEmployee[Type of Service], ""),
IF(_xlpm.tos="Contract of Service", 8.25, 0)
)</f>
        <v>0</v>
      </c>
      <c r="V497" s="25">
        <f>tblPayrollMaster[[#This Row],[Basic Earnings]]-tblPayrollMaster[[#This Row],[Tax]]-tblPayrollMaster[[#This Row],[NIS - Employee]]-tblPayrollMaster[[#This Row],[Health Surcharge]]</f>
        <v>0</v>
      </c>
      <c r="W497" s="25">
        <f>tblPayrollMaster[[#This Row],[Net Pay]]</f>
        <v>0</v>
      </c>
      <c r="X497" s="25"/>
    </row>
    <row r="498" spans="1:24" x14ac:dyDescent="0.25">
      <c r="A498" s="24"/>
      <c r="B498" s="24" t="str">
        <f>_xlfn.XLOOKUP(tblPayrollMaster[[#This Row],[Employee ID]],tblEmployee[Employee ID],tblEmployee[Employee Name],"")</f>
        <v/>
      </c>
      <c r="C498" s="24" t="str">
        <f>_xlfn.XLOOKUP(tblPayrollMaster[[#This Row],[Employee ID]],tblEmployee[Employee ID],tblEmployee[Employee Position],"")</f>
        <v/>
      </c>
      <c r="D498" s="24" t="str">
        <f>_xlfn.XLOOKUP(tblPayrollMaster[[#This Row],[Employee ID]], tblEmployee[Employee ID], tblEmployee[Pay Status], "Pay")</f>
        <v>Pay</v>
      </c>
      <c r="E498" s="24" t="str">
        <f>_xlfn.XLOOKUP(tblPayrollMaster[[#This Row],[Employee ID]], tblEmployee[Employee ID], tblEmployee[Payable Flag], "Y")</f>
        <v>Y</v>
      </c>
      <c r="F498" s="45">
        <f>IF(tblPayrollMaster[[#This Row],[Payable Flag]]="N",0,_xlfn.XLOOKUP(tblPayrollMaster[[#This Row],[Employee ID]],tblEmployee[Employee ID],tblEmployee[Pay Factor],1))</f>
        <v>1</v>
      </c>
      <c r="G498" s="26" t="str" cm="1">
        <f t="array" ref="G498">IF(tblPayrollMaster[[#This Row],[Employee ID]]="","",_xlfn.XLOOKUP(selPayPeriodID,tblPayCalendar[PayPeriodID],tblPayCalendar[PeriodStart],""))</f>
        <v/>
      </c>
      <c r="H498" s="26" t="str" cm="1">
        <f t="array" ref="H498">IF(tblPayrollMaster[[#This Row],[Employee ID]]="","",_xlfn.XLOOKUP(selPayPeriodID,tblPayCalendar[PayPeriodID],tblPayCalendar[PeriodEnd],""))</f>
        <v/>
      </c>
      <c r="I498" s="24" t="e" cm="1" vm="1">
        <f t="array" aca="1" ref="I498" ca="1">Table18[Employer Name]</f>
        <v>#VALUE!</v>
      </c>
      <c r="J498" s="3" cm="1">
        <f t="array" ref="J49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98" s="25" t="str">
        <f>_xlfn.XLOOKUP(tblPayrollMaster[[#This Row],[Employee Position]],tblPositionandPayRate[Employee Position],tblPositionandPayRate[Overtime], " ")</f>
        <v xml:space="preserve"> </v>
      </c>
      <c r="L498" s="25">
        <f>_xlfn.XLOOKUP(tblPayrollMaster[[#This Row],[Employee Position]],tblPositionandPayRate[Employee Position],tblPositionandPayRate[Allowance 1],0)*tblPayrollMaster[[#This Row],[Pay Factor]]</f>
        <v>0</v>
      </c>
      <c r="M498" s="25">
        <f>_xlfn.XLOOKUP(tblPayrollMaster[[#This Row],[Employee Position]],tblPositionandPayRate[Employee Position],tblPositionandPayRate[Allowance 2],0)*tblPayrollMaster[[#This Row],[Pay Factor]]</f>
        <v>0</v>
      </c>
      <c r="N498" s="25">
        <f>_xlfn.XLOOKUP(tblPayrollMaster[[#This Row],[Employee Position]],tblPositionandPayRate[Employee Position],tblPositionandPayRate[Allowance 3],0)*tblPayrollMaster[[#This Row],[Pay Factor]]</f>
        <v>0</v>
      </c>
      <c r="O498" s="25">
        <f>_xlfn.XLOOKUP(tblPayrollMaster[[#This Row],[Employee Position]],tblPositionandPayRate[Employee Position],tblPositionandPayRate[Allowance 4],0)*tblPayrollMaster[[#This Row],[Pay Factor]]</f>
        <v>0</v>
      </c>
      <c r="P498" s="25">
        <f>_xlfn.XLOOKUP(tblPayrollMaster[[#This Row],[Employee Position]],tblPositionandPayRate[Employee Position],tblPositionandPayRate[Allowance 5],0)*tblPayrollMaster[[#This Row],[Pay Factor]]</f>
        <v>0</v>
      </c>
      <c r="Q498" s="25">
        <f>SUM(tblPayrollMaster[[#This Row],[Basic Pay]:[Allowance 5]])</f>
        <v>0</v>
      </c>
      <c r="R49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98" s="51" cm="1">
        <f t="array" ref="S4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98" s="3" cm="1">
        <f t="array" ref="T4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98" s="25">
        <f>_xlfn.LET(
_xlpm.tos, _xlfn.XLOOKUP(tblPayrollMaster[[#This Row],[Employee ID]], tblEmployee[Employee ID], tblEmployee[Type of Service], ""),
IF(_xlpm.tos="Contract of Service", 8.25, 0)
)</f>
        <v>0</v>
      </c>
      <c r="V498" s="25">
        <f>tblPayrollMaster[[#This Row],[Basic Earnings]]-tblPayrollMaster[[#This Row],[Tax]]-tblPayrollMaster[[#This Row],[NIS - Employee]]-tblPayrollMaster[[#This Row],[Health Surcharge]]</f>
        <v>0</v>
      </c>
      <c r="W498" s="25">
        <f>tblPayrollMaster[[#This Row],[Net Pay]]</f>
        <v>0</v>
      </c>
      <c r="X498" s="25"/>
    </row>
    <row r="499" spans="1:24" x14ac:dyDescent="0.25">
      <c r="A499" s="24"/>
      <c r="B499" s="24" t="str">
        <f>_xlfn.XLOOKUP(tblPayrollMaster[[#This Row],[Employee ID]],tblEmployee[Employee ID],tblEmployee[Employee Name],"")</f>
        <v/>
      </c>
      <c r="C499" s="24" t="str">
        <f>_xlfn.XLOOKUP(tblPayrollMaster[[#This Row],[Employee ID]],tblEmployee[Employee ID],tblEmployee[Employee Position],"")</f>
        <v/>
      </c>
      <c r="D499" s="24" t="str">
        <f>_xlfn.XLOOKUP(tblPayrollMaster[[#This Row],[Employee ID]], tblEmployee[Employee ID], tblEmployee[Pay Status], "Pay")</f>
        <v>Pay</v>
      </c>
      <c r="E499" s="24" t="str">
        <f>_xlfn.XLOOKUP(tblPayrollMaster[[#This Row],[Employee ID]], tblEmployee[Employee ID], tblEmployee[Payable Flag], "Y")</f>
        <v>Y</v>
      </c>
      <c r="F499" s="45">
        <f>IF(tblPayrollMaster[[#This Row],[Payable Flag]]="N",0,_xlfn.XLOOKUP(tblPayrollMaster[[#This Row],[Employee ID]],tblEmployee[Employee ID],tblEmployee[Pay Factor],1))</f>
        <v>1</v>
      </c>
      <c r="G499" s="26" t="str" cm="1">
        <f t="array" ref="G499">IF(tblPayrollMaster[[#This Row],[Employee ID]]="","",_xlfn.XLOOKUP(selPayPeriodID,tblPayCalendar[PayPeriodID],tblPayCalendar[PeriodStart],""))</f>
        <v/>
      </c>
      <c r="H499" s="26" t="str" cm="1">
        <f t="array" ref="H499">IF(tblPayrollMaster[[#This Row],[Employee ID]]="","",_xlfn.XLOOKUP(selPayPeriodID,tblPayCalendar[PayPeriodID],tblPayCalendar[PeriodEnd],""))</f>
        <v/>
      </c>
      <c r="I499" s="24" t="e" cm="1" vm="1">
        <f t="array" aca="1" ref="I499" ca="1">Table18[Employer Name]</f>
        <v>#VALUE!</v>
      </c>
      <c r="J499" s="3" cm="1">
        <f t="array" ref="J49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499" s="25" t="str">
        <f>_xlfn.XLOOKUP(tblPayrollMaster[[#This Row],[Employee Position]],tblPositionandPayRate[Employee Position],tblPositionandPayRate[Overtime], " ")</f>
        <v xml:space="preserve"> </v>
      </c>
      <c r="L499" s="25">
        <f>_xlfn.XLOOKUP(tblPayrollMaster[[#This Row],[Employee Position]],tblPositionandPayRate[Employee Position],tblPositionandPayRate[Allowance 1],0)*tblPayrollMaster[[#This Row],[Pay Factor]]</f>
        <v>0</v>
      </c>
      <c r="M499" s="25">
        <f>_xlfn.XLOOKUP(tblPayrollMaster[[#This Row],[Employee Position]],tblPositionandPayRate[Employee Position],tblPositionandPayRate[Allowance 2],0)*tblPayrollMaster[[#This Row],[Pay Factor]]</f>
        <v>0</v>
      </c>
      <c r="N499" s="25">
        <f>_xlfn.XLOOKUP(tblPayrollMaster[[#This Row],[Employee Position]],tblPositionandPayRate[Employee Position],tblPositionandPayRate[Allowance 3],0)*tblPayrollMaster[[#This Row],[Pay Factor]]</f>
        <v>0</v>
      </c>
      <c r="O499" s="25">
        <f>_xlfn.XLOOKUP(tblPayrollMaster[[#This Row],[Employee Position]],tblPositionandPayRate[Employee Position],tblPositionandPayRate[Allowance 4],0)*tblPayrollMaster[[#This Row],[Pay Factor]]</f>
        <v>0</v>
      </c>
      <c r="P499" s="25">
        <f>_xlfn.XLOOKUP(tblPayrollMaster[[#This Row],[Employee Position]],tblPositionandPayRate[Employee Position],tblPositionandPayRate[Allowance 5],0)*tblPayrollMaster[[#This Row],[Pay Factor]]</f>
        <v>0</v>
      </c>
      <c r="Q499" s="25">
        <f>SUM(tblPayrollMaster[[#This Row],[Basic Pay]:[Allowance 5]])</f>
        <v>0</v>
      </c>
      <c r="R49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499" s="51" cm="1">
        <f t="array" ref="S4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499" s="3" cm="1">
        <f t="array" ref="T4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499" s="25">
        <f>_xlfn.LET(
_xlpm.tos, _xlfn.XLOOKUP(tblPayrollMaster[[#This Row],[Employee ID]], tblEmployee[Employee ID], tblEmployee[Type of Service], ""),
IF(_xlpm.tos="Contract of Service", 8.25, 0)
)</f>
        <v>0</v>
      </c>
      <c r="V499" s="25">
        <f>tblPayrollMaster[[#This Row],[Basic Earnings]]-tblPayrollMaster[[#This Row],[Tax]]-tblPayrollMaster[[#This Row],[NIS - Employee]]-tblPayrollMaster[[#This Row],[Health Surcharge]]</f>
        <v>0</v>
      </c>
      <c r="W499" s="25">
        <f>tblPayrollMaster[[#This Row],[Net Pay]]</f>
        <v>0</v>
      </c>
      <c r="X499" s="25"/>
    </row>
    <row r="500" spans="1:24" x14ac:dyDescent="0.25">
      <c r="A500" s="24"/>
      <c r="B500" s="24" t="str">
        <f>_xlfn.XLOOKUP(tblPayrollMaster[[#This Row],[Employee ID]],tblEmployee[Employee ID],tblEmployee[Employee Name],"")</f>
        <v/>
      </c>
      <c r="C500" s="24" t="str">
        <f>_xlfn.XLOOKUP(tblPayrollMaster[[#This Row],[Employee ID]],tblEmployee[Employee ID],tblEmployee[Employee Position],"")</f>
        <v/>
      </c>
      <c r="D500" s="24" t="str">
        <f>_xlfn.XLOOKUP(tblPayrollMaster[[#This Row],[Employee ID]], tblEmployee[Employee ID], tblEmployee[Pay Status], "Pay")</f>
        <v>Pay</v>
      </c>
      <c r="E500" s="24" t="str">
        <f>_xlfn.XLOOKUP(tblPayrollMaster[[#This Row],[Employee ID]], tblEmployee[Employee ID], tblEmployee[Payable Flag], "Y")</f>
        <v>Y</v>
      </c>
      <c r="F500" s="45">
        <f>IF(tblPayrollMaster[[#This Row],[Payable Flag]]="N",0,_xlfn.XLOOKUP(tblPayrollMaster[[#This Row],[Employee ID]],tblEmployee[Employee ID],tblEmployee[Pay Factor],1))</f>
        <v>1</v>
      </c>
      <c r="G500" s="26" t="str" cm="1">
        <f t="array" ref="G500">IF(tblPayrollMaster[[#This Row],[Employee ID]]="","",_xlfn.XLOOKUP(selPayPeriodID,tblPayCalendar[PayPeriodID],tblPayCalendar[PeriodStart],""))</f>
        <v/>
      </c>
      <c r="H500" s="26" t="str" cm="1">
        <f t="array" ref="H500">IF(tblPayrollMaster[[#This Row],[Employee ID]]="","",_xlfn.XLOOKUP(selPayPeriodID,tblPayCalendar[PayPeriodID],tblPayCalendar[PeriodEnd],""))</f>
        <v/>
      </c>
      <c r="I500" s="24" t="e" cm="1" vm="1">
        <f t="array" aca="1" ref="I500" ca="1">Table18[Employer Name]</f>
        <v>#VALUE!</v>
      </c>
      <c r="J500" s="3" cm="1">
        <f t="array" ref="J50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00" s="25" t="str">
        <f>_xlfn.XLOOKUP(tblPayrollMaster[[#This Row],[Employee Position]],tblPositionandPayRate[Employee Position],tblPositionandPayRate[Overtime], " ")</f>
        <v xml:space="preserve"> </v>
      </c>
      <c r="L500" s="25">
        <f>_xlfn.XLOOKUP(tblPayrollMaster[[#This Row],[Employee Position]],tblPositionandPayRate[Employee Position],tblPositionandPayRate[Allowance 1],0)*tblPayrollMaster[[#This Row],[Pay Factor]]</f>
        <v>0</v>
      </c>
      <c r="M500" s="25">
        <f>_xlfn.XLOOKUP(tblPayrollMaster[[#This Row],[Employee Position]],tblPositionandPayRate[Employee Position],tblPositionandPayRate[Allowance 2],0)*tblPayrollMaster[[#This Row],[Pay Factor]]</f>
        <v>0</v>
      </c>
      <c r="N500" s="25">
        <f>_xlfn.XLOOKUP(tblPayrollMaster[[#This Row],[Employee Position]],tblPositionandPayRate[Employee Position],tblPositionandPayRate[Allowance 3],0)*tblPayrollMaster[[#This Row],[Pay Factor]]</f>
        <v>0</v>
      </c>
      <c r="O500" s="25">
        <f>_xlfn.XLOOKUP(tblPayrollMaster[[#This Row],[Employee Position]],tblPositionandPayRate[Employee Position],tblPositionandPayRate[Allowance 4],0)*tblPayrollMaster[[#This Row],[Pay Factor]]</f>
        <v>0</v>
      </c>
      <c r="P500" s="25">
        <f>_xlfn.XLOOKUP(tblPayrollMaster[[#This Row],[Employee Position]],tblPositionandPayRate[Employee Position],tblPositionandPayRate[Allowance 5],0)*tblPayrollMaster[[#This Row],[Pay Factor]]</f>
        <v>0</v>
      </c>
      <c r="Q500" s="25">
        <f>SUM(tblPayrollMaster[[#This Row],[Basic Pay]:[Allowance 5]])</f>
        <v>0</v>
      </c>
      <c r="R50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00" s="51" cm="1">
        <f t="array" ref="S5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00" s="3" cm="1">
        <f t="array" ref="T5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00" s="25">
        <f>_xlfn.LET(
_xlpm.tos, _xlfn.XLOOKUP(tblPayrollMaster[[#This Row],[Employee ID]], tblEmployee[Employee ID], tblEmployee[Type of Service], ""),
IF(_xlpm.tos="Contract of Service", 8.25, 0)
)</f>
        <v>0</v>
      </c>
      <c r="V500" s="25">
        <f>tblPayrollMaster[[#This Row],[Basic Earnings]]-tblPayrollMaster[[#This Row],[Tax]]-tblPayrollMaster[[#This Row],[NIS - Employee]]-tblPayrollMaster[[#This Row],[Health Surcharge]]</f>
        <v>0</v>
      </c>
      <c r="W500" s="25">
        <f>tblPayrollMaster[[#This Row],[Net Pay]]</f>
        <v>0</v>
      </c>
      <c r="X500" s="25"/>
    </row>
    <row r="501" spans="1:24" x14ac:dyDescent="0.25">
      <c r="A501" s="24"/>
      <c r="B501" s="24" t="str">
        <f>_xlfn.XLOOKUP(tblPayrollMaster[[#This Row],[Employee ID]],tblEmployee[Employee ID],tblEmployee[Employee Name],"")</f>
        <v/>
      </c>
      <c r="C501" s="24" t="str">
        <f>_xlfn.XLOOKUP(tblPayrollMaster[[#This Row],[Employee ID]],tblEmployee[Employee ID],tblEmployee[Employee Position],"")</f>
        <v/>
      </c>
      <c r="D501" s="24" t="str">
        <f>_xlfn.XLOOKUP(tblPayrollMaster[[#This Row],[Employee ID]], tblEmployee[Employee ID], tblEmployee[Pay Status], "Pay")</f>
        <v>Pay</v>
      </c>
      <c r="E501" s="24" t="str">
        <f>_xlfn.XLOOKUP(tblPayrollMaster[[#This Row],[Employee ID]], tblEmployee[Employee ID], tblEmployee[Payable Flag], "Y")</f>
        <v>Y</v>
      </c>
      <c r="F501" s="45">
        <f>IF(tblPayrollMaster[[#This Row],[Payable Flag]]="N",0,_xlfn.XLOOKUP(tblPayrollMaster[[#This Row],[Employee ID]],tblEmployee[Employee ID],tblEmployee[Pay Factor],1))</f>
        <v>1</v>
      </c>
      <c r="G501" s="26" t="str" cm="1">
        <f t="array" ref="G501">IF(tblPayrollMaster[[#This Row],[Employee ID]]="","",_xlfn.XLOOKUP(selPayPeriodID,tblPayCalendar[PayPeriodID],tblPayCalendar[PeriodStart],""))</f>
        <v/>
      </c>
      <c r="H501" s="26" t="str" cm="1">
        <f t="array" ref="H501">IF(tblPayrollMaster[[#This Row],[Employee ID]]="","",_xlfn.XLOOKUP(selPayPeriodID,tblPayCalendar[PayPeriodID],tblPayCalendar[PeriodEnd],""))</f>
        <v/>
      </c>
      <c r="I501" s="24" t="e" cm="1" vm="1">
        <f t="array" aca="1" ref="I501" ca="1">Table18[Employer Name]</f>
        <v>#VALUE!</v>
      </c>
      <c r="J501" s="3" cm="1">
        <f t="array" ref="J50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01" s="25" t="str">
        <f>_xlfn.XLOOKUP(tblPayrollMaster[[#This Row],[Employee Position]],tblPositionandPayRate[Employee Position],tblPositionandPayRate[Overtime], " ")</f>
        <v xml:space="preserve"> </v>
      </c>
      <c r="L501" s="25">
        <f>_xlfn.XLOOKUP(tblPayrollMaster[[#This Row],[Employee Position]],tblPositionandPayRate[Employee Position],tblPositionandPayRate[Allowance 1],0)*tblPayrollMaster[[#This Row],[Pay Factor]]</f>
        <v>0</v>
      </c>
      <c r="M501" s="25">
        <f>_xlfn.XLOOKUP(tblPayrollMaster[[#This Row],[Employee Position]],tblPositionandPayRate[Employee Position],tblPositionandPayRate[Allowance 2],0)*tblPayrollMaster[[#This Row],[Pay Factor]]</f>
        <v>0</v>
      </c>
      <c r="N501" s="25">
        <f>_xlfn.XLOOKUP(tblPayrollMaster[[#This Row],[Employee Position]],tblPositionandPayRate[Employee Position],tblPositionandPayRate[Allowance 3],0)*tblPayrollMaster[[#This Row],[Pay Factor]]</f>
        <v>0</v>
      </c>
      <c r="O501" s="25">
        <f>_xlfn.XLOOKUP(tblPayrollMaster[[#This Row],[Employee Position]],tblPositionandPayRate[Employee Position],tblPositionandPayRate[Allowance 4],0)*tblPayrollMaster[[#This Row],[Pay Factor]]</f>
        <v>0</v>
      </c>
      <c r="P501" s="25">
        <f>_xlfn.XLOOKUP(tblPayrollMaster[[#This Row],[Employee Position]],tblPositionandPayRate[Employee Position],tblPositionandPayRate[Allowance 5],0)*tblPayrollMaster[[#This Row],[Pay Factor]]</f>
        <v>0</v>
      </c>
      <c r="Q501" s="25">
        <f>SUM(tblPayrollMaster[[#This Row],[Basic Pay]:[Allowance 5]])</f>
        <v>0</v>
      </c>
      <c r="R50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01" s="51" cm="1">
        <f t="array" ref="S5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01" s="3" cm="1">
        <f t="array" ref="T5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01" s="25">
        <f>_xlfn.LET(
_xlpm.tos, _xlfn.XLOOKUP(tblPayrollMaster[[#This Row],[Employee ID]], tblEmployee[Employee ID], tblEmployee[Type of Service], ""),
IF(_xlpm.tos="Contract of Service", 8.25, 0)
)</f>
        <v>0</v>
      </c>
      <c r="V501" s="25">
        <f>tblPayrollMaster[[#This Row],[Basic Earnings]]-tblPayrollMaster[[#This Row],[Tax]]-tblPayrollMaster[[#This Row],[NIS - Employee]]-tblPayrollMaster[[#This Row],[Health Surcharge]]</f>
        <v>0</v>
      </c>
      <c r="W501" s="25">
        <f>tblPayrollMaster[[#This Row],[Net Pay]]</f>
        <v>0</v>
      </c>
      <c r="X501" s="25"/>
    </row>
    <row r="502" spans="1:24" x14ac:dyDescent="0.25">
      <c r="A502" s="24"/>
      <c r="B502" s="24" t="str">
        <f>_xlfn.XLOOKUP(tblPayrollMaster[[#This Row],[Employee ID]],tblEmployee[Employee ID],tblEmployee[Employee Name],"")</f>
        <v/>
      </c>
      <c r="C502" s="24" t="str">
        <f>_xlfn.XLOOKUP(tblPayrollMaster[[#This Row],[Employee ID]],tblEmployee[Employee ID],tblEmployee[Employee Position],"")</f>
        <v/>
      </c>
      <c r="D502" s="24" t="str">
        <f>_xlfn.XLOOKUP(tblPayrollMaster[[#This Row],[Employee ID]], tblEmployee[Employee ID], tblEmployee[Pay Status], "Pay")</f>
        <v>Pay</v>
      </c>
      <c r="E502" s="24" t="str">
        <f>_xlfn.XLOOKUP(tblPayrollMaster[[#This Row],[Employee ID]], tblEmployee[Employee ID], tblEmployee[Payable Flag], "Y")</f>
        <v>Y</v>
      </c>
      <c r="F502" s="45">
        <f>IF(tblPayrollMaster[[#This Row],[Payable Flag]]="N",0,_xlfn.XLOOKUP(tblPayrollMaster[[#This Row],[Employee ID]],tblEmployee[Employee ID],tblEmployee[Pay Factor],1))</f>
        <v>1</v>
      </c>
      <c r="G502" s="26" t="str" cm="1">
        <f t="array" ref="G502">IF(tblPayrollMaster[[#This Row],[Employee ID]]="","",_xlfn.XLOOKUP(selPayPeriodID,tblPayCalendar[PayPeriodID],tblPayCalendar[PeriodStart],""))</f>
        <v/>
      </c>
      <c r="H502" s="26" t="str" cm="1">
        <f t="array" ref="H502">IF(tblPayrollMaster[[#This Row],[Employee ID]]="","",_xlfn.XLOOKUP(selPayPeriodID,tblPayCalendar[PayPeriodID],tblPayCalendar[PeriodEnd],""))</f>
        <v/>
      </c>
      <c r="I502" s="24" t="e" cm="1" vm="1">
        <f t="array" aca="1" ref="I502" ca="1">Table18[Employer Name]</f>
        <v>#VALUE!</v>
      </c>
      <c r="J502" s="3" cm="1">
        <f t="array" ref="J50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02" s="25" t="str">
        <f>_xlfn.XLOOKUP(tblPayrollMaster[[#This Row],[Employee Position]],tblPositionandPayRate[Employee Position],tblPositionandPayRate[Overtime], " ")</f>
        <v xml:space="preserve"> </v>
      </c>
      <c r="L502" s="25">
        <f>_xlfn.XLOOKUP(tblPayrollMaster[[#This Row],[Employee Position]],tblPositionandPayRate[Employee Position],tblPositionandPayRate[Allowance 1],0)*tblPayrollMaster[[#This Row],[Pay Factor]]</f>
        <v>0</v>
      </c>
      <c r="M502" s="25">
        <f>_xlfn.XLOOKUP(tblPayrollMaster[[#This Row],[Employee Position]],tblPositionandPayRate[Employee Position],tblPositionandPayRate[Allowance 2],0)*tblPayrollMaster[[#This Row],[Pay Factor]]</f>
        <v>0</v>
      </c>
      <c r="N502" s="25">
        <f>_xlfn.XLOOKUP(tblPayrollMaster[[#This Row],[Employee Position]],tblPositionandPayRate[Employee Position],tblPositionandPayRate[Allowance 3],0)*tblPayrollMaster[[#This Row],[Pay Factor]]</f>
        <v>0</v>
      </c>
      <c r="O502" s="25">
        <f>_xlfn.XLOOKUP(tblPayrollMaster[[#This Row],[Employee Position]],tblPositionandPayRate[Employee Position],tblPositionandPayRate[Allowance 4],0)*tblPayrollMaster[[#This Row],[Pay Factor]]</f>
        <v>0</v>
      </c>
      <c r="P502" s="25">
        <f>_xlfn.XLOOKUP(tblPayrollMaster[[#This Row],[Employee Position]],tblPositionandPayRate[Employee Position],tblPositionandPayRate[Allowance 5],0)*tblPayrollMaster[[#This Row],[Pay Factor]]</f>
        <v>0</v>
      </c>
      <c r="Q502" s="25">
        <f>SUM(tblPayrollMaster[[#This Row],[Basic Pay]:[Allowance 5]])</f>
        <v>0</v>
      </c>
      <c r="R50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02" s="51" cm="1">
        <f t="array" ref="S5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02" s="3" cm="1">
        <f t="array" ref="T5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02" s="25">
        <f>_xlfn.LET(
_xlpm.tos, _xlfn.XLOOKUP(tblPayrollMaster[[#This Row],[Employee ID]], tblEmployee[Employee ID], tblEmployee[Type of Service], ""),
IF(_xlpm.tos="Contract of Service", 8.25, 0)
)</f>
        <v>0</v>
      </c>
      <c r="V502" s="25">
        <f>tblPayrollMaster[[#This Row],[Basic Earnings]]-tblPayrollMaster[[#This Row],[Tax]]-tblPayrollMaster[[#This Row],[NIS - Employee]]-tblPayrollMaster[[#This Row],[Health Surcharge]]</f>
        <v>0</v>
      </c>
      <c r="W502" s="25">
        <f>tblPayrollMaster[[#This Row],[Net Pay]]</f>
        <v>0</v>
      </c>
      <c r="X502" s="25"/>
    </row>
    <row r="503" spans="1:24" x14ac:dyDescent="0.25">
      <c r="A503" s="24"/>
      <c r="B503" s="24" t="str">
        <f>_xlfn.XLOOKUP(tblPayrollMaster[[#This Row],[Employee ID]],tblEmployee[Employee ID],tblEmployee[Employee Name],"")</f>
        <v/>
      </c>
      <c r="C503" s="24" t="str">
        <f>_xlfn.XLOOKUP(tblPayrollMaster[[#This Row],[Employee ID]],tblEmployee[Employee ID],tblEmployee[Employee Position],"")</f>
        <v/>
      </c>
      <c r="D503" s="24" t="str">
        <f>_xlfn.XLOOKUP(tblPayrollMaster[[#This Row],[Employee ID]], tblEmployee[Employee ID], tblEmployee[Pay Status], "Pay")</f>
        <v>Pay</v>
      </c>
      <c r="E503" s="24" t="str">
        <f>_xlfn.XLOOKUP(tblPayrollMaster[[#This Row],[Employee ID]], tblEmployee[Employee ID], tblEmployee[Payable Flag], "Y")</f>
        <v>Y</v>
      </c>
      <c r="F503" s="45">
        <f>IF(tblPayrollMaster[[#This Row],[Payable Flag]]="N",0,_xlfn.XLOOKUP(tblPayrollMaster[[#This Row],[Employee ID]],tblEmployee[Employee ID],tblEmployee[Pay Factor],1))</f>
        <v>1</v>
      </c>
      <c r="G503" s="26" t="str" cm="1">
        <f t="array" ref="G503">IF(tblPayrollMaster[[#This Row],[Employee ID]]="","",_xlfn.XLOOKUP(selPayPeriodID,tblPayCalendar[PayPeriodID],tblPayCalendar[PeriodStart],""))</f>
        <v/>
      </c>
      <c r="H503" s="26" t="str" cm="1">
        <f t="array" ref="H503">IF(tblPayrollMaster[[#This Row],[Employee ID]]="","",_xlfn.XLOOKUP(selPayPeriodID,tblPayCalendar[PayPeriodID],tblPayCalendar[PeriodEnd],""))</f>
        <v/>
      </c>
      <c r="I503" s="24" t="e" cm="1" vm="1">
        <f t="array" aca="1" ref="I503" ca="1">Table18[Employer Name]</f>
        <v>#VALUE!</v>
      </c>
      <c r="J503" s="3" cm="1">
        <f t="array" ref="J50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03" s="25" t="str">
        <f>_xlfn.XLOOKUP(tblPayrollMaster[[#This Row],[Employee Position]],tblPositionandPayRate[Employee Position],tblPositionandPayRate[Overtime], " ")</f>
        <v xml:space="preserve"> </v>
      </c>
      <c r="L503" s="25">
        <f>_xlfn.XLOOKUP(tblPayrollMaster[[#This Row],[Employee Position]],tblPositionandPayRate[Employee Position],tblPositionandPayRate[Allowance 1],0)*tblPayrollMaster[[#This Row],[Pay Factor]]</f>
        <v>0</v>
      </c>
      <c r="M503" s="25">
        <f>_xlfn.XLOOKUP(tblPayrollMaster[[#This Row],[Employee Position]],tblPositionandPayRate[Employee Position],tblPositionandPayRate[Allowance 2],0)*tblPayrollMaster[[#This Row],[Pay Factor]]</f>
        <v>0</v>
      </c>
      <c r="N503" s="25">
        <f>_xlfn.XLOOKUP(tblPayrollMaster[[#This Row],[Employee Position]],tblPositionandPayRate[Employee Position],tblPositionandPayRate[Allowance 3],0)*tblPayrollMaster[[#This Row],[Pay Factor]]</f>
        <v>0</v>
      </c>
      <c r="O503" s="25">
        <f>_xlfn.XLOOKUP(tblPayrollMaster[[#This Row],[Employee Position]],tblPositionandPayRate[Employee Position],tblPositionandPayRate[Allowance 4],0)*tblPayrollMaster[[#This Row],[Pay Factor]]</f>
        <v>0</v>
      </c>
      <c r="P503" s="25">
        <f>_xlfn.XLOOKUP(tblPayrollMaster[[#This Row],[Employee Position]],tblPositionandPayRate[Employee Position],tblPositionandPayRate[Allowance 5],0)*tblPayrollMaster[[#This Row],[Pay Factor]]</f>
        <v>0</v>
      </c>
      <c r="Q503" s="25">
        <f>SUM(tblPayrollMaster[[#This Row],[Basic Pay]:[Allowance 5]])</f>
        <v>0</v>
      </c>
      <c r="R50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03" s="51" cm="1">
        <f t="array" ref="S5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03" s="3" cm="1">
        <f t="array" ref="T5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03" s="25">
        <f>_xlfn.LET(
_xlpm.tos, _xlfn.XLOOKUP(tblPayrollMaster[[#This Row],[Employee ID]], tblEmployee[Employee ID], tblEmployee[Type of Service], ""),
IF(_xlpm.tos="Contract of Service", 8.25, 0)
)</f>
        <v>0</v>
      </c>
      <c r="V503" s="25">
        <f>tblPayrollMaster[[#This Row],[Basic Earnings]]-tblPayrollMaster[[#This Row],[Tax]]-tblPayrollMaster[[#This Row],[NIS - Employee]]-tblPayrollMaster[[#This Row],[Health Surcharge]]</f>
        <v>0</v>
      </c>
      <c r="W503" s="25">
        <f>tblPayrollMaster[[#This Row],[Net Pay]]</f>
        <v>0</v>
      </c>
      <c r="X503" s="25"/>
    </row>
    <row r="504" spans="1:24" x14ac:dyDescent="0.25">
      <c r="A504" s="24"/>
      <c r="B504" s="24" t="str">
        <f>_xlfn.XLOOKUP(tblPayrollMaster[[#This Row],[Employee ID]],tblEmployee[Employee ID],tblEmployee[Employee Name],"")</f>
        <v/>
      </c>
      <c r="C504" s="24" t="str">
        <f>_xlfn.XLOOKUP(tblPayrollMaster[[#This Row],[Employee ID]],tblEmployee[Employee ID],tblEmployee[Employee Position],"")</f>
        <v/>
      </c>
      <c r="D504" s="24" t="str">
        <f>_xlfn.XLOOKUP(tblPayrollMaster[[#This Row],[Employee ID]], tblEmployee[Employee ID], tblEmployee[Pay Status], "Pay")</f>
        <v>Pay</v>
      </c>
      <c r="E504" s="24" t="str">
        <f>_xlfn.XLOOKUP(tblPayrollMaster[[#This Row],[Employee ID]], tblEmployee[Employee ID], tblEmployee[Payable Flag], "Y")</f>
        <v>Y</v>
      </c>
      <c r="F504" s="45">
        <f>IF(tblPayrollMaster[[#This Row],[Payable Flag]]="N",0,_xlfn.XLOOKUP(tblPayrollMaster[[#This Row],[Employee ID]],tblEmployee[Employee ID],tblEmployee[Pay Factor],1))</f>
        <v>1</v>
      </c>
      <c r="G504" s="26" t="str" cm="1">
        <f t="array" ref="G504">IF(tblPayrollMaster[[#This Row],[Employee ID]]="","",_xlfn.XLOOKUP(selPayPeriodID,tblPayCalendar[PayPeriodID],tblPayCalendar[PeriodStart],""))</f>
        <v/>
      </c>
      <c r="H504" s="26" t="str" cm="1">
        <f t="array" ref="H504">IF(tblPayrollMaster[[#This Row],[Employee ID]]="","",_xlfn.XLOOKUP(selPayPeriodID,tblPayCalendar[PayPeriodID],tblPayCalendar[PeriodEnd],""))</f>
        <v/>
      </c>
      <c r="I504" s="24" t="e" cm="1" vm="1">
        <f t="array" aca="1" ref="I504" ca="1">Table18[Employer Name]</f>
        <v>#VALUE!</v>
      </c>
      <c r="J504" s="3" cm="1">
        <f t="array" ref="J50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04" s="25" t="str">
        <f>_xlfn.XLOOKUP(tblPayrollMaster[[#This Row],[Employee Position]],tblPositionandPayRate[Employee Position],tblPositionandPayRate[Overtime], " ")</f>
        <v xml:space="preserve"> </v>
      </c>
      <c r="L504" s="25">
        <f>_xlfn.XLOOKUP(tblPayrollMaster[[#This Row],[Employee Position]],tblPositionandPayRate[Employee Position],tblPositionandPayRate[Allowance 1],0)*tblPayrollMaster[[#This Row],[Pay Factor]]</f>
        <v>0</v>
      </c>
      <c r="M504" s="25">
        <f>_xlfn.XLOOKUP(tblPayrollMaster[[#This Row],[Employee Position]],tblPositionandPayRate[Employee Position],tblPositionandPayRate[Allowance 2],0)*tblPayrollMaster[[#This Row],[Pay Factor]]</f>
        <v>0</v>
      </c>
      <c r="N504" s="25">
        <f>_xlfn.XLOOKUP(tblPayrollMaster[[#This Row],[Employee Position]],tblPositionandPayRate[Employee Position],tblPositionandPayRate[Allowance 3],0)*tblPayrollMaster[[#This Row],[Pay Factor]]</f>
        <v>0</v>
      </c>
      <c r="O504" s="25">
        <f>_xlfn.XLOOKUP(tblPayrollMaster[[#This Row],[Employee Position]],tblPositionandPayRate[Employee Position],tblPositionandPayRate[Allowance 4],0)*tblPayrollMaster[[#This Row],[Pay Factor]]</f>
        <v>0</v>
      </c>
      <c r="P504" s="25">
        <f>_xlfn.XLOOKUP(tblPayrollMaster[[#This Row],[Employee Position]],tblPositionandPayRate[Employee Position],tblPositionandPayRate[Allowance 5],0)*tblPayrollMaster[[#This Row],[Pay Factor]]</f>
        <v>0</v>
      </c>
      <c r="Q504" s="25">
        <f>SUM(tblPayrollMaster[[#This Row],[Basic Pay]:[Allowance 5]])</f>
        <v>0</v>
      </c>
      <c r="R50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04" s="51" cm="1">
        <f t="array" ref="S5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04" s="3" cm="1">
        <f t="array" ref="T5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04" s="25">
        <f>_xlfn.LET(
_xlpm.tos, _xlfn.XLOOKUP(tblPayrollMaster[[#This Row],[Employee ID]], tblEmployee[Employee ID], tblEmployee[Type of Service], ""),
IF(_xlpm.tos="Contract of Service", 8.25, 0)
)</f>
        <v>0</v>
      </c>
      <c r="V504" s="25">
        <f>tblPayrollMaster[[#This Row],[Basic Earnings]]-tblPayrollMaster[[#This Row],[Tax]]-tblPayrollMaster[[#This Row],[NIS - Employee]]-tblPayrollMaster[[#This Row],[Health Surcharge]]</f>
        <v>0</v>
      </c>
      <c r="W504" s="25">
        <f>tblPayrollMaster[[#This Row],[Net Pay]]</f>
        <v>0</v>
      </c>
      <c r="X504" s="25"/>
    </row>
    <row r="505" spans="1:24" x14ac:dyDescent="0.25">
      <c r="A505" s="24"/>
      <c r="B505" s="24" t="str">
        <f>_xlfn.XLOOKUP(tblPayrollMaster[[#This Row],[Employee ID]],tblEmployee[Employee ID],tblEmployee[Employee Name],"")</f>
        <v/>
      </c>
      <c r="C505" s="24" t="str">
        <f>_xlfn.XLOOKUP(tblPayrollMaster[[#This Row],[Employee ID]],tblEmployee[Employee ID],tblEmployee[Employee Position],"")</f>
        <v/>
      </c>
      <c r="D505" s="24" t="str">
        <f>_xlfn.XLOOKUP(tblPayrollMaster[[#This Row],[Employee ID]], tblEmployee[Employee ID], tblEmployee[Pay Status], "Pay")</f>
        <v>Pay</v>
      </c>
      <c r="E505" s="24" t="str">
        <f>_xlfn.XLOOKUP(tblPayrollMaster[[#This Row],[Employee ID]], tblEmployee[Employee ID], tblEmployee[Payable Flag], "Y")</f>
        <v>Y</v>
      </c>
      <c r="F505" s="45">
        <f>IF(tblPayrollMaster[[#This Row],[Payable Flag]]="N",0,_xlfn.XLOOKUP(tblPayrollMaster[[#This Row],[Employee ID]],tblEmployee[Employee ID],tblEmployee[Pay Factor],1))</f>
        <v>1</v>
      </c>
      <c r="G505" s="26" t="str" cm="1">
        <f t="array" ref="G505">IF(tblPayrollMaster[[#This Row],[Employee ID]]="","",_xlfn.XLOOKUP(selPayPeriodID,tblPayCalendar[PayPeriodID],tblPayCalendar[PeriodStart],""))</f>
        <v/>
      </c>
      <c r="H505" s="26" t="str" cm="1">
        <f t="array" ref="H505">IF(tblPayrollMaster[[#This Row],[Employee ID]]="","",_xlfn.XLOOKUP(selPayPeriodID,tblPayCalendar[PayPeriodID],tblPayCalendar[PeriodEnd],""))</f>
        <v/>
      </c>
      <c r="I505" s="24" t="e" cm="1" vm="1">
        <f t="array" aca="1" ref="I505" ca="1">Table18[Employer Name]</f>
        <v>#VALUE!</v>
      </c>
      <c r="J505" s="3" cm="1">
        <f t="array" ref="J50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05" s="25" t="str">
        <f>_xlfn.XLOOKUP(tblPayrollMaster[[#This Row],[Employee Position]],tblPositionandPayRate[Employee Position],tblPositionandPayRate[Overtime], " ")</f>
        <v xml:space="preserve"> </v>
      </c>
      <c r="L505" s="25">
        <f>_xlfn.XLOOKUP(tblPayrollMaster[[#This Row],[Employee Position]],tblPositionandPayRate[Employee Position],tblPositionandPayRate[Allowance 1],0)*tblPayrollMaster[[#This Row],[Pay Factor]]</f>
        <v>0</v>
      </c>
      <c r="M505" s="25">
        <f>_xlfn.XLOOKUP(tblPayrollMaster[[#This Row],[Employee Position]],tblPositionandPayRate[Employee Position],tblPositionandPayRate[Allowance 2],0)*tblPayrollMaster[[#This Row],[Pay Factor]]</f>
        <v>0</v>
      </c>
      <c r="N505" s="25">
        <f>_xlfn.XLOOKUP(tblPayrollMaster[[#This Row],[Employee Position]],tblPositionandPayRate[Employee Position],tblPositionandPayRate[Allowance 3],0)*tblPayrollMaster[[#This Row],[Pay Factor]]</f>
        <v>0</v>
      </c>
      <c r="O505" s="25">
        <f>_xlfn.XLOOKUP(tblPayrollMaster[[#This Row],[Employee Position]],tblPositionandPayRate[Employee Position],tblPositionandPayRate[Allowance 4],0)*tblPayrollMaster[[#This Row],[Pay Factor]]</f>
        <v>0</v>
      </c>
      <c r="P505" s="25">
        <f>_xlfn.XLOOKUP(tblPayrollMaster[[#This Row],[Employee Position]],tblPositionandPayRate[Employee Position],tblPositionandPayRate[Allowance 5],0)*tblPayrollMaster[[#This Row],[Pay Factor]]</f>
        <v>0</v>
      </c>
      <c r="Q505" s="25">
        <f>SUM(tblPayrollMaster[[#This Row],[Basic Pay]:[Allowance 5]])</f>
        <v>0</v>
      </c>
      <c r="R50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05" s="51" cm="1">
        <f t="array" ref="S5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05" s="3" cm="1">
        <f t="array" ref="T5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05" s="25">
        <f>_xlfn.LET(
_xlpm.tos, _xlfn.XLOOKUP(tblPayrollMaster[[#This Row],[Employee ID]], tblEmployee[Employee ID], tblEmployee[Type of Service], ""),
IF(_xlpm.tos="Contract of Service", 8.25, 0)
)</f>
        <v>0</v>
      </c>
      <c r="V505" s="25">
        <f>tblPayrollMaster[[#This Row],[Basic Earnings]]-tblPayrollMaster[[#This Row],[Tax]]-tblPayrollMaster[[#This Row],[NIS - Employee]]-tblPayrollMaster[[#This Row],[Health Surcharge]]</f>
        <v>0</v>
      </c>
      <c r="W505" s="25">
        <f>tblPayrollMaster[[#This Row],[Net Pay]]</f>
        <v>0</v>
      </c>
      <c r="X505" s="25"/>
    </row>
    <row r="506" spans="1:24" x14ac:dyDescent="0.25">
      <c r="A506" s="24"/>
      <c r="B506" s="24" t="str">
        <f>_xlfn.XLOOKUP(tblPayrollMaster[[#This Row],[Employee ID]],tblEmployee[Employee ID],tblEmployee[Employee Name],"")</f>
        <v/>
      </c>
      <c r="C506" s="24" t="str">
        <f>_xlfn.XLOOKUP(tblPayrollMaster[[#This Row],[Employee ID]],tblEmployee[Employee ID],tblEmployee[Employee Position],"")</f>
        <v/>
      </c>
      <c r="D506" s="24" t="str">
        <f>_xlfn.XLOOKUP(tblPayrollMaster[[#This Row],[Employee ID]], tblEmployee[Employee ID], tblEmployee[Pay Status], "Pay")</f>
        <v>Pay</v>
      </c>
      <c r="E506" s="24" t="str">
        <f>_xlfn.XLOOKUP(tblPayrollMaster[[#This Row],[Employee ID]], tblEmployee[Employee ID], tblEmployee[Payable Flag], "Y")</f>
        <v>Y</v>
      </c>
      <c r="F506" s="45">
        <f>IF(tblPayrollMaster[[#This Row],[Payable Flag]]="N",0,_xlfn.XLOOKUP(tblPayrollMaster[[#This Row],[Employee ID]],tblEmployee[Employee ID],tblEmployee[Pay Factor],1))</f>
        <v>1</v>
      </c>
      <c r="G506" s="26" t="str" cm="1">
        <f t="array" ref="G506">IF(tblPayrollMaster[[#This Row],[Employee ID]]="","",_xlfn.XLOOKUP(selPayPeriodID,tblPayCalendar[PayPeriodID],tblPayCalendar[PeriodStart],""))</f>
        <v/>
      </c>
      <c r="H506" s="26" t="str" cm="1">
        <f t="array" ref="H506">IF(tblPayrollMaster[[#This Row],[Employee ID]]="","",_xlfn.XLOOKUP(selPayPeriodID,tblPayCalendar[PayPeriodID],tblPayCalendar[PeriodEnd],""))</f>
        <v/>
      </c>
      <c r="I506" s="24" t="e" cm="1" vm="1">
        <f t="array" aca="1" ref="I506" ca="1">Table18[Employer Name]</f>
        <v>#VALUE!</v>
      </c>
      <c r="J506" s="3" cm="1">
        <f t="array" ref="J50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06" s="25" t="str">
        <f>_xlfn.XLOOKUP(tblPayrollMaster[[#This Row],[Employee Position]],tblPositionandPayRate[Employee Position],tblPositionandPayRate[Overtime], " ")</f>
        <v xml:space="preserve"> </v>
      </c>
      <c r="L506" s="25">
        <f>_xlfn.XLOOKUP(tblPayrollMaster[[#This Row],[Employee Position]],tblPositionandPayRate[Employee Position],tblPositionandPayRate[Allowance 1],0)*tblPayrollMaster[[#This Row],[Pay Factor]]</f>
        <v>0</v>
      </c>
      <c r="M506" s="25">
        <f>_xlfn.XLOOKUP(tblPayrollMaster[[#This Row],[Employee Position]],tblPositionandPayRate[Employee Position],tblPositionandPayRate[Allowance 2],0)*tblPayrollMaster[[#This Row],[Pay Factor]]</f>
        <v>0</v>
      </c>
      <c r="N506" s="25">
        <f>_xlfn.XLOOKUP(tblPayrollMaster[[#This Row],[Employee Position]],tblPositionandPayRate[Employee Position],tblPositionandPayRate[Allowance 3],0)*tblPayrollMaster[[#This Row],[Pay Factor]]</f>
        <v>0</v>
      </c>
      <c r="O506" s="25">
        <f>_xlfn.XLOOKUP(tblPayrollMaster[[#This Row],[Employee Position]],tblPositionandPayRate[Employee Position],tblPositionandPayRate[Allowance 4],0)*tblPayrollMaster[[#This Row],[Pay Factor]]</f>
        <v>0</v>
      </c>
      <c r="P506" s="25">
        <f>_xlfn.XLOOKUP(tblPayrollMaster[[#This Row],[Employee Position]],tblPositionandPayRate[Employee Position],tblPositionandPayRate[Allowance 5],0)*tblPayrollMaster[[#This Row],[Pay Factor]]</f>
        <v>0</v>
      </c>
      <c r="Q506" s="25">
        <f>SUM(tblPayrollMaster[[#This Row],[Basic Pay]:[Allowance 5]])</f>
        <v>0</v>
      </c>
      <c r="R50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06" s="51" cm="1">
        <f t="array" ref="S5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06" s="3" cm="1">
        <f t="array" ref="T5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06" s="25">
        <f>_xlfn.LET(
_xlpm.tos, _xlfn.XLOOKUP(tblPayrollMaster[[#This Row],[Employee ID]], tblEmployee[Employee ID], tblEmployee[Type of Service], ""),
IF(_xlpm.tos="Contract of Service", 8.25, 0)
)</f>
        <v>0</v>
      </c>
      <c r="V506" s="25">
        <f>tblPayrollMaster[[#This Row],[Basic Earnings]]-tblPayrollMaster[[#This Row],[Tax]]-tblPayrollMaster[[#This Row],[NIS - Employee]]-tblPayrollMaster[[#This Row],[Health Surcharge]]</f>
        <v>0</v>
      </c>
      <c r="W506" s="25">
        <f>tblPayrollMaster[[#This Row],[Net Pay]]</f>
        <v>0</v>
      </c>
      <c r="X506" s="25"/>
    </row>
    <row r="507" spans="1:24" x14ac:dyDescent="0.25">
      <c r="A507" s="24"/>
      <c r="B507" s="24" t="str">
        <f>_xlfn.XLOOKUP(tblPayrollMaster[[#This Row],[Employee ID]],tblEmployee[Employee ID],tblEmployee[Employee Name],"")</f>
        <v/>
      </c>
      <c r="C507" s="24" t="str">
        <f>_xlfn.XLOOKUP(tblPayrollMaster[[#This Row],[Employee ID]],tblEmployee[Employee ID],tblEmployee[Employee Position],"")</f>
        <v/>
      </c>
      <c r="D507" s="24" t="str">
        <f>_xlfn.XLOOKUP(tblPayrollMaster[[#This Row],[Employee ID]], tblEmployee[Employee ID], tblEmployee[Pay Status], "Pay")</f>
        <v>Pay</v>
      </c>
      <c r="E507" s="24" t="str">
        <f>_xlfn.XLOOKUP(tblPayrollMaster[[#This Row],[Employee ID]], tblEmployee[Employee ID], tblEmployee[Payable Flag], "Y")</f>
        <v>Y</v>
      </c>
      <c r="F507" s="45">
        <f>IF(tblPayrollMaster[[#This Row],[Payable Flag]]="N",0,_xlfn.XLOOKUP(tblPayrollMaster[[#This Row],[Employee ID]],tblEmployee[Employee ID],tblEmployee[Pay Factor],1))</f>
        <v>1</v>
      </c>
      <c r="G507" s="26" t="str" cm="1">
        <f t="array" ref="G507">IF(tblPayrollMaster[[#This Row],[Employee ID]]="","",_xlfn.XLOOKUP(selPayPeriodID,tblPayCalendar[PayPeriodID],tblPayCalendar[PeriodStart],""))</f>
        <v/>
      </c>
      <c r="H507" s="26" t="str" cm="1">
        <f t="array" ref="H507">IF(tblPayrollMaster[[#This Row],[Employee ID]]="","",_xlfn.XLOOKUP(selPayPeriodID,tblPayCalendar[PayPeriodID],tblPayCalendar[PeriodEnd],""))</f>
        <v/>
      </c>
      <c r="I507" s="24" t="e" cm="1" vm="1">
        <f t="array" aca="1" ref="I507" ca="1">Table18[Employer Name]</f>
        <v>#VALUE!</v>
      </c>
      <c r="J507" s="3" cm="1">
        <f t="array" ref="J50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07" s="25" t="str">
        <f>_xlfn.XLOOKUP(tblPayrollMaster[[#This Row],[Employee Position]],tblPositionandPayRate[Employee Position],tblPositionandPayRate[Overtime], " ")</f>
        <v xml:space="preserve"> </v>
      </c>
      <c r="L507" s="25">
        <f>_xlfn.XLOOKUP(tblPayrollMaster[[#This Row],[Employee Position]],tblPositionandPayRate[Employee Position],tblPositionandPayRate[Allowance 1],0)*tblPayrollMaster[[#This Row],[Pay Factor]]</f>
        <v>0</v>
      </c>
      <c r="M507" s="25">
        <f>_xlfn.XLOOKUP(tblPayrollMaster[[#This Row],[Employee Position]],tblPositionandPayRate[Employee Position],tblPositionandPayRate[Allowance 2],0)*tblPayrollMaster[[#This Row],[Pay Factor]]</f>
        <v>0</v>
      </c>
      <c r="N507" s="25">
        <f>_xlfn.XLOOKUP(tblPayrollMaster[[#This Row],[Employee Position]],tblPositionandPayRate[Employee Position],tblPositionandPayRate[Allowance 3],0)*tblPayrollMaster[[#This Row],[Pay Factor]]</f>
        <v>0</v>
      </c>
      <c r="O507" s="25">
        <f>_xlfn.XLOOKUP(tblPayrollMaster[[#This Row],[Employee Position]],tblPositionandPayRate[Employee Position],tblPositionandPayRate[Allowance 4],0)*tblPayrollMaster[[#This Row],[Pay Factor]]</f>
        <v>0</v>
      </c>
      <c r="P507" s="25">
        <f>_xlfn.XLOOKUP(tblPayrollMaster[[#This Row],[Employee Position]],tblPositionandPayRate[Employee Position],tblPositionandPayRate[Allowance 5],0)*tblPayrollMaster[[#This Row],[Pay Factor]]</f>
        <v>0</v>
      </c>
      <c r="Q507" s="25">
        <f>SUM(tblPayrollMaster[[#This Row],[Basic Pay]:[Allowance 5]])</f>
        <v>0</v>
      </c>
      <c r="R50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07" s="51" cm="1">
        <f t="array" ref="S5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07" s="3" cm="1">
        <f t="array" ref="T5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07" s="25">
        <f>_xlfn.LET(
_xlpm.tos, _xlfn.XLOOKUP(tblPayrollMaster[[#This Row],[Employee ID]], tblEmployee[Employee ID], tblEmployee[Type of Service], ""),
IF(_xlpm.tos="Contract of Service", 8.25, 0)
)</f>
        <v>0</v>
      </c>
      <c r="V507" s="25">
        <f>tblPayrollMaster[[#This Row],[Basic Earnings]]-tblPayrollMaster[[#This Row],[Tax]]-tblPayrollMaster[[#This Row],[NIS - Employee]]-tblPayrollMaster[[#This Row],[Health Surcharge]]</f>
        <v>0</v>
      </c>
      <c r="W507" s="25">
        <f>tblPayrollMaster[[#This Row],[Net Pay]]</f>
        <v>0</v>
      </c>
      <c r="X507" s="25"/>
    </row>
    <row r="508" spans="1:24" x14ac:dyDescent="0.25">
      <c r="A508" s="24"/>
      <c r="B508" s="24" t="str">
        <f>_xlfn.XLOOKUP(tblPayrollMaster[[#This Row],[Employee ID]],tblEmployee[Employee ID],tblEmployee[Employee Name],"")</f>
        <v/>
      </c>
      <c r="C508" s="24" t="str">
        <f>_xlfn.XLOOKUP(tblPayrollMaster[[#This Row],[Employee ID]],tblEmployee[Employee ID],tblEmployee[Employee Position],"")</f>
        <v/>
      </c>
      <c r="D508" s="24" t="str">
        <f>_xlfn.XLOOKUP(tblPayrollMaster[[#This Row],[Employee ID]], tblEmployee[Employee ID], tblEmployee[Pay Status], "Pay")</f>
        <v>Pay</v>
      </c>
      <c r="E508" s="24" t="str">
        <f>_xlfn.XLOOKUP(tblPayrollMaster[[#This Row],[Employee ID]], tblEmployee[Employee ID], tblEmployee[Payable Flag], "Y")</f>
        <v>Y</v>
      </c>
      <c r="F508" s="45">
        <f>IF(tblPayrollMaster[[#This Row],[Payable Flag]]="N",0,_xlfn.XLOOKUP(tblPayrollMaster[[#This Row],[Employee ID]],tblEmployee[Employee ID],tblEmployee[Pay Factor],1))</f>
        <v>1</v>
      </c>
      <c r="G508" s="26" t="str" cm="1">
        <f t="array" ref="G508">IF(tblPayrollMaster[[#This Row],[Employee ID]]="","",_xlfn.XLOOKUP(selPayPeriodID,tblPayCalendar[PayPeriodID],tblPayCalendar[PeriodStart],""))</f>
        <v/>
      </c>
      <c r="H508" s="26" t="str" cm="1">
        <f t="array" ref="H508">IF(tblPayrollMaster[[#This Row],[Employee ID]]="","",_xlfn.XLOOKUP(selPayPeriodID,tblPayCalendar[PayPeriodID],tblPayCalendar[PeriodEnd],""))</f>
        <v/>
      </c>
      <c r="I508" s="24" t="e" cm="1" vm="1">
        <f t="array" aca="1" ref="I508" ca="1">Table18[Employer Name]</f>
        <v>#VALUE!</v>
      </c>
      <c r="J508" s="3" cm="1">
        <f t="array" ref="J50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08" s="25" t="str">
        <f>_xlfn.XLOOKUP(tblPayrollMaster[[#This Row],[Employee Position]],tblPositionandPayRate[Employee Position],tblPositionandPayRate[Overtime], " ")</f>
        <v xml:space="preserve"> </v>
      </c>
      <c r="L508" s="25">
        <f>_xlfn.XLOOKUP(tblPayrollMaster[[#This Row],[Employee Position]],tblPositionandPayRate[Employee Position],tblPositionandPayRate[Allowance 1],0)*tblPayrollMaster[[#This Row],[Pay Factor]]</f>
        <v>0</v>
      </c>
      <c r="M508" s="25">
        <f>_xlfn.XLOOKUP(tblPayrollMaster[[#This Row],[Employee Position]],tblPositionandPayRate[Employee Position],tblPositionandPayRate[Allowance 2],0)*tblPayrollMaster[[#This Row],[Pay Factor]]</f>
        <v>0</v>
      </c>
      <c r="N508" s="25">
        <f>_xlfn.XLOOKUP(tblPayrollMaster[[#This Row],[Employee Position]],tblPositionandPayRate[Employee Position],tblPositionandPayRate[Allowance 3],0)*tblPayrollMaster[[#This Row],[Pay Factor]]</f>
        <v>0</v>
      </c>
      <c r="O508" s="25">
        <f>_xlfn.XLOOKUP(tblPayrollMaster[[#This Row],[Employee Position]],tblPositionandPayRate[Employee Position],tblPositionandPayRate[Allowance 4],0)*tblPayrollMaster[[#This Row],[Pay Factor]]</f>
        <v>0</v>
      </c>
      <c r="P508" s="25">
        <f>_xlfn.XLOOKUP(tblPayrollMaster[[#This Row],[Employee Position]],tblPositionandPayRate[Employee Position],tblPositionandPayRate[Allowance 5],0)*tblPayrollMaster[[#This Row],[Pay Factor]]</f>
        <v>0</v>
      </c>
      <c r="Q508" s="25">
        <f>SUM(tblPayrollMaster[[#This Row],[Basic Pay]:[Allowance 5]])</f>
        <v>0</v>
      </c>
      <c r="R50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08" s="51" cm="1">
        <f t="array" ref="S5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08" s="3" cm="1">
        <f t="array" ref="T5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08" s="25">
        <f>_xlfn.LET(
_xlpm.tos, _xlfn.XLOOKUP(tblPayrollMaster[[#This Row],[Employee ID]], tblEmployee[Employee ID], tblEmployee[Type of Service], ""),
IF(_xlpm.tos="Contract of Service", 8.25, 0)
)</f>
        <v>0</v>
      </c>
      <c r="V508" s="25">
        <f>tblPayrollMaster[[#This Row],[Basic Earnings]]-tblPayrollMaster[[#This Row],[Tax]]-tblPayrollMaster[[#This Row],[NIS - Employee]]-tblPayrollMaster[[#This Row],[Health Surcharge]]</f>
        <v>0</v>
      </c>
      <c r="W508" s="25">
        <f>tblPayrollMaster[[#This Row],[Net Pay]]</f>
        <v>0</v>
      </c>
      <c r="X508" s="25"/>
    </row>
    <row r="509" spans="1:24" x14ac:dyDescent="0.25">
      <c r="A509" s="24"/>
      <c r="B509" s="24" t="str">
        <f>_xlfn.XLOOKUP(tblPayrollMaster[[#This Row],[Employee ID]],tblEmployee[Employee ID],tblEmployee[Employee Name],"")</f>
        <v/>
      </c>
      <c r="C509" s="24" t="str">
        <f>_xlfn.XLOOKUP(tblPayrollMaster[[#This Row],[Employee ID]],tblEmployee[Employee ID],tblEmployee[Employee Position],"")</f>
        <v/>
      </c>
      <c r="D509" s="24" t="str">
        <f>_xlfn.XLOOKUP(tblPayrollMaster[[#This Row],[Employee ID]], tblEmployee[Employee ID], tblEmployee[Pay Status], "Pay")</f>
        <v>Pay</v>
      </c>
      <c r="E509" s="24" t="str">
        <f>_xlfn.XLOOKUP(tblPayrollMaster[[#This Row],[Employee ID]], tblEmployee[Employee ID], tblEmployee[Payable Flag], "Y")</f>
        <v>Y</v>
      </c>
      <c r="F509" s="45">
        <f>IF(tblPayrollMaster[[#This Row],[Payable Flag]]="N",0,_xlfn.XLOOKUP(tblPayrollMaster[[#This Row],[Employee ID]],tblEmployee[Employee ID],tblEmployee[Pay Factor],1))</f>
        <v>1</v>
      </c>
      <c r="G509" s="26" t="str" cm="1">
        <f t="array" ref="G509">IF(tblPayrollMaster[[#This Row],[Employee ID]]="","",_xlfn.XLOOKUP(selPayPeriodID,tblPayCalendar[PayPeriodID],tblPayCalendar[PeriodStart],""))</f>
        <v/>
      </c>
      <c r="H509" s="26" t="str" cm="1">
        <f t="array" ref="H509">IF(tblPayrollMaster[[#This Row],[Employee ID]]="","",_xlfn.XLOOKUP(selPayPeriodID,tblPayCalendar[PayPeriodID],tblPayCalendar[PeriodEnd],""))</f>
        <v/>
      </c>
      <c r="I509" s="24" t="e" cm="1" vm="1">
        <f t="array" aca="1" ref="I509" ca="1">Table18[Employer Name]</f>
        <v>#VALUE!</v>
      </c>
      <c r="J509" s="3" cm="1">
        <f t="array" ref="J50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09" s="25" t="str">
        <f>_xlfn.XLOOKUP(tblPayrollMaster[[#This Row],[Employee Position]],tblPositionandPayRate[Employee Position],tblPositionandPayRate[Overtime], " ")</f>
        <v xml:space="preserve"> </v>
      </c>
      <c r="L509" s="25">
        <f>_xlfn.XLOOKUP(tblPayrollMaster[[#This Row],[Employee Position]],tblPositionandPayRate[Employee Position],tblPositionandPayRate[Allowance 1],0)*tblPayrollMaster[[#This Row],[Pay Factor]]</f>
        <v>0</v>
      </c>
      <c r="M509" s="25">
        <f>_xlfn.XLOOKUP(tblPayrollMaster[[#This Row],[Employee Position]],tblPositionandPayRate[Employee Position],tblPositionandPayRate[Allowance 2],0)*tblPayrollMaster[[#This Row],[Pay Factor]]</f>
        <v>0</v>
      </c>
      <c r="N509" s="25">
        <f>_xlfn.XLOOKUP(tblPayrollMaster[[#This Row],[Employee Position]],tblPositionandPayRate[Employee Position],tblPositionandPayRate[Allowance 3],0)*tblPayrollMaster[[#This Row],[Pay Factor]]</f>
        <v>0</v>
      </c>
      <c r="O509" s="25">
        <f>_xlfn.XLOOKUP(tblPayrollMaster[[#This Row],[Employee Position]],tblPositionandPayRate[Employee Position],tblPositionandPayRate[Allowance 4],0)*tblPayrollMaster[[#This Row],[Pay Factor]]</f>
        <v>0</v>
      </c>
      <c r="P509" s="25">
        <f>_xlfn.XLOOKUP(tblPayrollMaster[[#This Row],[Employee Position]],tblPositionandPayRate[Employee Position],tblPositionandPayRate[Allowance 5],0)*tblPayrollMaster[[#This Row],[Pay Factor]]</f>
        <v>0</v>
      </c>
      <c r="Q509" s="25">
        <f>SUM(tblPayrollMaster[[#This Row],[Basic Pay]:[Allowance 5]])</f>
        <v>0</v>
      </c>
      <c r="R50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09" s="51" cm="1">
        <f t="array" ref="S5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09" s="3" cm="1">
        <f t="array" ref="T5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09" s="25">
        <f>_xlfn.LET(
_xlpm.tos, _xlfn.XLOOKUP(tblPayrollMaster[[#This Row],[Employee ID]], tblEmployee[Employee ID], tblEmployee[Type of Service], ""),
IF(_xlpm.tos="Contract of Service", 8.25, 0)
)</f>
        <v>0</v>
      </c>
      <c r="V509" s="25">
        <f>tblPayrollMaster[[#This Row],[Basic Earnings]]-tblPayrollMaster[[#This Row],[Tax]]-tblPayrollMaster[[#This Row],[NIS - Employee]]-tblPayrollMaster[[#This Row],[Health Surcharge]]</f>
        <v>0</v>
      </c>
      <c r="W509" s="25">
        <f>tblPayrollMaster[[#This Row],[Net Pay]]</f>
        <v>0</v>
      </c>
      <c r="X509" s="25"/>
    </row>
    <row r="510" spans="1:24" x14ac:dyDescent="0.25">
      <c r="A510" s="24"/>
      <c r="B510" s="24" t="str">
        <f>_xlfn.XLOOKUP(tblPayrollMaster[[#This Row],[Employee ID]],tblEmployee[Employee ID],tblEmployee[Employee Name],"")</f>
        <v/>
      </c>
      <c r="C510" s="24" t="str">
        <f>_xlfn.XLOOKUP(tblPayrollMaster[[#This Row],[Employee ID]],tblEmployee[Employee ID],tblEmployee[Employee Position],"")</f>
        <v/>
      </c>
      <c r="D510" s="24" t="str">
        <f>_xlfn.XLOOKUP(tblPayrollMaster[[#This Row],[Employee ID]], tblEmployee[Employee ID], tblEmployee[Pay Status], "Pay")</f>
        <v>Pay</v>
      </c>
      <c r="E510" s="24" t="str">
        <f>_xlfn.XLOOKUP(tblPayrollMaster[[#This Row],[Employee ID]], tblEmployee[Employee ID], tblEmployee[Payable Flag], "Y")</f>
        <v>Y</v>
      </c>
      <c r="F510" s="45">
        <f>IF(tblPayrollMaster[[#This Row],[Payable Flag]]="N",0,_xlfn.XLOOKUP(tblPayrollMaster[[#This Row],[Employee ID]],tblEmployee[Employee ID],tblEmployee[Pay Factor],1))</f>
        <v>1</v>
      </c>
      <c r="G510" s="26" t="str" cm="1">
        <f t="array" ref="G510">IF(tblPayrollMaster[[#This Row],[Employee ID]]="","",_xlfn.XLOOKUP(selPayPeriodID,tblPayCalendar[PayPeriodID],tblPayCalendar[PeriodStart],""))</f>
        <v/>
      </c>
      <c r="H510" s="26" t="str" cm="1">
        <f t="array" ref="H510">IF(tblPayrollMaster[[#This Row],[Employee ID]]="","",_xlfn.XLOOKUP(selPayPeriodID,tblPayCalendar[PayPeriodID],tblPayCalendar[PeriodEnd],""))</f>
        <v/>
      </c>
      <c r="I510" s="24" t="e" cm="1" vm="1">
        <f t="array" aca="1" ref="I510" ca="1">Table18[Employer Name]</f>
        <v>#VALUE!</v>
      </c>
      <c r="J510" s="3" cm="1">
        <f t="array" ref="J51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10" s="25" t="str">
        <f>_xlfn.XLOOKUP(tblPayrollMaster[[#This Row],[Employee Position]],tblPositionandPayRate[Employee Position],tblPositionandPayRate[Overtime], " ")</f>
        <v xml:space="preserve"> </v>
      </c>
      <c r="L510" s="25">
        <f>_xlfn.XLOOKUP(tblPayrollMaster[[#This Row],[Employee Position]],tblPositionandPayRate[Employee Position],tblPositionandPayRate[Allowance 1],0)*tblPayrollMaster[[#This Row],[Pay Factor]]</f>
        <v>0</v>
      </c>
      <c r="M510" s="25">
        <f>_xlfn.XLOOKUP(tblPayrollMaster[[#This Row],[Employee Position]],tblPositionandPayRate[Employee Position],tblPositionandPayRate[Allowance 2],0)*tblPayrollMaster[[#This Row],[Pay Factor]]</f>
        <v>0</v>
      </c>
      <c r="N510" s="25">
        <f>_xlfn.XLOOKUP(tblPayrollMaster[[#This Row],[Employee Position]],tblPositionandPayRate[Employee Position],tblPositionandPayRate[Allowance 3],0)*tblPayrollMaster[[#This Row],[Pay Factor]]</f>
        <v>0</v>
      </c>
      <c r="O510" s="25">
        <f>_xlfn.XLOOKUP(tblPayrollMaster[[#This Row],[Employee Position]],tblPositionandPayRate[Employee Position],tblPositionandPayRate[Allowance 4],0)*tblPayrollMaster[[#This Row],[Pay Factor]]</f>
        <v>0</v>
      </c>
      <c r="P510" s="25">
        <f>_xlfn.XLOOKUP(tblPayrollMaster[[#This Row],[Employee Position]],tblPositionandPayRate[Employee Position],tblPositionandPayRate[Allowance 5],0)*tblPayrollMaster[[#This Row],[Pay Factor]]</f>
        <v>0</v>
      </c>
      <c r="Q510" s="25">
        <f>SUM(tblPayrollMaster[[#This Row],[Basic Pay]:[Allowance 5]])</f>
        <v>0</v>
      </c>
      <c r="R51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10" s="51" cm="1">
        <f t="array" ref="S5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10" s="3" cm="1">
        <f t="array" ref="T5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10" s="25">
        <f>_xlfn.LET(
_xlpm.tos, _xlfn.XLOOKUP(tblPayrollMaster[[#This Row],[Employee ID]], tblEmployee[Employee ID], tblEmployee[Type of Service], ""),
IF(_xlpm.tos="Contract of Service", 8.25, 0)
)</f>
        <v>0</v>
      </c>
      <c r="V510" s="25">
        <f>tblPayrollMaster[[#This Row],[Basic Earnings]]-tblPayrollMaster[[#This Row],[Tax]]-tblPayrollMaster[[#This Row],[NIS - Employee]]-tblPayrollMaster[[#This Row],[Health Surcharge]]</f>
        <v>0</v>
      </c>
      <c r="W510" s="25">
        <f>tblPayrollMaster[[#This Row],[Net Pay]]</f>
        <v>0</v>
      </c>
      <c r="X510" s="25"/>
    </row>
    <row r="511" spans="1:24" x14ac:dyDescent="0.25">
      <c r="A511" s="24"/>
      <c r="B511" s="24" t="str">
        <f>_xlfn.XLOOKUP(tblPayrollMaster[[#This Row],[Employee ID]],tblEmployee[Employee ID],tblEmployee[Employee Name],"")</f>
        <v/>
      </c>
      <c r="C511" s="24" t="str">
        <f>_xlfn.XLOOKUP(tblPayrollMaster[[#This Row],[Employee ID]],tblEmployee[Employee ID],tblEmployee[Employee Position],"")</f>
        <v/>
      </c>
      <c r="D511" s="24" t="str">
        <f>_xlfn.XLOOKUP(tblPayrollMaster[[#This Row],[Employee ID]], tblEmployee[Employee ID], tblEmployee[Pay Status], "Pay")</f>
        <v>Pay</v>
      </c>
      <c r="E511" s="24" t="str">
        <f>_xlfn.XLOOKUP(tblPayrollMaster[[#This Row],[Employee ID]], tblEmployee[Employee ID], tblEmployee[Payable Flag], "Y")</f>
        <v>Y</v>
      </c>
      <c r="F511" s="45">
        <f>IF(tblPayrollMaster[[#This Row],[Payable Flag]]="N",0,_xlfn.XLOOKUP(tblPayrollMaster[[#This Row],[Employee ID]],tblEmployee[Employee ID],tblEmployee[Pay Factor],1))</f>
        <v>1</v>
      </c>
      <c r="G511" s="26" t="str" cm="1">
        <f t="array" ref="G511">IF(tblPayrollMaster[[#This Row],[Employee ID]]="","",_xlfn.XLOOKUP(selPayPeriodID,tblPayCalendar[PayPeriodID],tblPayCalendar[PeriodStart],""))</f>
        <v/>
      </c>
      <c r="H511" s="26" t="str" cm="1">
        <f t="array" ref="H511">IF(tblPayrollMaster[[#This Row],[Employee ID]]="","",_xlfn.XLOOKUP(selPayPeriodID,tblPayCalendar[PayPeriodID],tblPayCalendar[PeriodEnd],""))</f>
        <v/>
      </c>
      <c r="I511" s="24" t="e" cm="1" vm="1">
        <f t="array" aca="1" ref="I511" ca="1">Table18[Employer Name]</f>
        <v>#VALUE!</v>
      </c>
      <c r="J511" s="3" cm="1">
        <f t="array" ref="J51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11" s="25" t="str">
        <f>_xlfn.XLOOKUP(tblPayrollMaster[[#This Row],[Employee Position]],tblPositionandPayRate[Employee Position],tblPositionandPayRate[Overtime], " ")</f>
        <v xml:space="preserve"> </v>
      </c>
      <c r="L511" s="25">
        <f>_xlfn.XLOOKUP(tblPayrollMaster[[#This Row],[Employee Position]],tblPositionandPayRate[Employee Position],tblPositionandPayRate[Allowance 1],0)*tblPayrollMaster[[#This Row],[Pay Factor]]</f>
        <v>0</v>
      </c>
      <c r="M511" s="25">
        <f>_xlfn.XLOOKUP(tblPayrollMaster[[#This Row],[Employee Position]],tblPositionandPayRate[Employee Position],tblPositionandPayRate[Allowance 2],0)*tblPayrollMaster[[#This Row],[Pay Factor]]</f>
        <v>0</v>
      </c>
      <c r="N511" s="25">
        <f>_xlfn.XLOOKUP(tblPayrollMaster[[#This Row],[Employee Position]],tblPositionandPayRate[Employee Position],tblPositionandPayRate[Allowance 3],0)*tblPayrollMaster[[#This Row],[Pay Factor]]</f>
        <v>0</v>
      </c>
      <c r="O511" s="25">
        <f>_xlfn.XLOOKUP(tblPayrollMaster[[#This Row],[Employee Position]],tblPositionandPayRate[Employee Position],tblPositionandPayRate[Allowance 4],0)*tblPayrollMaster[[#This Row],[Pay Factor]]</f>
        <v>0</v>
      </c>
      <c r="P511" s="25">
        <f>_xlfn.XLOOKUP(tblPayrollMaster[[#This Row],[Employee Position]],tblPositionandPayRate[Employee Position],tblPositionandPayRate[Allowance 5],0)*tblPayrollMaster[[#This Row],[Pay Factor]]</f>
        <v>0</v>
      </c>
      <c r="Q511" s="25">
        <f>SUM(tblPayrollMaster[[#This Row],[Basic Pay]:[Allowance 5]])</f>
        <v>0</v>
      </c>
      <c r="R51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11" s="51" cm="1">
        <f t="array" ref="S5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11" s="3" cm="1">
        <f t="array" ref="T5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11" s="25">
        <f>_xlfn.LET(
_xlpm.tos, _xlfn.XLOOKUP(tblPayrollMaster[[#This Row],[Employee ID]], tblEmployee[Employee ID], tblEmployee[Type of Service], ""),
IF(_xlpm.tos="Contract of Service", 8.25, 0)
)</f>
        <v>0</v>
      </c>
      <c r="V511" s="25">
        <f>tblPayrollMaster[[#This Row],[Basic Earnings]]-tblPayrollMaster[[#This Row],[Tax]]-tblPayrollMaster[[#This Row],[NIS - Employee]]-tblPayrollMaster[[#This Row],[Health Surcharge]]</f>
        <v>0</v>
      </c>
      <c r="W511" s="25">
        <f>tblPayrollMaster[[#This Row],[Net Pay]]</f>
        <v>0</v>
      </c>
      <c r="X511" s="25"/>
    </row>
    <row r="512" spans="1:24" x14ac:dyDescent="0.25">
      <c r="A512" s="24"/>
      <c r="B512" s="24" t="str">
        <f>_xlfn.XLOOKUP(tblPayrollMaster[[#This Row],[Employee ID]],tblEmployee[Employee ID],tblEmployee[Employee Name],"")</f>
        <v/>
      </c>
      <c r="C512" s="24" t="str">
        <f>_xlfn.XLOOKUP(tblPayrollMaster[[#This Row],[Employee ID]],tblEmployee[Employee ID],tblEmployee[Employee Position],"")</f>
        <v/>
      </c>
      <c r="D512" s="24" t="str">
        <f>_xlfn.XLOOKUP(tblPayrollMaster[[#This Row],[Employee ID]], tblEmployee[Employee ID], tblEmployee[Pay Status], "Pay")</f>
        <v>Pay</v>
      </c>
      <c r="E512" s="24" t="str">
        <f>_xlfn.XLOOKUP(tblPayrollMaster[[#This Row],[Employee ID]], tblEmployee[Employee ID], tblEmployee[Payable Flag], "Y")</f>
        <v>Y</v>
      </c>
      <c r="F512" s="45">
        <f>IF(tblPayrollMaster[[#This Row],[Payable Flag]]="N",0,_xlfn.XLOOKUP(tblPayrollMaster[[#This Row],[Employee ID]],tblEmployee[Employee ID],tblEmployee[Pay Factor],1))</f>
        <v>1</v>
      </c>
      <c r="G512" s="26" t="str" cm="1">
        <f t="array" ref="G512">IF(tblPayrollMaster[[#This Row],[Employee ID]]="","",_xlfn.XLOOKUP(selPayPeriodID,tblPayCalendar[PayPeriodID],tblPayCalendar[PeriodStart],""))</f>
        <v/>
      </c>
      <c r="H512" s="26" t="str" cm="1">
        <f t="array" ref="H512">IF(tblPayrollMaster[[#This Row],[Employee ID]]="","",_xlfn.XLOOKUP(selPayPeriodID,tblPayCalendar[PayPeriodID],tblPayCalendar[PeriodEnd],""))</f>
        <v/>
      </c>
      <c r="I512" s="24" t="e" cm="1" vm="1">
        <f t="array" aca="1" ref="I512" ca="1">Table18[Employer Name]</f>
        <v>#VALUE!</v>
      </c>
      <c r="J512" s="3" cm="1">
        <f t="array" ref="J51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12" s="25" t="str">
        <f>_xlfn.XLOOKUP(tblPayrollMaster[[#This Row],[Employee Position]],tblPositionandPayRate[Employee Position],tblPositionandPayRate[Overtime], " ")</f>
        <v xml:space="preserve"> </v>
      </c>
      <c r="L512" s="25">
        <f>_xlfn.XLOOKUP(tblPayrollMaster[[#This Row],[Employee Position]],tblPositionandPayRate[Employee Position],tblPositionandPayRate[Allowance 1],0)*tblPayrollMaster[[#This Row],[Pay Factor]]</f>
        <v>0</v>
      </c>
      <c r="M512" s="25">
        <f>_xlfn.XLOOKUP(tblPayrollMaster[[#This Row],[Employee Position]],tblPositionandPayRate[Employee Position],tblPositionandPayRate[Allowance 2],0)*tblPayrollMaster[[#This Row],[Pay Factor]]</f>
        <v>0</v>
      </c>
      <c r="N512" s="25">
        <f>_xlfn.XLOOKUP(tblPayrollMaster[[#This Row],[Employee Position]],tblPositionandPayRate[Employee Position],tblPositionandPayRate[Allowance 3],0)*tblPayrollMaster[[#This Row],[Pay Factor]]</f>
        <v>0</v>
      </c>
      <c r="O512" s="25">
        <f>_xlfn.XLOOKUP(tblPayrollMaster[[#This Row],[Employee Position]],tblPositionandPayRate[Employee Position],tblPositionandPayRate[Allowance 4],0)*tblPayrollMaster[[#This Row],[Pay Factor]]</f>
        <v>0</v>
      </c>
      <c r="P512" s="25">
        <f>_xlfn.XLOOKUP(tblPayrollMaster[[#This Row],[Employee Position]],tblPositionandPayRate[Employee Position],tblPositionandPayRate[Allowance 5],0)*tblPayrollMaster[[#This Row],[Pay Factor]]</f>
        <v>0</v>
      </c>
      <c r="Q512" s="25">
        <f>SUM(tblPayrollMaster[[#This Row],[Basic Pay]:[Allowance 5]])</f>
        <v>0</v>
      </c>
      <c r="R51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12" s="51" cm="1">
        <f t="array" ref="S5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12" s="3" cm="1">
        <f t="array" ref="T5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12" s="25">
        <f>_xlfn.LET(
_xlpm.tos, _xlfn.XLOOKUP(tblPayrollMaster[[#This Row],[Employee ID]], tblEmployee[Employee ID], tblEmployee[Type of Service], ""),
IF(_xlpm.tos="Contract of Service", 8.25, 0)
)</f>
        <v>0</v>
      </c>
      <c r="V512" s="25">
        <f>tblPayrollMaster[[#This Row],[Basic Earnings]]-tblPayrollMaster[[#This Row],[Tax]]-tblPayrollMaster[[#This Row],[NIS - Employee]]-tblPayrollMaster[[#This Row],[Health Surcharge]]</f>
        <v>0</v>
      </c>
      <c r="W512" s="25">
        <f>tblPayrollMaster[[#This Row],[Net Pay]]</f>
        <v>0</v>
      </c>
      <c r="X512" s="25"/>
    </row>
    <row r="513" spans="1:24" x14ac:dyDescent="0.25">
      <c r="A513" s="24"/>
      <c r="B513" s="24" t="str">
        <f>_xlfn.XLOOKUP(tblPayrollMaster[[#This Row],[Employee ID]],tblEmployee[Employee ID],tblEmployee[Employee Name],"")</f>
        <v/>
      </c>
      <c r="C513" s="24" t="str">
        <f>_xlfn.XLOOKUP(tblPayrollMaster[[#This Row],[Employee ID]],tblEmployee[Employee ID],tblEmployee[Employee Position],"")</f>
        <v/>
      </c>
      <c r="D513" s="24" t="str">
        <f>_xlfn.XLOOKUP(tblPayrollMaster[[#This Row],[Employee ID]], tblEmployee[Employee ID], tblEmployee[Pay Status], "Pay")</f>
        <v>Pay</v>
      </c>
      <c r="E513" s="24" t="str">
        <f>_xlfn.XLOOKUP(tblPayrollMaster[[#This Row],[Employee ID]], tblEmployee[Employee ID], tblEmployee[Payable Flag], "Y")</f>
        <v>Y</v>
      </c>
      <c r="F513" s="45">
        <f>IF(tblPayrollMaster[[#This Row],[Payable Flag]]="N",0,_xlfn.XLOOKUP(tblPayrollMaster[[#This Row],[Employee ID]],tblEmployee[Employee ID],tblEmployee[Pay Factor],1))</f>
        <v>1</v>
      </c>
      <c r="G513" s="26" t="str" cm="1">
        <f t="array" ref="G513">IF(tblPayrollMaster[[#This Row],[Employee ID]]="","",_xlfn.XLOOKUP(selPayPeriodID,tblPayCalendar[PayPeriodID],tblPayCalendar[PeriodStart],""))</f>
        <v/>
      </c>
      <c r="H513" s="26" t="str" cm="1">
        <f t="array" ref="H513">IF(tblPayrollMaster[[#This Row],[Employee ID]]="","",_xlfn.XLOOKUP(selPayPeriodID,tblPayCalendar[PayPeriodID],tblPayCalendar[PeriodEnd],""))</f>
        <v/>
      </c>
      <c r="I513" s="24" t="e" cm="1" vm="1">
        <f t="array" aca="1" ref="I513" ca="1">Table18[Employer Name]</f>
        <v>#VALUE!</v>
      </c>
      <c r="J513" s="3" cm="1">
        <f t="array" ref="J51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13" s="25" t="str">
        <f>_xlfn.XLOOKUP(tblPayrollMaster[[#This Row],[Employee Position]],tblPositionandPayRate[Employee Position],tblPositionandPayRate[Overtime], " ")</f>
        <v xml:space="preserve"> </v>
      </c>
      <c r="L513" s="25">
        <f>_xlfn.XLOOKUP(tblPayrollMaster[[#This Row],[Employee Position]],tblPositionandPayRate[Employee Position],tblPositionandPayRate[Allowance 1],0)*tblPayrollMaster[[#This Row],[Pay Factor]]</f>
        <v>0</v>
      </c>
      <c r="M513" s="25">
        <f>_xlfn.XLOOKUP(tblPayrollMaster[[#This Row],[Employee Position]],tblPositionandPayRate[Employee Position],tblPositionandPayRate[Allowance 2],0)*tblPayrollMaster[[#This Row],[Pay Factor]]</f>
        <v>0</v>
      </c>
      <c r="N513" s="25">
        <f>_xlfn.XLOOKUP(tblPayrollMaster[[#This Row],[Employee Position]],tblPositionandPayRate[Employee Position],tblPositionandPayRate[Allowance 3],0)*tblPayrollMaster[[#This Row],[Pay Factor]]</f>
        <v>0</v>
      </c>
      <c r="O513" s="25">
        <f>_xlfn.XLOOKUP(tblPayrollMaster[[#This Row],[Employee Position]],tblPositionandPayRate[Employee Position],tblPositionandPayRate[Allowance 4],0)*tblPayrollMaster[[#This Row],[Pay Factor]]</f>
        <v>0</v>
      </c>
      <c r="P513" s="25">
        <f>_xlfn.XLOOKUP(tblPayrollMaster[[#This Row],[Employee Position]],tblPositionandPayRate[Employee Position],tblPositionandPayRate[Allowance 5],0)*tblPayrollMaster[[#This Row],[Pay Factor]]</f>
        <v>0</v>
      </c>
      <c r="Q513" s="25">
        <f>SUM(tblPayrollMaster[[#This Row],[Basic Pay]:[Allowance 5]])</f>
        <v>0</v>
      </c>
      <c r="R51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13" s="51" cm="1">
        <f t="array" ref="S5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13" s="3" cm="1">
        <f t="array" ref="T5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13" s="25">
        <f>_xlfn.LET(
_xlpm.tos, _xlfn.XLOOKUP(tblPayrollMaster[[#This Row],[Employee ID]], tblEmployee[Employee ID], tblEmployee[Type of Service], ""),
IF(_xlpm.tos="Contract of Service", 8.25, 0)
)</f>
        <v>0</v>
      </c>
      <c r="V513" s="25">
        <f>tblPayrollMaster[[#This Row],[Basic Earnings]]-tblPayrollMaster[[#This Row],[Tax]]-tblPayrollMaster[[#This Row],[NIS - Employee]]-tblPayrollMaster[[#This Row],[Health Surcharge]]</f>
        <v>0</v>
      </c>
      <c r="W513" s="25">
        <f>tblPayrollMaster[[#This Row],[Net Pay]]</f>
        <v>0</v>
      </c>
      <c r="X513" s="25"/>
    </row>
    <row r="514" spans="1:24" x14ac:dyDescent="0.25">
      <c r="A514" s="24"/>
      <c r="B514" s="24" t="str">
        <f>_xlfn.XLOOKUP(tblPayrollMaster[[#This Row],[Employee ID]],tblEmployee[Employee ID],tblEmployee[Employee Name],"")</f>
        <v/>
      </c>
      <c r="C514" s="24" t="str">
        <f>_xlfn.XLOOKUP(tblPayrollMaster[[#This Row],[Employee ID]],tblEmployee[Employee ID],tblEmployee[Employee Position],"")</f>
        <v/>
      </c>
      <c r="D514" s="24" t="str">
        <f>_xlfn.XLOOKUP(tblPayrollMaster[[#This Row],[Employee ID]], tblEmployee[Employee ID], tblEmployee[Pay Status], "Pay")</f>
        <v>Pay</v>
      </c>
      <c r="E514" s="24" t="str">
        <f>_xlfn.XLOOKUP(tblPayrollMaster[[#This Row],[Employee ID]], tblEmployee[Employee ID], tblEmployee[Payable Flag], "Y")</f>
        <v>Y</v>
      </c>
      <c r="F514" s="45">
        <f>IF(tblPayrollMaster[[#This Row],[Payable Flag]]="N",0,_xlfn.XLOOKUP(tblPayrollMaster[[#This Row],[Employee ID]],tblEmployee[Employee ID],tblEmployee[Pay Factor],1))</f>
        <v>1</v>
      </c>
      <c r="G514" s="26" t="str" cm="1">
        <f t="array" ref="G514">IF(tblPayrollMaster[[#This Row],[Employee ID]]="","",_xlfn.XLOOKUP(selPayPeriodID,tblPayCalendar[PayPeriodID],tblPayCalendar[PeriodStart],""))</f>
        <v/>
      </c>
      <c r="H514" s="26" t="str" cm="1">
        <f t="array" ref="H514">IF(tblPayrollMaster[[#This Row],[Employee ID]]="","",_xlfn.XLOOKUP(selPayPeriodID,tblPayCalendar[PayPeriodID],tblPayCalendar[PeriodEnd],""))</f>
        <v/>
      </c>
      <c r="I514" s="24" t="e" cm="1" vm="1">
        <f t="array" aca="1" ref="I514" ca="1">Table18[Employer Name]</f>
        <v>#VALUE!</v>
      </c>
      <c r="J514" s="3" cm="1">
        <f t="array" ref="J51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14" s="25" t="str">
        <f>_xlfn.XLOOKUP(tblPayrollMaster[[#This Row],[Employee Position]],tblPositionandPayRate[Employee Position],tblPositionandPayRate[Overtime], " ")</f>
        <v xml:space="preserve"> </v>
      </c>
      <c r="L514" s="25">
        <f>_xlfn.XLOOKUP(tblPayrollMaster[[#This Row],[Employee Position]],tblPositionandPayRate[Employee Position],tblPositionandPayRate[Allowance 1],0)*tblPayrollMaster[[#This Row],[Pay Factor]]</f>
        <v>0</v>
      </c>
      <c r="M514" s="25">
        <f>_xlfn.XLOOKUP(tblPayrollMaster[[#This Row],[Employee Position]],tblPositionandPayRate[Employee Position],tblPositionandPayRate[Allowance 2],0)*tblPayrollMaster[[#This Row],[Pay Factor]]</f>
        <v>0</v>
      </c>
      <c r="N514" s="25">
        <f>_xlfn.XLOOKUP(tblPayrollMaster[[#This Row],[Employee Position]],tblPositionandPayRate[Employee Position],tblPositionandPayRate[Allowance 3],0)*tblPayrollMaster[[#This Row],[Pay Factor]]</f>
        <v>0</v>
      </c>
      <c r="O514" s="25">
        <f>_xlfn.XLOOKUP(tblPayrollMaster[[#This Row],[Employee Position]],tblPositionandPayRate[Employee Position],tblPositionandPayRate[Allowance 4],0)*tblPayrollMaster[[#This Row],[Pay Factor]]</f>
        <v>0</v>
      </c>
      <c r="P514" s="25">
        <f>_xlfn.XLOOKUP(tblPayrollMaster[[#This Row],[Employee Position]],tblPositionandPayRate[Employee Position],tblPositionandPayRate[Allowance 5],0)*tblPayrollMaster[[#This Row],[Pay Factor]]</f>
        <v>0</v>
      </c>
      <c r="Q514" s="25">
        <f>SUM(tblPayrollMaster[[#This Row],[Basic Pay]:[Allowance 5]])</f>
        <v>0</v>
      </c>
      <c r="R51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14" s="51" cm="1">
        <f t="array" ref="S5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14" s="3" cm="1">
        <f t="array" ref="T5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14" s="25">
        <f>_xlfn.LET(
_xlpm.tos, _xlfn.XLOOKUP(tblPayrollMaster[[#This Row],[Employee ID]], tblEmployee[Employee ID], tblEmployee[Type of Service], ""),
IF(_xlpm.tos="Contract of Service", 8.25, 0)
)</f>
        <v>0</v>
      </c>
      <c r="V514" s="25">
        <f>tblPayrollMaster[[#This Row],[Basic Earnings]]-tblPayrollMaster[[#This Row],[Tax]]-tblPayrollMaster[[#This Row],[NIS - Employee]]-tblPayrollMaster[[#This Row],[Health Surcharge]]</f>
        <v>0</v>
      </c>
      <c r="W514" s="25">
        <f>tblPayrollMaster[[#This Row],[Net Pay]]</f>
        <v>0</v>
      </c>
      <c r="X514" s="25"/>
    </row>
    <row r="515" spans="1:24" x14ac:dyDescent="0.25">
      <c r="A515" s="24"/>
      <c r="B515" s="24" t="str">
        <f>_xlfn.XLOOKUP(tblPayrollMaster[[#This Row],[Employee ID]],tblEmployee[Employee ID],tblEmployee[Employee Name],"")</f>
        <v/>
      </c>
      <c r="C515" s="24" t="str">
        <f>_xlfn.XLOOKUP(tblPayrollMaster[[#This Row],[Employee ID]],tblEmployee[Employee ID],tblEmployee[Employee Position],"")</f>
        <v/>
      </c>
      <c r="D515" s="24" t="str">
        <f>_xlfn.XLOOKUP(tblPayrollMaster[[#This Row],[Employee ID]], tblEmployee[Employee ID], tblEmployee[Pay Status], "Pay")</f>
        <v>Pay</v>
      </c>
      <c r="E515" s="24" t="str">
        <f>_xlfn.XLOOKUP(tblPayrollMaster[[#This Row],[Employee ID]], tblEmployee[Employee ID], tblEmployee[Payable Flag], "Y")</f>
        <v>Y</v>
      </c>
      <c r="F515" s="45">
        <f>IF(tblPayrollMaster[[#This Row],[Payable Flag]]="N",0,_xlfn.XLOOKUP(tblPayrollMaster[[#This Row],[Employee ID]],tblEmployee[Employee ID],tblEmployee[Pay Factor],1))</f>
        <v>1</v>
      </c>
      <c r="G515" s="26" t="str" cm="1">
        <f t="array" ref="G515">IF(tblPayrollMaster[[#This Row],[Employee ID]]="","",_xlfn.XLOOKUP(selPayPeriodID,tblPayCalendar[PayPeriodID],tblPayCalendar[PeriodStart],""))</f>
        <v/>
      </c>
      <c r="H515" s="26" t="str" cm="1">
        <f t="array" ref="H515">IF(tblPayrollMaster[[#This Row],[Employee ID]]="","",_xlfn.XLOOKUP(selPayPeriodID,tblPayCalendar[PayPeriodID],tblPayCalendar[PeriodEnd],""))</f>
        <v/>
      </c>
      <c r="I515" s="24" t="e" cm="1" vm="1">
        <f t="array" aca="1" ref="I515" ca="1">Table18[Employer Name]</f>
        <v>#VALUE!</v>
      </c>
      <c r="J515" s="3" cm="1">
        <f t="array" ref="J51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15" s="25" t="str">
        <f>_xlfn.XLOOKUP(tblPayrollMaster[[#This Row],[Employee Position]],tblPositionandPayRate[Employee Position],tblPositionandPayRate[Overtime], " ")</f>
        <v xml:space="preserve"> </v>
      </c>
      <c r="L515" s="25">
        <f>_xlfn.XLOOKUP(tblPayrollMaster[[#This Row],[Employee Position]],tblPositionandPayRate[Employee Position],tblPositionandPayRate[Allowance 1],0)*tblPayrollMaster[[#This Row],[Pay Factor]]</f>
        <v>0</v>
      </c>
      <c r="M515" s="25">
        <f>_xlfn.XLOOKUP(tblPayrollMaster[[#This Row],[Employee Position]],tblPositionandPayRate[Employee Position],tblPositionandPayRate[Allowance 2],0)*tblPayrollMaster[[#This Row],[Pay Factor]]</f>
        <v>0</v>
      </c>
      <c r="N515" s="25">
        <f>_xlfn.XLOOKUP(tblPayrollMaster[[#This Row],[Employee Position]],tblPositionandPayRate[Employee Position],tblPositionandPayRate[Allowance 3],0)*tblPayrollMaster[[#This Row],[Pay Factor]]</f>
        <v>0</v>
      </c>
      <c r="O515" s="25">
        <f>_xlfn.XLOOKUP(tblPayrollMaster[[#This Row],[Employee Position]],tblPositionandPayRate[Employee Position],tblPositionandPayRate[Allowance 4],0)*tblPayrollMaster[[#This Row],[Pay Factor]]</f>
        <v>0</v>
      </c>
      <c r="P515" s="25">
        <f>_xlfn.XLOOKUP(tblPayrollMaster[[#This Row],[Employee Position]],tblPositionandPayRate[Employee Position],tblPositionandPayRate[Allowance 5],0)*tblPayrollMaster[[#This Row],[Pay Factor]]</f>
        <v>0</v>
      </c>
      <c r="Q515" s="25">
        <f>SUM(tblPayrollMaster[[#This Row],[Basic Pay]:[Allowance 5]])</f>
        <v>0</v>
      </c>
      <c r="R51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15" s="51" cm="1">
        <f t="array" ref="S5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15" s="3" cm="1">
        <f t="array" ref="T5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15" s="25">
        <f>_xlfn.LET(
_xlpm.tos, _xlfn.XLOOKUP(tblPayrollMaster[[#This Row],[Employee ID]], tblEmployee[Employee ID], tblEmployee[Type of Service], ""),
IF(_xlpm.tos="Contract of Service", 8.25, 0)
)</f>
        <v>0</v>
      </c>
      <c r="V515" s="25">
        <f>tblPayrollMaster[[#This Row],[Basic Earnings]]-tblPayrollMaster[[#This Row],[Tax]]-tblPayrollMaster[[#This Row],[NIS - Employee]]-tblPayrollMaster[[#This Row],[Health Surcharge]]</f>
        <v>0</v>
      </c>
      <c r="W515" s="25">
        <f>tblPayrollMaster[[#This Row],[Net Pay]]</f>
        <v>0</v>
      </c>
      <c r="X515" s="25"/>
    </row>
    <row r="516" spans="1:24" x14ac:dyDescent="0.25">
      <c r="A516" s="24"/>
      <c r="B516" s="24" t="str">
        <f>_xlfn.XLOOKUP(tblPayrollMaster[[#This Row],[Employee ID]],tblEmployee[Employee ID],tblEmployee[Employee Name],"")</f>
        <v/>
      </c>
      <c r="C516" s="24" t="str">
        <f>_xlfn.XLOOKUP(tblPayrollMaster[[#This Row],[Employee ID]],tblEmployee[Employee ID],tblEmployee[Employee Position],"")</f>
        <v/>
      </c>
      <c r="D516" s="24" t="str">
        <f>_xlfn.XLOOKUP(tblPayrollMaster[[#This Row],[Employee ID]], tblEmployee[Employee ID], tblEmployee[Pay Status], "Pay")</f>
        <v>Pay</v>
      </c>
      <c r="E516" s="24" t="str">
        <f>_xlfn.XLOOKUP(tblPayrollMaster[[#This Row],[Employee ID]], tblEmployee[Employee ID], tblEmployee[Payable Flag], "Y")</f>
        <v>Y</v>
      </c>
      <c r="F516" s="45">
        <f>IF(tblPayrollMaster[[#This Row],[Payable Flag]]="N",0,_xlfn.XLOOKUP(tblPayrollMaster[[#This Row],[Employee ID]],tblEmployee[Employee ID],tblEmployee[Pay Factor],1))</f>
        <v>1</v>
      </c>
      <c r="G516" s="26" t="str" cm="1">
        <f t="array" ref="G516">IF(tblPayrollMaster[[#This Row],[Employee ID]]="","",_xlfn.XLOOKUP(selPayPeriodID,tblPayCalendar[PayPeriodID],tblPayCalendar[PeriodStart],""))</f>
        <v/>
      </c>
      <c r="H516" s="26" t="str" cm="1">
        <f t="array" ref="H516">IF(tblPayrollMaster[[#This Row],[Employee ID]]="","",_xlfn.XLOOKUP(selPayPeriodID,tblPayCalendar[PayPeriodID],tblPayCalendar[PeriodEnd],""))</f>
        <v/>
      </c>
      <c r="I516" s="24" t="e" cm="1" vm="1">
        <f t="array" aca="1" ref="I516" ca="1">Table18[Employer Name]</f>
        <v>#VALUE!</v>
      </c>
      <c r="J516" s="3" cm="1">
        <f t="array" ref="J51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16" s="25" t="str">
        <f>_xlfn.XLOOKUP(tblPayrollMaster[[#This Row],[Employee Position]],tblPositionandPayRate[Employee Position],tblPositionandPayRate[Overtime], " ")</f>
        <v xml:space="preserve"> </v>
      </c>
      <c r="L516" s="25">
        <f>_xlfn.XLOOKUP(tblPayrollMaster[[#This Row],[Employee Position]],tblPositionandPayRate[Employee Position],tblPositionandPayRate[Allowance 1],0)*tblPayrollMaster[[#This Row],[Pay Factor]]</f>
        <v>0</v>
      </c>
      <c r="M516" s="25">
        <f>_xlfn.XLOOKUP(tblPayrollMaster[[#This Row],[Employee Position]],tblPositionandPayRate[Employee Position],tblPositionandPayRate[Allowance 2],0)*tblPayrollMaster[[#This Row],[Pay Factor]]</f>
        <v>0</v>
      </c>
      <c r="N516" s="25">
        <f>_xlfn.XLOOKUP(tblPayrollMaster[[#This Row],[Employee Position]],tblPositionandPayRate[Employee Position],tblPositionandPayRate[Allowance 3],0)*tblPayrollMaster[[#This Row],[Pay Factor]]</f>
        <v>0</v>
      </c>
      <c r="O516" s="25">
        <f>_xlfn.XLOOKUP(tblPayrollMaster[[#This Row],[Employee Position]],tblPositionandPayRate[Employee Position],tblPositionandPayRate[Allowance 4],0)*tblPayrollMaster[[#This Row],[Pay Factor]]</f>
        <v>0</v>
      </c>
      <c r="P516" s="25">
        <f>_xlfn.XLOOKUP(tblPayrollMaster[[#This Row],[Employee Position]],tblPositionandPayRate[Employee Position],tblPositionandPayRate[Allowance 5],0)*tblPayrollMaster[[#This Row],[Pay Factor]]</f>
        <v>0</v>
      </c>
      <c r="Q516" s="25">
        <f>SUM(tblPayrollMaster[[#This Row],[Basic Pay]:[Allowance 5]])</f>
        <v>0</v>
      </c>
      <c r="R51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16" s="51" cm="1">
        <f t="array" ref="S5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16" s="3" cm="1">
        <f t="array" ref="T5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16" s="25">
        <f>_xlfn.LET(
_xlpm.tos, _xlfn.XLOOKUP(tblPayrollMaster[[#This Row],[Employee ID]], tblEmployee[Employee ID], tblEmployee[Type of Service], ""),
IF(_xlpm.tos="Contract of Service", 8.25, 0)
)</f>
        <v>0</v>
      </c>
      <c r="V516" s="25">
        <f>tblPayrollMaster[[#This Row],[Basic Earnings]]-tblPayrollMaster[[#This Row],[Tax]]-tblPayrollMaster[[#This Row],[NIS - Employee]]-tblPayrollMaster[[#This Row],[Health Surcharge]]</f>
        <v>0</v>
      </c>
      <c r="W516" s="25">
        <f>tblPayrollMaster[[#This Row],[Net Pay]]</f>
        <v>0</v>
      </c>
      <c r="X516" s="25"/>
    </row>
    <row r="517" spans="1:24" x14ac:dyDescent="0.25">
      <c r="A517" s="24"/>
      <c r="B517" s="24" t="str">
        <f>_xlfn.XLOOKUP(tblPayrollMaster[[#This Row],[Employee ID]],tblEmployee[Employee ID],tblEmployee[Employee Name],"")</f>
        <v/>
      </c>
      <c r="C517" s="24" t="str">
        <f>_xlfn.XLOOKUP(tblPayrollMaster[[#This Row],[Employee ID]],tblEmployee[Employee ID],tblEmployee[Employee Position],"")</f>
        <v/>
      </c>
      <c r="D517" s="24" t="str">
        <f>_xlfn.XLOOKUP(tblPayrollMaster[[#This Row],[Employee ID]], tblEmployee[Employee ID], tblEmployee[Pay Status], "Pay")</f>
        <v>Pay</v>
      </c>
      <c r="E517" s="24" t="str">
        <f>_xlfn.XLOOKUP(tblPayrollMaster[[#This Row],[Employee ID]], tblEmployee[Employee ID], tblEmployee[Payable Flag], "Y")</f>
        <v>Y</v>
      </c>
      <c r="F517" s="45">
        <f>IF(tblPayrollMaster[[#This Row],[Payable Flag]]="N",0,_xlfn.XLOOKUP(tblPayrollMaster[[#This Row],[Employee ID]],tblEmployee[Employee ID],tblEmployee[Pay Factor],1))</f>
        <v>1</v>
      </c>
      <c r="G517" s="26" t="str" cm="1">
        <f t="array" ref="G517">IF(tblPayrollMaster[[#This Row],[Employee ID]]="","",_xlfn.XLOOKUP(selPayPeriodID,tblPayCalendar[PayPeriodID],tblPayCalendar[PeriodStart],""))</f>
        <v/>
      </c>
      <c r="H517" s="26" t="str" cm="1">
        <f t="array" ref="H517">IF(tblPayrollMaster[[#This Row],[Employee ID]]="","",_xlfn.XLOOKUP(selPayPeriodID,tblPayCalendar[PayPeriodID],tblPayCalendar[PeriodEnd],""))</f>
        <v/>
      </c>
      <c r="I517" s="24" t="e" cm="1" vm="1">
        <f t="array" aca="1" ref="I517" ca="1">Table18[Employer Name]</f>
        <v>#VALUE!</v>
      </c>
      <c r="J517" s="3" cm="1">
        <f t="array" ref="J51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17" s="25" t="str">
        <f>_xlfn.XLOOKUP(tblPayrollMaster[[#This Row],[Employee Position]],tblPositionandPayRate[Employee Position],tblPositionandPayRate[Overtime], " ")</f>
        <v xml:space="preserve"> </v>
      </c>
      <c r="L517" s="25">
        <f>_xlfn.XLOOKUP(tblPayrollMaster[[#This Row],[Employee Position]],tblPositionandPayRate[Employee Position],tblPositionandPayRate[Allowance 1],0)*tblPayrollMaster[[#This Row],[Pay Factor]]</f>
        <v>0</v>
      </c>
      <c r="M517" s="25">
        <f>_xlfn.XLOOKUP(tblPayrollMaster[[#This Row],[Employee Position]],tblPositionandPayRate[Employee Position],tblPositionandPayRate[Allowance 2],0)*tblPayrollMaster[[#This Row],[Pay Factor]]</f>
        <v>0</v>
      </c>
      <c r="N517" s="25">
        <f>_xlfn.XLOOKUP(tblPayrollMaster[[#This Row],[Employee Position]],tblPositionandPayRate[Employee Position],tblPositionandPayRate[Allowance 3],0)*tblPayrollMaster[[#This Row],[Pay Factor]]</f>
        <v>0</v>
      </c>
      <c r="O517" s="25">
        <f>_xlfn.XLOOKUP(tblPayrollMaster[[#This Row],[Employee Position]],tblPositionandPayRate[Employee Position],tblPositionandPayRate[Allowance 4],0)*tblPayrollMaster[[#This Row],[Pay Factor]]</f>
        <v>0</v>
      </c>
      <c r="P517" s="25">
        <f>_xlfn.XLOOKUP(tblPayrollMaster[[#This Row],[Employee Position]],tblPositionandPayRate[Employee Position],tblPositionandPayRate[Allowance 5],0)*tblPayrollMaster[[#This Row],[Pay Factor]]</f>
        <v>0</v>
      </c>
      <c r="Q517" s="25">
        <f>SUM(tblPayrollMaster[[#This Row],[Basic Pay]:[Allowance 5]])</f>
        <v>0</v>
      </c>
      <c r="R51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17" s="51" cm="1">
        <f t="array" ref="S5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17" s="3" cm="1">
        <f t="array" ref="T5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17" s="25">
        <f>_xlfn.LET(
_xlpm.tos, _xlfn.XLOOKUP(tblPayrollMaster[[#This Row],[Employee ID]], tblEmployee[Employee ID], tblEmployee[Type of Service], ""),
IF(_xlpm.tos="Contract of Service", 8.25, 0)
)</f>
        <v>0</v>
      </c>
      <c r="V517" s="25">
        <f>tblPayrollMaster[[#This Row],[Basic Earnings]]-tblPayrollMaster[[#This Row],[Tax]]-tblPayrollMaster[[#This Row],[NIS - Employee]]-tblPayrollMaster[[#This Row],[Health Surcharge]]</f>
        <v>0</v>
      </c>
      <c r="W517" s="25">
        <f>tblPayrollMaster[[#This Row],[Net Pay]]</f>
        <v>0</v>
      </c>
      <c r="X517" s="25"/>
    </row>
    <row r="518" spans="1:24" x14ac:dyDescent="0.25">
      <c r="A518" s="24"/>
      <c r="B518" s="24" t="str">
        <f>_xlfn.XLOOKUP(tblPayrollMaster[[#This Row],[Employee ID]],tblEmployee[Employee ID],tblEmployee[Employee Name],"")</f>
        <v/>
      </c>
      <c r="C518" s="24" t="str">
        <f>_xlfn.XLOOKUP(tblPayrollMaster[[#This Row],[Employee ID]],tblEmployee[Employee ID],tblEmployee[Employee Position],"")</f>
        <v/>
      </c>
      <c r="D518" s="24" t="str">
        <f>_xlfn.XLOOKUP(tblPayrollMaster[[#This Row],[Employee ID]], tblEmployee[Employee ID], tblEmployee[Pay Status], "Pay")</f>
        <v>Pay</v>
      </c>
      <c r="E518" s="24" t="str">
        <f>_xlfn.XLOOKUP(tblPayrollMaster[[#This Row],[Employee ID]], tblEmployee[Employee ID], tblEmployee[Payable Flag], "Y")</f>
        <v>Y</v>
      </c>
      <c r="F518" s="45">
        <f>IF(tblPayrollMaster[[#This Row],[Payable Flag]]="N",0,_xlfn.XLOOKUP(tblPayrollMaster[[#This Row],[Employee ID]],tblEmployee[Employee ID],tblEmployee[Pay Factor],1))</f>
        <v>1</v>
      </c>
      <c r="G518" s="26" t="str" cm="1">
        <f t="array" ref="G518">IF(tblPayrollMaster[[#This Row],[Employee ID]]="","",_xlfn.XLOOKUP(selPayPeriodID,tblPayCalendar[PayPeriodID],tblPayCalendar[PeriodStart],""))</f>
        <v/>
      </c>
      <c r="H518" s="26" t="str" cm="1">
        <f t="array" ref="H518">IF(tblPayrollMaster[[#This Row],[Employee ID]]="","",_xlfn.XLOOKUP(selPayPeriodID,tblPayCalendar[PayPeriodID],tblPayCalendar[PeriodEnd],""))</f>
        <v/>
      </c>
      <c r="I518" s="24" t="e" cm="1" vm="1">
        <f t="array" aca="1" ref="I518" ca="1">Table18[Employer Name]</f>
        <v>#VALUE!</v>
      </c>
      <c r="J518" s="3" cm="1">
        <f t="array" ref="J51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18" s="25" t="str">
        <f>_xlfn.XLOOKUP(tblPayrollMaster[[#This Row],[Employee Position]],tblPositionandPayRate[Employee Position],tblPositionandPayRate[Overtime], " ")</f>
        <v xml:space="preserve"> </v>
      </c>
      <c r="L518" s="25">
        <f>_xlfn.XLOOKUP(tblPayrollMaster[[#This Row],[Employee Position]],tblPositionandPayRate[Employee Position],tblPositionandPayRate[Allowance 1],0)*tblPayrollMaster[[#This Row],[Pay Factor]]</f>
        <v>0</v>
      </c>
      <c r="M518" s="25">
        <f>_xlfn.XLOOKUP(tblPayrollMaster[[#This Row],[Employee Position]],tblPositionandPayRate[Employee Position],tblPositionandPayRate[Allowance 2],0)*tblPayrollMaster[[#This Row],[Pay Factor]]</f>
        <v>0</v>
      </c>
      <c r="N518" s="25">
        <f>_xlfn.XLOOKUP(tblPayrollMaster[[#This Row],[Employee Position]],tblPositionandPayRate[Employee Position],tblPositionandPayRate[Allowance 3],0)*tblPayrollMaster[[#This Row],[Pay Factor]]</f>
        <v>0</v>
      </c>
      <c r="O518" s="25">
        <f>_xlfn.XLOOKUP(tblPayrollMaster[[#This Row],[Employee Position]],tblPositionandPayRate[Employee Position],tblPositionandPayRate[Allowance 4],0)*tblPayrollMaster[[#This Row],[Pay Factor]]</f>
        <v>0</v>
      </c>
      <c r="P518" s="25">
        <f>_xlfn.XLOOKUP(tblPayrollMaster[[#This Row],[Employee Position]],tblPositionandPayRate[Employee Position],tblPositionandPayRate[Allowance 5],0)*tblPayrollMaster[[#This Row],[Pay Factor]]</f>
        <v>0</v>
      </c>
      <c r="Q518" s="25">
        <f>SUM(tblPayrollMaster[[#This Row],[Basic Pay]:[Allowance 5]])</f>
        <v>0</v>
      </c>
      <c r="R51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18" s="51" cm="1">
        <f t="array" ref="S5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18" s="3" cm="1">
        <f t="array" ref="T5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18" s="25">
        <f>_xlfn.LET(
_xlpm.tos, _xlfn.XLOOKUP(tblPayrollMaster[[#This Row],[Employee ID]], tblEmployee[Employee ID], tblEmployee[Type of Service], ""),
IF(_xlpm.tos="Contract of Service", 8.25, 0)
)</f>
        <v>0</v>
      </c>
      <c r="V518" s="25">
        <f>tblPayrollMaster[[#This Row],[Basic Earnings]]-tblPayrollMaster[[#This Row],[Tax]]-tblPayrollMaster[[#This Row],[NIS - Employee]]-tblPayrollMaster[[#This Row],[Health Surcharge]]</f>
        <v>0</v>
      </c>
      <c r="W518" s="25">
        <f>tblPayrollMaster[[#This Row],[Net Pay]]</f>
        <v>0</v>
      </c>
      <c r="X518" s="25"/>
    </row>
    <row r="519" spans="1:24" x14ac:dyDescent="0.25">
      <c r="A519" s="24"/>
      <c r="B519" s="24" t="str">
        <f>_xlfn.XLOOKUP(tblPayrollMaster[[#This Row],[Employee ID]],tblEmployee[Employee ID],tblEmployee[Employee Name],"")</f>
        <v/>
      </c>
      <c r="C519" s="24" t="str">
        <f>_xlfn.XLOOKUP(tblPayrollMaster[[#This Row],[Employee ID]],tblEmployee[Employee ID],tblEmployee[Employee Position],"")</f>
        <v/>
      </c>
      <c r="D519" s="24" t="str">
        <f>_xlfn.XLOOKUP(tblPayrollMaster[[#This Row],[Employee ID]], tblEmployee[Employee ID], tblEmployee[Pay Status], "Pay")</f>
        <v>Pay</v>
      </c>
      <c r="E519" s="24" t="str">
        <f>_xlfn.XLOOKUP(tblPayrollMaster[[#This Row],[Employee ID]], tblEmployee[Employee ID], tblEmployee[Payable Flag], "Y")</f>
        <v>Y</v>
      </c>
      <c r="F519" s="45">
        <f>IF(tblPayrollMaster[[#This Row],[Payable Flag]]="N",0,_xlfn.XLOOKUP(tblPayrollMaster[[#This Row],[Employee ID]],tblEmployee[Employee ID],tblEmployee[Pay Factor],1))</f>
        <v>1</v>
      </c>
      <c r="G519" s="26" t="str" cm="1">
        <f t="array" ref="G519">IF(tblPayrollMaster[[#This Row],[Employee ID]]="","",_xlfn.XLOOKUP(selPayPeriodID,tblPayCalendar[PayPeriodID],tblPayCalendar[PeriodStart],""))</f>
        <v/>
      </c>
      <c r="H519" s="26" t="str" cm="1">
        <f t="array" ref="H519">IF(tblPayrollMaster[[#This Row],[Employee ID]]="","",_xlfn.XLOOKUP(selPayPeriodID,tblPayCalendar[PayPeriodID],tblPayCalendar[PeriodEnd],""))</f>
        <v/>
      </c>
      <c r="I519" s="24" t="e" cm="1" vm="1">
        <f t="array" aca="1" ref="I519" ca="1">Table18[Employer Name]</f>
        <v>#VALUE!</v>
      </c>
      <c r="J519" s="3" cm="1">
        <f t="array" ref="J51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19" s="25" t="str">
        <f>_xlfn.XLOOKUP(tblPayrollMaster[[#This Row],[Employee Position]],tblPositionandPayRate[Employee Position],tblPositionandPayRate[Overtime], " ")</f>
        <v xml:space="preserve"> </v>
      </c>
      <c r="L519" s="25">
        <f>_xlfn.XLOOKUP(tblPayrollMaster[[#This Row],[Employee Position]],tblPositionandPayRate[Employee Position],tblPositionandPayRate[Allowance 1],0)*tblPayrollMaster[[#This Row],[Pay Factor]]</f>
        <v>0</v>
      </c>
      <c r="M519" s="25">
        <f>_xlfn.XLOOKUP(tblPayrollMaster[[#This Row],[Employee Position]],tblPositionandPayRate[Employee Position],tblPositionandPayRate[Allowance 2],0)*tblPayrollMaster[[#This Row],[Pay Factor]]</f>
        <v>0</v>
      </c>
      <c r="N519" s="25">
        <f>_xlfn.XLOOKUP(tblPayrollMaster[[#This Row],[Employee Position]],tblPositionandPayRate[Employee Position],tblPositionandPayRate[Allowance 3],0)*tblPayrollMaster[[#This Row],[Pay Factor]]</f>
        <v>0</v>
      </c>
      <c r="O519" s="25">
        <f>_xlfn.XLOOKUP(tblPayrollMaster[[#This Row],[Employee Position]],tblPositionandPayRate[Employee Position],tblPositionandPayRate[Allowance 4],0)*tblPayrollMaster[[#This Row],[Pay Factor]]</f>
        <v>0</v>
      </c>
      <c r="P519" s="25">
        <f>_xlfn.XLOOKUP(tblPayrollMaster[[#This Row],[Employee Position]],tblPositionandPayRate[Employee Position],tblPositionandPayRate[Allowance 5],0)*tblPayrollMaster[[#This Row],[Pay Factor]]</f>
        <v>0</v>
      </c>
      <c r="Q519" s="25">
        <f>SUM(tblPayrollMaster[[#This Row],[Basic Pay]:[Allowance 5]])</f>
        <v>0</v>
      </c>
      <c r="R51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19" s="51" cm="1">
        <f t="array" ref="S5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19" s="3" cm="1">
        <f t="array" ref="T5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19" s="25">
        <f>_xlfn.LET(
_xlpm.tos, _xlfn.XLOOKUP(tblPayrollMaster[[#This Row],[Employee ID]], tblEmployee[Employee ID], tblEmployee[Type of Service], ""),
IF(_xlpm.tos="Contract of Service", 8.25, 0)
)</f>
        <v>0</v>
      </c>
      <c r="V519" s="25">
        <f>tblPayrollMaster[[#This Row],[Basic Earnings]]-tblPayrollMaster[[#This Row],[Tax]]-tblPayrollMaster[[#This Row],[NIS - Employee]]-tblPayrollMaster[[#This Row],[Health Surcharge]]</f>
        <v>0</v>
      </c>
      <c r="W519" s="25">
        <f>tblPayrollMaster[[#This Row],[Net Pay]]</f>
        <v>0</v>
      </c>
      <c r="X519" s="25"/>
    </row>
    <row r="520" spans="1:24" x14ac:dyDescent="0.25">
      <c r="A520" s="24"/>
      <c r="B520" s="24" t="str">
        <f>_xlfn.XLOOKUP(tblPayrollMaster[[#This Row],[Employee ID]],tblEmployee[Employee ID],tblEmployee[Employee Name],"")</f>
        <v/>
      </c>
      <c r="C520" s="24" t="str">
        <f>_xlfn.XLOOKUP(tblPayrollMaster[[#This Row],[Employee ID]],tblEmployee[Employee ID],tblEmployee[Employee Position],"")</f>
        <v/>
      </c>
      <c r="D520" s="24" t="str">
        <f>_xlfn.XLOOKUP(tblPayrollMaster[[#This Row],[Employee ID]], tblEmployee[Employee ID], tblEmployee[Pay Status], "Pay")</f>
        <v>Pay</v>
      </c>
      <c r="E520" s="24" t="str">
        <f>_xlfn.XLOOKUP(tblPayrollMaster[[#This Row],[Employee ID]], tblEmployee[Employee ID], tblEmployee[Payable Flag], "Y")</f>
        <v>Y</v>
      </c>
      <c r="F520" s="45">
        <f>IF(tblPayrollMaster[[#This Row],[Payable Flag]]="N",0,_xlfn.XLOOKUP(tblPayrollMaster[[#This Row],[Employee ID]],tblEmployee[Employee ID],tblEmployee[Pay Factor],1))</f>
        <v>1</v>
      </c>
      <c r="G520" s="26" t="str" cm="1">
        <f t="array" ref="G520">IF(tblPayrollMaster[[#This Row],[Employee ID]]="","",_xlfn.XLOOKUP(selPayPeriodID,tblPayCalendar[PayPeriodID],tblPayCalendar[PeriodStart],""))</f>
        <v/>
      </c>
      <c r="H520" s="26" t="str" cm="1">
        <f t="array" ref="H520">IF(tblPayrollMaster[[#This Row],[Employee ID]]="","",_xlfn.XLOOKUP(selPayPeriodID,tblPayCalendar[PayPeriodID],tblPayCalendar[PeriodEnd],""))</f>
        <v/>
      </c>
      <c r="I520" s="24" t="e" cm="1" vm="1">
        <f t="array" aca="1" ref="I520" ca="1">Table18[Employer Name]</f>
        <v>#VALUE!</v>
      </c>
      <c r="J520" s="3" cm="1">
        <f t="array" ref="J52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20" s="25" t="str">
        <f>_xlfn.XLOOKUP(tblPayrollMaster[[#This Row],[Employee Position]],tblPositionandPayRate[Employee Position],tblPositionandPayRate[Overtime], " ")</f>
        <v xml:space="preserve"> </v>
      </c>
      <c r="L520" s="25">
        <f>_xlfn.XLOOKUP(tblPayrollMaster[[#This Row],[Employee Position]],tblPositionandPayRate[Employee Position],tblPositionandPayRate[Allowance 1],0)*tblPayrollMaster[[#This Row],[Pay Factor]]</f>
        <v>0</v>
      </c>
      <c r="M520" s="25">
        <f>_xlfn.XLOOKUP(tblPayrollMaster[[#This Row],[Employee Position]],tblPositionandPayRate[Employee Position],tblPositionandPayRate[Allowance 2],0)*tblPayrollMaster[[#This Row],[Pay Factor]]</f>
        <v>0</v>
      </c>
      <c r="N520" s="25">
        <f>_xlfn.XLOOKUP(tblPayrollMaster[[#This Row],[Employee Position]],tblPositionandPayRate[Employee Position],tblPositionandPayRate[Allowance 3],0)*tblPayrollMaster[[#This Row],[Pay Factor]]</f>
        <v>0</v>
      </c>
      <c r="O520" s="25">
        <f>_xlfn.XLOOKUP(tblPayrollMaster[[#This Row],[Employee Position]],tblPositionandPayRate[Employee Position],tblPositionandPayRate[Allowance 4],0)*tblPayrollMaster[[#This Row],[Pay Factor]]</f>
        <v>0</v>
      </c>
      <c r="P520" s="25">
        <f>_xlfn.XLOOKUP(tblPayrollMaster[[#This Row],[Employee Position]],tblPositionandPayRate[Employee Position],tblPositionandPayRate[Allowance 5],0)*tblPayrollMaster[[#This Row],[Pay Factor]]</f>
        <v>0</v>
      </c>
      <c r="Q520" s="25">
        <f>SUM(tblPayrollMaster[[#This Row],[Basic Pay]:[Allowance 5]])</f>
        <v>0</v>
      </c>
      <c r="R52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20" s="51" cm="1">
        <f t="array" ref="S5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20" s="3" cm="1">
        <f t="array" ref="T5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20" s="25">
        <f>_xlfn.LET(
_xlpm.tos, _xlfn.XLOOKUP(tblPayrollMaster[[#This Row],[Employee ID]], tblEmployee[Employee ID], tblEmployee[Type of Service], ""),
IF(_xlpm.tos="Contract of Service", 8.25, 0)
)</f>
        <v>0</v>
      </c>
      <c r="V520" s="25">
        <f>tblPayrollMaster[[#This Row],[Basic Earnings]]-tblPayrollMaster[[#This Row],[Tax]]-tblPayrollMaster[[#This Row],[NIS - Employee]]-tblPayrollMaster[[#This Row],[Health Surcharge]]</f>
        <v>0</v>
      </c>
      <c r="W520" s="25">
        <f>tblPayrollMaster[[#This Row],[Net Pay]]</f>
        <v>0</v>
      </c>
      <c r="X520" s="25"/>
    </row>
    <row r="521" spans="1:24" x14ac:dyDescent="0.25">
      <c r="A521" s="24"/>
      <c r="B521" s="24" t="str">
        <f>_xlfn.XLOOKUP(tblPayrollMaster[[#This Row],[Employee ID]],tblEmployee[Employee ID],tblEmployee[Employee Name],"")</f>
        <v/>
      </c>
      <c r="C521" s="24" t="str">
        <f>_xlfn.XLOOKUP(tblPayrollMaster[[#This Row],[Employee ID]],tblEmployee[Employee ID],tblEmployee[Employee Position],"")</f>
        <v/>
      </c>
      <c r="D521" s="24" t="str">
        <f>_xlfn.XLOOKUP(tblPayrollMaster[[#This Row],[Employee ID]], tblEmployee[Employee ID], tblEmployee[Pay Status], "Pay")</f>
        <v>Pay</v>
      </c>
      <c r="E521" s="24" t="str">
        <f>_xlfn.XLOOKUP(tblPayrollMaster[[#This Row],[Employee ID]], tblEmployee[Employee ID], tblEmployee[Payable Flag], "Y")</f>
        <v>Y</v>
      </c>
      <c r="F521" s="45">
        <f>IF(tblPayrollMaster[[#This Row],[Payable Flag]]="N",0,_xlfn.XLOOKUP(tblPayrollMaster[[#This Row],[Employee ID]],tblEmployee[Employee ID],tblEmployee[Pay Factor],1))</f>
        <v>1</v>
      </c>
      <c r="G521" s="26" t="str" cm="1">
        <f t="array" ref="G521">IF(tblPayrollMaster[[#This Row],[Employee ID]]="","",_xlfn.XLOOKUP(selPayPeriodID,tblPayCalendar[PayPeriodID],tblPayCalendar[PeriodStart],""))</f>
        <v/>
      </c>
      <c r="H521" s="26" t="str" cm="1">
        <f t="array" ref="H521">IF(tblPayrollMaster[[#This Row],[Employee ID]]="","",_xlfn.XLOOKUP(selPayPeriodID,tblPayCalendar[PayPeriodID],tblPayCalendar[PeriodEnd],""))</f>
        <v/>
      </c>
      <c r="I521" s="24" t="e" cm="1" vm="1">
        <f t="array" aca="1" ref="I521" ca="1">Table18[Employer Name]</f>
        <v>#VALUE!</v>
      </c>
      <c r="J521" s="3" cm="1">
        <f t="array" ref="J52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21" s="25" t="str">
        <f>_xlfn.XLOOKUP(tblPayrollMaster[[#This Row],[Employee Position]],tblPositionandPayRate[Employee Position],tblPositionandPayRate[Overtime], " ")</f>
        <v xml:space="preserve"> </v>
      </c>
      <c r="L521" s="25">
        <f>_xlfn.XLOOKUP(tblPayrollMaster[[#This Row],[Employee Position]],tblPositionandPayRate[Employee Position],tblPositionandPayRate[Allowance 1],0)*tblPayrollMaster[[#This Row],[Pay Factor]]</f>
        <v>0</v>
      </c>
      <c r="M521" s="25">
        <f>_xlfn.XLOOKUP(tblPayrollMaster[[#This Row],[Employee Position]],tblPositionandPayRate[Employee Position],tblPositionandPayRate[Allowance 2],0)*tblPayrollMaster[[#This Row],[Pay Factor]]</f>
        <v>0</v>
      </c>
      <c r="N521" s="25">
        <f>_xlfn.XLOOKUP(tblPayrollMaster[[#This Row],[Employee Position]],tblPositionandPayRate[Employee Position],tblPositionandPayRate[Allowance 3],0)*tblPayrollMaster[[#This Row],[Pay Factor]]</f>
        <v>0</v>
      </c>
      <c r="O521" s="25">
        <f>_xlfn.XLOOKUP(tblPayrollMaster[[#This Row],[Employee Position]],tblPositionandPayRate[Employee Position],tblPositionandPayRate[Allowance 4],0)*tblPayrollMaster[[#This Row],[Pay Factor]]</f>
        <v>0</v>
      </c>
      <c r="P521" s="25">
        <f>_xlfn.XLOOKUP(tblPayrollMaster[[#This Row],[Employee Position]],tblPositionandPayRate[Employee Position],tblPositionandPayRate[Allowance 5],0)*tblPayrollMaster[[#This Row],[Pay Factor]]</f>
        <v>0</v>
      </c>
      <c r="Q521" s="25">
        <f>SUM(tblPayrollMaster[[#This Row],[Basic Pay]:[Allowance 5]])</f>
        <v>0</v>
      </c>
      <c r="R52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21" s="51" cm="1">
        <f t="array" ref="S5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21" s="3" cm="1">
        <f t="array" ref="T5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21" s="25">
        <f>_xlfn.LET(
_xlpm.tos, _xlfn.XLOOKUP(tblPayrollMaster[[#This Row],[Employee ID]], tblEmployee[Employee ID], tblEmployee[Type of Service], ""),
IF(_xlpm.tos="Contract of Service", 8.25, 0)
)</f>
        <v>0</v>
      </c>
      <c r="V521" s="25">
        <f>tblPayrollMaster[[#This Row],[Basic Earnings]]-tblPayrollMaster[[#This Row],[Tax]]-tblPayrollMaster[[#This Row],[NIS - Employee]]-tblPayrollMaster[[#This Row],[Health Surcharge]]</f>
        <v>0</v>
      </c>
      <c r="W521" s="25">
        <f>tblPayrollMaster[[#This Row],[Net Pay]]</f>
        <v>0</v>
      </c>
      <c r="X521" s="25"/>
    </row>
    <row r="522" spans="1:24" x14ac:dyDescent="0.25">
      <c r="A522" s="24"/>
      <c r="B522" s="24" t="str">
        <f>_xlfn.XLOOKUP(tblPayrollMaster[[#This Row],[Employee ID]],tblEmployee[Employee ID],tblEmployee[Employee Name],"")</f>
        <v/>
      </c>
      <c r="C522" s="24" t="str">
        <f>_xlfn.XLOOKUP(tblPayrollMaster[[#This Row],[Employee ID]],tblEmployee[Employee ID],tblEmployee[Employee Position],"")</f>
        <v/>
      </c>
      <c r="D522" s="24" t="str">
        <f>_xlfn.XLOOKUP(tblPayrollMaster[[#This Row],[Employee ID]], tblEmployee[Employee ID], tblEmployee[Pay Status], "Pay")</f>
        <v>Pay</v>
      </c>
      <c r="E522" s="24" t="str">
        <f>_xlfn.XLOOKUP(tblPayrollMaster[[#This Row],[Employee ID]], tblEmployee[Employee ID], tblEmployee[Payable Flag], "Y")</f>
        <v>Y</v>
      </c>
      <c r="F522" s="45">
        <f>IF(tblPayrollMaster[[#This Row],[Payable Flag]]="N",0,_xlfn.XLOOKUP(tblPayrollMaster[[#This Row],[Employee ID]],tblEmployee[Employee ID],tblEmployee[Pay Factor],1))</f>
        <v>1</v>
      </c>
      <c r="G522" s="26" t="str" cm="1">
        <f t="array" ref="G522">IF(tblPayrollMaster[[#This Row],[Employee ID]]="","",_xlfn.XLOOKUP(selPayPeriodID,tblPayCalendar[PayPeriodID],tblPayCalendar[PeriodStart],""))</f>
        <v/>
      </c>
      <c r="H522" s="26" t="str" cm="1">
        <f t="array" ref="H522">IF(tblPayrollMaster[[#This Row],[Employee ID]]="","",_xlfn.XLOOKUP(selPayPeriodID,tblPayCalendar[PayPeriodID],tblPayCalendar[PeriodEnd],""))</f>
        <v/>
      </c>
      <c r="I522" s="24" t="e" cm="1" vm="1">
        <f t="array" aca="1" ref="I522" ca="1">Table18[Employer Name]</f>
        <v>#VALUE!</v>
      </c>
      <c r="J522" s="3" cm="1">
        <f t="array" ref="J52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22" s="25" t="str">
        <f>_xlfn.XLOOKUP(tblPayrollMaster[[#This Row],[Employee Position]],tblPositionandPayRate[Employee Position],tblPositionandPayRate[Overtime], " ")</f>
        <v xml:space="preserve"> </v>
      </c>
      <c r="L522" s="25">
        <f>_xlfn.XLOOKUP(tblPayrollMaster[[#This Row],[Employee Position]],tblPositionandPayRate[Employee Position],tblPositionandPayRate[Allowance 1],0)*tblPayrollMaster[[#This Row],[Pay Factor]]</f>
        <v>0</v>
      </c>
      <c r="M522" s="25">
        <f>_xlfn.XLOOKUP(tblPayrollMaster[[#This Row],[Employee Position]],tblPositionandPayRate[Employee Position],tblPositionandPayRate[Allowance 2],0)*tblPayrollMaster[[#This Row],[Pay Factor]]</f>
        <v>0</v>
      </c>
      <c r="N522" s="25">
        <f>_xlfn.XLOOKUP(tblPayrollMaster[[#This Row],[Employee Position]],tblPositionandPayRate[Employee Position],tblPositionandPayRate[Allowance 3],0)*tblPayrollMaster[[#This Row],[Pay Factor]]</f>
        <v>0</v>
      </c>
      <c r="O522" s="25">
        <f>_xlfn.XLOOKUP(tblPayrollMaster[[#This Row],[Employee Position]],tblPositionandPayRate[Employee Position],tblPositionandPayRate[Allowance 4],0)*tblPayrollMaster[[#This Row],[Pay Factor]]</f>
        <v>0</v>
      </c>
      <c r="P522" s="25">
        <f>_xlfn.XLOOKUP(tblPayrollMaster[[#This Row],[Employee Position]],tblPositionandPayRate[Employee Position],tblPositionandPayRate[Allowance 5],0)*tblPayrollMaster[[#This Row],[Pay Factor]]</f>
        <v>0</v>
      </c>
      <c r="Q522" s="25">
        <f>SUM(tblPayrollMaster[[#This Row],[Basic Pay]:[Allowance 5]])</f>
        <v>0</v>
      </c>
      <c r="R52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22" s="51" cm="1">
        <f t="array" ref="S5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22" s="3" cm="1">
        <f t="array" ref="T5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22" s="25">
        <f>_xlfn.LET(
_xlpm.tos, _xlfn.XLOOKUP(tblPayrollMaster[[#This Row],[Employee ID]], tblEmployee[Employee ID], tblEmployee[Type of Service], ""),
IF(_xlpm.tos="Contract of Service", 8.25, 0)
)</f>
        <v>0</v>
      </c>
      <c r="V522" s="25">
        <f>tblPayrollMaster[[#This Row],[Basic Earnings]]-tblPayrollMaster[[#This Row],[Tax]]-tblPayrollMaster[[#This Row],[NIS - Employee]]-tblPayrollMaster[[#This Row],[Health Surcharge]]</f>
        <v>0</v>
      </c>
      <c r="W522" s="25">
        <f>tblPayrollMaster[[#This Row],[Net Pay]]</f>
        <v>0</v>
      </c>
      <c r="X522" s="25"/>
    </row>
    <row r="523" spans="1:24" x14ac:dyDescent="0.25">
      <c r="A523" s="24"/>
      <c r="B523" s="24" t="str">
        <f>_xlfn.XLOOKUP(tblPayrollMaster[[#This Row],[Employee ID]],tblEmployee[Employee ID],tblEmployee[Employee Name],"")</f>
        <v/>
      </c>
      <c r="C523" s="24" t="str">
        <f>_xlfn.XLOOKUP(tblPayrollMaster[[#This Row],[Employee ID]],tblEmployee[Employee ID],tblEmployee[Employee Position],"")</f>
        <v/>
      </c>
      <c r="D523" s="24" t="str">
        <f>_xlfn.XLOOKUP(tblPayrollMaster[[#This Row],[Employee ID]], tblEmployee[Employee ID], tblEmployee[Pay Status], "Pay")</f>
        <v>Pay</v>
      </c>
      <c r="E523" s="24" t="str">
        <f>_xlfn.XLOOKUP(tblPayrollMaster[[#This Row],[Employee ID]], tblEmployee[Employee ID], tblEmployee[Payable Flag], "Y")</f>
        <v>Y</v>
      </c>
      <c r="F523" s="45">
        <f>IF(tblPayrollMaster[[#This Row],[Payable Flag]]="N",0,_xlfn.XLOOKUP(tblPayrollMaster[[#This Row],[Employee ID]],tblEmployee[Employee ID],tblEmployee[Pay Factor],1))</f>
        <v>1</v>
      </c>
      <c r="G523" s="26" t="str" cm="1">
        <f t="array" ref="G523">IF(tblPayrollMaster[[#This Row],[Employee ID]]="","",_xlfn.XLOOKUP(selPayPeriodID,tblPayCalendar[PayPeriodID],tblPayCalendar[PeriodStart],""))</f>
        <v/>
      </c>
      <c r="H523" s="26" t="str" cm="1">
        <f t="array" ref="H523">IF(tblPayrollMaster[[#This Row],[Employee ID]]="","",_xlfn.XLOOKUP(selPayPeriodID,tblPayCalendar[PayPeriodID],tblPayCalendar[PeriodEnd],""))</f>
        <v/>
      </c>
      <c r="I523" s="24" t="e" cm="1" vm="1">
        <f t="array" aca="1" ref="I523" ca="1">Table18[Employer Name]</f>
        <v>#VALUE!</v>
      </c>
      <c r="J523" s="3" cm="1">
        <f t="array" ref="J52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23" s="25" t="str">
        <f>_xlfn.XLOOKUP(tblPayrollMaster[[#This Row],[Employee Position]],tblPositionandPayRate[Employee Position],tblPositionandPayRate[Overtime], " ")</f>
        <v xml:space="preserve"> </v>
      </c>
      <c r="L523" s="25">
        <f>_xlfn.XLOOKUP(tblPayrollMaster[[#This Row],[Employee Position]],tblPositionandPayRate[Employee Position],tblPositionandPayRate[Allowance 1],0)*tblPayrollMaster[[#This Row],[Pay Factor]]</f>
        <v>0</v>
      </c>
      <c r="M523" s="25">
        <f>_xlfn.XLOOKUP(tblPayrollMaster[[#This Row],[Employee Position]],tblPositionandPayRate[Employee Position],tblPositionandPayRate[Allowance 2],0)*tblPayrollMaster[[#This Row],[Pay Factor]]</f>
        <v>0</v>
      </c>
      <c r="N523" s="25">
        <f>_xlfn.XLOOKUP(tblPayrollMaster[[#This Row],[Employee Position]],tblPositionandPayRate[Employee Position],tblPositionandPayRate[Allowance 3],0)*tblPayrollMaster[[#This Row],[Pay Factor]]</f>
        <v>0</v>
      </c>
      <c r="O523" s="25">
        <f>_xlfn.XLOOKUP(tblPayrollMaster[[#This Row],[Employee Position]],tblPositionandPayRate[Employee Position],tblPositionandPayRate[Allowance 4],0)*tblPayrollMaster[[#This Row],[Pay Factor]]</f>
        <v>0</v>
      </c>
      <c r="P523" s="25">
        <f>_xlfn.XLOOKUP(tblPayrollMaster[[#This Row],[Employee Position]],tblPositionandPayRate[Employee Position],tblPositionandPayRate[Allowance 5],0)*tblPayrollMaster[[#This Row],[Pay Factor]]</f>
        <v>0</v>
      </c>
      <c r="Q523" s="25">
        <f>SUM(tblPayrollMaster[[#This Row],[Basic Pay]:[Allowance 5]])</f>
        <v>0</v>
      </c>
      <c r="R52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23" s="51" cm="1">
        <f t="array" ref="S5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23" s="3" cm="1">
        <f t="array" ref="T5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23" s="25">
        <f>_xlfn.LET(
_xlpm.tos, _xlfn.XLOOKUP(tblPayrollMaster[[#This Row],[Employee ID]], tblEmployee[Employee ID], tblEmployee[Type of Service], ""),
IF(_xlpm.tos="Contract of Service", 8.25, 0)
)</f>
        <v>0</v>
      </c>
      <c r="V523" s="25">
        <f>tblPayrollMaster[[#This Row],[Basic Earnings]]-tblPayrollMaster[[#This Row],[Tax]]-tblPayrollMaster[[#This Row],[NIS - Employee]]-tblPayrollMaster[[#This Row],[Health Surcharge]]</f>
        <v>0</v>
      </c>
      <c r="W523" s="25">
        <f>tblPayrollMaster[[#This Row],[Net Pay]]</f>
        <v>0</v>
      </c>
      <c r="X523" s="25"/>
    </row>
    <row r="524" spans="1:24" x14ac:dyDescent="0.25">
      <c r="A524" s="24"/>
      <c r="B524" s="24" t="str">
        <f>_xlfn.XLOOKUP(tblPayrollMaster[[#This Row],[Employee ID]],tblEmployee[Employee ID],tblEmployee[Employee Name],"")</f>
        <v/>
      </c>
      <c r="C524" s="24" t="str">
        <f>_xlfn.XLOOKUP(tblPayrollMaster[[#This Row],[Employee ID]],tblEmployee[Employee ID],tblEmployee[Employee Position],"")</f>
        <v/>
      </c>
      <c r="D524" s="24" t="str">
        <f>_xlfn.XLOOKUP(tblPayrollMaster[[#This Row],[Employee ID]], tblEmployee[Employee ID], tblEmployee[Pay Status], "Pay")</f>
        <v>Pay</v>
      </c>
      <c r="E524" s="24" t="str">
        <f>_xlfn.XLOOKUP(tblPayrollMaster[[#This Row],[Employee ID]], tblEmployee[Employee ID], tblEmployee[Payable Flag], "Y")</f>
        <v>Y</v>
      </c>
      <c r="F524" s="45">
        <f>IF(tblPayrollMaster[[#This Row],[Payable Flag]]="N",0,_xlfn.XLOOKUP(tblPayrollMaster[[#This Row],[Employee ID]],tblEmployee[Employee ID],tblEmployee[Pay Factor],1))</f>
        <v>1</v>
      </c>
      <c r="G524" s="26" t="str" cm="1">
        <f t="array" ref="G524">IF(tblPayrollMaster[[#This Row],[Employee ID]]="","",_xlfn.XLOOKUP(selPayPeriodID,tblPayCalendar[PayPeriodID],tblPayCalendar[PeriodStart],""))</f>
        <v/>
      </c>
      <c r="H524" s="26" t="str" cm="1">
        <f t="array" ref="H524">IF(tblPayrollMaster[[#This Row],[Employee ID]]="","",_xlfn.XLOOKUP(selPayPeriodID,tblPayCalendar[PayPeriodID],tblPayCalendar[PeriodEnd],""))</f>
        <v/>
      </c>
      <c r="I524" s="24" t="e" cm="1" vm="1">
        <f t="array" aca="1" ref="I524" ca="1">Table18[Employer Name]</f>
        <v>#VALUE!</v>
      </c>
      <c r="J524" s="3" cm="1">
        <f t="array" ref="J52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24" s="25" t="str">
        <f>_xlfn.XLOOKUP(tblPayrollMaster[[#This Row],[Employee Position]],tblPositionandPayRate[Employee Position],tblPositionandPayRate[Overtime], " ")</f>
        <v xml:space="preserve"> </v>
      </c>
      <c r="L524" s="25">
        <f>_xlfn.XLOOKUP(tblPayrollMaster[[#This Row],[Employee Position]],tblPositionandPayRate[Employee Position],tblPositionandPayRate[Allowance 1],0)*tblPayrollMaster[[#This Row],[Pay Factor]]</f>
        <v>0</v>
      </c>
      <c r="M524" s="25">
        <f>_xlfn.XLOOKUP(tblPayrollMaster[[#This Row],[Employee Position]],tblPositionandPayRate[Employee Position],tblPositionandPayRate[Allowance 2],0)*tblPayrollMaster[[#This Row],[Pay Factor]]</f>
        <v>0</v>
      </c>
      <c r="N524" s="25">
        <f>_xlfn.XLOOKUP(tblPayrollMaster[[#This Row],[Employee Position]],tblPositionandPayRate[Employee Position],tblPositionandPayRate[Allowance 3],0)*tblPayrollMaster[[#This Row],[Pay Factor]]</f>
        <v>0</v>
      </c>
      <c r="O524" s="25">
        <f>_xlfn.XLOOKUP(tblPayrollMaster[[#This Row],[Employee Position]],tblPositionandPayRate[Employee Position],tblPositionandPayRate[Allowance 4],0)*tblPayrollMaster[[#This Row],[Pay Factor]]</f>
        <v>0</v>
      </c>
      <c r="P524" s="25">
        <f>_xlfn.XLOOKUP(tblPayrollMaster[[#This Row],[Employee Position]],tblPositionandPayRate[Employee Position],tblPositionandPayRate[Allowance 5],0)*tblPayrollMaster[[#This Row],[Pay Factor]]</f>
        <v>0</v>
      </c>
      <c r="Q524" s="25">
        <f>SUM(tblPayrollMaster[[#This Row],[Basic Pay]:[Allowance 5]])</f>
        <v>0</v>
      </c>
      <c r="R52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24" s="51" cm="1">
        <f t="array" ref="S5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24" s="3" cm="1">
        <f t="array" ref="T5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24" s="25">
        <f>_xlfn.LET(
_xlpm.tos, _xlfn.XLOOKUP(tblPayrollMaster[[#This Row],[Employee ID]], tblEmployee[Employee ID], tblEmployee[Type of Service], ""),
IF(_xlpm.tos="Contract of Service", 8.25, 0)
)</f>
        <v>0</v>
      </c>
      <c r="V524" s="25">
        <f>tblPayrollMaster[[#This Row],[Basic Earnings]]-tblPayrollMaster[[#This Row],[Tax]]-tblPayrollMaster[[#This Row],[NIS - Employee]]-tblPayrollMaster[[#This Row],[Health Surcharge]]</f>
        <v>0</v>
      </c>
      <c r="W524" s="25">
        <f>tblPayrollMaster[[#This Row],[Net Pay]]</f>
        <v>0</v>
      </c>
      <c r="X524" s="25"/>
    </row>
    <row r="525" spans="1:24" x14ac:dyDescent="0.25">
      <c r="A525" s="24"/>
      <c r="B525" s="24" t="str">
        <f>_xlfn.XLOOKUP(tblPayrollMaster[[#This Row],[Employee ID]],tblEmployee[Employee ID],tblEmployee[Employee Name],"")</f>
        <v/>
      </c>
      <c r="C525" s="24" t="str">
        <f>_xlfn.XLOOKUP(tblPayrollMaster[[#This Row],[Employee ID]],tblEmployee[Employee ID],tblEmployee[Employee Position],"")</f>
        <v/>
      </c>
      <c r="D525" s="24" t="str">
        <f>_xlfn.XLOOKUP(tblPayrollMaster[[#This Row],[Employee ID]], tblEmployee[Employee ID], tblEmployee[Pay Status], "Pay")</f>
        <v>Pay</v>
      </c>
      <c r="E525" s="24" t="str">
        <f>_xlfn.XLOOKUP(tblPayrollMaster[[#This Row],[Employee ID]], tblEmployee[Employee ID], tblEmployee[Payable Flag], "Y")</f>
        <v>Y</v>
      </c>
      <c r="F525" s="45">
        <f>IF(tblPayrollMaster[[#This Row],[Payable Flag]]="N",0,_xlfn.XLOOKUP(tblPayrollMaster[[#This Row],[Employee ID]],tblEmployee[Employee ID],tblEmployee[Pay Factor],1))</f>
        <v>1</v>
      </c>
      <c r="G525" s="26" t="str" cm="1">
        <f t="array" ref="G525">IF(tblPayrollMaster[[#This Row],[Employee ID]]="","",_xlfn.XLOOKUP(selPayPeriodID,tblPayCalendar[PayPeriodID],tblPayCalendar[PeriodStart],""))</f>
        <v/>
      </c>
      <c r="H525" s="26" t="str" cm="1">
        <f t="array" ref="H525">IF(tblPayrollMaster[[#This Row],[Employee ID]]="","",_xlfn.XLOOKUP(selPayPeriodID,tblPayCalendar[PayPeriodID],tblPayCalendar[PeriodEnd],""))</f>
        <v/>
      </c>
      <c r="I525" s="24" t="e" cm="1" vm="1">
        <f t="array" aca="1" ref="I525" ca="1">Table18[Employer Name]</f>
        <v>#VALUE!</v>
      </c>
      <c r="J525" s="3" cm="1">
        <f t="array" ref="J52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25" s="25" t="str">
        <f>_xlfn.XLOOKUP(tblPayrollMaster[[#This Row],[Employee Position]],tblPositionandPayRate[Employee Position],tblPositionandPayRate[Overtime], " ")</f>
        <v xml:space="preserve"> </v>
      </c>
      <c r="L525" s="25">
        <f>_xlfn.XLOOKUP(tblPayrollMaster[[#This Row],[Employee Position]],tblPositionandPayRate[Employee Position],tblPositionandPayRate[Allowance 1],0)*tblPayrollMaster[[#This Row],[Pay Factor]]</f>
        <v>0</v>
      </c>
      <c r="M525" s="25">
        <f>_xlfn.XLOOKUP(tblPayrollMaster[[#This Row],[Employee Position]],tblPositionandPayRate[Employee Position],tblPositionandPayRate[Allowance 2],0)*tblPayrollMaster[[#This Row],[Pay Factor]]</f>
        <v>0</v>
      </c>
      <c r="N525" s="25">
        <f>_xlfn.XLOOKUP(tblPayrollMaster[[#This Row],[Employee Position]],tblPositionandPayRate[Employee Position],tblPositionandPayRate[Allowance 3],0)*tblPayrollMaster[[#This Row],[Pay Factor]]</f>
        <v>0</v>
      </c>
      <c r="O525" s="25">
        <f>_xlfn.XLOOKUP(tblPayrollMaster[[#This Row],[Employee Position]],tblPositionandPayRate[Employee Position],tblPositionandPayRate[Allowance 4],0)*tblPayrollMaster[[#This Row],[Pay Factor]]</f>
        <v>0</v>
      </c>
      <c r="P525" s="25">
        <f>_xlfn.XLOOKUP(tblPayrollMaster[[#This Row],[Employee Position]],tblPositionandPayRate[Employee Position],tblPositionandPayRate[Allowance 5],0)*tblPayrollMaster[[#This Row],[Pay Factor]]</f>
        <v>0</v>
      </c>
      <c r="Q525" s="25">
        <f>SUM(tblPayrollMaster[[#This Row],[Basic Pay]:[Allowance 5]])</f>
        <v>0</v>
      </c>
      <c r="R52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25" s="51" cm="1">
        <f t="array" ref="S5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25" s="3" cm="1">
        <f t="array" ref="T5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25" s="25">
        <f>_xlfn.LET(
_xlpm.tos, _xlfn.XLOOKUP(tblPayrollMaster[[#This Row],[Employee ID]], tblEmployee[Employee ID], tblEmployee[Type of Service], ""),
IF(_xlpm.tos="Contract of Service", 8.25, 0)
)</f>
        <v>0</v>
      </c>
      <c r="V525" s="25">
        <f>tblPayrollMaster[[#This Row],[Basic Earnings]]-tblPayrollMaster[[#This Row],[Tax]]-tblPayrollMaster[[#This Row],[NIS - Employee]]-tblPayrollMaster[[#This Row],[Health Surcharge]]</f>
        <v>0</v>
      </c>
      <c r="W525" s="25">
        <f>tblPayrollMaster[[#This Row],[Net Pay]]</f>
        <v>0</v>
      </c>
      <c r="X525" s="25"/>
    </row>
    <row r="526" spans="1:24" x14ac:dyDescent="0.25">
      <c r="A526" s="24"/>
      <c r="B526" s="24" t="str">
        <f>_xlfn.XLOOKUP(tblPayrollMaster[[#This Row],[Employee ID]],tblEmployee[Employee ID],tblEmployee[Employee Name],"")</f>
        <v/>
      </c>
      <c r="C526" s="24" t="str">
        <f>_xlfn.XLOOKUP(tblPayrollMaster[[#This Row],[Employee ID]],tblEmployee[Employee ID],tblEmployee[Employee Position],"")</f>
        <v/>
      </c>
      <c r="D526" s="24" t="str">
        <f>_xlfn.XLOOKUP(tblPayrollMaster[[#This Row],[Employee ID]], tblEmployee[Employee ID], tblEmployee[Pay Status], "Pay")</f>
        <v>Pay</v>
      </c>
      <c r="E526" s="24" t="str">
        <f>_xlfn.XLOOKUP(tblPayrollMaster[[#This Row],[Employee ID]], tblEmployee[Employee ID], tblEmployee[Payable Flag], "Y")</f>
        <v>Y</v>
      </c>
      <c r="F526" s="45">
        <f>IF(tblPayrollMaster[[#This Row],[Payable Flag]]="N",0,_xlfn.XLOOKUP(tblPayrollMaster[[#This Row],[Employee ID]],tblEmployee[Employee ID],tblEmployee[Pay Factor],1))</f>
        <v>1</v>
      </c>
      <c r="G526" s="26" t="str" cm="1">
        <f t="array" ref="G526">IF(tblPayrollMaster[[#This Row],[Employee ID]]="","",_xlfn.XLOOKUP(selPayPeriodID,tblPayCalendar[PayPeriodID],tblPayCalendar[PeriodStart],""))</f>
        <v/>
      </c>
      <c r="H526" s="26" t="str" cm="1">
        <f t="array" ref="H526">IF(tblPayrollMaster[[#This Row],[Employee ID]]="","",_xlfn.XLOOKUP(selPayPeriodID,tblPayCalendar[PayPeriodID],tblPayCalendar[PeriodEnd],""))</f>
        <v/>
      </c>
      <c r="I526" s="24" t="e" cm="1" vm="1">
        <f t="array" aca="1" ref="I526" ca="1">Table18[Employer Name]</f>
        <v>#VALUE!</v>
      </c>
      <c r="J526" s="3" cm="1">
        <f t="array" ref="J52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26" s="25" t="str">
        <f>_xlfn.XLOOKUP(tblPayrollMaster[[#This Row],[Employee Position]],tblPositionandPayRate[Employee Position],tblPositionandPayRate[Overtime], " ")</f>
        <v xml:space="preserve"> </v>
      </c>
      <c r="L526" s="25">
        <f>_xlfn.XLOOKUP(tblPayrollMaster[[#This Row],[Employee Position]],tblPositionandPayRate[Employee Position],tblPositionandPayRate[Allowance 1],0)*tblPayrollMaster[[#This Row],[Pay Factor]]</f>
        <v>0</v>
      </c>
      <c r="M526" s="25">
        <f>_xlfn.XLOOKUP(tblPayrollMaster[[#This Row],[Employee Position]],tblPositionandPayRate[Employee Position],tblPositionandPayRate[Allowance 2],0)*tblPayrollMaster[[#This Row],[Pay Factor]]</f>
        <v>0</v>
      </c>
      <c r="N526" s="25">
        <f>_xlfn.XLOOKUP(tblPayrollMaster[[#This Row],[Employee Position]],tblPositionandPayRate[Employee Position],tblPositionandPayRate[Allowance 3],0)*tblPayrollMaster[[#This Row],[Pay Factor]]</f>
        <v>0</v>
      </c>
      <c r="O526" s="25">
        <f>_xlfn.XLOOKUP(tblPayrollMaster[[#This Row],[Employee Position]],tblPositionandPayRate[Employee Position],tblPositionandPayRate[Allowance 4],0)*tblPayrollMaster[[#This Row],[Pay Factor]]</f>
        <v>0</v>
      </c>
      <c r="P526" s="25">
        <f>_xlfn.XLOOKUP(tblPayrollMaster[[#This Row],[Employee Position]],tblPositionandPayRate[Employee Position],tblPositionandPayRate[Allowance 5],0)*tblPayrollMaster[[#This Row],[Pay Factor]]</f>
        <v>0</v>
      </c>
      <c r="Q526" s="25">
        <f>SUM(tblPayrollMaster[[#This Row],[Basic Pay]:[Allowance 5]])</f>
        <v>0</v>
      </c>
      <c r="R52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26" s="51" cm="1">
        <f t="array" ref="S5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26" s="3" cm="1">
        <f t="array" ref="T5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26" s="25">
        <f>_xlfn.LET(
_xlpm.tos, _xlfn.XLOOKUP(tblPayrollMaster[[#This Row],[Employee ID]], tblEmployee[Employee ID], tblEmployee[Type of Service], ""),
IF(_xlpm.tos="Contract of Service", 8.25, 0)
)</f>
        <v>0</v>
      </c>
      <c r="V526" s="25">
        <f>tblPayrollMaster[[#This Row],[Basic Earnings]]-tblPayrollMaster[[#This Row],[Tax]]-tblPayrollMaster[[#This Row],[NIS - Employee]]-tblPayrollMaster[[#This Row],[Health Surcharge]]</f>
        <v>0</v>
      </c>
      <c r="W526" s="25">
        <f>tblPayrollMaster[[#This Row],[Net Pay]]</f>
        <v>0</v>
      </c>
      <c r="X526" s="25"/>
    </row>
    <row r="527" spans="1:24" x14ac:dyDescent="0.25">
      <c r="A527" s="24"/>
      <c r="B527" s="24" t="str">
        <f>_xlfn.XLOOKUP(tblPayrollMaster[[#This Row],[Employee ID]],tblEmployee[Employee ID],tblEmployee[Employee Name],"")</f>
        <v/>
      </c>
      <c r="C527" s="24" t="str">
        <f>_xlfn.XLOOKUP(tblPayrollMaster[[#This Row],[Employee ID]],tblEmployee[Employee ID],tblEmployee[Employee Position],"")</f>
        <v/>
      </c>
      <c r="D527" s="24" t="str">
        <f>_xlfn.XLOOKUP(tblPayrollMaster[[#This Row],[Employee ID]], tblEmployee[Employee ID], tblEmployee[Pay Status], "Pay")</f>
        <v>Pay</v>
      </c>
      <c r="E527" s="24" t="str">
        <f>_xlfn.XLOOKUP(tblPayrollMaster[[#This Row],[Employee ID]], tblEmployee[Employee ID], tblEmployee[Payable Flag], "Y")</f>
        <v>Y</v>
      </c>
      <c r="F527" s="45">
        <f>IF(tblPayrollMaster[[#This Row],[Payable Flag]]="N",0,_xlfn.XLOOKUP(tblPayrollMaster[[#This Row],[Employee ID]],tblEmployee[Employee ID],tblEmployee[Pay Factor],1))</f>
        <v>1</v>
      </c>
      <c r="G527" s="26" t="str" cm="1">
        <f t="array" ref="G527">IF(tblPayrollMaster[[#This Row],[Employee ID]]="","",_xlfn.XLOOKUP(selPayPeriodID,tblPayCalendar[PayPeriodID],tblPayCalendar[PeriodStart],""))</f>
        <v/>
      </c>
      <c r="H527" s="26" t="str" cm="1">
        <f t="array" ref="H527">IF(tblPayrollMaster[[#This Row],[Employee ID]]="","",_xlfn.XLOOKUP(selPayPeriodID,tblPayCalendar[PayPeriodID],tblPayCalendar[PeriodEnd],""))</f>
        <v/>
      </c>
      <c r="I527" s="24" t="e" cm="1" vm="1">
        <f t="array" aca="1" ref="I527" ca="1">Table18[Employer Name]</f>
        <v>#VALUE!</v>
      </c>
      <c r="J527" s="3" cm="1">
        <f t="array" ref="J52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27" s="25" t="str">
        <f>_xlfn.XLOOKUP(tblPayrollMaster[[#This Row],[Employee Position]],tblPositionandPayRate[Employee Position],tblPositionandPayRate[Overtime], " ")</f>
        <v xml:space="preserve"> </v>
      </c>
      <c r="L527" s="25">
        <f>_xlfn.XLOOKUP(tblPayrollMaster[[#This Row],[Employee Position]],tblPositionandPayRate[Employee Position],tblPositionandPayRate[Allowance 1],0)*tblPayrollMaster[[#This Row],[Pay Factor]]</f>
        <v>0</v>
      </c>
      <c r="M527" s="25">
        <f>_xlfn.XLOOKUP(tblPayrollMaster[[#This Row],[Employee Position]],tblPositionandPayRate[Employee Position],tblPositionandPayRate[Allowance 2],0)*tblPayrollMaster[[#This Row],[Pay Factor]]</f>
        <v>0</v>
      </c>
      <c r="N527" s="25">
        <f>_xlfn.XLOOKUP(tblPayrollMaster[[#This Row],[Employee Position]],tblPositionandPayRate[Employee Position],tblPositionandPayRate[Allowance 3],0)*tblPayrollMaster[[#This Row],[Pay Factor]]</f>
        <v>0</v>
      </c>
      <c r="O527" s="25">
        <f>_xlfn.XLOOKUP(tblPayrollMaster[[#This Row],[Employee Position]],tblPositionandPayRate[Employee Position],tblPositionandPayRate[Allowance 4],0)*tblPayrollMaster[[#This Row],[Pay Factor]]</f>
        <v>0</v>
      </c>
      <c r="P527" s="25">
        <f>_xlfn.XLOOKUP(tblPayrollMaster[[#This Row],[Employee Position]],tblPositionandPayRate[Employee Position],tblPositionandPayRate[Allowance 5],0)*tblPayrollMaster[[#This Row],[Pay Factor]]</f>
        <v>0</v>
      </c>
      <c r="Q527" s="25">
        <f>SUM(tblPayrollMaster[[#This Row],[Basic Pay]:[Allowance 5]])</f>
        <v>0</v>
      </c>
      <c r="R52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27" s="51" cm="1">
        <f t="array" ref="S5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27" s="3" cm="1">
        <f t="array" ref="T5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27" s="25">
        <f>_xlfn.LET(
_xlpm.tos, _xlfn.XLOOKUP(tblPayrollMaster[[#This Row],[Employee ID]], tblEmployee[Employee ID], tblEmployee[Type of Service], ""),
IF(_xlpm.tos="Contract of Service", 8.25, 0)
)</f>
        <v>0</v>
      </c>
      <c r="V527" s="25">
        <f>tblPayrollMaster[[#This Row],[Basic Earnings]]-tblPayrollMaster[[#This Row],[Tax]]-tblPayrollMaster[[#This Row],[NIS - Employee]]-tblPayrollMaster[[#This Row],[Health Surcharge]]</f>
        <v>0</v>
      </c>
      <c r="W527" s="25">
        <f>tblPayrollMaster[[#This Row],[Net Pay]]</f>
        <v>0</v>
      </c>
      <c r="X527" s="25"/>
    </row>
    <row r="528" spans="1:24" x14ac:dyDescent="0.25">
      <c r="A528" s="24"/>
      <c r="B528" s="24" t="str">
        <f>_xlfn.XLOOKUP(tblPayrollMaster[[#This Row],[Employee ID]],tblEmployee[Employee ID],tblEmployee[Employee Name],"")</f>
        <v/>
      </c>
      <c r="C528" s="24" t="str">
        <f>_xlfn.XLOOKUP(tblPayrollMaster[[#This Row],[Employee ID]],tblEmployee[Employee ID],tblEmployee[Employee Position],"")</f>
        <v/>
      </c>
      <c r="D528" s="24" t="str">
        <f>_xlfn.XLOOKUP(tblPayrollMaster[[#This Row],[Employee ID]], tblEmployee[Employee ID], tblEmployee[Pay Status], "Pay")</f>
        <v>Pay</v>
      </c>
      <c r="E528" s="24" t="str">
        <f>_xlfn.XLOOKUP(tblPayrollMaster[[#This Row],[Employee ID]], tblEmployee[Employee ID], tblEmployee[Payable Flag], "Y")</f>
        <v>Y</v>
      </c>
      <c r="F528" s="45">
        <f>IF(tblPayrollMaster[[#This Row],[Payable Flag]]="N",0,_xlfn.XLOOKUP(tblPayrollMaster[[#This Row],[Employee ID]],tblEmployee[Employee ID],tblEmployee[Pay Factor],1))</f>
        <v>1</v>
      </c>
      <c r="G528" s="26" t="str" cm="1">
        <f t="array" ref="G528">IF(tblPayrollMaster[[#This Row],[Employee ID]]="","",_xlfn.XLOOKUP(selPayPeriodID,tblPayCalendar[PayPeriodID],tblPayCalendar[PeriodStart],""))</f>
        <v/>
      </c>
      <c r="H528" s="26" t="str" cm="1">
        <f t="array" ref="H528">IF(tblPayrollMaster[[#This Row],[Employee ID]]="","",_xlfn.XLOOKUP(selPayPeriodID,tblPayCalendar[PayPeriodID],tblPayCalendar[PeriodEnd],""))</f>
        <v/>
      </c>
      <c r="I528" s="24" t="e" cm="1" vm="1">
        <f t="array" aca="1" ref="I528" ca="1">Table18[Employer Name]</f>
        <v>#VALUE!</v>
      </c>
      <c r="J528" s="3" cm="1">
        <f t="array" ref="J52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28" s="25" t="str">
        <f>_xlfn.XLOOKUP(tblPayrollMaster[[#This Row],[Employee Position]],tblPositionandPayRate[Employee Position],tblPositionandPayRate[Overtime], " ")</f>
        <v xml:space="preserve"> </v>
      </c>
      <c r="L528" s="25">
        <f>_xlfn.XLOOKUP(tblPayrollMaster[[#This Row],[Employee Position]],tblPositionandPayRate[Employee Position],tblPositionandPayRate[Allowance 1],0)*tblPayrollMaster[[#This Row],[Pay Factor]]</f>
        <v>0</v>
      </c>
      <c r="M528" s="25">
        <f>_xlfn.XLOOKUP(tblPayrollMaster[[#This Row],[Employee Position]],tblPositionandPayRate[Employee Position],tblPositionandPayRate[Allowance 2],0)*tblPayrollMaster[[#This Row],[Pay Factor]]</f>
        <v>0</v>
      </c>
      <c r="N528" s="25">
        <f>_xlfn.XLOOKUP(tblPayrollMaster[[#This Row],[Employee Position]],tblPositionandPayRate[Employee Position],tblPositionandPayRate[Allowance 3],0)*tblPayrollMaster[[#This Row],[Pay Factor]]</f>
        <v>0</v>
      </c>
      <c r="O528" s="25">
        <f>_xlfn.XLOOKUP(tblPayrollMaster[[#This Row],[Employee Position]],tblPositionandPayRate[Employee Position],tblPositionandPayRate[Allowance 4],0)*tblPayrollMaster[[#This Row],[Pay Factor]]</f>
        <v>0</v>
      </c>
      <c r="P528" s="25">
        <f>_xlfn.XLOOKUP(tblPayrollMaster[[#This Row],[Employee Position]],tblPositionandPayRate[Employee Position],tblPositionandPayRate[Allowance 5],0)*tblPayrollMaster[[#This Row],[Pay Factor]]</f>
        <v>0</v>
      </c>
      <c r="Q528" s="25">
        <f>SUM(tblPayrollMaster[[#This Row],[Basic Pay]:[Allowance 5]])</f>
        <v>0</v>
      </c>
      <c r="R52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28" s="51" cm="1">
        <f t="array" ref="S5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28" s="3" cm="1">
        <f t="array" ref="T5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28" s="25">
        <f>_xlfn.LET(
_xlpm.tos, _xlfn.XLOOKUP(tblPayrollMaster[[#This Row],[Employee ID]], tblEmployee[Employee ID], tblEmployee[Type of Service], ""),
IF(_xlpm.tos="Contract of Service", 8.25, 0)
)</f>
        <v>0</v>
      </c>
      <c r="V528" s="25">
        <f>tblPayrollMaster[[#This Row],[Basic Earnings]]-tblPayrollMaster[[#This Row],[Tax]]-tblPayrollMaster[[#This Row],[NIS - Employee]]-tblPayrollMaster[[#This Row],[Health Surcharge]]</f>
        <v>0</v>
      </c>
      <c r="W528" s="25">
        <f>tblPayrollMaster[[#This Row],[Net Pay]]</f>
        <v>0</v>
      </c>
      <c r="X528" s="25"/>
    </row>
    <row r="529" spans="1:24" x14ac:dyDescent="0.25">
      <c r="A529" s="24"/>
      <c r="B529" s="24" t="str">
        <f>_xlfn.XLOOKUP(tblPayrollMaster[[#This Row],[Employee ID]],tblEmployee[Employee ID],tblEmployee[Employee Name],"")</f>
        <v/>
      </c>
      <c r="C529" s="24" t="str">
        <f>_xlfn.XLOOKUP(tblPayrollMaster[[#This Row],[Employee ID]],tblEmployee[Employee ID],tblEmployee[Employee Position],"")</f>
        <v/>
      </c>
      <c r="D529" s="24" t="str">
        <f>_xlfn.XLOOKUP(tblPayrollMaster[[#This Row],[Employee ID]], tblEmployee[Employee ID], tblEmployee[Pay Status], "Pay")</f>
        <v>Pay</v>
      </c>
      <c r="E529" s="24" t="str">
        <f>_xlfn.XLOOKUP(tblPayrollMaster[[#This Row],[Employee ID]], tblEmployee[Employee ID], tblEmployee[Payable Flag], "Y")</f>
        <v>Y</v>
      </c>
      <c r="F529" s="45">
        <f>IF(tblPayrollMaster[[#This Row],[Payable Flag]]="N",0,_xlfn.XLOOKUP(tblPayrollMaster[[#This Row],[Employee ID]],tblEmployee[Employee ID],tblEmployee[Pay Factor],1))</f>
        <v>1</v>
      </c>
      <c r="G529" s="26" t="str" cm="1">
        <f t="array" ref="G529">IF(tblPayrollMaster[[#This Row],[Employee ID]]="","",_xlfn.XLOOKUP(selPayPeriodID,tblPayCalendar[PayPeriodID],tblPayCalendar[PeriodStart],""))</f>
        <v/>
      </c>
      <c r="H529" s="26" t="str" cm="1">
        <f t="array" ref="H529">IF(tblPayrollMaster[[#This Row],[Employee ID]]="","",_xlfn.XLOOKUP(selPayPeriodID,tblPayCalendar[PayPeriodID],tblPayCalendar[PeriodEnd],""))</f>
        <v/>
      </c>
      <c r="I529" s="24" t="e" cm="1" vm="1">
        <f t="array" aca="1" ref="I529" ca="1">Table18[Employer Name]</f>
        <v>#VALUE!</v>
      </c>
      <c r="J529" s="3" cm="1">
        <f t="array" ref="J52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29" s="25" t="str">
        <f>_xlfn.XLOOKUP(tblPayrollMaster[[#This Row],[Employee Position]],tblPositionandPayRate[Employee Position],tblPositionandPayRate[Overtime], " ")</f>
        <v xml:space="preserve"> </v>
      </c>
      <c r="L529" s="25">
        <f>_xlfn.XLOOKUP(tblPayrollMaster[[#This Row],[Employee Position]],tblPositionandPayRate[Employee Position],tblPositionandPayRate[Allowance 1],0)*tblPayrollMaster[[#This Row],[Pay Factor]]</f>
        <v>0</v>
      </c>
      <c r="M529" s="25">
        <f>_xlfn.XLOOKUP(tblPayrollMaster[[#This Row],[Employee Position]],tblPositionandPayRate[Employee Position],tblPositionandPayRate[Allowance 2],0)*tblPayrollMaster[[#This Row],[Pay Factor]]</f>
        <v>0</v>
      </c>
      <c r="N529" s="25">
        <f>_xlfn.XLOOKUP(tblPayrollMaster[[#This Row],[Employee Position]],tblPositionandPayRate[Employee Position],tblPositionandPayRate[Allowance 3],0)*tblPayrollMaster[[#This Row],[Pay Factor]]</f>
        <v>0</v>
      </c>
      <c r="O529" s="25">
        <f>_xlfn.XLOOKUP(tblPayrollMaster[[#This Row],[Employee Position]],tblPositionandPayRate[Employee Position],tblPositionandPayRate[Allowance 4],0)*tblPayrollMaster[[#This Row],[Pay Factor]]</f>
        <v>0</v>
      </c>
      <c r="P529" s="25">
        <f>_xlfn.XLOOKUP(tblPayrollMaster[[#This Row],[Employee Position]],tblPositionandPayRate[Employee Position],tblPositionandPayRate[Allowance 5],0)*tblPayrollMaster[[#This Row],[Pay Factor]]</f>
        <v>0</v>
      </c>
      <c r="Q529" s="25">
        <f>SUM(tblPayrollMaster[[#This Row],[Basic Pay]:[Allowance 5]])</f>
        <v>0</v>
      </c>
      <c r="R52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29" s="51" cm="1">
        <f t="array" ref="S5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29" s="3" cm="1">
        <f t="array" ref="T5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29" s="25">
        <f>_xlfn.LET(
_xlpm.tos, _xlfn.XLOOKUP(tblPayrollMaster[[#This Row],[Employee ID]], tblEmployee[Employee ID], tblEmployee[Type of Service], ""),
IF(_xlpm.tos="Contract of Service", 8.25, 0)
)</f>
        <v>0</v>
      </c>
      <c r="V529" s="25">
        <f>tblPayrollMaster[[#This Row],[Basic Earnings]]-tblPayrollMaster[[#This Row],[Tax]]-tblPayrollMaster[[#This Row],[NIS - Employee]]-tblPayrollMaster[[#This Row],[Health Surcharge]]</f>
        <v>0</v>
      </c>
      <c r="W529" s="25">
        <f>tblPayrollMaster[[#This Row],[Net Pay]]</f>
        <v>0</v>
      </c>
      <c r="X529" s="25"/>
    </row>
    <row r="530" spans="1:24" x14ac:dyDescent="0.25">
      <c r="A530" s="24"/>
      <c r="B530" s="24" t="str">
        <f>_xlfn.XLOOKUP(tblPayrollMaster[[#This Row],[Employee ID]],tblEmployee[Employee ID],tblEmployee[Employee Name],"")</f>
        <v/>
      </c>
      <c r="C530" s="24" t="str">
        <f>_xlfn.XLOOKUP(tblPayrollMaster[[#This Row],[Employee ID]],tblEmployee[Employee ID],tblEmployee[Employee Position],"")</f>
        <v/>
      </c>
      <c r="D530" s="24" t="str">
        <f>_xlfn.XLOOKUP(tblPayrollMaster[[#This Row],[Employee ID]], tblEmployee[Employee ID], tblEmployee[Pay Status], "Pay")</f>
        <v>Pay</v>
      </c>
      <c r="E530" s="24" t="str">
        <f>_xlfn.XLOOKUP(tblPayrollMaster[[#This Row],[Employee ID]], tblEmployee[Employee ID], tblEmployee[Payable Flag], "Y")</f>
        <v>Y</v>
      </c>
      <c r="F530" s="45">
        <f>IF(tblPayrollMaster[[#This Row],[Payable Flag]]="N",0,_xlfn.XLOOKUP(tblPayrollMaster[[#This Row],[Employee ID]],tblEmployee[Employee ID],tblEmployee[Pay Factor],1))</f>
        <v>1</v>
      </c>
      <c r="G530" s="26" t="str" cm="1">
        <f t="array" ref="G530">IF(tblPayrollMaster[[#This Row],[Employee ID]]="","",_xlfn.XLOOKUP(selPayPeriodID,tblPayCalendar[PayPeriodID],tblPayCalendar[PeriodStart],""))</f>
        <v/>
      </c>
      <c r="H530" s="26" t="str" cm="1">
        <f t="array" ref="H530">IF(tblPayrollMaster[[#This Row],[Employee ID]]="","",_xlfn.XLOOKUP(selPayPeriodID,tblPayCalendar[PayPeriodID],tblPayCalendar[PeriodEnd],""))</f>
        <v/>
      </c>
      <c r="I530" s="24" t="e" cm="1" vm="1">
        <f t="array" aca="1" ref="I530" ca="1">Table18[Employer Name]</f>
        <v>#VALUE!</v>
      </c>
      <c r="J530" s="3" cm="1">
        <f t="array" ref="J53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30" s="25" t="str">
        <f>_xlfn.XLOOKUP(tblPayrollMaster[[#This Row],[Employee Position]],tblPositionandPayRate[Employee Position],tblPositionandPayRate[Overtime], " ")</f>
        <v xml:space="preserve"> </v>
      </c>
      <c r="L530" s="25">
        <f>_xlfn.XLOOKUP(tblPayrollMaster[[#This Row],[Employee Position]],tblPositionandPayRate[Employee Position],tblPositionandPayRate[Allowance 1],0)*tblPayrollMaster[[#This Row],[Pay Factor]]</f>
        <v>0</v>
      </c>
      <c r="M530" s="25">
        <f>_xlfn.XLOOKUP(tblPayrollMaster[[#This Row],[Employee Position]],tblPositionandPayRate[Employee Position],tblPositionandPayRate[Allowance 2],0)*tblPayrollMaster[[#This Row],[Pay Factor]]</f>
        <v>0</v>
      </c>
      <c r="N530" s="25">
        <f>_xlfn.XLOOKUP(tblPayrollMaster[[#This Row],[Employee Position]],tblPositionandPayRate[Employee Position],tblPositionandPayRate[Allowance 3],0)*tblPayrollMaster[[#This Row],[Pay Factor]]</f>
        <v>0</v>
      </c>
      <c r="O530" s="25">
        <f>_xlfn.XLOOKUP(tblPayrollMaster[[#This Row],[Employee Position]],tblPositionandPayRate[Employee Position],tblPositionandPayRate[Allowance 4],0)*tblPayrollMaster[[#This Row],[Pay Factor]]</f>
        <v>0</v>
      </c>
      <c r="P530" s="25">
        <f>_xlfn.XLOOKUP(tblPayrollMaster[[#This Row],[Employee Position]],tblPositionandPayRate[Employee Position],tblPositionandPayRate[Allowance 5],0)*tblPayrollMaster[[#This Row],[Pay Factor]]</f>
        <v>0</v>
      </c>
      <c r="Q530" s="25">
        <f>SUM(tblPayrollMaster[[#This Row],[Basic Pay]:[Allowance 5]])</f>
        <v>0</v>
      </c>
      <c r="R53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30" s="51" cm="1">
        <f t="array" ref="S5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30" s="3" cm="1">
        <f t="array" ref="T5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30" s="25">
        <f>_xlfn.LET(
_xlpm.tos, _xlfn.XLOOKUP(tblPayrollMaster[[#This Row],[Employee ID]], tblEmployee[Employee ID], tblEmployee[Type of Service], ""),
IF(_xlpm.tos="Contract of Service", 8.25, 0)
)</f>
        <v>0</v>
      </c>
      <c r="V530" s="25">
        <f>tblPayrollMaster[[#This Row],[Basic Earnings]]-tblPayrollMaster[[#This Row],[Tax]]-tblPayrollMaster[[#This Row],[NIS - Employee]]-tblPayrollMaster[[#This Row],[Health Surcharge]]</f>
        <v>0</v>
      </c>
      <c r="W530" s="25">
        <f>tblPayrollMaster[[#This Row],[Net Pay]]</f>
        <v>0</v>
      </c>
      <c r="X530" s="25"/>
    </row>
    <row r="531" spans="1:24" x14ac:dyDescent="0.25">
      <c r="A531" s="24"/>
      <c r="B531" s="24" t="str">
        <f>_xlfn.XLOOKUP(tblPayrollMaster[[#This Row],[Employee ID]],tblEmployee[Employee ID],tblEmployee[Employee Name],"")</f>
        <v/>
      </c>
      <c r="C531" s="24" t="str">
        <f>_xlfn.XLOOKUP(tblPayrollMaster[[#This Row],[Employee ID]],tblEmployee[Employee ID],tblEmployee[Employee Position],"")</f>
        <v/>
      </c>
      <c r="D531" s="24" t="str">
        <f>_xlfn.XLOOKUP(tblPayrollMaster[[#This Row],[Employee ID]], tblEmployee[Employee ID], tblEmployee[Pay Status], "Pay")</f>
        <v>Pay</v>
      </c>
      <c r="E531" s="24" t="str">
        <f>_xlfn.XLOOKUP(tblPayrollMaster[[#This Row],[Employee ID]], tblEmployee[Employee ID], tblEmployee[Payable Flag], "Y")</f>
        <v>Y</v>
      </c>
      <c r="F531" s="45">
        <f>IF(tblPayrollMaster[[#This Row],[Payable Flag]]="N",0,_xlfn.XLOOKUP(tblPayrollMaster[[#This Row],[Employee ID]],tblEmployee[Employee ID],tblEmployee[Pay Factor],1))</f>
        <v>1</v>
      </c>
      <c r="G531" s="26" t="str" cm="1">
        <f t="array" ref="G531">IF(tblPayrollMaster[[#This Row],[Employee ID]]="","",_xlfn.XLOOKUP(selPayPeriodID,tblPayCalendar[PayPeriodID],tblPayCalendar[PeriodStart],""))</f>
        <v/>
      </c>
      <c r="H531" s="26" t="str" cm="1">
        <f t="array" ref="H531">IF(tblPayrollMaster[[#This Row],[Employee ID]]="","",_xlfn.XLOOKUP(selPayPeriodID,tblPayCalendar[PayPeriodID],tblPayCalendar[PeriodEnd],""))</f>
        <v/>
      </c>
      <c r="I531" s="24" t="e" cm="1" vm="1">
        <f t="array" aca="1" ref="I531" ca="1">Table18[Employer Name]</f>
        <v>#VALUE!</v>
      </c>
      <c r="J531" s="3" cm="1">
        <f t="array" ref="J53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31" s="25" t="str">
        <f>_xlfn.XLOOKUP(tblPayrollMaster[[#This Row],[Employee Position]],tblPositionandPayRate[Employee Position],tblPositionandPayRate[Overtime], " ")</f>
        <v xml:space="preserve"> </v>
      </c>
      <c r="L531" s="25">
        <f>_xlfn.XLOOKUP(tblPayrollMaster[[#This Row],[Employee Position]],tblPositionandPayRate[Employee Position],tblPositionandPayRate[Allowance 1],0)*tblPayrollMaster[[#This Row],[Pay Factor]]</f>
        <v>0</v>
      </c>
      <c r="M531" s="25">
        <f>_xlfn.XLOOKUP(tblPayrollMaster[[#This Row],[Employee Position]],tblPositionandPayRate[Employee Position],tblPositionandPayRate[Allowance 2],0)*tblPayrollMaster[[#This Row],[Pay Factor]]</f>
        <v>0</v>
      </c>
      <c r="N531" s="25">
        <f>_xlfn.XLOOKUP(tblPayrollMaster[[#This Row],[Employee Position]],tblPositionandPayRate[Employee Position],tblPositionandPayRate[Allowance 3],0)*tblPayrollMaster[[#This Row],[Pay Factor]]</f>
        <v>0</v>
      </c>
      <c r="O531" s="25">
        <f>_xlfn.XLOOKUP(tblPayrollMaster[[#This Row],[Employee Position]],tblPositionandPayRate[Employee Position],tblPositionandPayRate[Allowance 4],0)*tblPayrollMaster[[#This Row],[Pay Factor]]</f>
        <v>0</v>
      </c>
      <c r="P531" s="25">
        <f>_xlfn.XLOOKUP(tblPayrollMaster[[#This Row],[Employee Position]],tblPositionandPayRate[Employee Position],tblPositionandPayRate[Allowance 5],0)*tblPayrollMaster[[#This Row],[Pay Factor]]</f>
        <v>0</v>
      </c>
      <c r="Q531" s="25">
        <f>SUM(tblPayrollMaster[[#This Row],[Basic Pay]:[Allowance 5]])</f>
        <v>0</v>
      </c>
      <c r="R53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31" s="51" cm="1">
        <f t="array" ref="S5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31" s="3" cm="1">
        <f t="array" ref="T5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31" s="25">
        <f>_xlfn.LET(
_xlpm.tos, _xlfn.XLOOKUP(tblPayrollMaster[[#This Row],[Employee ID]], tblEmployee[Employee ID], tblEmployee[Type of Service], ""),
IF(_xlpm.tos="Contract of Service", 8.25, 0)
)</f>
        <v>0</v>
      </c>
      <c r="V531" s="25">
        <f>tblPayrollMaster[[#This Row],[Basic Earnings]]-tblPayrollMaster[[#This Row],[Tax]]-tblPayrollMaster[[#This Row],[NIS - Employee]]-tblPayrollMaster[[#This Row],[Health Surcharge]]</f>
        <v>0</v>
      </c>
      <c r="W531" s="25">
        <f>tblPayrollMaster[[#This Row],[Net Pay]]</f>
        <v>0</v>
      </c>
      <c r="X531" s="25"/>
    </row>
    <row r="532" spans="1:24" x14ac:dyDescent="0.25">
      <c r="A532" s="24"/>
      <c r="B532" s="24" t="str">
        <f>_xlfn.XLOOKUP(tblPayrollMaster[[#This Row],[Employee ID]],tblEmployee[Employee ID],tblEmployee[Employee Name],"")</f>
        <v/>
      </c>
      <c r="C532" s="24" t="str">
        <f>_xlfn.XLOOKUP(tblPayrollMaster[[#This Row],[Employee ID]],tblEmployee[Employee ID],tblEmployee[Employee Position],"")</f>
        <v/>
      </c>
      <c r="D532" s="24" t="str">
        <f>_xlfn.XLOOKUP(tblPayrollMaster[[#This Row],[Employee ID]], tblEmployee[Employee ID], tblEmployee[Pay Status], "Pay")</f>
        <v>Pay</v>
      </c>
      <c r="E532" s="24" t="str">
        <f>_xlfn.XLOOKUP(tblPayrollMaster[[#This Row],[Employee ID]], tblEmployee[Employee ID], tblEmployee[Payable Flag], "Y")</f>
        <v>Y</v>
      </c>
      <c r="F532" s="45">
        <f>IF(tblPayrollMaster[[#This Row],[Payable Flag]]="N",0,_xlfn.XLOOKUP(tblPayrollMaster[[#This Row],[Employee ID]],tblEmployee[Employee ID],tblEmployee[Pay Factor],1))</f>
        <v>1</v>
      </c>
      <c r="G532" s="26" t="str" cm="1">
        <f t="array" ref="G532">IF(tblPayrollMaster[[#This Row],[Employee ID]]="","",_xlfn.XLOOKUP(selPayPeriodID,tblPayCalendar[PayPeriodID],tblPayCalendar[PeriodStart],""))</f>
        <v/>
      </c>
      <c r="H532" s="26" t="str" cm="1">
        <f t="array" ref="H532">IF(tblPayrollMaster[[#This Row],[Employee ID]]="","",_xlfn.XLOOKUP(selPayPeriodID,tblPayCalendar[PayPeriodID],tblPayCalendar[PeriodEnd],""))</f>
        <v/>
      </c>
      <c r="I532" s="24" t="e" cm="1" vm="1">
        <f t="array" aca="1" ref="I532" ca="1">Table18[Employer Name]</f>
        <v>#VALUE!</v>
      </c>
      <c r="J532" s="3" cm="1">
        <f t="array" ref="J53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32" s="25" t="str">
        <f>_xlfn.XLOOKUP(tblPayrollMaster[[#This Row],[Employee Position]],tblPositionandPayRate[Employee Position],tblPositionandPayRate[Overtime], " ")</f>
        <v xml:space="preserve"> </v>
      </c>
      <c r="L532" s="25">
        <f>_xlfn.XLOOKUP(tblPayrollMaster[[#This Row],[Employee Position]],tblPositionandPayRate[Employee Position],tblPositionandPayRate[Allowance 1],0)*tblPayrollMaster[[#This Row],[Pay Factor]]</f>
        <v>0</v>
      </c>
      <c r="M532" s="25">
        <f>_xlfn.XLOOKUP(tblPayrollMaster[[#This Row],[Employee Position]],tblPositionandPayRate[Employee Position],tblPositionandPayRate[Allowance 2],0)*tblPayrollMaster[[#This Row],[Pay Factor]]</f>
        <v>0</v>
      </c>
      <c r="N532" s="25">
        <f>_xlfn.XLOOKUP(tblPayrollMaster[[#This Row],[Employee Position]],tblPositionandPayRate[Employee Position],tblPositionandPayRate[Allowance 3],0)*tblPayrollMaster[[#This Row],[Pay Factor]]</f>
        <v>0</v>
      </c>
      <c r="O532" s="25">
        <f>_xlfn.XLOOKUP(tblPayrollMaster[[#This Row],[Employee Position]],tblPositionandPayRate[Employee Position],tblPositionandPayRate[Allowance 4],0)*tblPayrollMaster[[#This Row],[Pay Factor]]</f>
        <v>0</v>
      </c>
      <c r="P532" s="25">
        <f>_xlfn.XLOOKUP(tblPayrollMaster[[#This Row],[Employee Position]],tblPositionandPayRate[Employee Position],tblPositionandPayRate[Allowance 5],0)*tblPayrollMaster[[#This Row],[Pay Factor]]</f>
        <v>0</v>
      </c>
      <c r="Q532" s="25">
        <f>SUM(tblPayrollMaster[[#This Row],[Basic Pay]:[Allowance 5]])</f>
        <v>0</v>
      </c>
      <c r="R53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32" s="51" cm="1">
        <f t="array" ref="S5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32" s="3" cm="1">
        <f t="array" ref="T5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32" s="25">
        <f>_xlfn.LET(
_xlpm.tos, _xlfn.XLOOKUP(tblPayrollMaster[[#This Row],[Employee ID]], tblEmployee[Employee ID], tblEmployee[Type of Service], ""),
IF(_xlpm.tos="Contract of Service", 8.25, 0)
)</f>
        <v>0</v>
      </c>
      <c r="V532" s="25">
        <f>tblPayrollMaster[[#This Row],[Basic Earnings]]-tblPayrollMaster[[#This Row],[Tax]]-tblPayrollMaster[[#This Row],[NIS - Employee]]-tblPayrollMaster[[#This Row],[Health Surcharge]]</f>
        <v>0</v>
      </c>
      <c r="W532" s="25">
        <f>tblPayrollMaster[[#This Row],[Net Pay]]</f>
        <v>0</v>
      </c>
      <c r="X532" s="25"/>
    </row>
    <row r="533" spans="1:24" x14ac:dyDescent="0.25">
      <c r="A533" s="24"/>
      <c r="B533" s="24" t="str">
        <f>_xlfn.XLOOKUP(tblPayrollMaster[[#This Row],[Employee ID]],tblEmployee[Employee ID],tblEmployee[Employee Name],"")</f>
        <v/>
      </c>
      <c r="C533" s="24" t="str">
        <f>_xlfn.XLOOKUP(tblPayrollMaster[[#This Row],[Employee ID]],tblEmployee[Employee ID],tblEmployee[Employee Position],"")</f>
        <v/>
      </c>
      <c r="D533" s="24" t="str">
        <f>_xlfn.XLOOKUP(tblPayrollMaster[[#This Row],[Employee ID]], tblEmployee[Employee ID], tblEmployee[Pay Status], "Pay")</f>
        <v>Pay</v>
      </c>
      <c r="E533" s="24" t="str">
        <f>_xlfn.XLOOKUP(tblPayrollMaster[[#This Row],[Employee ID]], tblEmployee[Employee ID], tblEmployee[Payable Flag], "Y")</f>
        <v>Y</v>
      </c>
      <c r="F533" s="45">
        <f>IF(tblPayrollMaster[[#This Row],[Payable Flag]]="N",0,_xlfn.XLOOKUP(tblPayrollMaster[[#This Row],[Employee ID]],tblEmployee[Employee ID],tblEmployee[Pay Factor],1))</f>
        <v>1</v>
      </c>
      <c r="G533" s="26" t="str" cm="1">
        <f t="array" ref="G533">IF(tblPayrollMaster[[#This Row],[Employee ID]]="","",_xlfn.XLOOKUP(selPayPeriodID,tblPayCalendar[PayPeriodID],tblPayCalendar[PeriodStart],""))</f>
        <v/>
      </c>
      <c r="H533" s="26" t="str" cm="1">
        <f t="array" ref="H533">IF(tblPayrollMaster[[#This Row],[Employee ID]]="","",_xlfn.XLOOKUP(selPayPeriodID,tblPayCalendar[PayPeriodID],tblPayCalendar[PeriodEnd],""))</f>
        <v/>
      </c>
      <c r="I533" s="24" t="e" cm="1" vm="1">
        <f t="array" aca="1" ref="I533" ca="1">Table18[Employer Name]</f>
        <v>#VALUE!</v>
      </c>
      <c r="J533" s="3" cm="1">
        <f t="array" ref="J53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33" s="25" t="str">
        <f>_xlfn.XLOOKUP(tblPayrollMaster[[#This Row],[Employee Position]],tblPositionandPayRate[Employee Position],tblPositionandPayRate[Overtime], " ")</f>
        <v xml:space="preserve"> </v>
      </c>
      <c r="L533" s="25">
        <f>_xlfn.XLOOKUP(tblPayrollMaster[[#This Row],[Employee Position]],tblPositionandPayRate[Employee Position],tblPositionandPayRate[Allowance 1],0)*tblPayrollMaster[[#This Row],[Pay Factor]]</f>
        <v>0</v>
      </c>
      <c r="M533" s="25">
        <f>_xlfn.XLOOKUP(tblPayrollMaster[[#This Row],[Employee Position]],tblPositionandPayRate[Employee Position],tblPositionandPayRate[Allowance 2],0)*tblPayrollMaster[[#This Row],[Pay Factor]]</f>
        <v>0</v>
      </c>
      <c r="N533" s="25">
        <f>_xlfn.XLOOKUP(tblPayrollMaster[[#This Row],[Employee Position]],tblPositionandPayRate[Employee Position],tblPositionandPayRate[Allowance 3],0)*tblPayrollMaster[[#This Row],[Pay Factor]]</f>
        <v>0</v>
      </c>
      <c r="O533" s="25">
        <f>_xlfn.XLOOKUP(tblPayrollMaster[[#This Row],[Employee Position]],tblPositionandPayRate[Employee Position],tblPositionandPayRate[Allowance 4],0)*tblPayrollMaster[[#This Row],[Pay Factor]]</f>
        <v>0</v>
      </c>
      <c r="P533" s="25">
        <f>_xlfn.XLOOKUP(tblPayrollMaster[[#This Row],[Employee Position]],tblPositionandPayRate[Employee Position],tblPositionandPayRate[Allowance 5],0)*tblPayrollMaster[[#This Row],[Pay Factor]]</f>
        <v>0</v>
      </c>
      <c r="Q533" s="25">
        <f>SUM(tblPayrollMaster[[#This Row],[Basic Pay]:[Allowance 5]])</f>
        <v>0</v>
      </c>
      <c r="R53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33" s="51" cm="1">
        <f t="array" ref="S5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33" s="3" cm="1">
        <f t="array" ref="T5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33" s="25">
        <f>_xlfn.LET(
_xlpm.tos, _xlfn.XLOOKUP(tblPayrollMaster[[#This Row],[Employee ID]], tblEmployee[Employee ID], tblEmployee[Type of Service], ""),
IF(_xlpm.tos="Contract of Service", 8.25, 0)
)</f>
        <v>0</v>
      </c>
      <c r="V533" s="25">
        <f>tblPayrollMaster[[#This Row],[Basic Earnings]]-tblPayrollMaster[[#This Row],[Tax]]-tblPayrollMaster[[#This Row],[NIS - Employee]]-tblPayrollMaster[[#This Row],[Health Surcharge]]</f>
        <v>0</v>
      </c>
      <c r="W533" s="25">
        <f>tblPayrollMaster[[#This Row],[Net Pay]]</f>
        <v>0</v>
      </c>
      <c r="X533" s="25"/>
    </row>
    <row r="534" spans="1:24" x14ac:dyDescent="0.25">
      <c r="A534" s="24"/>
      <c r="B534" s="24" t="str">
        <f>_xlfn.XLOOKUP(tblPayrollMaster[[#This Row],[Employee ID]],tblEmployee[Employee ID],tblEmployee[Employee Name],"")</f>
        <v/>
      </c>
      <c r="C534" s="24" t="str">
        <f>_xlfn.XLOOKUP(tblPayrollMaster[[#This Row],[Employee ID]],tblEmployee[Employee ID],tblEmployee[Employee Position],"")</f>
        <v/>
      </c>
      <c r="D534" s="24" t="str">
        <f>_xlfn.XLOOKUP(tblPayrollMaster[[#This Row],[Employee ID]], tblEmployee[Employee ID], tblEmployee[Pay Status], "Pay")</f>
        <v>Pay</v>
      </c>
      <c r="E534" s="24" t="str">
        <f>_xlfn.XLOOKUP(tblPayrollMaster[[#This Row],[Employee ID]], tblEmployee[Employee ID], tblEmployee[Payable Flag], "Y")</f>
        <v>Y</v>
      </c>
      <c r="F534" s="45">
        <f>IF(tblPayrollMaster[[#This Row],[Payable Flag]]="N",0,_xlfn.XLOOKUP(tblPayrollMaster[[#This Row],[Employee ID]],tblEmployee[Employee ID],tblEmployee[Pay Factor],1))</f>
        <v>1</v>
      </c>
      <c r="G534" s="26" t="str" cm="1">
        <f t="array" ref="G534">IF(tblPayrollMaster[[#This Row],[Employee ID]]="","",_xlfn.XLOOKUP(selPayPeriodID,tblPayCalendar[PayPeriodID],tblPayCalendar[PeriodStart],""))</f>
        <v/>
      </c>
      <c r="H534" s="26" t="str" cm="1">
        <f t="array" ref="H534">IF(tblPayrollMaster[[#This Row],[Employee ID]]="","",_xlfn.XLOOKUP(selPayPeriodID,tblPayCalendar[PayPeriodID],tblPayCalendar[PeriodEnd],""))</f>
        <v/>
      </c>
      <c r="I534" s="24" t="e" cm="1" vm="1">
        <f t="array" aca="1" ref="I534" ca="1">Table18[Employer Name]</f>
        <v>#VALUE!</v>
      </c>
      <c r="J534" s="3" cm="1">
        <f t="array" ref="J53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34" s="25" t="str">
        <f>_xlfn.XLOOKUP(tblPayrollMaster[[#This Row],[Employee Position]],tblPositionandPayRate[Employee Position],tblPositionandPayRate[Overtime], " ")</f>
        <v xml:space="preserve"> </v>
      </c>
      <c r="L534" s="25">
        <f>_xlfn.XLOOKUP(tblPayrollMaster[[#This Row],[Employee Position]],tblPositionandPayRate[Employee Position],tblPositionandPayRate[Allowance 1],0)*tblPayrollMaster[[#This Row],[Pay Factor]]</f>
        <v>0</v>
      </c>
      <c r="M534" s="25">
        <f>_xlfn.XLOOKUP(tblPayrollMaster[[#This Row],[Employee Position]],tblPositionandPayRate[Employee Position],tblPositionandPayRate[Allowance 2],0)*tblPayrollMaster[[#This Row],[Pay Factor]]</f>
        <v>0</v>
      </c>
      <c r="N534" s="25">
        <f>_xlfn.XLOOKUP(tblPayrollMaster[[#This Row],[Employee Position]],tblPositionandPayRate[Employee Position],tblPositionandPayRate[Allowance 3],0)*tblPayrollMaster[[#This Row],[Pay Factor]]</f>
        <v>0</v>
      </c>
      <c r="O534" s="25">
        <f>_xlfn.XLOOKUP(tblPayrollMaster[[#This Row],[Employee Position]],tblPositionandPayRate[Employee Position],tblPositionandPayRate[Allowance 4],0)*tblPayrollMaster[[#This Row],[Pay Factor]]</f>
        <v>0</v>
      </c>
      <c r="P534" s="25">
        <f>_xlfn.XLOOKUP(tblPayrollMaster[[#This Row],[Employee Position]],tblPositionandPayRate[Employee Position],tblPositionandPayRate[Allowance 5],0)*tblPayrollMaster[[#This Row],[Pay Factor]]</f>
        <v>0</v>
      </c>
      <c r="Q534" s="25">
        <f>SUM(tblPayrollMaster[[#This Row],[Basic Pay]:[Allowance 5]])</f>
        <v>0</v>
      </c>
      <c r="R53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34" s="51" cm="1">
        <f t="array" ref="S5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34" s="3" cm="1">
        <f t="array" ref="T5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34" s="25">
        <f>_xlfn.LET(
_xlpm.tos, _xlfn.XLOOKUP(tblPayrollMaster[[#This Row],[Employee ID]], tblEmployee[Employee ID], tblEmployee[Type of Service], ""),
IF(_xlpm.tos="Contract of Service", 8.25, 0)
)</f>
        <v>0</v>
      </c>
      <c r="V534" s="25">
        <f>tblPayrollMaster[[#This Row],[Basic Earnings]]-tblPayrollMaster[[#This Row],[Tax]]-tblPayrollMaster[[#This Row],[NIS - Employee]]-tblPayrollMaster[[#This Row],[Health Surcharge]]</f>
        <v>0</v>
      </c>
      <c r="W534" s="25">
        <f>tblPayrollMaster[[#This Row],[Net Pay]]</f>
        <v>0</v>
      </c>
      <c r="X534" s="25"/>
    </row>
    <row r="535" spans="1:24" x14ac:dyDescent="0.25">
      <c r="A535" s="24"/>
      <c r="B535" s="24" t="str">
        <f>_xlfn.XLOOKUP(tblPayrollMaster[[#This Row],[Employee ID]],tblEmployee[Employee ID],tblEmployee[Employee Name],"")</f>
        <v/>
      </c>
      <c r="C535" s="24" t="str">
        <f>_xlfn.XLOOKUP(tblPayrollMaster[[#This Row],[Employee ID]],tblEmployee[Employee ID],tblEmployee[Employee Position],"")</f>
        <v/>
      </c>
      <c r="D535" s="24" t="str">
        <f>_xlfn.XLOOKUP(tblPayrollMaster[[#This Row],[Employee ID]], tblEmployee[Employee ID], tblEmployee[Pay Status], "Pay")</f>
        <v>Pay</v>
      </c>
      <c r="E535" s="24" t="str">
        <f>_xlfn.XLOOKUP(tblPayrollMaster[[#This Row],[Employee ID]], tblEmployee[Employee ID], tblEmployee[Payable Flag], "Y")</f>
        <v>Y</v>
      </c>
      <c r="F535" s="45">
        <f>IF(tblPayrollMaster[[#This Row],[Payable Flag]]="N",0,_xlfn.XLOOKUP(tblPayrollMaster[[#This Row],[Employee ID]],tblEmployee[Employee ID],tblEmployee[Pay Factor],1))</f>
        <v>1</v>
      </c>
      <c r="G535" s="26" t="str" cm="1">
        <f t="array" ref="G535">IF(tblPayrollMaster[[#This Row],[Employee ID]]="","",_xlfn.XLOOKUP(selPayPeriodID,tblPayCalendar[PayPeriodID],tblPayCalendar[PeriodStart],""))</f>
        <v/>
      </c>
      <c r="H535" s="26" t="str" cm="1">
        <f t="array" ref="H535">IF(tblPayrollMaster[[#This Row],[Employee ID]]="","",_xlfn.XLOOKUP(selPayPeriodID,tblPayCalendar[PayPeriodID],tblPayCalendar[PeriodEnd],""))</f>
        <v/>
      </c>
      <c r="I535" s="24" t="e" cm="1" vm="1">
        <f t="array" aca="1" ref="I535" ca="1">Table18[Employer Name]</f>
        <v>#VALUE!</v>
      </c>
      <c r="J535" s="3" cm="1">
        <f t="array" ref="J53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35" s="25" t="str">
        <f>_xlfn.XLOOKUP(tblPayrollMaster[[#This Row],[Employee Position]],tblPositionandPayRate[Employee Position],tblPositionandPayRate[Overtime], " ")</f>
        <v xml:space="preserve"> </v>
      </c>
      <c r="L535" s="25">
        <f>_xlfn.XLOOKUP(tblPayrollMaster[[#This Row],[Employee Position]],tblPositionandPayRate[Employee Position],tblPositionandPayRate[Allowance 1],0)*tblPayrollMaster[[#This Row],[Pay Factor]]</f>
        <v>0</v>
      </c>
      <c r="M535" s="25">
        <f>_xlfn.XLOOKUP(tblPayrollMaster[[#This Row],[Employee Position]],tblPositionandPayRate[Employee Position],tblPositionandPayRate[Allowance 2],0)*tblPayrollMaster[[#This Row],[Pay Factor]]</f>
        <v>0</v>
      </c>
      <c r="N535" s="25">
        <f>_xlfn.XLOOKUP(tblPayrollMaster[[#This Row],[Employee Position]],tblPositionandPayRate[Employee Position],tblPositionandPayRate[Allowance 3],0)*tblPayrollMaster[[#This Row],[Pay Factor]]</f>
        <v>0</v>
      </c>
      <c r="O535" s="25">
        <f>_xlfn.XLOOKUP(tblPayrollMaster[[#This Row],[Employee Position]],tblPositionandPayRate[Employee Position],tblPositionandPayRate[Allowance 4],0)*tblPayrollMaster[[#This Row],[Pay Factor]]</f>
        <v>0</v>
      </c>
      <c r="P535" s="25">
        <f>_xlfn.XLOOKUP(tblPayrollMaster[[#This Row],[Employee Position]],tblPositionandPayRate[Employee Position],tblPositionandPayRate[Allowance 5],0)*tblPayrollMaster[[#This Row],[Pay Factor]]</f>
        <v>0</v>
      </c>
      <c r="Q535" s="25">
        <f>SUM(tblPayrollMaster[[#This Row],[Basic Pay]:[Allowance 5]])</f>
        <v>0</v>
      </c>
      <c r="R53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35" s="51" cm="1">
        <f t="array" ref="S5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35" s="3" cm="1">
        <f t="array" ref="T5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35" s="25">
        <f>_xlfn.LET(
_xlpm.tos, _xlfn.XLOOKUP(tblPayrollMaster[[#This Row],[Employee ID]], tblEmployee[Employee ID], tblEmployee[Type of Service], ""),
IF(_xlpm.tos="Contract of Service", 8.25, 0)
)</f>
        <v>0</v>
      </c>
      <c r="V535" s="25">
        <f>tblPayrollMaster[[#This Row],[Basic Earnings]]-tblPayrollMaster[[#This Row],[Tax]]-tblPayrollMaster[[#This Row],[NIS - Employee]]-tblPayrollMaster[[#This Row],[Health Surcharge]]</f>
        <v>0</v>
      </c>
      <c r="W535" s="25">
        <f>tblPayrollMaster[[#This Row],[Net Pay]]</f>
        <v>0</v>
      </c>
      <c r="X535" s="25"/>
    </row>
    <row r="536" spans="1:24" x14ac:dyDescent="0.25">
      <c r="A536" s="24"/>
      <c r="B536" s="24" t="str">
        <f>_xlfn.XLOOKUP(tblPayrollMaster[[#This Row],[Employee ID]],tblEmployee[Employee ID],tblEmployee[Employee Name],"")</f>
        <v/>
      </c>
      <c r="C536" s="24" t="str">
        <f>_xlfn.XLOOKUP(tblPayrollMaster[[#This Row],[Employee ID]],tblEmployee[Employee ID],tblEmployee[Employee Position],"")</f>
        <v/>
      </c>
      <c r="D536" s="24" t="str">
        <f>_xlfn.XLOOKUP(tblPayrollMaster[[#This Row],[Employee ID]], tblEmployee[Employee ID], tblEmployee[Pay Status], "Pay")</f>
        <v>Pay</v>
      </c>
      <c r="E536" s="24" t="str">
        <f>_xlfn.XLOOKUP(tblPayrollMaster[[#This Row],[Employee ID]], tblEmployee[Employee ID], tblEmployee[Payable Flag], "Y")</f>
        <v>Y</v>
      </c>
      <c r="F536" s="45">
        <f>IF(tblPayrollMaster[[#This Row],[Payable Flag]]="N",0,_xlfn.XLOOKUP(tblPayrollMaster[[#This Row],[Employee ID]],tblEmployee[Employee ID],tblEmployee[Pay Factor],1))</f>
        <v>1</v>
      </c>
      <c r="G536" s="26" t="str" cm="1">
        <f t="array" ref="G536">IF(tblPayrollMaster[[#This Row],[Employee ID]]="","",_xlfn.XLOOKUP(selPayPeriodID,tblPayCalendar[PayPeriodID],tblPayCalendar[PeriodStart],""))</f>
        <v/>
      </c>
      <c r="H536" s="26" t="str" cm="1">
        <f t="array" ref="H536">IF(tblPayrollMaster[[#This Row],[Employee ID]]="","",_xlfn.XLOOKUP(selPayPeriodID,tblPayCalendar[PayPeriodID],tblPayCalendar[PeriodEnd],""))</f>
        <v/>
      </c>
      <c r="I536" s="24" t="e" cm="1" vm="1">
        <f t="array" aca="1" ref="I536" ca="1">Table18[Employer Name]</f>
        <v>#VALUE!</v>
      </c>
      <c r="J536" s="3" cm="1">
        <f t="array" ref="J53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36" s="25" t="str">
        <f>_xlfn.XLOOKUP(tblPayrollMaster[[#This Row],[Employee Position]],tblPositionandPayRate[Employee Position],tblPositionandPayRate[Overtime], " ")</f>
        <v xml:space="preserve"> </v>
      </c>
      <c r="L536" s="25">
        <f>_xlfn.XLOOKUP(tblPayrollMaster[[#This Row],[Employee Position]],tblPositionandPayRate[Employee Position],tblPositionandPayRate[Allowance 1],0)*tblPayrollMaster[[#This Row],[Pay Factor]]</f>
        <v>0</v>
      </c>
      <c r="M536" s="25">
        <f>_xlfn.XLOOKUP(tblPayrollMaster[[#This Row],[Employee Position]],tblPositionandPayRate[Employee Position],tblPositionandPayRate[Allowance 2],0)*tblPayrollMaster[[#This Row],[Pay Factor]]</f>
        <v>0</v>
      </c>
      <c r="N536" s="25">
        <f>_xlfn.XLOOKUP(tblPayrollMaster[[#This Row],[Employee Position]],tblPositionandPayRate[Employee Position],tblPositionandPayRate[Allowance 3],0)*tblPayrollMaster[[#This Row],[Pay Factor]]</f>
        <v>0</v>
      </c>
      <c r="O536" s="25">
        <f>_xlfn.XLOOKUP(tblPayrollMaster[[#This Row],[Employee Position]],tblPositionandPayRate[Employee Position],tblPositionandPayRate[Allowance 4],0)*tblPayrollMaster[[#This Row],[Pay Factor]]</f>
        <v>0</v>
      </c>
      <c r="P536" s="25">
        <f>_xlfn.XLOOKUP(tblPayrollMaster[[#This Row],[Employee Position]],tblPositionandPayRate[Employee Position],tblPositionandPayRate[Allowance 5],0)*tblPayrollMaster[[#This Row],[Pay Factor]]</f>
        <v>0</v>
      </c>
      <c r="Q536" s="25">
        <f>SUM(tblPayrollMaster[[#This Row],[Basic Pay]:[Allowance 5]])</f>
        <v>0</v>
      </c>
      <c r="R53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36" s="51" cm="1">
        <f t="array" ref="S5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36" s="3" cm="1">
        <f t="array" ref="T5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36" s="25">
        <f>_xlfn.LET(
_xlpm.tos, _xlfn.XLOOKUP(tblPayrollMaster[[#This Row],[Employee ID]], tblEmployee[Employee ID], tblEmployee[Type of Service], ""),
IF(_xlpm.tos="Contract of Service", 8.25, 0)
)</f>
        <v>0</v>
      </c>
      <c r="V536" s="25">
        <f>tblPayrollMaster[[#This Row],[Basic Earnings]]-tblPayrollMaster[[#This Row],[Tax]]-tblPayrollMaster[[#This Row],[NIS - Employee]]-tblPayrollMaster[[#This Row],[Health Surcharge]]</f>
        <v>0</v>
      </c>
      <c r="W536" s="25">
        <f>tblPayrollMaster[[#This Row],[Net Pay]]</f>
        <v>0</v>
      </c>
      <c r="X536" s="25"/>
    </row>
    <row r="537" spans="1:24" x14ac:dyDescent="0.25">
      <c r="A537" s="24"/>
      <c r="B537" s="24" t="str">
        <f>_xlfn.XLOOKUP(tblPayrollMaster[[#This Row],[Employee ID]],tblEmployee[Employee ID],tblEmployee[Employee Name],"")</f>
        <v/>
      </c>
      <c r="C537" s="24" t="str">
        <f>_xlfn.XLOOKUP(tblPayrollMaster[[#This Row],[Employee ID]],tblEmployee[Employee ID],tblEmployee[Employee Position],"")</f>
        <v/>
      </c>
      <c r="D537" s="24" t="str">
        <f>_xlfn.XLOOKUP(tblPayrollMaster[[#This Row],[Employee ID]], tblEmployee[Employee ID], tblEmployee[Pay Status], "Pay")</f>
        <v>Pay</v>
      </c>
      <c r="E537" s="24" t="str">
        <f>_xlfn.XLOOKUP(tblPayrollMaster[[#This Row],[Employee ID]], tblEmployee[Employee ID], tblEmployee[Payable Flag], "Y")</f>
        <v>Y</v>
      </c>
      <c r="F537" s="45">
        <f>IF(tblPayrollMaster[[#This Row],[Payable Flag]]="N",0,_xlfn.XLOOKUP(tblPayrollMaster[[#This Row],[Employee ID]],tblEmployee[Employee ID],tblEmployee[Pay Factor],1))</f>
        <v>1</v>
      </c>
      <c r="G537" s="26" t="str" cm="1">
        <f t="array" ref="G537">IF(tblPayrollMaster[[#This Row],[Employee ID]]="","",_xlfn.XLOOKUP(selPayPeriodID,tblPayCalendar[PayPeriodID],tblPayCalendar[PeriodStart],""))</f>
        <v/>
      </c>
      <c r="H537" s="26" t="str" cm="1">
        <f t="array" ref="H537">IF(tblPayrollMaster[[#This Row],[Employee ID]]="","",_xlfn.XLOOKUP(selPayPeriodID,tblPayCalendar[PayPeriodID],tblPayCalendar[PeriodEnd],""))</f>
        <v/>
      </c>
      <c r="I537" s="24" t="e" cm="1" vm="1">
        <f t="array" aca="1" ref="I537" ca="1">Table18[Employer Name]</f>
        <v>#VALUE!</v>
      </c>
      <c r="J537" s="3" cm="1">
        <f t="array" ref="J53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37" s="25" t="str">
        <f>_xlfn.XLOOKUP(tblPayrollMaster[[#This Row],[Employee Position]],tblPositionandPayRate[Employee Position],tblPositionandPayRate[Overtime], " ")</f>
        <v xml:space="preserve"> </v>
      </c>
      <c r="L537" s="25">
        <f>_xlfn.XLOOKUP(tblPayrollMaster[[#This Row],[Employee Position]],tblPositionandPayRate[Employee Position],tblPositionandPayRate[Allowance 1],0)*tblPayrollMaster[[#This Row],[Pay Factor]]</f>
        <v>0</v>
      </c>
      <c r="M537" s="25">
        <f>_xlfn.XLOOKUP(tblPayrollMaster[[#This Row],[Employee Position]],tblPositionandPayRate[Employee Position],tblPositionandPayRate[Allowance 2],0)*tblPayrollMaster[[#This Row],[Pay Factor]]</f>
        <v>0</v>
      </c>
      <c r="N537" s="25">
        <f>_xlfn.XLOOKUP(tblPayrollMaster[[#This Row],[Employee Position]],tblPositionandPayRate[Employee Position],tblPositionandPayRate[Allowance 3],0)*tblPayrollMaster[[#This Row],[Pay Factor]]</f>
        <v>0</v>
      </c>
      <c r="O537" s="25">
        <f>_xlfn.XLOOKUP(tblPayrollMaster[[#This Row],[Employee Position]],tblPositionandPayRate[Employee Position],tblPositionandPayRate[Allowance 4],0)*tblPayrollMaster[[#This Row],[Pay Factor]]</f>
        <v>0</v>
      </c>
      <c r="P537" s="25">
        <f>_xlfn.XLOOKUP(tblPayrollMaster[[#This Row],[Employee Position]],tblPositionandPayRate[Employee Position],tblPositionandPayRate[Allowance 5],0)*tblPayrollMaster[[#This Row],[Pay Factor]]</f>
        <v>0</v>
      </c>
      <c r="Q537" s="25">
        <f>SUM(tblPayrollMaster[[#This Row],[Basic Pay]:[Allowance 5]])</f>
        <v>0</v>
      </c>
      <c r="R53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37" s="51" cm="1">
        <f t="array" ref="S5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37" s="3" cm="1">
        <f t="array" ref="T5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37" s="25">
        <f>_xlfn.LET(
_xlpm.tos, _xlfn.XLOOKUP(tblPayrollMaster[[#This Row],[Employee ID]], tblEmployee[Employee ID], tblEmployee[Type of Service], ""),
IF(_xlpm.tos="Contract of Service", 8.25, 0)
)</f>
        <v>0</v>
      </c>
      <c r="V537" s="25">
        <f>tblPayrollMaster[[#This Row],[Basic Earnings]]-tblPayrollMaster[[#This Row],[Tax]]-tblPayrollMaster[[#This Row],[NIS - Employee]]-tblPayrollMaster[[#This Row],[Health Surcharge]]</f>
        <v>0</v>
      </c>
      <c r="W537" s="25">
        <f>tblPayrollMaster[[#This Row],[Net Pay]]</f>
        <v>0</v>
      </c>
      <c r="X537" s="25"/>
    </row>
    <row r="538" spans="1:24" x14ac:dyDescent="0.25">
      <c r="A538" s="24"/>
      <c r="B538" s="24" t="str">
        <f>_xlfn.XLOOKUP(tblPayrollMaster[[#This Row],[Employee ID]],tblEmployee[Employee ID],tblEmployee[Employee Name],"")</f>
        <v/>
      </c>
      <c r="C538" s="24" t="str">
        <f>_xlfn.XLOOKUP(tblPayrollMaster[[#This Row],[Employee ID]],tblEmployee[Employee ID],tblEmployee[Employee Position],"")</f>
        <v/>
      </c>
      <c r="D538" s="24" t="str">
        <f>_xlfn.XLOOKUP(tblPayrollMaster[[#This Row],[Employee ID]], tblEmployee[Employee ID], tblEmployee[Pay Status], "Pay")</f>
        <v>Pay</v>
      </c>
      <c r="E538" s="24" t="str">
        <f>_xlfn.XLOOKUP(tblPayrollMaster[[#This Row],[Employee ID]], tblEmployee[Employee ID], tblEmployee[Payable Flag], "Y")</f>
        <v>Y</v>
      </c>
      <c r="F538" s="45">
        <f>IF(tblPayrollMaster[[#This Row],[Payable Flag]]="N",0,_xlfn.XLOOKUP(tblPayrollMaster[[#This Row],[Employee ID]],tblEmployee[Employee ID],tblEmployee[Pay Factor],1))</f>
        <v>1</v>
      </c>
      <c r="G538" s="26" t="str" cm="1">
        <f t="array" ref="G538">IF(tblPayrollMaster[[#This Row],[Employee ID]]="","",_xlfn.XLOOKUP(selPayPeriodID,tblPayCalendar[PayPeriodID],tblPayCalendar[PeriodStart],""))</f>
        <v/>
      </c>
      <c r="H538" s="26" t="str" cm="1">
        <f t="array" ref="H538">IF(tblPayrollMaster[[#This Row],[Employee ID]]="","",_xlfn.XLOOKUP(selPayPeriodID,tblPayCalendar[PayPeriodID],tblPayCalendar[PeriodEnd],""))</f>
        <v/>
      </c>
      <c r="I538" s="24" t="e" cm="1" vm="1">
        <f t="array" aca="1" ref="I538" ca="1">Table18[Employer Name]</f>
        <v>#VALUE!</v>
      </c>
      <c r="J538" s="3" cm="1">
        <f t="array" ref="J53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38" s="25" t="str">
        <f>_xlfn.XLOOKUP(tblPayrollMaster[[#This Row],[Employee Position]],tblPositionandPayRate[Employee Position],tblPositionandPayRate[Overtime], " ")</f>
        <v xml:space="preserve"> </v>
      </c>
      <c r="L538" s="25">
        <f>_xlfn.XLOOKUP(tblPayrollMaster[[#This Row],[Employee Position]],tblPositionandPayRate[Employee Position],tblPositionandPayRate[Allowance 1],0)*tblPayrollMaster[[#This Row],[Pay Factor]]</f>
        <v>0</v>
      </c>
      <c r="M538" s="25">
        <f>_xlfn.XLOOKUP(tblPayrollMaster[[#This Row],[Employee Position]],tblPositionandPayRate[Employee Position],tblPositionandPayRate[Allowance 2],0)*tblPayrollMaster[[#This Row],[Pay Factor]]</f>
        <v>0</v>
      </c>
      <c r="N538" s="25">
        <f>_xlfn.XLOOKUP(tblPayrollMaster[[#This Row],[Employee Position]],tblPositionandPayRate[Employee Position],tblPositionandPayRate[Allowance 3],0)*tblPayrollMaster[[#This Row],[Pay Factor]]</f>
        <v>0</v>
      </c>
      <c r="O538" s="25">
        <f>_xlfn.XLOOKUP(tblPayrollMaster[[#This Row],[Employee Position]],tblPositionandPayRate[Employee Position],tblPositionandPayRate[Allowance 4],0)*tblPayrollMaster[[#This Row],[Pay Factor]]</f>
        <v>0</v>
      </c>
      <c r="P538" s="25">
        <f>_xlfn.XLOOKUP(tblPayrollMaster[[#This Row],[Employee Position]],tblPositionandPayRate[Employee Position],tblPositionandPayRate[Allowance 5],0)*tblPayrollMaster[[#This Row],[Pay Factor]]</f>
        <v>0</v>
      </c>
      <c r="Q538" s="25">
        <f>SUM(tblPayrollMaster[[#This Row],[Basic Pay]:[Allowance 5]])</f>
        <v>0</v>
      </c>
      <c r="R53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38" s="51" cm="1">
        <f t="array" ref="S5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38" s="3" cm="1">
        <f t="array" ref="T5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38" s="25">
        <f>_xlfn.LET(
_xlpm.tos, _xlfn.XLOOKUP(tblPayrollMaster[[#This Row],[Employee ID]], tblEmployee[Employee ID], tblEmployee[Type of Service], ""),
IF(_xlpm.tos="Contract of Service", 8.25, 0)
)</f>
        <v>0</v>
      </c>
      <c r="V538" s="25">
        <f>tblPayrollMaster[[#This Row],[Basic Earnings]]-tblPayrollMaster[[#This Row],[Tax]]-tblPayrollMaster[[#This Row],[NIS - Employee]]-tblPayrollMaster[[#This Row],[Health Surcharge]]</f>
        <v>0</v>
      </c>
      <c r="W538" s="25">
        <f>tblPayrollMaster[[#This Row],[Net Pay]]</f>
        <v>0</v>
      </c>
      <c r="X538" s="25"/>
    </row>
    <row r="539" spans="1:24" x14ac:dyDescent="0.25">
      <c r="A539" s="24"/>
      <c r="B539" s="24" t="str">
        <f>_xlfn.XLOOKUP(tblPayrollMaster[[#This Row],[Employee ID]],tblEmployee[Employee ID],tblEmployee[Employee Name],"")</f>
        <v/>
      </c>
      <c r="C539" s="24" t="str">
        <f>_xlfn.XLOOKUP(tblPayrollMaster[[#This Row],[Employee ID]],tblEmployee[Employee ID],tblEmployee[Employee Position],"")</f>
        <v/>
      </c>
      <c r="D539" s="24" t="str">
        <f>_xlfn.XLOOKUP(tblPayrollMaster[[#This Row],[Employee ID]], tblEmployee[Employee ID], tblEmployee[Pay Status], "Pay")</f>
        <v>Pay</v>
      </c>
      <c r="E539" s="24" t="str">
        <f>_xlfn.XLOOKUP(tblPayrollMaster[[#This Row],[Employee ID]], tblEmployee[Employee ID], tblEmployee[Payable Flag], "Y")</f>
        <v>Y</v>
      </c>
      <c r="F539" s="45">
        <f>IF(tblPayrollMaster[[#This Row],[Payable Flag]]="N",0,_xlfn.XLOOKUP(tblPayrollMaster[[#This Row],[Employee ID]],tblEmployee[Employee ID],tblEmployee[Pay Factor],1))</f>
        <v>1</v>
      </c>
      <c r="G539" s="26" t="str" cm="1">
        <f t="array" ref="G539">IF(tblPayrollMaster[[#This Row],[Employee ID]]="","",_xlfn.XLOOKUP(selPayPeriodID,tblPayCalendar[PayPeriodID],tblPayCalendar[PeriodStart],""))</f>
        <v/>
      </c>
      <c r="H539" s="26" t="str" cm="1">
        <f t="array" ref="H539">IF(tblPayrollMaster[[#This Row],[Employee ID]]="","",_xlfn.XLOOKUP(selPayPeriodID,tblPayCalendar[PayPeriodID],tblPayCalendar[PeriodEnd],""))</f>
        <v/>
      </c>
      <c r="I539" s="24" t="e" cm="1" vm="1">
        <f t="array" aca="1" ref="I539" ca="1">Table18[Employer Name]</f>
        <v>#VALUE!</v>
      </c>
      <c r="J539" s="3" cm="1">
        <f t="array" ref="J53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39" s="25" t="str">
        <f>_xlfn.XLOOKUP(tblPayrollMaster[[#This Row],[Employee Position]],tblPositionandPayRate[Employee Position],tblPositionandPayRate[Overtime], " ")</f>
        <v xml:space="preserve"> </v>
      </c>
      <c r="L539" s="25">
        <f>_xlfn.XLOOKUP(tblPayrollMaster[[#This Row],[Employee Position]],tblPositionandPayRate[Employee Position],tblPositionandPayRate[Allowance 1],0)*tblPayrollMaster[[#This Row],[Pay Factor]]</f>
        <v>0</v>
      </c>
      <c r="M539" s="25">
        <f>_xlfn.XLOOKUP(tblPayrollMaster[[#This Row],[Employee Position]],tblPositionandPayRate[Employee Position],tblPositionandPayRate[Allowance 2],0)*tblPayrollMaster[[#This Row],[Pay Factor]]</f>
        <v>0</v>
      </c>
      <c r="N539" s="25">
        <f>_xlfn.XLOOKUP(tblPayrollMaster[[#This Row],[Employee Position]],tblPositionandPayRate[Employee Position],tblPositionandPayRate[Allowance 3],0)*tblPayrollMaster[[#This Row],[Pay Factor]]</f>
        <v>0</v>
      </c>
      <c r="O539" s="25">
        <f>_xlfn.XLOOKUP(tblPayrollMaster[[#This Row],[Employee Position]],tblPositionandPayRate[Employee Position],tblPositionandPayRate[Allowance 4],0)*tblPayrollMaster[[#This Row],[Pay Factor]]</f>
        <v>0</v>
      </c>
      <c r="P539" s="25">
        <f>_xlfn.XLOOKUP(tblPayrollMaster[[#This Row],[Employee Position]],tblPositionandPayRate[Employee Position],tblPositionandPayRate[Allowance 5],0)*tblPayrollMaster[[#This Row],[Pay Factor]]</f>
        <v>0</v>
      </c>
      <c r="Q539" s="25">
        <f>SUM(tblPayrollMaster[[#This Row],[Basic Pay]:[Allowance 5]])</f>
        <v>0</v>
      </c>
      <c r="R53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39" s="51" cm="1">
        <f t="array" ref="S5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39" s="3" cm="1">
        <f t="array" ref="T5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39" s="25">
        <f>_xlfn.LET(
_xlpm.tos, _xlfn.XLOOKUP(tblPayrollMaster[[#This Row],[Employee ID]], tblEmployee[Employee ID], tblEmployee[Type of Service], ""),
IF(_xlpm.tos="Contract of Service", 8.25, 0)
)</f>
        <v>0</v>
      </c>
      <c r="V539" s="25">
        <f>tblPayrollMaster[[#This Row],[Basic Earnings]]-tblPayrollMaster[[#This Row],[Tax]]-tblPayrollMaster[[#This Row],[NIS - Employee]]-tblPayrollMaster[[#This Row],[Health Surcharge]]</f>
        <v>0</v>
      </c>
      <c r="W539" s="25">
        <f>tblPayrollMaster[[#This Row],[Net Pay]]</f>
        <v>0</v>
      </c>
      <c r="X539" s="25"/>
    </row>
    <row r="540" spans="1:24" x14ac:dyDescent="0.25">
      <c r="A540" s="24"/>
      <c r="B540" s="24" t="str">
        <f>_xlfn.XLOOKUP(tblPayrollMaster[[#This Row],[Employee ID]],tblEmployee[Employee ID],tblEmployee[Employee Name],"")</f>
        <v/>
      </c>
      <c r="C540" s="24" t="str">
        <f>_xlfn.XLOOKUP(tblPayrollMaster[[#This Row],[Employee ID]],tblEmployee[Employee ID],tblEmployee[Employee Position],"")</f>
        <v/>
      </c>
      <c r="D540" s="24" t="str">
        <f>_xlfn.XLOOKUP(tblPayrollMaster[[#This Row],[Employee ID]], tblEmployee[Employee ID], tblEmployee[Pay Status], "Pay")</f>
        <v>Pay</v>
      </c>
      <c r="E540" s="24" t="str">
        <f>_xlfn.XLOOKUP(tblPayrollMaster[[#This Row],[Employee ID]], tblEmployee[Employee ID], tblEmployee[Payable Flag], "Y")</f>
        <v>Y</v>
      </c>
      <c r="F540" s="45">
        <f>IF(tblPayrollMaster[[#This Row],[Payable Flag]]="N",0,_xlfn.XLOOKUP(tblPayrollMaster[[#This Row],[Employee ID]],tblEmployee[Employee ID],tblEmployee[Pay Factor],1))</f>
        <v>1</v>
      </c>
      <c r="G540" s="26" t="str" cm="1">
        <f t="array" ref="G540">IF(tblPayrollMaster[[#This Row],[Employee ID]]="","",_xlfn.XLOOKUP(selPayPeriodID,tblPayCalendar[PayPeriodID],tblPayCalendar[PeriodStart],""))</f>
        <v/>
      </c>
      <c r="H540" s="26" t="str" cm="1">
        <f t="array" ref="H540">IF(tblPayrollMaster[[#This Row],[Employee ID]]="","",_xlfn.XLOOKUP(selPayPeriodID,tblPayCalendar[PayPeriodID],tblPayCalendar[PeriodEnd],""))</f>
        <v/>
      </c>
      <c r="I540" s="24" t="e" cm="1" vm="1">
        <f t="array" aca="1" ref="I540" ca="1">Table18[Employer Name]</f>
        <v>#VALUE!</v>
      </c>
      <c r="J540" s="3" cm="1">
        <f t="array" ref="J54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40" s="25" t="str">
        <f>_xlfn.XLOOKUP(tblPayrollMaster[[#This Row],[Employee Position]],tblPositionandPayRate[Employee Position],tblPositionandPayRate[Overtime], " ")</f>
        <v xml:space="preserve"> </v>
      </c>
      <c r="L540" s="25">
        <f>_xlfn.XLOOKUP(tblPayrollMaster[[#This Row],[Employee Position]],tblPositionandPayRate[Employee Position],tblPositionandPayRate[Allowance 1],0)*tblPayrollMaster[[#This Row],[Pay Factor]]</f>
        <v>0</v>
      </c>
      <c r="M540" s="25">
        <f>_xlfn.XLOOKUP(tblPayrollMaster[[#This Row],[Employee Position]],tblPositionandPayRate[Employee Position],tblPositionandPayRate[Allowance 2],0)*tblPayrollMaster[[#This Row],[Pay Factor]]</f>
        <v>0</v>
      </c>
      <c r="N540" s="25">
        <f>_xlfn.XLOOKUP(tblPayrollMaster[[#This Row],[Employee Position]],tblPositionandPayRate[Employee Position],tblPositionandPayRate[Allowance 3],0)*tblPayrollMaster[[#This Row],[Pay Factor]]</f>
        <v>0</v>
      </c>
      <c r="O540" s="25">
        <f>_xlfn.XLOOKUP(tblPayrollMaster[[#This Row],[Employee Position]],tblPositionandPayRate[Employee Position],tblPositionandPayRate[Allowance 4],0)*tblPayrollMaster[[#This Row],[Pay Factor]]</f>
        <v>0</v>
      </c>
      <c r="P540" s="25">
        <f>_xlfn.XLOOKUP(tblPayrollMaster[[#This Row],[Employee Position]],tblPositionandPayRate[Employee Position],tblPositionandPayRate[Allowance 5],0)*tblPayrollMaster[[#This Row],[Pay Factor]]</f>
        <v>0</v>
      </c>
      <c r="Q540" s="25">
        <f>SUM(tblPayrollMaster[[#This Row],[Basic Pay]:[Allowance 5]])</f>
        <v>0</v>
      </c>
      <c r="R54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40" s="51" cm="1">
        <f t="array" ref="S5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40" s="3" cm="1">
        <f t="array" ref="T5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40" s="25">
        <f>_xlfn.LET(
_xlpm.tos, _xlfn.XLOOKUP(tblPayrollMaster[[#This Row],[Employee ID]], tblEmployee[Employee ID], tblEmployee[Type of Service], ""),
IF(_xlpm.tos="Contract of Service", 8.25, 0)
)</f>
        <v>0</v>
      </c>
      <c r="V540" s="25">
        <f>tblPayrollMaster[[#This Row],[Basic Earnings]]-tblPayrollMaster[[#This Row],[Tax]]-tblPayrollMaster[[#This Row],[NIS - Employee]]-tblPayrollMaster[[#This Row],[Health Surcharge]]</f>
        <v>0</v>
      </c>
      <c r="W540" s="25">
        <f>tblPayrollMaster[[#This Row],[Net Pay]]</f>
        <v>0</v>
      </c>
      <c r="X540" s="25"/>
    </row>
    <row r="541" spans="1:24" x14ac:dyDescent="0.25">
      <c r="A541" s="24"/>
      <c r="B541" s="24" t="str">
        <f>_xlfn.XLOOKUP(tblPayrollMaster[[#This Row],[Employee ID]],tblEmployee[Employee ID],tblEmployee[Employee Name],"")</f>
        <v/>
      </c>
      <c r="C541" s="24" t="str">
        <f>_xlfn.XLOOKUP(tblPayrollMaster[[#This Row],[Employee ID]],tblEmployee[Employee ID],tblEmployee[Employee Position],"")</f>
        <v/>
      </c>
      <c r="D541" s="24" t="str">
        <f>_xlfn.XLOOKUP(tblPayrollMaster[[#This Row],[Employee ID]], tblEmployee[Employee ID], tblEmployee[Pay Status], "Pay")</f>
        <v>Pay</v>
      </c>
      <c r="E541" s="24" t="str">
        <f>_xlfn.XLOOKUP(tblPayrollMaster[[#This Row],[Employee ID]], tblEmployee[Employee ID], tblEmployee[Payable Flag], "Y")</f>
        <v>Y</v>
      </c>
      <c r="F541" s="45">
        <f>IF(tblPayrollMaster[[#This Row],[Payable Flag]]="N",0,_xlfn.XLOOKUP(tblPayrollMaster[[#This Row],[Employee ID]],tblEmployee[Employee ID],tblEmployee[Pay Factor],1))</f>
        <v>1</v>
      </c>
      <c r="G541" s="26" t="str" cm="1">
        <f t="array" ref="G541">IF(tblPayrollMaster[[#This Row],[Employee ID]]="","",_xlfn.XLOOKUP(selPayPeriodID,tblPayCalendar[PayPeriodID],tblPayCalendar[PeriodStart],""))</f>
        <v/>
      </c>
      <c r="H541" s="26" t="str" cm="1">
        <f t="array" ref="H541">IF(tblPayrollMaster[[#This Row],[Employee ID]]="","",_xlfn.XLOOKUP(selPayPeriodID,tblPayCalendar[PayPeriodID],tblPayCalendar[PeriodEnd],""))</f>
        <v/>
      </c>
      <c r="I541" s="24" t="e" cm="1" vm="1">
        <f t="array" aca="1" ref="I541" ca="1">Table18[Employer Name]</f>
        <v>#VALUE!</v>
      </c>
      <c r="J541" s="3" cm="1">
        <f t="array" ref="J54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41" s="25" t="str">
        <f>_xlfn.XLOOKUP(tblPayrollMaster[[#This Row],[Employee Position]],tblPositionandPayRate[Employee Position],tblPositionandPayRate[Overtime], " ")</f>
        <v xml:space="preserve"> </v>
      </c>
      <c r="L541" s="25">
        <f>_xlfn.XLOOKUP(tblPayrollMaster[[#This Row],[Employee Position]],tblPositionandPayRate[Employee Position],tblPositionandPayRate[Allowance 1],0)*tblPayrollMaster[[#This Row],[Pay Factor]]</f>
        <v>0</v>
      </c>
      <c r="M541" s="25">
        <f>_xlfn.XLOOKUP(tblPayrollMaster[[#This Row],[Employee Position]],tblPositionandPayRate[Employee Position],tblPositionandPayRate[Allowance 2],0)*tblPayrollMaster[[#This Row],[Pay Factor]]</f>
        <v>0</v>
      </c>
      <c r="N541" s="25">
        <f>_xlfn.XLOOKUP(tblPayrollMaster[[#This Row],[Employee Position]],tblPositionandPayRate[Employee Position],tblPositionandPayRate[Allowance 3],0)*tblPayrollMaster[[#This Row],[Pay Factor]]</f>
        <v>0</v>
      </c>
      <c r="O541" s="25">
        <f>_xlfn.XLOOKUP(tblPayrollMaster[[#This Row],[Employee Position]],tblPositionandPayRate[Employee Position],tblPositionandPayRate[Allowance 4],0)*tblPayrollMaster[[#This Row],[Pay Factor]]</f>
        <v>0</v>
      </c>
      <c r="P541" s="25">
        <f>_xlfn.XLOOKUP(tblPayrollMaster[[#This Row],[Employee Position]],tblPositionandPayRate[Employee Position],tblPositionandPayRate[Allowance 5],0)*tblPayrollMaster[[#This Row],[Pay Factor]]</f>
        <v>0</v>
      </c>
      <c r="Q541" s="25">
        <f>SUM(tblPayrollMaster[[#This Row],[Basic Pay]:[Allowance 5]])</f>
        <v>0</v>
      </c>
      <c r="R54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41" s="51" cm="1">
        <f t="array" ref="S5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41" s="3" cm="1">
        <f t="array" ref="T5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41" s="25">
        <f>_xlfn.LET(
_xlpm.tos, _xlfn.XLOOKUP(tblPayrollMaster[[#This Row],[Employee ID]], tblEmployee[Employee ID], tblEmployee[Type of Service], ""),
IF(_xlpm.tos="Contract of Service", 8.25, 0)
)</f>
        <v>0</v>
      </c>
      <c r="V541" s="25">
        <f>tblPayrollMaster[[#This Row],[Basic Earnings]]-tblPayrollMaster[[#This Row],[Tax]]-tblPayrollMaster[[#This Row],[NIS - Employee]]-tblPayrollMaster[[#This Row],[Health Surcharge]]</f>
        <v>0</v>
      </c>
      <c r="W541" s="25">
        <f>tblPayrollMaster[[#This Row],[Net Pay]]</f>
        <v>0</v>
      </c>
      <c r="X541" s="25"/>
    </row>
    <row r="542" spans="1:24" x14ac:dyDescent="0.25">
      <c r="A542" s="24"/>
      <c r="B542" s="24" t="str">
        <f>_xlfn.XLOOKUP(tblPayrollMaster[[#This Row],[Employee ID]],tblEmployee[Employee ID],tblEmployee[Employee Name],"")</f>
        <v/>
      </c>
      <c r="C542" s="24" t="str">
        <f>_xlfn.XLOOKUP(tblPayrollMaster[[#This Row],[Employee ID]],tblEmployee[Employee ID],tblEmployee[Employee Position],"")</f>
        <v/>
      </c>
      <c r="D542" s="24" t="str">
        <f>_xlfn.XLOOKUP(tblPayrollMaster[[#This Row],[Employee ID]], tblEmployee[Employee ID], tblEmployee[Pay Status], "Pay")</f>
        <v>Pay</v>
      </c>
      <c r="E542" s="24" t="str">
        <f>_xlfn.XLOOKUP(tblPayrollMaster[[#This Row],[Employee ID]], tblEmployee[Employee ID], tblEmployee[Payable Flag], "Y")</f>
        <v>Y</v>
      </c>
      <c r="F542" s="45">
        <f>IF(tblPayrollMaster[[#This Row],[Payable Flag]]="N",0,_xlfn.XLOOKUP(tblPayrollMaster[[#This Row],[Employee ID]],tblEmployee[Employee ID],tblEmployee[Pay Factor],1))</f>
        <v>1</v>
      </c>
      <c r="G542" s="26" t="str" cm="1">
        <f t="array" ref="G542">IF(tblPayrollMaster[[#This Row],[Employee ID]]="","",_xlfn.XLOOKUP(selPayPeriodID,tblPayCalendar[PayPeriodID],tblPayCalendar[PeriodStart],""))</f>
        <v/>
      </c>
      <c r="H542" s="26" t="str" cm="1">
        <f t="array" ref="H542">IF(tblPayrollMaster[[#This Row],[Employee ID]]="","",_xlfn.XLOOKUP(selPayPeriodID,tblPayCalendar[PayPeriodID],tblPayCalendar[PeriodEnd],""))</f>
        <v/>
      </c>
      <c r="I542" s="24" t="e" cm="1" vm="1">
        <f t="array" aca="1" ref="I542" ca="1">Table18[Employer Name]</f>
        <v>#VALUE!</v>
      </c>
      <c r="J542" s="3" cm="1">
        <f t="array" ref="J54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42" s="25" t="str">
        <f>_xlfn.XLOOKUP(tblPayrollMaster[[#This Row],[Employee Position]],tblPositionandPayRate[Employee Position],tblPositionandPayRate[Overtime], " ")</f>
        <v xml:space="preserve"> </v>
      </c>
      <c r="L542" s="25">
        <f>_xlfn.XLOOKUP(tblPayrollMaster[[#This Row],[Employee Position]],tblPositionandPayRate[Employee Position],tblPositionandPayRate[Allowance 1],0)*tblPayrollMaster[[#This Row],[Pay Factor]]</f>
        <v>0</v>
      </c>
      <c r="M542" s="25">
        <f>_xlfn.XLOOKUP(tblPayrollMaster[[#This Row],[Employee Position]],tblPositionandPayRate[Employee Position],tblPositionandPayRate[Allowance 2],0)*tblPayrollMaster[[#This Row],[Pay Factor]]</f>
        <v>0</v>
      </c>
      <c r="N542" s="25">
        <f>_xlfn.XLOOKUP(tblPayrollMaster[[#This Row],[Employee Position]],tblPositionandPayRate[Employee Position],tblPositionandPayRate[Allowance 3],0)*tblPayrollMaster[[#This Row],[Pay Factor]]</f>
        <v>0</v>
      </c>
      <c r="O542" s="25">
        <f>_xlfn.XLOOKUP(tblPayrollMaster[[#This Row],[Employee Position]],tblPositionandPayRate[Employee Position],tblPositionandPayRate[Allowance 4],0)*tblPayrollMaster[[#This Row],[Pay Factor]]</f>
        <v>0</v>
      </c>
      <c r="P542" s="25">
        <f>_xlfn.XLOOKUP(tblPayrollMaster[[#This Row],[Employee Position]],tblPositionandPayRate[Employee Position],tblPositionandPayRate[Allowance 5],0)*tblPayrollMaster[[#This Row],[Pay Factor]]</f>
        <v>0</v>
      </c>
      <c r="Q542" s="25">
        <f>SUM(tblPayrollMaster[[#This Row],[Basic Pay]:[Allowance 5]])</f>
        <v>0</v>
      </c>
      <c r="R54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42" s="51" cm="1">
        <f t="array" ref="S5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42" s="3" cm="1">
        <f t="array" ref="T5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42" s="25">
        <f>_xlfn.LET(
_xlpm.tos, _xlfn.XLOOKUP(tblPayrollMaster[[#This Row],[Employee ID]], tblEmployee[Employee ID], tblEmployee[Type of Service], ""),
IF(_xlpm.tos="Contract of Service", 8.25, 0)
)</f>
        <v>0</v>
      </c>
      <c r="V542" s="25">
        <f>tblPayrollMaster[[#This Row],[Basic Earnings]]-tblPayrollMaster[[#This Row],[Tax]]-tblPayrollMaster[[#This Row],[NIS - Employee]]-tblPayrollMaster[[#This Row],[Health Surcharge]]</f>
        <v>0</v>
      </c>
      <c r="W542" s="25">
        <f>tblPayrollMaster[[#This Row],[Net Pay]]</f>
        <v>0</v>
      </c>
      <c r="X542" s="25"/>
    </row>
    <row r="543" spans="1:24" x14ac:dyDescent="0.25">
      <c r="A543" s="24"/>
      <c r="B543" s="24" t="str">
        <f>_xlfn.XLOOKUP(tblPayrollMaster[[#This Row],[Employee ID]],tblEmployee[Employee ID],tblEmployee[Employee Name],"")</f>
        <v/>
      </c>
      <c r="C543" s="24" t="str">
        <f>_xlfn.XLOOKUP(tblPayrollMaster[[#This Row],[Employee ID]],tblEmployee[Employee ID],tblEmployee[Employee Position],"")</f>
        <v/>
      </c>
      <c r="D543" s="24" t="str">
        <f>_xlfn.XLOOKUP(tblPayrollMaster[[#This Row],[Employee ID]], tblEmployee[Employee ID], tblEmployee[Pay Status], "Pay")</f>
        <v>Pay</v>
      </c>
      <c r="E543" s="24" t="str">
        <f>_xlfn.XLOOKUP(tblPayrollMaster[[#This Row],[Employee ID]], tblEmployee[Employee ID], tblEmployee[Payable Flag], "Y")</f>
        <v>Y</v>
      </c>
      <c r="F543" s="45">
        <f>IF(tblPayrollMaster[[#This Row],[Payable Flag]]="N",0,_xlfn.XLOOKUP(tblPayrollMaster[[#This Row],[Employee ID]],tblEmployee[Employee ID],tblEmployee[Pay Factor],1))</f>
        <v>1</v>
      </c>
      <c r="G543" s="26" t="str" cm="1">
        <f t="array" ref="G543">IF(tblPayrollMaster[[#This Row],[Employee ID]]="","",_xlfn.XLOOKUP(selPayPeriodID,tblPayCalendar[PayPeriodID],tblPayCalendar[PeriodStart],""))</f>
        <v/>
      </c>
      <c r="H543" s="26" t="str" cm="1">
        <f t="array" ref="H543">IF(tblPayrollMaster[[#This Row],[Employee ID]]="","",_xlfn.XLOOKUP(selPayPeriodID,tblPayCalendar[PayPeriodID],tblPayCalendar[PeriodEnd],""))</f>
        <v/>
      </c>
      <c r="I543" s="24" t="e" cm="1" vm="1">
        <f t="array" aca="1" ref="I543" ca="1">Table18[Employer Name]</f>
        <v>#VALUE!</v>
      </c>
      <c r="J543" s="3" cm="1">
        <f t="array" ref="J54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43" s="25" t="str">
        <f>_xlfn.XLOOKUP(tblPayrollMaster[[#This Row],[Employee Position]],tblPositionandPayRate[Employee Position],tblPositionandPayRate[Overtime], " ")</f>
        <v xml:space="preserve"> </v>
      </c>
      <c r="L543" s="25">
        <f>_xlfn.XLOOKUP(tblPayrollMaster[[#This Row],[Employee Position]],tblPositionandPayRate[Employee Position],tblPositionandPayRate[Allowance 1],0)*tblPayrollMaster[[#This Row],[Pay Factor]]</f>
        <v>0</v>
      </c>
      <c r="M543" s="25">
        <f>_xlfn.XLOOKUP(tblPayrollMaster[[#This Row],[Employee Position]],tblPositionandPayRate[Employee Position],tblPositionandPayRate[Allowance 2],0)*tblPayrollMaster[[#This Row],[Pay Factor]]</f>
        <v>0</v>
      </c>
      <c r="N543" s="25">
        <f>_xlfn.XLOOKUP(tblPayrollMaster[[#This Row],[Employee Position]],tblPositionandPayRate[Employee Position],tblPositionandPayRate[Allowance 3],0)*tblPayrollMaster[[#This Row],[Pay Factor]]</f>
        <v>0</v>
      </c>
      <c r="O543" s="25">
        <f>_xlfn.XLOOKUP(tblPayrollMaster[[#This Row],[Employee Position]],tblPositionandPayRate[Employee Position],tblPositionandPayRate[Allowance 4],0)*tblPayrollMaster[[#This Row],[Pay Factor]]</f>
        <v>0</v>
      </c>
      <c r="P543" s="25">
        <f>_xlfn.XLOOKUP(tblPayrollMaster[[#This Row],[Employee Position]],tblPositionandPayRate[Employee Position],tblPositionandPayRate[Allowance 5],0)*tblPayrollMaster[[#This Row],[Pay Factor]]</f>
        <v>0</v>
      </c>
      <c r="Q543" s="25">
        <f>SUM(tblPayrollMaster[[#This Row],[Basic Pay]:[Allowance 5]])</f>
        <v>0</v>
      </c>
      <c r="R54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43" s="51" cm="1">
        <f t="array" ref="S5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43" s="3" cm="1">
        <f t="array" ref="T5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43" s="25">
        <f>_xlfn.LET(
_xlpm.tos, _xlfn.XLOOKUP(tblPayrollMaster[[#This Row],[Employee ID]], tblEmployee[Employee ID], tblEmployee[Type of Service], ""),
IF(_xlpm.tos="Contract of Service", 8.25, 0)
)</f>
        <v>0</v>
      </c>
      <c r="V543" s="25">
        <f>tblPayrollMaster[[#This Row],[Basic Earnings]]-tblPayrollMaster[[#This Row],[Tax]]-tblPayrollMaster[[#This Row],[NIS - Employee]]-tblPayrollMaster[[#This Row],[Health Surcharge]]</f>
        <v>0</v>
      </c>
      <c r="W543" s="25">
        <f>tblPayrollMaster[[#This Row],[Net Pay]]</f>
        <v>0</v>
      </c>
      <c r="X543" s="25"/>
    </row>
    <row r="544" spans="1:24" x14ac:dyDescent="0.25">
      <c r="A544" s="24"/>
      <c r="B544" s="24" t="str">
        <f>_xlfn.XLOOKUP(tblPayrollMaster[[#This Row],[Employee ID]],tblEmployee[Employee ID],tblEmployee[Employee Name],"")</f>
        <v/>
      </c>
      <c r="C544" s="24" t="str">
        <f>_xlfn.XLOOKUP(tblPayrollMaster[[#This Row],[Employee ID]],tblEmployee[Employee ID],tblEmployee[Employee Position],"")</f>
        <v/>
      </c>
      <c r="D544" s="24" t="str">
        <f>_xlfn.XLOOKUP(tblPayrollMaster[[#This Row],[Employee ID]], tblEmployee[Employee ID], tblEmployee[Pay Status], "Pay")</f>
        <v>Pay</v>
      </c>
      <c r="E544" s="24" t="str">
        <f>_xlfn.XLOOKUP(tblPayrollMaster[[#This Row],[Employee ID]], tblEmployee[Employee ID], tblEmployee[Payable Flag], "Y")</f>
        <v>Y</v>
      </c>
      <c r="F544" s="45">
        <f>IF(tblPayrollMaster[[#This Row],[Payable Flag]]="N",0,_xlfn.XLOOKUP(tblPayrollMaster[[#This Row],[Employee ID]],tblEmployee[Employee ID],tblEmployee[Pay Factor],1))</f>
        <v>1</v>
      </c>
      <c r="G544" s="26" t="str" cm="1">
        <f t="array" ref="G544">IF(tblPayrollMaster[[#This Row],[Employee ID]]="","",_xlfn.XLOOKUP(selPayPeriodID,tblPayCalendar[PayPeriodID],tblPayCalendar[PeriodStart],""))</f>
        <v/>
      </c>
      <c r="H544" s="26" t="str" cm="1">
        <f t="array" ref="H544">IF(tblPayrollMaster[[#This Row],[Employee ID]]="","",_xlfn.XLOOKUP(selPayPeriodID,tblPayCalendar[PayPeriodID],tblPayCalendar[PeriodEnd],""))</f>
        <v/>
      </c>
      <c r="I544" s="24" t="e" cm="1" vm="1">
        <f t="array" aca="1" ref="I544" ca="1">Table18[Employer Name]</f>
        <v>#VALUE!</v>
      </c>
      <c r="J544" s="3" cm="1">
        <f t="array" ref="J54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44" s="25" t="str">
        <f>_xlfn.XLOOKUP(tblPayrollMaster[[#This Row],[Employee Position]],tblPositionandPayRate[Employee Position],tblPositionandPayRate[Overtime], " ")</f>
        <v xml:space="preserve"> </v>
      </c>
      <c r="L544" s="25">
        <f>_xlfn.XLOOKUP(tblPayrollMaster[[#This Row],[Employee Position]],tblPositionandPayRate[Employee Position],tblPositionandPayRate[Allowance 1],0)*tblPayrollMaster[[#This Row],[Pay Factor]]</f>
        <v>0</v>
      </c>
      <c r="M544" s="25">
        <f>_xlfn.XLOOKUP(tblPayrollMaster[[#This Row],[Employee Position]],tblPositionandPayRate[Employee Position],tblPositionandPayRate[Allowance 2],0)*tblPayrollMaster[[#This Row],[Pay Factor]]</f>
        <v>0</v>
      </c>
      <c r="N544" s="25">
        <f>_xlfn.XLOOKUP(tblPayrollMaster[[#This Row],[Employee Position]],tblPositionandPayRate[Employee Position],tblPositionandPayRate[Allowance 3],0)*tblPayrollMaster[[#This Row],[Pay Factor]]</f>
        <v>0</v>
      </c>
      <c r="O544" s="25">
        <f>_xlfn.XLOOKUP(tblPayrollMaster[[#This Row],[Employee Position]],tblPositionandPayRate[Employee Position],tblPositionandPayRate[Allowance 4],0)*tblPayrollMaster[[#This Row],[Pay Factor]]</f>
        <v>0</v>
      </c>
      <c r="P544" s="25">
        <f>_xlfn.XLOOKUP(tblPayrollMaster[[#This Row],[Employee Position]],tblPositionandPayRate[Employee Position],tblPositionandPayRate[Allowance 5],0)*tblPayrollMaster[[#This Row],[Pay Factor]]</f>
        <v>0</v>
      </c>
      <c r="Q544" s="25">
        <f>SUM(tblPayrollMaster[[#This Row],[Basic Pay]:[Allowance 5]])</f>
        <v>0</v>
      </c>
      <c r="R54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44" s="51" cm="1">
        <f t="array" ref="S5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44" s="3" cm="1">
        <f t="array" ref="T5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44" s="25">
        <f>_xlfn.LET(
_xlpm.tos, _xlfn.XLOOKUP(tblPayrollMaster[[#This Row],[Employee ID]], tblEmployee[Employee ID], tblEmployee[Type of Service], ""),
IF(_xlpm.tos="Contract of Service", 8.25, 0)
)</f>
        <v>0</v>
      </c>
      <c r="V544" s="25">
        <f>tblPayrollMaster[[#This Row],[Basic Earnings]]-tblPayrollMaster[[#This Row],[Tax]]-tblPayrollMaster[[#This Row],[NIS - Employee]]-tblPayrollMaster[[#This Row],[Health Surcharge]]</f>
        <v>0</v>
      </c>
      <c r="W544" s="25">
        <f>tblPayrollMaster[[#This Row],[Net Pay]]</f>
        <v>0</v>
      </c>
      <c r="X544" s="25"/>
    </row>
    <row r="545" spans="1:24" x14ac:dyDescent="0.25">
      <c r="A545" s="24"/>
      <c r="B545" s="24" t="str">
        <f>_xlfn.XLOOKUP(tblPayrollMaster[[#This Row],[Employee ID]],tblEmployee[Employee ID],tblEmployee[Employee Name],"")</f>
        <v/>
      </c>
      <c r="C545" s="24" t="str">
        <f>_xlfn.XLOOKUP(tblPayrollMaster[[#This Row],[Employee ID]],tblEmployee[Employee ID],tblEmployee[Employee Position],"")</f>
        <v/>
      </c>
      <c r="D545" s="24" t="str">
        <f>_xlfn.XLOOKUP(tblPayrollMaster[[#This Row],[Employee ID]], tblEmployee[Employee ID], tblEmployee[Pay Status], "Pay")</f>
        <v>Pay</v>
      </c>
      <c r="E545" s="24" t="str">
        <f>_xlfn.XLOOKUP(tblPayrollMaster[[#This Row],[Employee ID]], tblEmployee[Employee ID], tblEmployee[Payable Flag], "Y")</f>
        <v>Y</v>
      </c>
      <c r="F545" s="45">
        <f>IF(tblPayrollMaster[[#This Row],[Payable Flag]]="N",0,_xlfn.XLOOKUP(tblPayrollMaster[[#This Row],[Employee ID]],tblEmployee[Employee ID],tblEmployee[Pay Factor],1))</f>
        <v>1</v>
      </c>
      <c r="G545" s="26" t="str" cm="1">
        <f t="array" ref="G545">IF(tblPayrollMaster[[#This Row],[Employee ID]]="","",_xlfn.XLOOKUP(selPayPeriodID,tblPayCalendar[PayPeriodID],tblPayCalendar[PeriodStart],""))</f>
        <v/>
      </c>
      <c r="H545" s="26" t="str" cm="1">
        <f t="array" ref="H545">IF(tblPayrollMaster[[#This Row],[Employee ID]]="","",_xlfn.XLOOKUP(selPayPeriodID,tblPayCalendar[PayPeriodID],tblPayCalendar[PeriodEnd],""))</f>
        <v/>
      </c>
      <c r="I545" s="24" t="e" cm="1" vm="1">
        <f t="array" aca="1" ref="I545" ca="1">Table18[Employer Name]</f>
        <v>#VALUE!</v>
      </c>
      <c r="J545" s="3" cm="1">
        <f t="array" ref="J54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45" s="25" t="str">
        <f>_xlfn.XLOOKUP(tblPayrollMaster[[#This Row],[Employee Position]],tblPositionandPayRate[Employee Position],tblPositionandPayRate[Overtime], " ")</f>
        <v xml:space="preserve"> </v>
      </c>
      <c r="L545" s="25">
        <f>_xlfn.XLOOKUP(tblPayrollMaster[[#This Row],[Employee Position]],tblPositionandPayRate[Employee Position],tblPositionandPayRate[Allowance 1],0)*tblPayrollMaster[[#This Row],[Pay Factor]]</f>
        <v>0</v>
      </c>
      <c r="M545" s="25">
        <f>_xlfn.XLOOKUP(tblPayrollMaster[[#This Row],[Employee Position]],tblPositionandPayRate[Employee Position],tblPositionandPayRate[Allowance 2],0)*tblPayrollMaster[[#This Row],[Pay Factor]]</f>
        <v>0</v>
      </c>
      <c r="N545" s="25">
        <f>_xlfn.XLOOKUP(tblPayrollMaster[[#This Row],[Employee Position]],tblPositionandPayRate[Employee Position],tblPositionandPayRate[Allowance 3],0)*tblPayrollMaster[[#This Row],[Pay Factor]]</f>
        <v>0</v>
      </c>
      <c r="O545" s="25">
        <f>_xlfn.XLOOKUP(tblPayrollMaster[[#This Row],[Employee Position]],tblPositionandPayRate[Employee Position],tblPositionandPayRate[Allowance 4],0)*tblPayrollMaster[[#This Row],[Pay Factor]]</f>
        <v>0</v>
      </c>
      <c r="P545" s="25">
        <f>_xlfn.XLOOKUP(tblPayrollMaster[[#This Row],[Employee Position]],tblPositionandPayRate[Employee Position],tblPositionandPayRate[Allowance 5],0)*tblPayrollMaster[[#This Row],[Pay Factor]]</f>
        <v>0</v>
      </c>
      <c r="Q545" s="25">
        <f>SUM(tblPayrollMaster[[#This Row],[Basic Pay]:[Allowance 5]])</f>
        <v>0</v>
      </c>
      <c r="R54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45" s="51" cm="1">
        <f t="array" ref="S5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45" s="3" cm="1">
        <f t="array" ref="T5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45" s="25">
        <f>_xlfn.LET(
_xlpm.tos, _xlfn.XLOOKUP(tblPayrollMaster[[#This Row],[Employee ID]], tblEmployee[Employee ID], tblEmployee[Type of Service], ""),
IF(_xlpm.tos="Contract of Service", 8.25, 0)
)</f>
        <v>0</v>
      </c>
      <c r="V545" s="25">
        <f>tblPayrollMaster[[#This Row],[Basic Earnings]]-tblPayrollMaster[[#This Row],[Tax]]-tblPayrollMaster[[#This Row],[NIS - Employee]]-tblPayrollMaster[[#This Row],[Health Surcharge]]</f>
        <v>0</v>
      </c>
      <c r="W545" s="25">
        <f>tblPayrollMaster[[#This Row],[Net Pay]]</f>
        <v>0</v>
      </c>
      <c r="X545" s="25"/>
    </row>
    <row r="546" spans="1:24" x14ac:dyDescent="0.25">
      <c r="A546" s="24"/>
      <c r="B546" s="24" t="str">
        <f>_xlfn.XLOOKUP(tblPayrollMaster[[#This Row],[Employee ID]],tblEmployee[Employee ID],tblEmployee[Employee Name],"")</f>
        <v/>
      </c>
      <c r="C546" s="24" t="str">
        <f>_xlfn.XLOOKUP(tblPayrollMaster[[#This Row],[Employee ID]],tblEmployee[Employee ID],tblEmployee[Employee Position],"")</f>
        <v/>
      </c>
      <c r="D546" s="24" t="str">
        <f>_xlfn.XLOOKUP(tblPayrollMaster[[#This Row],[Employee ID]], tblEmployee[Employee ID], tblEmployee[Pay Status], "Pay")</f>
        <v>Pay</v>
      </c>
      <c r="E546" s="24" t="str">
        <f>_xlfn.XLOOKUP(tblPayrollMaster[[#This Row],[Employee ID]], tblEmployee[Employee ID], tblEmployee[Payable Flag], "Y")</f>
        <v>Y</v>
      </c>
      <c r="F546" s="45">
        <f>IF(tblPayrollMaster[[#This Row],[Payable Flag]]="N",0,_xlfn.XLOOKUP(tblPayrollMaster[[#This Row],[Employee ID]],tblEmployee[Employee ID],tblEmployee[Pay Factor],1))</f>
        <v>1</v>
      </c>
      <c r="G546" s="26" t="str" cm="1">
        <f t="array" ref="G546">IF(tblPayrollMaster[[#This Row],[Employee ID]]="","",_xlfn.XLOOKUP(selPayPeriodID,tblPayCalendar[PayPeriodID],tblPayCalendar[PeriodStart],""))</f>
        <v/>
      </c>
      <c r="H546" s="26" t="str" cm="1">
        <f t="array" ref="H546">IF(tblPayrollMaster[[#This Row],[Employee ID]]="","",_xlfn.XLOOKUP(selPayPeriodID,tblPayCalendar[PayPeriodID],tblPayCalendar[PeriodEnd],""))</f>
        <v/>
      </c>
      <c r="I546" s="24" t="e" cm="1" vm="1">
        <f t="array" aca="1" ref="I546" ca="1">Table18[Employer Name]</f>
        <v>#VALUE!</v>
      </c>
      <c r="J546" s="3" cm="1">
        <f t="array" ref="J54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46" s="25" t="str">
        <f>_xlfn.XLOOKUP(tblPayrollMaster[[#This Row],[Employee Position]],tblPositionandPayRate[Employee Position],tblPositionandPayRate[Overtime], " ")</f>
        <v xml:space="preserve"> </v>
      </c>
      <c r="L546" s="25">
        <f>_xlfn.XLOOKUP(tblPayrollMaster[[#This Row],[Employee Position]],tblPositionandPayRate[Employee Position],tblPositionandPayRate[Allowance 1],0)*tblPayrollMaster[[#This Row],[Pay Factor]]</f>
        <v>0</v>
      </c>
      <c r="M546" s="25">
        <f>_xlfn.XLOOKUP(tblPayrollMaster[[#This Row],[Employee Position]],tblPositionandPayRate[Employee Position],tblPositionandPayRate[Allowance 2],0)*tblPayrollMaster[[#This Row],[Pay Factor]]</f>
        <v>0</v>
      </c>
      <c r="N546" s="25">
        <f>_xlfn.XLOOKUP(tblPayrollMaster[[#This Row],[Employee Position]],tblPositionandPayRate[Employee Position],tblPositionandPayRate[Allowance 3],0)*tblPayrollMaster[[#This Row],[Pay Factor]]</f>
        <v>0</v>
      </c>
      <c r="O546" s="25">
        <f>_xlfn.XLOOKUP(tblPayrollMaster[[#This Row],[Employee Position]],tblPositionandPayRate[Employee Position],tblPositionandPayRate[Allowance 4],0)*tblPayrollMaster[[#This Row],[Pay Factor]]</f>
        <v>0</v>
      </c>
      <c r="P546" s="25">
        <f>_xlfn.XLOOKUP(tblPayrollMaster[[#This Row],[Employee Position]],tblPositionandPayRate[Employee Position],tblPositionandPayRate[Allowance 5],0)*tblPayrollMaster[[#This Row],[Pay Factor]]</f>
        <v>0</v>
      </c>
      <c r="Q546" s="25">
        <f>SUM(tblPayrollMaster[[#This Row],[Basic Pay]:[Allowance 5]])</f>
        <v>0</v>
      </c>
      <c r="R54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46" s="51" cm="1">
        <f t="array" ref="S5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46" s="3" cm="1">
        <f t="array" ref="T5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46" s="25">
        <f>_xlfn.LET(
_xlpm.tos, _xlfn.XLOOKUP(tblPayrollMaster[[#This Row],[Employee ID]], tblEmployee[Employee ID], tblEmployee[Type of Service], ""),
IF(_xlpm.tos="Contract of Service", 8.25, 0)
)</f>
        <v>0</v>
      </c>
      <c r="V546" s="25">
        <f>tblPayrollMaster[[#This Row],[Basic Earnings]]-tblPayrollMaster[[#This Row],[Tax]]-tblPayrollMaster[[#This Row],[NIS - Employee]]-tblPayrollMaster[[#This Row],[Health Surcharge]]</f>
        <v>0</v>
      </c>
      <c r="W546" s="25">
        <f>tblPayrollMaster[[#This Row],[Net Pay]]</f>
        <v>0</v>
      </c>
      <c r="X546" s="25"/>
    </row>
    <row r="547" spans="1:24" x14ac:dyDescent="0.25">
      <c r="A547" s="24"/>
      <c r="B547" s="24" t="str">
        <f>_xlfn.XLOOKUP(tblPayrollMaster[[#This Row],[Employee ID]],tblEmployee[Employee ID],tblEmployee[Employee Name],"")</f>
        <v/>
      </c>
      <c r="C547" s="24" t="str">
        <f>_xlfn.XLOOKUP(tblPayrollMaster[[#This Row],[Employee ID]],tblEmployee[Employee ID],tblEmployee[Employee Position],"")</f>
        <v/>
      </c>
      <c r="D547" s="24" t="str">
        <f>_xlfn.XLOOKUP(tblPayrollMaster[[#This Row],[Employee ID]], tblEmployee[Employee ID], tblEmployee[Pay Status], "Pay")</f>
        <v>Pay</v>
      </c>
      <c r="E547" s="24" t="str">
        <f>_xlfn.XLOOKUP(tblPayrollMaster[[#This Row],[Employee ID]], tblEmployee[Employee ID], tblEmployee[Payable Flag], "Y")</f>
        <v>Y</v>
      </c>
      <c r="F547" s="45">
        <f>IF(tblPayrollMaster[[#This Row],[Payable Flag]]="N",0,_xlfn.XLOOKUP(tblPayrollMaster[[#This Row],[Employee ID]],tblEmployee[Employee ID],tblEmployee[Pay Factor],1))</f>
        <v>1</v>
      </c>
      <c r="G547" s="26" t="str" cm="1">
        <f t="array" ref="G547">IF(tblPayrollMaster[[#This Row],[Employee ID]]="","",_xlfn.XLOOKUP(selPayPeriodID,tblPayCalendar[PayPeriodID],tblPayCalendar[PeriodStart],""))</f>
        <v/>
      </c>
      <c r="H547" s="26" t="str" cm="1">
        <f t="array" ref="H547">IF(tblPayrollMaster[[#This Row],[Employee ID]]="","",_xlfn.XLOOKUP(selPayPeriodID,tblPayCalendar[PayPeriodID],tblPayCalendar[PeriodEnd],""))</f>
        <v/>
      </c>
      <c r="I547" s="24" t="e" cm="1" vm="1">
        <f t="array" aca="1" ref="I547" ca="1">Table18[Employer Name]</f>
        <v>#VALUE!</v>
      </c>
      <c r="J547" s="3" cm="1">
        <f t="array" ref="J54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47" s="25" t="str">
        <f>_xlfn.XLOOKUP(tblPayrollMaster[[#This Row],[Employee Position]],tblPositionandPayRate[Employee Position],tblPositionandPayRate[Overtime], " ")</f>
        <v xml:space="preserve"> </v>
      </c>
      <c r="L547" s="25">
        <f>_xlfn.XLOOKUP(tblPayrollMaster[[#This Row],[Employee Position]],tblPositionandPayRate[Employee Position],tblPositionandPayRate[Allowance 1],0)*tblPayrollMaster[[#This Row],[Pay Factor]]</f>
        <v>0</v>
      </c>
      <c r="M547" s="25">
        <f>_xlfn.XLOOKUP(tblPayrollMaster[[#This Row],[Employee Position]],tblPositionandPayRate[Employee Position],tblPositionandPayRate[Allowance 2],0)*tblPayrollMaster[[#This Row],[Pay Factor]]</f>
        <v>0</v>
      </c>
      <c r="N547" s="25">
        <f>_xlfn.XLOOKUP(tblPayrollMaster[[#This Row],[Employee Position]],tblPositionandPayRate[Employee Position],tblPositionandPayRate[Allowance 3],0)*tblPayrollMaster[[#This Row],[Pay Factor]]</f>
        <v>0</v>
      </c>
      <c r="O547" s="25">
        <f>_xlfn.XLOOKUP(tblPayrollMaster[[#This Row],[Employee Position]],tblPositionandPayRate[Employee Position],tblPositionandPayRate[Allowance 4],0)*tblPayrollMaster[[#This Row],[Pay Factor]]</f>
        <v>0</v>
      </c>
      <c r="P547" s="25">
        <f>_xlfn.XLOOKUP(tblPayrollMaster[[#This Row],[Employee Position]],tblPositionandPayRate[Employee Position],tblPositionandPayRate[Allowance 5],0)*tblPayrollMaster[[#This Row],[Pay Factor]]</f>
        <v>0</v>
      </c>
      <c r="Q547" s="25">
        <f>SUM(tblPayrollMaster[[#This Row],[Basic Pay]:[Allowance 5]])</f>
        <v>0</v>
      </c>
      <c r="R54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47" s="51" cm="1">
        <f t="array" ref="S5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47" s="3" cm="1">
        <f t="array" ref="T5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47" s="25">
        <f>_xlfn.LET(
_xlpm.tos, _xlfn.XLOOKUP(tblPayrollMaster[[#This Row],[Employee ID]], tblEmployee[Employee ID], tblEmployee[Type of Service], ""),
IF(_xlpm.tos="Contract of Service", 8.25, 0)
)</f>
        <v>0</v>
      </c>
      <c r="V547" s="25">
        <f>tblPayrollMaster[[#This Row],[Basic Earnings]]-tblPayrollMaster[[#This Row],[Tax]]-tblPayrollMaster[[#This Row],[NIS - Employee]]-tblPayrollMaster[[#This Row],[Health Surcharge]]</f>
        <v>0</v>
      </c>
      <c r="W547" s="25">
        <f>tblPayrollMaster[[#This Row],[Net Pay]]</f>
        <v>0</v>
      </c>
      <c r="X547" s="25"/>
    </row>
    <row r="548" spans="1:24" x14ac:dyDescent="0.25">
      <c r="A548" s="24"/>
      <c r="B548" s="24" t="str">
        <f>_xlfn.XLOOKUP(tblPayrollMaster[[#This Row],[Employee ID]],tblEmployee[Employee ID],tblEmployee[Employee Name],"")</f>
        <v/>
      </c>
      <c r="C548" s="24" t="str">
        <f>_xlfn.XLOOKUP(tblPayrollMaster[[#This Row],[Employee ID]],tblEmployee[Employee ID],tblEmployee[Employee Position],"")</f>
        <v/>
      </c>
      <c r="D548" s="24" t="str">
        <f>_xlfn.XLOOKUP(tblPayrollMaster[[#This Row],[Employee ID]], tblEmployee[Employee ID], tblEmployee[Pay Status], "Pay")</f>
        <v>Pay</v>
      </c>
      <c r="E548" s="24" t="str">
        <f>_xlfn.XLOOKUP(tblPayrollMaster[[#This Row],[Employee ID]], tblEmployee[Employee ID], tblEmployee[Payable Flag], "Y")</f>
        <v>Y</v>
      </c>
      <c r="F548" s="45">
        <f>IF(tblPayrollMaster[[#This Row],[Payable Flag]]="N",0,_xlfn.XLOOKUP(tblPayrollMaster[[#This Row],[Employee ID]],tblEmployee[Employee ID],tblEmployee[Pay Factor],1))</f>
        <v>1</v>
      </c>
      <c r="G548" s="26" t="str" cm="1">
        <f t="array" ref="G548">IF(tblPayrollMaster[[#This Row],[Employee ID]]="","",_xlfn.XLOOKUP(selPayPeriodID,tblPayCalendar[PayPeriodID],tblPayCalendar[PeriodStart],""))</f>
        <v/>
      </c>
      <c r="H548" s="26" t="str" cm="1">
        <f t="array" ref="H548">IF(tblPayrollMaster[[#This Row],[Employee ID]]="","",_xlfn.XLOOKUP(selPayPeriodID,tblPayCalendar[PayPeriodID],tblPayCalendar[PeriodEnd],""))</f>
        <v/>
      </c>
      <c r="I548" s="24" t="e" cm="1" vm="1">
        <f t="array" aca="1" ref="I548" ca="1">Table18[Employer Name]</f>
        <v>#VALUE!</v>
      </c>
      <c r="J548" s="3" cm="1">
        <f t="array" ref="J54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48" s="25" t="str">
        <f>_xlfn.XLOOKUP(tblPayrollMaster[[#This Row],[Employee Position]],tblPositionandPayRate[Employee Position],tblPositionandPayRate[Overtime], " ")</f>
        <v xml:space="preserve"> </v>
      </c>
      <c r="L548" s="25">
        <f>_xlfn.XLOOKUP(tblPayrollMaster[[#This Row],[Employee Position]],tblPositionandPayRate[Employee Position],tblPositionandPayRate[Allowance 1],0)*tblPayrollMaster[[#This Row],[Pay Factor]]</f>
        <v>0</v>
      </c>
      <c r="M548" s="25">
        <f>_xlfn.XLOOKUP(tblPayrollMaster[[#This Row],[Employee Position]],tblPositionandPayRate[Employee Position],tblPositionandPayRate[Allowance 2],0)*tblPayrollMaster[[#This Row],[Pay Factor]]</f>
        <v>0</v>
      </c>
      <c r="N548" s="25">
        <f>_xlfn.XLOOKUP(tblPayrollMaster[[#This Row],[Employee Position]],tblPositionandPayRate[Employee Position],tblPositionandPayRate[Allowance 3],0)*tblPayrollMaster[[#This Row],[Pay Factor]]</f>
        <v>0</v>
      </c>
      <c r="O548" s="25">
        <f>_xlfn.XLOOKUP(tblPayrollMaster[[#This Row],[Employee Position]],tblPositionandPayRate[Employee Position],tblPositionandPayRate[Allowance 4],0)*tblPayrollMaster[[#This Row],[Pay Factor]]</f>
        <v>0</v>
      </c>
      <c r="P548" s="25">
        <f>_xlfn.XLOOKUP(tblPayrollMaster[[#This Row],[Employee Position]],tblPositionandPayRate[Employee Position],tblPositionandPayRate[Allowance 5],0)*tblPayrollMaster[[#This Row],[Pay Factor]]</f>
        <v>0</v>
      </c>
      <c r="Q548" s="25">
        <f>SUM(tblPayrollMaster[[#This Row],[Basic Pay]:[Allowance 5]])</f>
        <v>0</v>
      </c>
      <c r="R54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48" s="51" cm="1">
        <f t="array" ref="S5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48" s="3" cm="1">
        <f t="array" ref="T5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48" s="25">
        <f>_xlfn.LET(
_xlpm.tos, _xlfn.XLOOKUP(tblPayrollMaster[[#This Row],[Employee ID]], tblEmployee[Employee ID], tblEmployee[Type of Service], ""),
IF(_xlpm.tos="Contract of Service", 8.25, 0)
)</f>
        <v>0</v>
      </c>
      <c r="V548" s="25">
        <f>tblPayrollMaster[[#This Row],[Basic Earnings]]-tblPayrollMaster[[#This Row],[Tax]]-tblPayrollMaster[[#This Row],[NIS - Employee]]-tblPayrollMaster[[#This Row],[Health Surcharge]]</f>
        <v>0</v>
      </c>
      <c r="W548" s="25">
        <f>tblPayrollMaster[[#This Row],[Net Pay]]</f>
        <v>0</v>
      </c>
      <c r="X548" s="25"/>
    </row>
    <row r="549" spans="1:24" x14ac:dyDescent="0.25">
      <c r="A549" s="24"/>
      <c r="B549" s="24" t="str">
        <f>_xlfn.XLOOKUP(tblPayrollMaster[[#This Row],[Employee ID]],tblEmployee[Employee ID],tblEmployee[Employee Name],"")</f>
        <v/>
      </c>
      <c r="C549" s="24" t="str">
        <f>_xlfn.XLOOKUP(tblPayrollMaster[[#This Row],[Employee ID]],tblEmployee[Employee ID],tblEmployee[Employee Position],"")</f>
        <v/>
      </c>
      <c r="D549" s="24" t="str">
        <f>_xlfn.XLOOKUP(tblPayrollMaster[[#This Row],[Employee ID]], tblEmployee[Employee ID], tblEmployee[Pay Status], "Pay")</f>
        <v>Pay</v>
      </c>
      <c r="E549" s="24" t="str">
        <f>_xlfn.XLOOKUP(tblPayrollMaster[[#This Row],[Employee ID]], tblEmployee[Employee ID], tblEmployee[Payable Flag], "Y")</f>
        <v>Y</v>
      </c>
      <c r="F549" s="45">
        <f>IF(tblPayrollMaster[[#This Row],[Payable Flag]]="N",0,_xlfn.XLOOKUP(tblPayrollMaster[[#This Row],[Employee ID]],tblEmployee[Employee ID],tblEmployee[Pay Factor],1))</f>
        <v>1</v>
      </c>
      <c r="G549" s="26" t="str" cm="1">
        <f t="array" ref="G549">IF(tblPayrollMaster[[#This Row],[Employee ID]]="","",_xlfn.XLOOKUP(selPayPeriodID,tblPayCalendar[PayPeriodID],tblPayCalendar[PeriodStart],""))</f>
        <v/>
      </c>
      <c r="H549" s="26" t="str" cm="1">
        <f t="array" ref="H549">IF(tblPayrollMaster[[#This Row],[Employee ID]]="","",_xlfn.XLOOKUP(selPayPeriodID,tblPayCalendar[PayPeriodID],tblPayCalendar[PeriodEnd],""))</f>
        <v/>
      </c>
      <c r="I549" s="24" t="e" cm="1" vm="1">
        <f t="array" aca="1" ref="I549" ca="1">Table18[Employer Name]</f>
        <v>#VALUE!</v>
      </c>
      <c r="J549" s="3" cm="1">
        <f t="array" ref="J54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49" s="25" t="str">
        <f>_xlfn.XLOOKUP(tblPayrollMaster[[#This Row],[Employee Position]],tblPositionandPayRate[Employee Position],tblPositionandPayRate[Overtime], " ")</f>
        <v xml:space="preserve"> </v>
      </c>
      <c r="L549" s="25">
        <f>_xlfn.XLOOKUP(tblPayrollMaster[[#This Row],[Employee Position]],tblPositionandPayRate[Employee Position],tblPositionandPayRate[Allowance 1],0)*tblPayrollMaster[[#This Row],[Pay Factor]]</f>
        <v>0</v>
      </c>
      <c r="M549" s="25">
        <f>_xlfn.XLOOKUP(tblPayrollMaster[[#This Row],[Employee Position]],tblPositionandPayRate[Employee Position],tblPositionandPayRate[Allowance 2],0)*tblPayrollMaster[[#This Row],[Pay Factor]]</f>
        <v>0</v>
      </c>
      <c r="N549" s="25">
        <f>_xlfn.XLOOKUP(tblPayrollMaster[[#This Row],[Employee Position]],tblPositionandPayRate[Employee Position],tblPositionandPayRate[Allowance 3],0)*tblPayrollMaster[[#This Row],[Pay Factor]]</f>
        <v>0</v>
      </c>
      <c r="O549" s="25">
        <f>_xlfn.XLOOKUP(tblPayrollMaster[[#This Row],[Employee Position]],tblPositionandPayRate[Employee Position],tblPositionandPayRate[Allowance 4],0)*tblPayrollMaster[[#This Row],[Pay Factor]]</f>
        <v>0</v>
      </c>
      <c r="P549" s="25">
        <f>_xlfn.XLOOKUP(tblPayrollMaster[[#This Row],[Employee Position]],tblPositionandPayRate[Employee Position],tblPositionandPayRate[Allowance 5],0)*tblPayrollMaster[[#This Row],[Pay Factor]]</f>
        <v>0</v>
      </c>
      <c r="Q549" s="25">
        <f>SUM(tblPayrollMaster[[#This Row],[Basic Pay]:[Allowance 5]])</f>
        <v>0</v>
      </c>
      <c r="R54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49" s="51" cm="1">
        <f t="array" ref="S5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49" s="3" cm="1">
        <f t="array" ref="T5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49" s="25">
        <f>_xlfn.LET(
_xlpm.tos, _xlfn.XLOOKUP(tblPayrollMaster[[#This Row],[Employee ID]], tblEmployee[Employee ID], tblEmployee[Type of Service], ""),
IF(_xlpm.tos="Contract of Service", 8.25, 0)
)</f>
        <v>0</v>
      </c>
      <c r="V549" s="25">
        <f>tblPayrollMaster[[#This Row],[Basic Earnings]]-tblPayrollMaster[[#This Row],[Tax]]-tblPayrollMaster[[#This Row],[NIS - Employee]]-tblPayrollMaster[[#This Row],[Health Surcharge]]</f>
        <v>0</v>
      </c>
      <c r="W549" s="25">
        <f>tblPayrollMaster[[#This Row],[Net Pay]]</f>
        <v>0</v>
      </c>
      <c r="X549" s="25"/>
    </row>
    <row r="550" spans="1:24" x14ac:dyDescent="0.25">
      <c r="A550" s="24"/>
      <c r="B550" s="24" t="str">
        <f>_xlfn.XLOOKUP(tblPayrollMaster[[#This Row],[Employee ID]],tblEmployee[Employee ID],tblEmployee[Employee Name],"")</f>
        <v/>
      </c>
      <c r="C550" s="24" t="str">
        <f>_xlfn.XLOOKUP(tblPayrollMaster[[#This Row],[Employee ID]],tblEmployee[Employee ID],tblEmployee[Employee Position],"")</f>
        <v/>
      </c>
      <c r="D550" s="24" t="str">
        <f>_xlfn.XLOOKUP(tblPayrollMaster[[#This Row],[Employee ID]], tblEmployee[Employee ID], tblEmployee[Pay Status], "Pay")</f>
        <v>Pay</v>
      </c>
      <c r="E550" s="24" t="str">
        <f>_xlfn.XLOOKUP(tblPayrollMaster[[#This Row],[Employee ID]], tblEmployee[Employee ID], tblEmployee[Payable Flag], "Y")</f>
        <v>Y</v>
      </c>
      <c r="F550" s="45">
        <f>IF(tblPayrollMaster[[#This Row],[Payable Flag]]="N",0,_xlfn.XLOOKUP(tblPayrollMaster[[#This Row],[Employee ID]],tblEmployee[Employee ID],tblEmployee[Pay Factor],1))</f>
        <v>1</v>
      </c>
      <c r="G550" s="26" t="str" cm="1">
        <f t="array" ref="G550">IF(tblPayrollMaster[[#This Row],[Employee ID]]="","",_xlfn.XLOOKUP(selPayPeriodID,tblPayCalendar[PayPeriodID],tblPayCalendar[PeriodStart],""))</f>
        <v/>
      </c>
      <c r="H550" s="26" t="str" cm="1">
        <f t="array" ref="H550">IF(tblPayrollMaster[[#This Row],[Employee ID]]="","",_xlfn.XLOOKUP(selPayPeriodID,tblPayCalendar[PayPeriodID],tblPayCalendar[PeriodEnd],""))</f>
        <v/>
      </c>
      <c r="I550" s="24" t="e" cm="1" vm="1">
        <f t="array" aca="1" ref="I550" ca="1">Table18[Employer Name]</f>
        <v>#VALUE!</v>
      </c>
      <c r="J550" s="3" cm="1">
        <f t="array" ref="J55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50" s="25" t="str">
        <f>_xlfn.XLOOKUP(tblPayrollMaster[[#This Row],[Employee Position]],tblPositionandPayRate[Employee Position],tblPositionandPayRate[Overtime], " ")</f>
        <v xml:space="preserve"> </v>
      </c>
      <c r="L550" s="25">
        <f>_xlfn.XLOOKUP(tblPayrollMaster[[#This Row],[Employee Position]],tblPositionandPayRate[Employee Position],tblPositionandPayRate[Allowance 1],0)*tblPayrollMaster[[#This Row],[Pay Factor]]</f>
        <v>0</v>
      </c>
      <c r="M550" s="25">
        <f>_xlfn.XLOOKUP(tblPayrollMaster[[#This Row],[Employee Position]],tblPositionandPayRate[Employee Position],tblPositionandPayRate[Allowance 2],0)*tblPayrollMaster[[#This Row],[Pay Factor]]</f>
        <v>0</v>
      </c>
      <c r="N550" s="25">
        <f>_xlfn.XLOOKUP(tblPayrollMaster[[#This Row],[Employee Position]],tblPositionandPayRate[Employee Position],tblPositionandPayRate[Allowance 3],0)*tblPayrollMaster[[#This Row],[Pay Factor]]</f>
        <v>0</v>
      </c>
      <c r="O550" s="25">
        <f>_xlfn.XLOOKUP(tblPayrollMaster[[#This Row],[Employee Position]],tblPositionandPayRate[Employee Position],tblPositionandPayRate[Allowance 4],0)*tblPayrollMaster[[#This Row],[Pay Factor]]</f>
        <v>0</v>
      </c>
      <c r="P550" s="25">
        <f>_xlfn.XLOOKUP(tblPayrollMaster[[#This Row],[Employee Position]],tblPositionandPayRate[Employee Position],tblPositionandPayRate[Allowance 5],0)*tblPayrollMaster[[#This Row],[Pay Factor]]</f>
        <v>0</v>
      </c>
      <c r="Q550" s="25">
        <f>SUM(tblPayrollMaster[[#This Row],[Basic Pay]:[Allowance 5]])</f>
        <v>0</v>
      </c>
      <c r="R55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50" s="51" cm="1">
        <f t="array" ref="S5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50" s="3" cm="1">
        <f t="array" ref="T5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50" s="25">
        <f>_xlfn.LET(
_xlpm.tos, _xlfn.XLOOKUP(tblPayrollMaster[[#This Row],[Employee ID]], tblEmployee[Employee ID], tblEmployee[Type of Service], ""),
IF(_xlpm.tos="Contract of Service", 8.25, 0)
)</f>
        <v>0</v>
      </c>
      <c r="V550" s="25">
        <f>tblPayrollMaster[[#This Row],[Basic Earnings]]-tblPayrollMaster[[#This Row],[Tax]]-tblPayrollMaster[[#This Row],[NIS - Employee]]-tblPayrollMaster[[#This Row],[Health Surcharge]]</f>
        <v>0</v>
      </c>
      <c r="W550" s="25">
        <f>tblPayrollMaster[[#This Row],[Net Pay]]</f>
        <v>0</v>
      </c>
      <c r="X550" s="25"/>
    </row>
    <row r="551" spans="1:24" x14ac:dyDescent="0.25">
      <c r="A551" s="24"/>
      <c r="B551" s="24" t="str">
        <f>_xlfn.XLOOKUP(tblPayrollMaster[[#This Row],[Employee ID]],tblEmployee[Employee ID],tblEmployee[Employee Name],"")</f>
        <v/>
      </c>
      <c r="C551" s="24" t="str">
        <f>_xlfn.XLOOKUP(tblPayrollMaster[[#This Row],[Employee ID]],tblEmployee[Employee ID],tblEmployee[Employee Position],"")</f>
        <v/>
      </c>
      <c r="D551" s="24" t="str">
        <f>_xlfn.XLOOKUP(tblPayrollMaster[[#This Row],[Employee ID]], tblEmployee[Employee ID], tblEmployee[Pay Status], "Pay")</f>
        <v>Pay</v>
      </c>
      <c r="E551" s="24" t="str">
        <f>_xlfn.XLOOKUP(tblPayrollMaster[[#This Row],[Employee ID]], tblEmployee[Employee ID], tblEmployee[Payable Flag], "Y")</f>
        <v>Y</v>
      </c>
      <c r="F551" s="45">
        <f>IF(tblPayrollMaster[[#This Row],[Payable Flag]]="N",0,_xlfn.XLOOKUP(tblPayrollMaster[[#This Row],[Employee ID]],tblEmployee[Employee ID],tblEmployee[Pay Factor],1))</f>
        <v>1</v>
      </c>
      <c r="G551" s="26" t="str" cm="1">
        <f t="array" ref="G551">IF(tblPayrollMaster[[#This Row],[Employee ID]]="","",_xlfn.XLOOKUP(selPayPeriodID,tblPayCalendar[PayPeriodID],tblPayCalendar[PeriodStart],""))</f>
        <v/>
      </c>
      <c r="H551" s="26" t="str" cm="1">
        <f t="array" ref="H551">IF(tblPayrollMaster[[#This Row],[Employee ID]]="","",_xlfn.XLOOKUP(selPayPeriodID,tblPayCalendar[PayPeriodID],tblPayCalendar[PeriodEnd],""))</f>
        <v/>
      </c>
      <c r="I551" s="24" t="e" cm="1" vm="1">
        <f t="array" aca="1" ref="I551" ca="1">Table18[Employer Name]</f>
        <v>#VALUE!</v>
      </c>
      <c r="J551" s="3" cm="1">
        <f t="array" ref="J55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51" s="25" t="str">
        <f>_xlfn.XLOOKUP(tblPayrollMaster[[#This Row],[Employee Position]],tblPositionandPayRate[Employee Position],tblPositionandPayRate[Overtime], " ")</f>
        <v xml:space="preserve"> </v>
      </c>
      <c r="L551" s="25">
        <f>_xlfn.XLOOKUP(tblPayrollMaster[[#This Row],[Employee Position]],tblPositionandPayRate[Employee Position],tblPositionandPayRate[Allowance 1],0)*tblPayrollMaster[[#This Row],[Pay Factor]]</f>
        <v>0</v>
      </c>
      <c r="M551" s="25">
        <f>_xlfn.XLOOKUP(tblPayrollMaster[[#This Row],[Employee Position]],tblPositionandPayRate[Employee Position],tblPositionandPayRate[Allowance 2],0)*tblPayrollMaster[[#This Row],[Pay Factor]]</f>
        <v>0</v>
      </c>
      <c r="N551" s="25">
        <f>_xlfn.XLOOKUP(tblPayrollMaster[[#This Row],[Employee Position]],tblPositionandPayRate[Employee Position],tblPositionandPayRate[Allowance 3],0)*tblPayrollMaster[[#This Row],[Pay Factor]]</f>
        <v>0</v>
      </c>
      <c r="O551" s="25">
        <f>_xlfn.XLOOKUP(tblPayrollMaster[[#This Row],[Employee Position]],tblPositionandPayRate[Employee Position],tblPositionandPayRate[Allowance 4],0)*tblPayrollMaster[[#This Row],[Pay Factor]]</f>
        <v>0</v>
      </c>
      <c r="P551" s="25">
        <f>_xlfn.XLOOKUP(tblPayrollMaster[[#This Row],[Employee Position]],tblPositionandPayRate[Employee Position],tblPositionandPayRate[Allowance 5],0)*tblPayrollMaster[[#This Row],[Pay Factor]]</f>
        <v>0</v>
      </c>
      <c r="Q551" s="25">
        <f>SUM(tblPayrollMaster[[#This Row],[Basic Pay]:[Allowance 5]])</f>
        <v>0</v>
      </c>
      <c r="R55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51" s="51" cm="1">
        <f t="array" ref="S5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51" s="3" cm="1">
        <f t="array" ref="T5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51" s="25">
        <f>_xlfn.LET(
_xlpm.tos, _xlfn.XLOOKUP(tblPayrollMaster[[#This Row],[Employee ID]], tblEmployee[Employee ID], tblEmployee[Type of Service], ""),
IF(_xlpm.tos="Contract of Service", 8.25, 0)
)</f>
        <v>0</v>
      </c>
      <c r="V551" s="25">
        <f>tblPayrollMaster[[#This Row],[Basic Earnings]]-tblPayrollMaster[[#This Row],[Tax]]-tblPayrollMaster[[#This Row],[NIS - Employee]]-tblPayrollMaster[[#This Row],[Health Surcharge]]</f>
        <v>0</v>
      </c>
      <c r="W551" s="25">
        <f>tblPayrollMaster[[#This Row],[Net Pay]]</f>
        <v>0</v>
      </c>
      <c r="X551" s="25"/>
    </row>
    <row r="552" spans="1:24" x14ac:dyDescent="0.25">
      <c r="A552" s="24"/>
      <c r="B552" s="24" t="str">
        <f>_xlfn.XLOOKUP(tblPayrollMaster[[#This Row],[Employee ID]],tblEmployee[Employee ID],tblEmployee[Employee Name],"")</f>
        <v/>
      </c>
      <c r="C552" s="24" t="str">
        <f>_xlfn.XLOOKUP(tblPayrollMaster[[#This Row],[Employee ID]],tblEmployee[Employee ID],tblEmployee[Employee Position],"")</f>
        <v/>
      </c>
      <c r="D552" s="24" t="str">
        <f>_xlfn.XLOOKUP(tblPayrollMaster[[#This Row],[Employee ID]], tblEmployee[Employee ID], tblEmployee[Pay Status], "Pay")</f>
        <v>Pay</v>
      </c>
      <c r="E552" s="24" t="str">
        <f>_xlfn.XLOOKUP(tblPayrollMaster[[#This Row],[Employee ID]], tblEmployee[Employee ID], tblEmployee[Payable Flag], "Y")</f>
        <v>Y</v>
      </c>
      <c r="F552" s="45">
        <f>IF(tblPayrollMaster[[#This Row],[Payable Flag]]="N",0,_xlfn.XLOOKUP(tblPayrollMaster[[#This Row],[Employee ID]],tblEmployee[Employee ID],tblEmployee[Pay Factor],1))</f>
        <v>1</v>
      </c>
      <c r="G552" s="26" t="str" cm="1">
        <f t="array" ref="G552">IF(tblPayrollMaster[[#This Row],[Employee ID]]="","",_xlfn.XLOOKUP(selPayPeriodID,tblPayCalendar[PayPeriodID],tblPayCalendar[PeriodStart],""))</f>
        <v/>
      </c>
      <c r="H552" s="26" t="str" cm="1">
        <f t="array" ref="H552">IF(tblPayrollMaster[[#This Row],[Employee ID]]="","",_xlfn.XLOOKUP(selPayPeriodID,tblPayCalendar[PayPeriodID],tblPayCalendar[PeriodEnd],""))</f>
        <v/>
      </c>
      <c r="I552" s="24" t="e" cm="1" vm="1">
        <f t="array" aca="1" ref="I552" ca="1">Table18[Employer Name]</f>
        <v>#VALUE!</v>
      </c>
      <c r="J552" s="3" cm="1">
        <f t="array" ref="J55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52" s="25" t="str">
        <f>_xlfn.XLOOKUP(tblPayrollMaster[[#This Row],[Employee Position]],tblPositionandPayRate[Employee Position],tblPositionandPayRate[Overtime], " ")</f>
        <v xml:space="preserve"> </v>
      </c>
      <c r="L552" s="25">
        <f>_xlfn.XLOOKUP(tblPayrollMaster[[#This Row],[Employee Position]],tblPositionandPayRate[Employee Position],tblPositionandPayRate[Allowance 1],0)*tblPayrollMaster[[#This Row],[Pay Factor]]</f>
        <v>0</v>
      </c>
      <c r="M552" s="25">
        <f>_xlfn.XLOOKUP(tblPayrollMaster[[#This Row],[Employee Position]],tblPositionandPayRate[Employee Position],tblPositionandPayRate[Allowance 2],0)*tblPayrollMaster[[#This Row],[Pay Factor]]</f>
        <v>0</v>
      </c>
      <c r="N552" s="25">
        <f>_xlfn.XLOOKUP(tblPayrollMaster[[#This Row],[Employee Position]],tblPositionandPayRate[Employee Position],tblPositionandPayRate[Allowance 3],0)*tblPayrollMaster[[#This Row],[Pay Factor]]</f>
        <v>0</v>
      </c>
      <c r="O552" s="25">
        <f>_xlfn.XLOOKUP(tblPayrollMaster[[#This Row],[Employee Position]],tblPositionandPayRate[Employee Position],tblPositionandPayRate[Allowance 4],0)*tblPayrollMaster[[#This Row],[Pay Factor]]</f>
        <v>0</v>
      </c>
      <c r="P552" s="25">
        <f>_xlfn.XLOOKUP(tblPayrollMaster[[#This Row],[Employee Position]],tblPositionandPayRate[Employee Position],tblPositionandPayRate[Allowance 5],0)*tblPayrollMaster[[#This Row],[Pay Factor]]</f>
        <v>0</v>
      </c>
      <c r="Q552" s="25">
        <f>SUM(tblPayrollMaster[[#This Row],[Basic Pay]:[Allowance 5]])</f>
        <v>0</v>
      </c>
      <c r="R55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52" s="51" cm="1">
        <f t="array" ref="S5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52" s="3" cm="1">
        <f t="array" ref="T5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52" s="25">
        <f>_xlfn.LET(
_xlpm.tos, _xlfn.XLOOKUP(tblPayrollMaster[[#This Row],[Employee ID]], tblEmployee[Employee ID], tblEmployee[Type of Service], ""),
IF(_xlpm.tos="Contract of Service", 8.25, 0)
)</f>
        <v>0</v>
      </c>
      <c r="V552" s="25">
        <f>tblPayrollMaster[[#This Row],[Basic Earnings]]-tblPayrollMaster[[#This Row],[Tax]]-tblPayrollMaster[[#This Row],[NIS - Employee]]-tblPayrollMaster[[#This Row],[Health Surcharge]]</f>
        <v>0</v>
      </c>
      <c r="W552" s="25">
        <f>tblPayrollMaster[[#This Row],[Net Pay]]</f>
        <v>0</v>
      </c>
      <c r="X552" s="25"/>
    </row>
    <row r="553" spans="1:24" x14ac:dyDescent="0.25">
      <c r="A553" s="24"/>
      <c r="B553" s="24" t="str">
        <f>_xlfn.XLOOKUP(tblPayrollMaster[[#This Row],[Employee ID]],tblEmployee[Employee ID],tblEmployee[Employee Name],"")</f>
        <v/>
      </c>
      <c r="C553" s="24" t="str">
        <f>_xlfn.XLOOKUP(tblPayrollMaster[[#This Row],[Employee ID]],tblEmployee[Employee ID],tblEmployee[Employee Position],"")</f>
        <v/>
      </c>
      <c r="D553" s="24" t="str">
        <f>_xlfn.XLOOKUP(tblPayrollMaster[[#This Row],[Employee ID]], tblEmployee[Employee ID], tblEmployee[Pay Status], "Pay")</f>
        <v>Pay</v>
      </c>
      <c r="E553" s="24" t="str">
        <f>_xlfn.XLOOKUP(tblPayrollMaster[[#This Row],[Employee ID]], tblEmployee[Employee ID], tblEmployee[Payable Flag], "Y")</f>
        <v>Y</v>
      </c>
      <c r="F553" s="45">
        <f>IF(tblPayrollMaster[[#This Row],[Payable Flag]]="N",0,_xlfn.XLOOKUP(tblPayrollMaster[[#This Row],[Employee ID]],tblEmployee[Employee ID],tblEmployee[Pay Factor],1))</f>
        <v>1</v>
      </c>
      <c r="G553" s="26" t="str" cm="1">
        <f t="array" ref="G553">IF(tblPayrollMaster[[#This Row],[Employee ID]]="","",_xlfn.XLOOKUP(selPayPeriodID,tblPayCalendar[PayPeriodID],tblPayCalendar[PeriodStart],""))</f>
        <v/>
      </c>
      <c r="H553" s="26" t="str" cm="1">
        <f t="array" ref="H553">IF(tblPayrollMaster[[#This Row],[Employee ID]]="","",_xlfn.XLOOKUP(selPayPeriodID,tblPayCalendar[PayPeriodID],tblPayCalendar[PeriodEnd],""))</f>
        <v/>
      </c>
      <c r="I553" s="24" t="e" cm="1" vm="1">
        <f t="array" aca="1" ref="I553" ca="1">Table18[Employer Name]</f>
        <v>#VALUE!</v>
      </c>
      <c r="J553" s="3" cm="1">
        <f t="array" ref="J55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53" s="25" t="str">
        <f>_xlfn.XLOOKUP(tblPayrollMaster[[#This Row],[Employee Position]],tblPositionandPayRate[Employee Position],tblPositionandPayRate[Overtime], " ")</f>
        <v xml:space="preserve"> </v>
      </c>
      <c r="L553" s="25">
        <f>_xlfn.XLOOKUP(tblPayrollMaster[[#This Row],[Employee Position]],tblPositionandPayRate[Employee Position],tblPositionandPayRate[Allowance 1],0)*tblPayrollMaster[[#This Row],[Pay Factor]]</f>
        <v>0</v>
      </c>
      <c r="M553" s="25">
        <f>_xlfn.XLOOKUP(tblPayrollMaster[[#This Row],[Employee Position]],tblPositionandPayRate[Employee Position],tblPositionandPayRate[Allowance 2],0)*tblPayrollMaster[[#This Row],[Pay Factor]]</f>
        <v>0</v>
      </c>
      <c r="N553" s="25">
        <f>_xlfn.XLOOKUP(tblPayrollMaster[[#This Row],[Employee Position]],tblPositionandPayRate[Employee Position],tblPositionandPayRate[Allowance 3],0)*tblPayrollMaster[[#This Row],[Pay Factor]]</f>
        <v>0</v>
      </c>
      <c r="O553" s="25">
        <f>_xlfn.XLOOKUP(tblPayrollMaster[[#This Row],[Employee Position]],tblPositionandPayRate[Employee Position],tblPositionandPayRate[Allowance 4],0)*tblPayrollMaster[[#This Row],[Pay Factor]]</f>
        <v>0</v>
      </c>
      <c r="P553" s="25">
        <f>_xlfn.XLOOKUP(tblPayrollMaster[[#This Row],[Employee Position]],tblPositionandPayRate[Employee Position],tblPositionandPayRate[Allowance 5],0)*tblPayrollMaster[[#This Row],[Pay Factor]]</f>
        <v>0</v>
      </c>
      <c r="Q553" s="25">
        <f>SUM(tblPayrollMaster[[#This Row],[Basic Pay]:[Allowance 5]])</f>
        <v>0</v>
      </c>
      <c r="R55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53" s="51" cm="1">
        <f t="array" ref="S5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53" s="3" cm="1">
        <f t="array" ref="T5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53" s="25">
        <f>_xlfn.LET(
_xlpm.tos, _xlfn.XLOOKUP(tblPayrollMaster[[#This Row],[Employee ID]], tblEmployee[Employee ID], tblEmployee[Type of Service], ""),
IF(_xlpm.tos="Contract of Service", 8.25, 0)
)</f>
        <v>0</v>
      </c>
      <c r="V553" s="25">
        <f>tblPayrollMaster[[#This Row],[Basic Earnings]]-tblPayrollMaster[[#This Row],[Tax]]-tblPayrollMaster[[#This Row],[NIS - Employee]]-tblPayrollMaster[[#This Row],[Health Surcharge]]</f>
        <v>0</v>
      </c>
      <c r="W553" s="25">
        <f>tblPayrollMaster[[#This Row],[Net Pay]]</f>
        <v>0</v>
      </c>
      <c r="X553" s="25"/>
    </row>
    <row r="554" spans="1:24" x14ac:dyDescent="0.25">
      <c r="A554" s="24"/>
      <c r="B554" s="24" t="str">
        <f>_xlfn.XLOOKUP(tblPayrollMaster[[#This Row],[Employee ID]],tblEmployee[Employee ID],tblEmployee[Employee Name],"")</f>
        <v/>
      </c>
      <c r="C554" s="24" t="str">
        <f>_xlfn.XLOOKUP(tblPayrollMaster[[#This Row],[Employee ID]],tblEmployee[Employee ID],tblEmployee[Employee Position],"")</f>
        <v/>
      </c>
      <c r="D554" s="24" t="str">
        <f>_xlfn.XLOOKUP(tblPayrollMaster[[#This Row],[Employee ID]], tblEmployee[Employee ID], tblEmployee[Pay Status], "Pay")</f>
        <v>Pay</v>
      </c>
      <c r="E554" s="24" t="str">
        <f>_xlfn.XLOOKUP(tblPayrollMaster[[#This Row],[Employee ID]], tblEmployee[Employee ID], tblEmployee[Payable Flag], "Y")</f>
        <v>Y</v>
      </c>
      <c r="F554" s="45">
        <f>IF(tblPayrollMaster[[#This Row],[Payable Flag]]="N",0,_xlfn.XLOOKUP(tblPayrollMaster[[#This Row],[Employee ID]],tblEmployee[Employee ID],tblEmployee[Pay Factor],1))</f>
        <v>1</v>
      </c>
      <c r="G554" s="26" t="str" cm="1">
        <f t="array" ref="G554">IF(tblPayrollMaster[[#This Row],[Employee ID]]="","",_xlfn.XLOOKUP(selPayPeriodID,tblPayCalendar[PayPeriodID],tblPayCalendar[PeriodStart],""))</f>
        <v/>
      </c>
      <c r="H554" s="26" t="str" cm="1">
        <f t="array" ref="H554">IF(tblPayrollMaster[[#This Row],[Employee ID]]="","",_xlfn.XLOOKUP(selPayPeriodID,tblPayCalendar[PayPeriodID],tblPayCalendar[PeriodEnd],""))</f>
        <v/>
      </c>
      <c r="I554" s="24" t="e" cm="1" vm="1">
        <f t="array" aca="1" ref="I554" ca="1">Table18[Employer Name]</f>
        <v>#VALUE!</v>
      </c>
      <c r="J554" s="3" cm="1">
        <f t="array" ref="J55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54" s="25" t="str">
        <f>_xlfn.XLOOKUP(tblPayrollMaster[[#This Row],[Employee Position]],tblPositionandPayRate[Employee Position],tblPositionandPayRate[Overtime], " ")</f>
        <v xml:space="preserve"> </v>
      </c>
      <c r="L554" s="25">
        <f>_xlfn.XLOOKUP(tblPayrollMaster[[#This Row],[Employee Position]],tblPositionandPayRate[Employee Position],tblPositionandPayRate[Allowance 1],0)*tblPayrollMaster[[#This Row],[Pay Factor]]</f>
        <v>0</v>
      </c>
      <c r="M554" s="25">
        <f>_xlfn.XLOOKUP(tblPayrollMaster[[#This Row],[Employee Position]],tblPositionandPayRate[Employee Position],tblPositionandPayRate[Allowance 2],0)*tblPayrollMaster[[#This Row],[Pay Factor]]</f>
        <v>0</v>
      </c>
      <c r="N554" s="25">
        <f>_xlfn.XLOOKUP(tblPayrollMaster[[#This Row],[Employee Position]],tblPositionandPayRate[Employee Position],tblPositionandPayRate[Allowance 3],0)*tblPayrollMaster[[#This Row],[Pay Factor]]</f>
        <v>0</v>
      </c>
      <c r="O554" s="25">
        <f>_xlfn.XLOOKUP(tblPayrollMaster[[#This Row],[Employee Position]],tblPositionandPayRate[Employee Position],tblPositionandPayRate[Allowance 4],0)*tblPayrollMaster[[#This Row],[Pay Factor]]</f>
        <v>0</v>
      </c>
      <c r="P554" s="25">
        <f>_xlfn.XLOOKUP(tblPayrollMaster[[#This Row],[Employee Position]],tblPositionandPayRate[Employee Position],tblPositionandPayRate[Allowance 5],0)*tblPayrollMaster[[#This Row],[Pay Factor]]</f>
        <v>0</v>
      </c>
      <c r="Q554" s="25">
        <f>SUM(tblPayrollMaster[[#This Row],[Basic Pay]:[Allowance 5]])</f>
        <v>0</v>
      </c>
      <c r="R55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54" s="51" cm="1">
        <f t="array" ref="S5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54" s="3" cm="1">
        <f t="array" ref="T5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54" s="25">
        <f>_xlfn.LET(
_xlpm.tos, _xlfn.XLOOKUP(tblPayrollMaster[[#This Row],[Employee ID]], tblEmployee[Employee ID], tblEmployee[Type of Service], ""),
IF(_xlpm.tos="Contract of Service", 8.25, 0)
)</f>
        <v>0</v>
      </c>
      <c r="V554" s="25">
        <f>tblPayrollMaster[[#This Row],[Basic Earnings]]-tblPayrollMaster[[#This Row],[Tax]]-tblPayrollMaster[[#This Row],[NIS - Employee]]-tblPayrollMaster[[#This Row],[Health Surcharge]]</f>
        <v>0</v>
      </c>
      <c r="W554" s="25">
        <f>tblPayrollMaster[[#This Row],[Net Pay]]</f>
        <v>0</v>
      </c>
      <c r="X554" s="25"/>
    </row>
    <row r="555" spans="1:24" x14ac:dyDescent="0.25">
      <c r="A555" s="24"/>
      <c r="B555" s="24" t="str">
        <f>_xlfn.XLOOKUP(tblPayrollMaster[[#This Row],[Employee ID]],tblEmployee[Employee ID],tblEmployee[Employee Name],"")</f>
        <v/>
      </c>
      <c r="C555" s="24" t="str">
        <f>_xlfn.XLOOKUP(tblPayrollMaster[[#This Row],[Employee ID]],tblEmployee[Employee ID],tblEmployee[Employee Position],"")</f>
        <v/>
      </c>
      <c r="D555" s="24" t="str">
        <f>_xlfn.XLOOKUP(tblPayrollMaster[[#This Row],[Employee ID]], tblEmployee[Employee ID], tblEmployee[Pay Status], "Pay")</f>
        <v>Pay</v>
      </c>
      <c r="E555" s="24" t="str">
        <f>_xlfn.XLOOKUP(tblPayrollMaster[[#This Row],[Employee ID]], tblEmployee[Employee ID], tblEmployee[Payable Flag], "Y")</f>
        <v>Y</v>
      </c>
      <c r="F555" s="45">
        <f>IF(tblPayrollMaster[[#This Row],[Payable Flag]]="N",0,_xlfn.XLOOKUP(tblPayrollMaster[[#This Row],[Employee ID]],tblEmployee[Employee ID],tblEmployee[Pay Factor],1))</f>
        <v>1</v>
      </c>
      <c r="G555" s="26" t="str" cm="1">
        <f t="array" ref="G555">IF(tblPayrollMaster[[#This Row],[Employee ID]]="","",_xlfn.XLOOKUP(selPayPeriodID,tblPayCalendar[PayPeriodID],tblPayCalendar[PeriodStart],""))</f>
        <v/>
      </c>
      <c r="H555" s="26" t="str" cm="1">
        <f t="array" ref="H555">IF(tblPayrollMaster[[#This Row],[Employee ID]]="","",_xlfn.XLOOKUP(selPayPeriodID,tblPayCalendar[PayPeriodID],tblPayCalendar[PeriodEnd],""))</f>
        <v/>
      </c>
      <c r="I555" s="24" t="e" cm="1" vm="1">
        <f t="array" aca="1" ref="I555" ca="1">Table18[Employer Name]</f>
        <v>#VALUE!</v>
      </c>
      <c r="J555" s="3" cm="1">
        <f t="array" ref="J55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55" s="25" t="str">
        <f>_xlfn.XLOOKUP(tblPayrollMaster[[#This Row],[Employee Position]],tblPositionandPayRate[Employee Position],tblPositionandPayRate[Overtime], " ")</f>
        <v xml:space="preserve"> </v>
      </c>
      <c r="L555" s="25">
        <f>_xlfn.XLOOKUP(tblPayrollMaster[[#This Row],[Employee Position]],tblPositionandPayRate[Employee Position],tblPositionandPayRate[Allowance 1],0)*tblPayrollMaster[[#This Row],[Pay Factor]]</f>
        <v>0</v>
      </c>
      <c r="M555" s="25">
        <f>_xlfn.XLOOKUP(tblPayrollMaster[[#This Row],[Employee Position]],tblPositionandPayRate[Employee Position],tblPositionandPayRate[Allowance 2],0)*tblPayrollMaster[[#This Row],[Pay Factor]]</f>
        <v>0</v>
      </c>
      <c r="N555" s="25">
        <f>_xlfn.XLOOKUP(tblPayrollMaster[[#This Row],[Employee Position]],tblPositionandPayRate[Employee Position],tblPositionandPayRate[Allowance 3],0)*tblPayrollMaster[[#This Row],[Pay Factor]]</f>
        <v>0</v>
      </c>
      <c r="O555" s="25">
        <f>_xlfn.XLOOKUP(tblPayrollMaster[[#This Row],[Employee Position]],tblPositionandPayRate[Employee Position],tblPositionandPayRate[Allowance 4],0)*tblPayrollMaster[[#This Row],[Pay Factor]]</f>
        <v>0</v>
      </c>
      <c r="P555" s="25">
        <f>_xlfn.XLOOKUP(tblPayrollMaster[[#This Row],[Employee Position]],tblPositionandPayRate[Employee Position],tblPositionandPayRate[Allowance 5],0)*tblPayrollMaster[[#This Row],[Pay Factor]]</f>
        <v>0</v>
      </c>
      <c r="Q555" s="25">
        <f>SUM(tblPayrollMaster[[#This Row],[Basic Pay]:[Allowance 5]])</f>
        <v>0</v>
      </c>
      <c r="R55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55" s="51" cm="1">
        <f t="array" ref="S5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55" s="3" cm="1">
        <f t="array" ref="T5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55" s="25">
        <f>_xlfn.LET(
_xlpm.tos, _xlfn.XLOOKUP(tblPayrollMaster[[#This Row],[Employee ID]], tblEmployee[Employee ID], tblEmployee[Type of Service], ""),
IF(_xlpm.tos="Contract of Service", 8.25, 0)
)</f>
        <v>0</v>
      </c>
      <c r="V555" s="25">
        <f>tblPayrollMaster[[#This Row],[Basic Earnings]]-tblPayrollMaster[[#This Row],[Tax]]-tblPayrollMaster[[#This Row],[NIS - Employee]]-tblPayrollMaster[[#This Row],[Health Surcharge]]</f>
        <v>0</v>
      </c>
      <c r="W555" s="25">
        <f>tblPayrollMaster[[#This Row],[Net Pay]]</f>
        <v>0</v>
      </c>
      <c r="X555" s="25"/>
    </row>
    <row r="556" spans="1:24" x14ac:dyDescent="0.25">
      <c r="A556" s="24"/>
      <c r="B556" s="24" t="str">
        <f>_xlfn.XLOOKUP(tblPayrollMaster[[#This Row],[Employee ID]],tblEmployee[Employee ID],tblEmployee[Employee Name],"")</f>
        <v/>
      </c>
      <c r="C556" s="24" t="str">
        <f>_xlfn.XLOOKUP(tblPayrollMaster[[#This Row],[Employee ID]],tblEmployee[Employee ID],tblEmployee[Employee Position],"")</f>
        <v/>
      </c>
      <c r="D556" s="24" t="str">
        <f>_xlfn.XLOOKUP(tblPayrollMaster[[#This Row],[Employee ID]], tblEmployee[Employee ID], tblEmployee[Pay Status], "Pay")</f>
        <v>Pay</v>
      </c>
      <c r="E556" s="24" t="str">
        <f>_xlfn.XLOOKUP(tblPayrollMaster[[#This Row],[Employee ID]], tblEmployee[Employee ID], tblEmployee[Payable Flag], "Y")</f>
        <v>Y</v>
      </c>
      <c r="F556" s="45">
        <f>IF(tblPayrollMaster[[#This Row],[Payable Flag]]="N",0,_xlfn.XLOOKUP(tblPayrollMaster[[#This Row],[Employee ID]],tblEmployee[Employee ID],tblEmployee[Pay Factor],1))</f>
        <v>1</v>
      </c>
      <c r="G556" s="26" t="str" cm="1">
        <f t="array" ref="G556">IF(tblPayrollMaster[[#This Row],[Employee ID]]="","",_xlfn.XLOOKUP(selPayPeriodID,tblPayCalendar[PayPeriodID],tblPayCalendar[PeriodStart],""))</f>
        <v/>
      </c>
      <c r="H556" s="26" t="str" cm="1">
        <f t="array" ref="H556">IF(tblPayrollMaster[[#This Row],[Employee ID]]="","",_xlfn.XLOOKUP(selPayPeriodID,tblPayCalendar[PayPeriodID],tblPayCalendar[PeriodEnd],""))</f>
        <v/>
      </c>
      <c r="I556" s="24" t="e" cm="1" vm="1">
        <f t="array" aca="1" ref="I556" ca="1">Table18[Employer Name]</f>
        <v>#VALUE!</v>
      </c>
      <c r="J556" s="3" cm="1">
        <f t="array" ref="J55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56" s="25" t="str">
        <f>_xlfn.XLOOKUP(tblPayrollMaster[[#This Row],[Employee Position]],tblPositionandPayRate[Employee Position],tblPositionandPayRate[Overtime], " ")</f>
        <v xml:space="preserve"> </v>
      </c>
      <c r="L556" s="25">
        <f>_xlfn.XLOOKUP(tblPayrollMaster[[#This Row],[Employee Position]],tblPositionandPayRate[Employee Position],tblPositionandPayRate[Allowance 1],0)*tblPayrollMaster[[#This Row],[Pay Factor]]</f>
        <v>0</v>
      </c>
      <c r="M556" s="25">
        <f>_xlfn.XLOOKUP(tblPayrollMaster[[#This Row],[Employee Position]],tblPositionandPayRate[Employee Position],tblPositionandPayRate[Allowance 2],0)*tblPayrollMaster[[#This Row],[Pay Factor]]</f>
        <v>0</v>
      </c>
      <c r="N556" s="25">
        <f>_xlfn.XLOOKUP(tblPayrollMaster[[#This Row],[Employee Position]],tblPositionandPayRate[Employee Position],tblPositionandPayRate[Allowance 3],0)*tblPayrollMaster[[#This Row],[Pay Factor]]</f>
        <v>0</v>
      </c>
      <c r="O556" s="25">
        <f>_xlfn.XLOOKUP(tblPayrollMaster[[#This Row],[Employee Position]],tblPositionandPayRate[Employee Position],tblPositionandPayRate[Allowance 4],0)*tblPayrollMaster[[#This Row],[Pay Factor]]</f>
        <v>0</v>
      </c>
      <c r="P556" s="25">
        <f>_xlfn.XLOOKUP(tblPayrollMaster[[#This Row],[Employee Position]],tblPositionandPayRate[Employee Position],tblPositionandPayRate[Allowance 5],0)*tblPayrollMaster[[#This Row],[Pay Factor]]</f>
        <v>0</v>
      </c>
      <c r="Q556" s="25">
        <f>SUM(tblPayrollMaster[[#This Row],[Basic Pay]:[Allowance 5]])</f>
        <v>0</v>
      </c>
      <c r="R55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56" s="51" cm="1">
        <f t="array" ref="S5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56" s="3" cm="1">
        <f t="array" ref="T5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56" s="25">
        <f>_xlfn.LET(
_xlpm.tos, _xlfn.XLOOKUP(tblPayrollMaster[[#This Row],[Employee ID]], tblEmployee[Employee ID], tblEmployee[Type of Service], ""),
IF(_xlpm.tos="Contract of Service", 8.25, 0)
)</f>
        <v>0</v>
      </c>
      <c r="V556" s="25">
        <f>tblPayrollMaster[[#This Row],[Basic Earnings]]-tblPayrollMaster[[#This Row],[Tax]]-tblPayrollMaster[[#This Row],[NIS - Employee]]-tblPayrollMaster[[#This Row],[Health Surcharge]]</f>
        <v>0</v>
      </c>
      <c r="W556" s="25">
        <f>tblPayrollMaster[[#This Row],[Net Pay]]</f>
        <v>0</v>
      </c>
      <c r="X556" s="25"/>
    </row>
    <row r="557" spans="1:24" x14ac:dyDescent="0.25">
      <c r="A557" s="24"/>
      <c r="B557" s="24" t="str">
        <f>_xlfn.XLOOKUP(tblPayrollMaster[[#This Row],[Employee ID]],tblEmployee[Employee ID],tblEmployee[Employee Name],"")</f>
        <v/>
      </c>
      <c r="C557" s="24" t="str">
        <f>_xlfn.XLOOKUP(tblPayrollMaster[[#This Row],[Employee ID]],tblEmployee[Employee ID],tblEmployee[Employee Position],"")</f>
        <v/>
      </c>
      <c r="D557" s="24" t="str">
        <f>_xlfn.XLOOKUP(tblPayrollMaster[[#This Row],[Employee ID]], tblEmployee[Employee ID], tblEmployee[Pay Status], "Pay")</f>
        <v>Pay</v>
      </c>
      <c r="E557" s="24" t="str">
        <f>_xlfn.XLOOKUP(tblPayrollMaster[[#This Row],[Employee ID]], tblEmployee[Employee ID], tblEmployee[Payable Flag], "Y")</f>
        <v>Y</v>
      </c>
      <c r="F557" s="45">
        <f>IF(tblPayrollMaster[[#This Row],[Payable Flag]]="N",0,_xlfn.XLOOKUP(tblPayrollMaster[[#This Row],[Employee ID]],tblEmployee[Employee ID],tblEmployee[Pay Factor],1))</f>
        <v>1</v>
      </c>
      <c r="G557" s="26" t="str" cm="1">
        <f t="array" ref="G557">IF(tblPayrollMaster[[#This Row],[Employee ID]]="","",_xlfn.XLOOKUP(selPayPeriodID,tblPayCalendar[PayPeriodID],tblPayCalendar[PeriodStart],""))</f>
        <v/>
      </c>
      <c r="H557" s="26" t="str" cm="1">
        <f t="array" ref="H557">IF(tblPayrollMaster[[#This Row],[Employee ID]]="","",_xlfn.XLOOKUP(selPayPeriodID,tblPayCalendar[PayPeriodID],tblPayCalendar[PeriodEnd],""))</f>
        <v/>
      </c>
      <c r="I557" s="24" t="e" cm="1" vm="1">
        <f t="array" aca="1" ref="I557" ca="1">Table18[Employer Name]</f>
        <v>#VALUE!</v>
      </c>
      <c r="J557" s="3" cm="1">
        <f t="array" ref="J55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57" s="25" t="str">
        <f>_xlfn.XLOOKUP(tblPayrollMaster[[#This Row],[Employee Position]],tblPositionandPayRate[Employee Position],tblPositionandPayRate[Overtime], " ")</f>
        <v xml:space="preserve"> </v>
      </c>
      <c r="L557" s="25">
        <f>_xlfn.XLOOKUP(tblPayrollMaster[[#This Row],[Employee Position]],tblPositionandPayRate[Employee Position],tblPositionandPayRate[Allowance 1],0)*tblPayrollMaster[[#This Row],[Pay Factor]]</f>
        <v>0</v>
      </c>
      <c r="M557" s="25">
        <f>_xlfn.XLOOKUP(tblPayrollMaster[[#This Row],[Employee Position]],tblPositionandPayRate[Employee Position],tblPositionandPayRate[Allowance 2],0)*tblPayrollMaster[[#This Row],[Pay Factor]]</f>
        <v>0</v>
      </c>
      <c r="N557" s="25">
        <f>_xlfn.XLOOKUP(tblPayrollMaster[[#This Row],[Employee Position]],tblPositionandPayRate[Employee Position],tblPositionandPayRate[Allowance 3],0)*tblPayrollMaster[[#This Row],[Pay Factor]]</f>
        <v>0</v>
      </c>
      <c r="O557" s="25">
        <f>_xlfn.XLOOKUP(tblPayrollMaster[[#This Row],[Employee Position]],tblPositionandPayRate[Employee Position],tblPositionandPayRate[Allowance 4],0)*tblPayrollMaster[[#This Row],[Pay Factor]]</f>
        <v>0</v>
      </c>
      <c r="P557" s="25">
        <f>_xlfn.XLOOKUP(tblPayrollMaster[[#This Row],[Employee Position]],tblPositionandPayRate[Employee Position],tblPositionandPayRate[Allowance 5],0)*tblPayrollMaster[[#This Row],[Pay Factor]]</f>
        <v>0</v>
      </c>
      <c r="Q557" s="25">
        <f>SUM(tblPayrollMaster[[#This Row],[Basic Pay]:[Allowance 5]])</f>
        <v>0</v>
      </c>
      <c r="R55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57" s="51" cm="1">
        <f t="array" ref="S5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57" s="3" cm="1">
        <f t="array" ref="T5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57" s="25">
        <f>_xlfn.LET(
_xlpm.tos, _xlfn.XLOOKUP(tblPayrollMaster[[#This Row],[Employee ID]], tblEmployee[Employee ID], tblEmployee[Type of Service], ""),
IF(_xlpm.tos="Contract of Service", 8.25, 0)
)</f>
        <v>0</v>
      </c>
      <c r="V557" s="25">
        <f>tblPayrollMaster[[#This Row],[Basic Earnings]]-tblPayrollMaster[[#This Row],[Tax]]-tblPayrollMaster[[#This Row],[NIS - Employee]]-tblPayrollMaster[[#This Row],[Health Surcharge]]</f>
        <v>0</v>
      </c>
      <c r="W557" s="25">
        <f>tblPayrollMaster[[#This Row],[Net Pay]]</f>
        <v>0</v>
      </c>
      <c r="X557" s="25"/>
    </row>
    <row r="558" spans="1:24" x14ac:dyDescent="0.25">
      <c r="A558" s="24"/>
      <c r="B558" s="24" t="str">
        <f>_xlfn.XLOOKUP(tblPayrollMaster[[#This Row],[Employee ID]],tblEmployee[Employee ID],tblEmployee[Employee Name],"")</f>
        <v/>
      </c>
      <c r="C558" s="24" t="str">
        <f>_xlfn.XLOOKUP(tblPayrollMaster[[#This Row],[Employee ID]],tblEmployee[Employee ID],tblEmployee[Employee Position],"")</f>
        <v/>
      </c>
      <c r="D558" s="24" t="str">
        <f>_xlfn.XLOOKUP(tblPayrollMaster[[#This Row],[Employee ID]], tblEmployee[Employee ID], tblEmployee[Pay Status], "Pay")</f>
        <v>Pay</v>
      </c>
      <c r="E558" s="24" t="str">
        <f>_xlfn.XLOOKUP(tblPayrollMaster[[#This Row],[Employee ID]], tblEmployee[Employee ID], tblEmployee[Payable Flag], "Y")</f>
        <v>Y</v>
      </c>
      <c r="F558" s="45">
        <f>IF(tblPayrollMaster[[#This Row],[Payable Flag]]="N",0,_xlfn.XLOOKUP(tblPayrollMaster[[#This Row],[Employee ID]],tblEmployee[Employee ID],tblEmployee[Pay Factor],1))</f>
        <v>1</v>
      </c>
      <c r="G558" s="26" t="str" cm="1">
        <f t="array" ref="G558">IF(tblPayrollMaster[[#This Row],[Employee ID]]="","",_xlfn.XLOOKUP(selPayPeriodID,tblPayCalendar[PayPeriodID],tblPayCalendar[PeriodStart],""))</f>
        <v/>
      </c>
      <c r="H558" s="26" t="str" cm="1">
        <f t="array" ref="H558">IF(tblPayrollMaster[[#This Row],[Employee ID]]="","",_xlfn.XLOOKUP(selPayPeriodID,tblPayCalendar[PayPeriodID],tblPayCalendar[PeriodEnd],""))</f>
        <v/>
      </c>
      <c r="I558" s="24" t="e" cm="1" vm="1">
        <f t="array" aca="1" ref="I558" ca="1">Table18[Employer Name]</f>
        <v>#VALUE!</v>
      </c>
      <c r="J558" s="3" cm="1">
        <f t="array" ref="J55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58" s="25" t="str">
        <f>_xlfn.XLOOKUP(tblPayrollMaster[[#This Row],[Employee Position]],tblPositionandPayRate[Employee Position],tblPositionandPayRate[Overtime], " ")</f>
        <v xml:space="preserve"> </v>
      </c>
      <c r="L558" s="25">
        <f>_xlfn.XLOOKUP(tblPayrollMaster[[#This Row],[Employee Position]],tblPositionandPayRate[Employee Position],tblPositionandPayRate[Allowance 1],0)*tblPayrollMaster[[#This Row],[Pay Factor]]</f>
        <v>0</v>
      </c>
      <c r="M558" s="25">
        <f>_xlfn.XLOOKUP(tblPayrollMaster[[#This Row],[Employee Position]],tblPositionandPayRate[Employee Position],tblPositionandPayRate[Allowance 2],0)*tblPayrollMaster[[#This Row],[Pay Factor]]</f>
        <v>0</v>
      </c>
      <c r="N558" s="25">
        <f>_xlfn.XLOOKUP(tblPayrollMaster[[#This Row],[Employee Position]],tblPositionandPayRate[Employee Position],tblPositionandPayRate[Allowance 3],0)*tblPayrollMaster[[#This Row],[Pay Factor]]</f>
        <v>0</v>
      </c>
      <c r="O558" s="25">
        <f>_xlfn.XLOOKUP(tblPayrollMaster[[#This Row],[Employee Position]],tblPositionandPayRate[Employee Position],tblPositionandPayRate[Allowance 4],0)*tblPayrollMaster[[#This Row],[Pay Factor]]</f>
        <v>0</v>
      </c>
      <c r="P558" s="25">
        <f>_xlfn.XLOOKUP(tblPayrollMaster[[#This Row],[Employee Position]],tblPositionandPayRate[Employee Position],tblPositionandPayRate[Allowance 5],0)*tblPayrollMaster[[#This Row],[Pay Factor]]</f>
        <v>0</v>
      </c>
      <c r="Q558" s="25">
        <f>SUM(tblPayrollMaster[[#This Row],[Basic Pay]:[Allowance 5]])</f>
        <v>0</v>
      </c>
      <c r="R55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58" s="51" cm="1">
        <f t="array" ref="S5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58" s="3" cm="1">
        <f t="array" ref="T5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58" s="25">
        <f>_xlfn.LET(
_xlpm.tos, _xlfn.XLOOKUP(tblPayrollMaster[[#This Row],[Employee ID]], tblEmployee[Employee ID], tblEmployee[Type of Service], ""),
IF(_xlpm.tos="Contract of Service", 8.25, 0)
)</f>
        <v>0</v>
      </c>
      <c r="V558" s="25">
        <f>tblPayrollMaster[[#This Row],[Basic Earnings]]-tblPayrollMaster[[#This Row],[Tax]]-tblPayrollMaster[[#This Row],[NIS - Employee]]-tblPayrollMaster[[#This Row],[Health Surcharge]]</f>
        <v>0</v>
      </c>
      <c r="W558" s="25">
        <f>tblPayrollMaster[[#This Row],[Net Pay]]</f>
        <v>0</v>
      </c>
      <c r="X558" s="25"/>
    </row>
    <row r="559" spans="1:24" x14ac:dyDescent="0.25">
      <c r="A559" s="24"/>
      <c r="B559" s="24" t="str">
        <f>_xlfn.XLOOKUP(tblPayrollMaster[[#This Row],[Employee ID]],tblEmployee[Employee ID],tblEmployee[Employee Name],"")</f>
        <v/>
      </c>
      <c r="C559" s="24" t="str">
        <f>_xlfn.XLOOKUP(tblPayrollMaster[[#This Row],[Employee ID]],tblEmployee[Employee ID],tblEmployee[Employee Position],"")</f>
        <v/>
      </c>
      <c r="D559" s="24" t="str">
        <f>_xlfn.XLOOKUP(tblPayrollMaster[[#This Row],[Employee ID]], tblEmployee[Employee ID], tblEmployee[Pay Status], "Pay")</f>
        <v>Pay</v>
      </c>
      <c r="E559" s="24" t="str">
        <f>_xlfn.XLOOKUP(tblPayrollMaster[[#This Row],[Employee ID]], tblEmployee[Employee ID], tblEmployee[Payable Flag], "Y")</f>
        <v>Y</v>
      </c>
      <c r="F559" s="45">
        <f>IF(tblPayrollMaster[[#This Row],[Payable Flag]]="N",0,_xlfn.XLOOKUP(tblPayrollMaster[[#This Row],[Employee ID]],tblEmployee[Employee ID],tblEmployee[Pay Factor],1))</f>
        <v>1</v>
      </c>
      <c r="G559" s="26" t="str" cm="1">
        <f t="array" ref="G559">IF(tblPayrollMaster[[#This Row],[Employee ID]]="","",_xlfn.XLOOKUP(selPayPeriodID,tblPayCalendar[PayPeriodID],tblPayCalendar[PeriodStart],""))</f>
        <v/>
      </c>
      <c r="H559" s="26" t="str" cm="1">
        <f t="array" ref="H559">IF(tblPayrollMaster[[#This Row],[Employee ID]]="","",_xlfn.XLOOKUP(selPayPeriodID,tblPayCalendar[PayPeriodID],tblPayCalendar[PeriodEnd],""))</f>
        <v/>
      </c>
      <c r="I559" s="24" t="e" cm="1" vm="1">
        <f t="array" aca="1" ref="I559" ca="1">Table18[Employer Name]</f>
        <v>#VALUE!</v>
      </c>
      <c r="J559" s="3" cm="1">
        <f t="array" ref="J55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59" s="25" t="str">
        <f>_xlfn.XLOOKUP(tblPayrollMaster[[#This Row],[Employee Position]],tblPositionandPayRate[Employee Position],tblPositionandPayRate[Overtime], " ")</f>
        <v xml:space="preserve"> </v>
      </c>
      <c r="L559" s="25">
        <f>_xlfn.XLOOKUP(tblPayrollMaster[[#This Row],[Employee Position]],tblPositionandPayRate[Employee Position],tblPositionandPayRate[Allowance 1],0)*tblPayrollMaster[[#This Row],[Pay Factor]]</f>
        <v>0</v>
      </c>
      <c r="M559" s="25">
        <f>_xlfn.XLOOKUP(tblPayrollMaster[[#This Row],[Employee Position]],tblPositionandPayRate[Employee Position],tblPositionandPayRate[Allowance 2],0)*tblPayrollMaster[[#This Row],[Pay Factor]]</f>
        <v>0</v>
      </c>
      <c r="N559" s="25">
        <f>_xlfn.XLOOKUP(tblPayrollMaster[[#This Row],[Employee Position]],tblPositionandPayRate[Employee Position],tblPositionandPayRate[Allowance 3],0)*tblPayrollMaster[[#This Row],[Pay Factor]]</f>
        <v>0</v>
      </c>
      <c r="O559" s="25">
        <f>_xlfn.XLOOKUP(tblPayrollMaster[[#This Row],[Employee Position]],tblPositionandPayRate[Employee Position],tblPositionandPayRate[Allowance 4],0)*tblPayrollMaster[[#This Row],[Pay Factor]]</f>
        <v>0</v>
      </c>
      <c r="P559" s="25">
        <f>_xlfn.XLOOKUP(tblPayrollMaster[[#This Row],[Employee Position]],tblPositionandPayRate[Employee Position],tblPositionandPayRate[Allowance 5],0)*tblPayrollMaster[[#This Row],[Pay Factor]]</f>
        <v>0</v>
      </c>
      <c r="Q559" s="25">
        <f>SUM(tblPayrollMaster[[#This Row],[Basic Pay]:[Allowance 5]])</f>
        <v>0</v>
      </c>
      <c r="R55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59" s="51" cm="1">
        <f t="array" ref="S5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59" s="3" cm="1">
        <f t="array" ref="T5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59" s="25">
        <f>_xlfn.LET(
_xlpm.tos, _xlfn.XLOOKUP(tblPayrollMaster[[#This Row],[Employee ID]], tblEmployee[Employee ID], tblEmployee[Type of Service], ""),
IF(_xlpm.tos="Contract of Service", 8.25, 0)
)</f>
        <v>0</v>
      </c>
      <c r="V559" s="25">
        <f>tblPayrollMaster[[#This Row],[Basic Earnings]]-tblPayrollMaster[[#This Row],[Tax]]-tblPayrollMaster[[#This Row],[NIS - Employee]]-tblPayrollMaster[[#This Row],[Health Surcharge]]</f>
        <v>0</v>
      </c>
      <c r="W559" s="25">
        <f>tblPayrollMaster[[#This Row],[Net Pay]]</f>
        <v>0</v>
      </c>
      <c r="X559" s="25"/>
    </row>
    <row r="560" spans="1:24" x14ac:dyDescent="0.25">
      <c r="A560" s="24"/>
      <c r="B560" s="24" t="str">
        <f>_xlfn.XLOOKUP(tblPayrollMaster[[#This Row],[Employee ID]],tblEmployee[Employee ID],tblEmployee[Employee Name],"")</f>
        <v/>
      </c>
      <c r="C560" s="24" t="str">
        <f>_xlfn.XLOOKUP(tblPayrollMaster[[#This Row],[Employee ID]],tblEmployee[Employee ID],tblEmployee[Employee Position],"")</f>
        <v/>
      </c>
      <c r="D560" s="24" t="str">
        <f>_xlfn.XLOOKUP(tblPayrollMaster[[#This Row],[Employee ID]], tblEmployee[Employee ID], tblEmployee[Pay Status], "Pay")</f>
        <v>Pay</v>
      </c>
      <c r="E560" s="24" t="str">
        <f>_xlfn.XLOOKUP(tblPayrollMaster[[#This Row],[Employee ID]], tblEmployee[Employee ID], tblEmployee[Payable Flag], "Y")</f>
        <v>Y</v>
      </c>
      <c r="F560" s="45">
        <f>IF(tblPayrollMaster[[#This Row],[Payable Flag]]="N",0,_xlfn.XLOOKUP(tblPayrollMaster[[#This Row],[Employee ID]],tblEmployee[Employee ID],tblEmployee[Pay Factor],1))</f>
        <v>1</v>
      </c>
      <c r="G560" s="26" t="str" cm="1">
        <f t="array" ref="G560">IF(tblPayrollMaster[[#This Row],[Employee ID]]="","",_xlfn.XLOOKUP(selPayPeriodID,tblPayCalendar[PayPeriodID],tblPayCalendar[PeriodStart],""))</f>
        <v/>
      </c>
      <c r="H560" s="26" t="str" cm="1">
        <f t="array" ref="H560">IF(tblPayrollMaster[[#This Row],[Employee ID]]="","",_xlfn.XLOOKUP(selPayPeriodID,tblPayCalendar[PayPeriodID],tblPayCalendar[PeriodEnd],""))</f>
        <v/>
      </c>
      <c r="I560" s="24" t="e" cm="1" vm="1">
        <f t="array" aca="1" ref="I560" ca="1">Table18[Employer Name]</f>
        <v>#VALUE!</v>
      </c>
      <c r="J560" s="3" cm="1">
        <f t="array" ref="J56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60" s="25" t="str">
        <f>_xlfn.XLOOKUP(tblPayrollMaster[[#This Row],[Employee Position]],tblPositionandPayRate[Employee Position],tblPositionandPayRate[Overtime], " ")</f>
        <v xml:space="preserve"> </v>
      </c>
      <c r="L560" s="25">
        <f>_xlfn.XLOOKUP(tblPayrollMaster[[#This Row],[Employee Position]],tblPositionandPayRate[Employee Position],tblPositionandPayRate[Allowance 1],0)*tblPayrollMaster[[#This Row],[Pay Factor]]</f>
        <v>0</v>
      </c>
      <c r="M560" s="25">
        <f>_xlfn.XLOOKUP(tblPayrollMaster[[#This Row],[Employee Position]],tblPositionandPayRate[Employee Position],tblPositionandPayRate[Allowance 2],0)*tblPayrollMaster[[#This Row],[Pay Factor]]</f>
        <v>0</v>
      </c>
      <c r="N560" s="25">
        <f>_xlfn.XLOOKUP(tblPayrollMaster[[#This Row],[Employee Position]],tblPositionandPayRate[Employee Position],tblPositionandPayRate[Allowance 3],0)*tblPayrollMaster[[#This Row],[Pay Factor]]</f>
        <v>0</v>
      </c>
      <c r="O560" s="25">
        <f>_xlfn.XLOOKUP(tblPayrollMaster[[#This Row],[Employee Position]],tblPositionandPayRate[Employee Position],tblPositionandPayRate[Allowance 4],0)*tblPayrollMaster[[#This Row],[Pay Factor]]</f>
        <v>0</v>
      </c>
      <c r="P560" s="25">
        <f>_xlfn.XLOOKUP(tblPayrollMaster[[#This Row],[Employee Position]],tblPositionandPayRate[Employee Position],tblPositionandPayRate[Allowance 5],0)*tblPayrollMaster[[#This Row],[Pay Factor]]</f>
        <v>0</v>
      </c>
      <c r="Q560" s="25">
        <f>SUM(tblPayrollMaster[[#This Row],[Basic Pay]:[Allowance 5]])</f>
        <v>0</v>
      </c>
      <c r="R56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60" s="51" cm="1">
        <f t="array" ref="S5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60" s="3" cm="1">
        <f t="array" ref="T5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60" s="25">
        <f>_xlfn.LET(
_xlpm.tos, _xlfn.XLOOKUP(tblPayrollMaster[[#This Row],[Employee ID]], tblEmployee[Employee ID], tblEmployee[Type of Service], ""),
IF(_xlpm.tos="Contract of Service", 8.25, 0)
)</f>
        <v>0</v>
      </c>
      <c r="V560" s="25">
        <f>tblPayrollMaster[[#This Row],[Basic Earnings]]-tblPayrollMaster[[#This Row],[Tax]]-tblPayrollMaster[[#This Row],[NIS - Employee]]-tblPayrollMaster[[#This Row],[Health Surcharge]]</f>
        <v>0</v>
      </c>
      <c r="W560" s="25">
        <f>tblPayrollMaster[[#This Row],[Net Pay]]</f>
        <v>0</v>
      </c>
      <c r="X560" s="25"/>
    </row>
    <row r="561" spans="1:24" x14ac:dyDescent="0.25">
      <c r="A561" s="24"/>
      <c r="B561" s="24" t="str">
        <f>_xlfn.XLOOKUP(tblPayrollMaster[[#This Row],[Employee ID]],tblEmployee[Employee ID],tblEmployee[Employee Name],"")</f>
        <v/>
      </c>
      <c r="C561" s="24" t="str">
        <f>_xlfn.XLOOKUP(tblPayrollMaster[[#This Row],[Employee ID]],tblEmployee[Employee ID],tblEmployee[Employee Position],"")</f>
        <v/>
      </c>
      <c r="D561" s="24" t="str">
        <f>_xlfn.XLOOKUP(tblPayrollMaster[[#This Row],[Employee ID]], tblEmployee[Employee ID], tblEmployee[Pay Status], "Pay")</f>
        <v>Pay</v>
      </c>
      <c r="E561" s="24" t="str">
        <f>_xlfn.XLOOKUP(tblPayrollMaster[[#This Row],[Employee ID]], tblEmployee[Employee ID], tblEmployee[Payable Flag], "Y")</f>
        <v>Y</v>
      </c>
      <c r="F561" s="45">
        <f>IF(tblPayrollMaster[[#This Row],[Payable Flag]]="N",0,_xlfn.XLOOKUP(tblPayrollMaster[[#This Row],[Employee ID]],tblEmployee[Employee ID],tblEmployee[Pay Factor],1))</f>
        <v>1</v>
      </c>
      <c r="G561" s="26" t="str" cm="1">
        <f t="array" ref="G561">IF(tblPayrollMaster[[#This Row],[Employee ID]]="","",_xlfn.XLOOKUP(selPayPeriodID,tblPayCalendar[PayPeriodID],tblPayCalendar[PeriodStart],""))</f>
        <v/>
      </c>
      <c r="H561" s="26" t="str" cm="1">
        <f t="array" ref="H561">IF(tblPayrollMaster[[#This Row],[Employee ID]]="","",_xlfn.XLOOKUP(selPayPeriodID,tblPayCalendar[PayPeriodID],tblPayCalendar[PeriodEnd],""))</f>
        <v/>
      </c>
      <c r="I561" s="24" t="e" cm="1" vm="1">
        <f t="array" aca="1" ref="I561" ca="1">Table18[Employer Name]</f>
        <v>#VALUE!</v>
      </c>
      <c r="J561" s="3" cm="1">
        <f t="array" ref="J56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61" s="25" t="str">
        <f>_xlfn.XLOOKUP(tblPayrollMaster[[#This Row],[Employee Position]],tblPositionandPayRate[Employee Position],tblPositionandPayRate[Overtime], " ")</f>
        <v xml:space="preserve"> </v>
      </c>
      <c r="L561" s="25">
        <f>_xlfn.XLOOKUP(tblPayrollMaster[[#This Row],[Employee Position]],tblPositionandPayRate[Employee Position],tblPositionandPayRate[Allowance 1],0)*tblPayrollMaster[[#This Row],[Pay Factor]]</f>
        <v>0</v>
      </c>
      <c r="M561" s="25">
        <f>_xlfn.XLOOKUP(tblPayrollMaster[[#This Row],[Employee Position]],tblPositionandPayRate[Employee Position],tblPositionandPayRate[Allowance 2],0)*tblPayrollMaster[[#This Row],[Pay Factor]]</f>
        <v>0</v>
      </c>
      <c r="N561" s="25">
        <f>_xlfn.XLOOKUP(tblPayrollMaster[[#This Row],[Employee Position]],tblPositionandPayRate[Employee Position],tblPositionandPayRate[Allowance 3],0)*tblPayrollMaster[[#This Row],[Pay Factor]]</f>
        <v>0</v>
      </c>
      <c r="O561" s="25">
        <f>_xlfn.XLOOKUP(tblPayrollMaster[[#This Row],[Employee Position]],tblPositionandPayRate[Employee Position],tblPositionandPayRate[Allowance 4],0)*tblPayrollMaster[[#This Row],[Pay Factor]]</f>
        <v>0</v>
      </c>
      <c r="P561" s="25">
        <f>_xlfn.XLOOKUP(tblPayrollMaster[[#This Row],[Employee Position]],tblPositionandPayRate[Employee Position],tblPositionandPayRate[Allowance 5],0)*tblPayrollMaster[[#This Row],[Pay Factor]]</f>
        <v>0</v>
      </c>
      <c r="Q561" s="25">
        <f>SUM(tblPayrollMaster[[#This Row],[Basic Pay]:[Allowance 5]])</f>
        <v>0</v>
      </c>
      <c r="R56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61" s="51" cm="1">
        <f t="array" ref="S5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61" s="3" cm="1">
        <f t="array" ref="T5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61" s="25">
        <f>_xlfn.LET(
_xlpm.tos, _xlfn.XLOOKUP(tblPayrollMaster[[#This Row],[Employee ID]], tblEmployee[Employee ID], tblEmployee[Type of Service], ""),
IF(_xlpm.tos="Contract of Service", 8.25, 0)
)</f>
        <v>0</v>
      </c>
      <c r="V561" s="25">
        <f>tblPayrollMaster[[#This Row],[Basic Earnings]]-tblPayrollMaster[[#This Row],[Tax]]-tblPayrollMaster[[#This Row],[NIS - Employee]]-tblPayrollMaster[[#This Row],[Health Surcharge]]</f>
        <v>0</v>
      </c>
      <c r="W561" s="25">
        <f>tblPayrollMaster[[#This Row],[Net Pay]]</f>
        <v>0</v>
      </c>
      <c r="X561" s="25"/>
    </row>
    <row r="562" spans="1:24" x14ac:dyDescent="0.25">
      <c r="A562" s="24"/>
      <c r="B562" s="24" t="str">
        <f>_xlfn.XLOOKUP(tblPayrollMaster[[#This Row],[Employee ID]],tblEmployee[Employee ID],tblEmployee[Employee Name],"")</f>
        <v/>
      </c>
      <c r="C562" s="24" t="str">
        <f>_xlfn.XLOOKUP(tblPayrollMaster[[#This Row],[Employee ID]],tblEmployee[Employee ID],tblEmployee[Employee Position],"")</f>
        <v/>
      </c>
      <c r="D562" s="24" t="str">
        <f>_xlfn.XLOOKUP(tblPayrollMaster[[#This Row],[Employee ID]], tblEmployee[Employee ID], tblEmployee[Pay Status], "Pay")</f>
        <v>Pay</v>
      </c>
      <c r="E562" s="24" t="str">
        <f>_xlfn.XLOOKUP(tblPayrollMaster[[#This Row],[Employee ID]], tblEmployee[Employee ID], tblEmployee[Payable Flag], "Y")</f>
        <v>Y</v>
      </c>
      <c r="F562" s="45">
        <f>IF(tblPayrollMaster[[#This Row],[Payable Flag]]="N",0,_xlfn.XLOOKUP(tblPayrollMaster[[#This Row],[Employee ID]],tblEmployee[Employee ID],tblEmployee[Pay Factor],1))</f>
        <v>1</v>
      </c>
      <c r="G562" s="26" t="str" cm="1">
        <f t="array" ref="G562">IF(tblPayrollMaster[[#This Row],[Employee ID]]="","",_xlfn.XLOOKUP(selPayPeriodID,tblPayCalendar[PayPeriodID],tblPayCalendar[PeriodStart],""))</f>
        <v/>
      </c>
      <c r="H562" s="26" t="str" cm="1">
        <f t="array" ref="H562">IF(tblPayrollMaster[[#This Row],[Employee ID]]="","",_xlfn.XLOOKUP(selPayPeriodID,tblPayCalendar[PayPeriodID],tblPayCalendar[PeriodEnd],""))</f>
        <v/>
      </c>
      <c r="I562" s="24" t="e" cm="1" vm="1">
        <f t="array" aca="1" ref="I562" ca="1">Table18[Employer Name]</f>
        <v>#VALUE!</v>
      </c>
      <c r="J562" s="3" cm="1">
        <f t="array" ref="J56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62" s="25" t="str">
        <f>_xlfn.XLOOKUP(tblPayrollMaster[[#This Row],[Employee Position]],tblPositionandPayRate[Employee Position],tblPositionandPayRate[Overtime], " ")</f>
        <v xml:space="preserve"> </v>
      </c>
      <c r="L562" s="25">
        <f>_xlfn.XLOOKUP(tblPayrollMaster[[#This Row],[Employee Position]],tblPositionandPayRate[Employee Position],tblPositionandPayRate[Allowance 1],0)*tblPayrollMaster[[#This Row],[Pay Factor]]</f>
        <v>0</v>
      </c>
      <c r="M562" s="25">
        <f>_xlfn.XLOOKUP(tblPayrollMaster[[#This Row],[Employee Position]],tblPositionandPayRate[Employee Position],tblPositionandPayRate[Allowance 2],0)*tblPayrollMaster[[#This Row],[Pay Factor]]</f>
        <v>0</v>
      </c>
      <c r="N562" s="25">
        <f>_xlfn.XLOOKUP(tblPayrollMaster[[#This Row],[Employee Position]],tblPositionandPayRate[Employee Position],tblPositionandPayRate[Allowance 3],0)*tblPayrollMaster[[#This Row],[Pay Factor]]</f>
        <v>0</v>
      </c>
      <c r="O562" s="25">
        <f>_xlfn.XLOOKUP(tblPayrollMaster[[#This Row],[Employee Position]],tblPositionandPayRate[Employee Position],tblPositionandPayRate[Allowance 4],0)*tblPayrollMaster[[#This Row],[Pay Factor]]</f>
        <v>0</v>
      </c>
      <c r="P562" s="25">
        <f>_xlfn.XLOOKUP(tblPayrollMaster[[#This Row],[Employee Position]],tblPositionandPayRate[Employee Position],tblPositionandPayRate[Allowance 5],0)*tblPayrollMaster[[#This Row],[Pay Factor]]</f>
        <v>0</v>
      </c>
      <c r="Q562" s="25">
        <f>SUM(tblPayrollMaster[[#This Row],[Basic Pay]:[Allowance 5]])</f>
        <v>0</v>
      </c>
      <c r="R56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62" s="51" cm="1">
        <f t="array" ref="S5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62" s="3" cm="1">
        <f t="array" ref="T5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62" s="25">
        <f>_xlfn.LET(
_xlpm.tos, _xlfn.XLOOKUP(tblPayrollMaster[[#This Row],[Employee ID]], tblEmployee[Employee ID], tblEmployee[Type of Service], ""),
IF(_xlpm.tos="Contract of Service", 8.25, 0)
)</f>
        <v>0</v>
      </c>
      <c r="V562" s="25">
        <f>tblPayrollMaster[[#This Row],[Basic Earnings]]-tblPayrollMaster[[#This Row],[Tax]]-tblPayrollMaster[[#This Row],[NIS - Employee]]-tblPayrollMaster[[#This Row],[Health Surcharge]]</f>
        <v>0</v>
      </c>
      <c r="W562" s="25">
        <f>tblPayrollMaster[[#This Row],[Net Pay]]</f>
        <v>0</v>
      </c>
      <c r="X562" s="25"/>
    </row>
    <row r="563" spans="1:24" x14ac:dyDescent="0.25">
      <c r="A563" s="24"/>
      <c r="B563" s="24" t="str">
        <f>_xlfn.XLOOKUP(tblPayrollMaster[[#This Row],[Employee ID]],tblEmployee[Employee ID],tblEmployee[Employee Name],"")</f>
        <v/>
      </c>
      <c r="C563" s="24" t="str">
        <f>_xlfn.XLOOKUP(tblPayrollMaster[[#This Row],[Employee ID]],tblEmployee[Employee ID],tblEmployee[Employee Position],"")</f>
        <v/>
      </c>
      <c r="D563" s="24" t="str">
        <f>_xlfn.XLOOKUP(tblPayrollMaster[[#This Row],[Employee ID]], tblEmployee[Employee ID], tblEmployee[Pay Status], "Pay")</f>
        <v>Pay</v>
      </c>
      <c r="E563" s="24" t="str">
        <f>_xlfn.XLOOKUP(tblPayrollMaster[[#This Row],[Employee ID]], tblEmployee[Employee ID], tblEmployee[Payable Flag], "Y")</f>
        <v>Y</v>
      </c>
      <c r="F563" s="45">
        <f>IF(tblPayrollMaster[[#This Row],[Payable Flag]]="N",0,_xlfn.XLOOKUP(tblPayrollMaster[[#This Row],[Employee ID]],tblEmployee[Employee ID],tblEmployee[Pay Factor],1))</f>
        <v>1</v>
      </c>
      <c r="G563" s="26" t="str" cm="1">
        <f t="array" ref="G563">IF(tblPayrollMaster[[#This Row],[Employee ID]]="","",_xlfn.XLOOKUP(selPayPeriodID,tblPayCalendar[PayPeriodID],tblPayCalendar[PeriodStart],""))</f>
        <v/>
      </c>
      <c r="H563" s="26" t="str" cm="1">
        <f t="array" ref="H563">IF(tblPayrollMaster[[#This Row],[Employee ID]]="","",_xlfn.XLOOKUP(selPayPeriodID,tblPayCalendar[PayPeriodID],tblPayCalendar[PeriodEnd],""))</f>
        <v/>
      </c>
      <c r="I563" s="24" t="e" cm="1" vm="1">
        <f t="array" aca="1" ref="I563" ca="1">Table18[Employer Name]</f>
        <v>#VALUE!</v>
      </c>
      <c r="J563" s="3" cm="1">
        <f t="array" ref="J56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63" s="25" t="str">
        <f>_xlfn.XLOOKUP(tblPayrollMaster[[#This Row],[Employee Position]],tblPositionandPayRate[Employee Position],tblPositionandPayRate[Overtime], " ")</f>
        <v xml:space="preserve"> </v>
      </c>
      <c r="L563" s="25">
        <f>_xlfn.XLOOKUP(tblPayrollMaster[[#This Row],[Employee Position]],tblPositionandPayRate[Employee Position],tblPositionandPayRate[Allowance 1],0)*tblPayrollMaster[[#This Row],[Pay Factor]]</f>
        <v>0</v>
      </c>
      <c r="M563" s="25">
        <f>_xlfn.XLOOKUP(tblPayrollMaster[[#This Row],[Employee Position]],tblPositionandPayRate[Employee Position],tblPositionandPayRate[Allowance 2],0)*tblPayrollMaster[[#This Row],[Pay Factor]]</f>
        <v>0</v>
      </c>
      <c r="N563" s="25">
        <f>_xlfn.XLOOKUP(tblPayrollMaster[[#This Row],[Employee Position]],tblPositionandPayRate[Employee Position],tblPositionandPayRate[Allowance 3],0)*tblPayrollMaster[[#This Row],[Pay Factor]]</f>
        <v>0</v>
      </c>
      <c r="O563" s="25">
        <f>_xlfn.XLOOKUP(tblPayrollMaster[[#This Row],[Employee Position]],tblPositionandPayRate[Employee Position],tblPositionandPayRate[Allowance 4],0)*tblPayrollMaster[[#This Row],[Pay Factor]]</f>
        <v>0</v>
      </c>
      <c r="P563" s="25">
        <f>_xlfn.XLOOKUP(tblPayrollMaster[[#This Row],[Employee Position]],tblPositionandPayRate[Employee Position],tblPositionandPayRate[Allowance 5],0)*tblPayrollMaster[[#This Row],[Pay Factor]]</f>
        <v>0</v>
      </c>
      <c r="Q563" s="25">
        <f>SUM(tblPayrollMaster[[#This Row],[Basic Pay]:[Allowance 5]])</f>
        <v>0</v>
      </c>
      <c r="R56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63" s="51" cm="1">
        <f t="array" ref="S5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63" s="3" cm="1">
        <f t="array" ref="T5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63" s="25">
        <f>_xlfn.LET(
_xlpm.tos, _xlfn.XLOOKUP(tblPayrollMaster[[#This Row],[Employee ID]], tblEmployee[Employee ID], tblEmployee[Type of Service], ""),
IF(_xlpm.tos="Contract of Service", 8.25, 0)
)</f>
        <v>0</v>
      </c>
      <c r="V563" s="25">
        <f>tblPayrollMaster[[#This Row],[Basic Earnings]]-tblPayrollMaster[[#This Row],[Tax]]-tblPayrollMaster[[#This Row],[NIS - Employee]]-tblPayrollMaster[[#This Row],[Health Surcharge]]</f>
        <v>0</v>
      </c>
      <c r="W563" s="25">
        <f>tblPayrollMaster[[#This Row],[Net Pay]]</f>
        <v>0</v>
      </c>
      <c r="X563" s="25"/>
    </row>
    <row r="564" spans="1:24" x14ac:dyDescent="0.25">
      <c r="A564" s="24"/>
      <c r="B564" s="24" t="str">
        <f>_xlfn.XLOOKUP(tblPayrollMaster[[#This Row],[Employee ID]],tblEmployee[Employee ID],tblEmployee[Employee Name],"")</f>
        <v/>
      </c>
      <c r="C564" s="24" t="str">
        <f>_xlfn.XLOOKUP(tblPayrollMaster[[#This Row],[Employee ID]],tblEmployee[Employee ID],tblEmployee[Employee Position],"")</f>
        <v/>
      </c>
      <c r="D564" s="24" t="str">
        <f>_xlfn.XLOOKUP(tblPayrollMaster[[#This Row],[Employee ID]], tblEmployee[Employee ID], tblEmployee[Pay Status], "Pay")</f>
        <v>Pay</v>
      </c>
      <c r="E564" s="24" t="str">
        <f>_xlfn.XLOOKUP(tblPayrollMaster[[#This Row],[Employee ID]], tblEmployee[Employee ID], tblEmployee[Payable Flag], "Y")</f>
        <v>Y</v>
      </c>
      <c r="F564" s="45">
        <f>IF(tblPayrollMaster[[#This Row],[Payable Flag]]="N",0,_xlfn.XLOOKUP(tblPayrollMaster[[#This Row],[Employee ID]],tblEmployee[Employee ID],tblEmployee[Pay Factor],1))</f>
        <v>1</v>
      </c>
      <c r="G564" s="26" t="str" cm="1">
        <f t="array" ref="G564">IF(tblPayrollMaster[[#This Row],[Employee ID]]="","",_xlfn.XLOOKUP(selPayPeriodID,tblPayCalendar[PayPeriodID],tblPayCalendar[PeriodStart],""))</f>
        <v/>
      </c>
      <c r="H564" s="26" t="str" cm="1">
        <f t="array" ref="H564">IF(tblPayrollMaster[[#This Row],[Employee ID]]="","",_xlfn.XLOOKUP(selPayPeriodID,tblPayCalendar[PayPeriodID],tblPayCalendar[PeriodEnd],""))</f>
        <v/>
      </c>
      <c r="I564" s="24" t="e" cm="1" vm="1">
        <f t="array" aca="1" ref="I564" ca="1">Table18[Employer Name]</f>
        <v>#VALUE!</v>
      </c>
      <c r="J564" s="3" cm="1">
        <f t="array" ref="J56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64" s="25" t="str">
        <f>_xlfn.XLOOKUP(tblPayrollMaster[[#This Row],[Employee Position]],tblPositionandPayRate[Employee Position],tblPositionandPayRate[Overtime], " ")</f>
        <v xml:space="preserve"> </v>
      </c>
      <c r="L564" s="25">
        <f>_xlfn.XLOOKUP(tblPayrollMaster[[#This Row],[Employee Position]],tblPositionandPayRate[Employee Position],tblPositionandPayRate[Allowance 1],0)*tblPayrollMaster[[#This Row],[Pay Factor]]</f>
        <v>0</v>
      </c>
      <c r="M564" s="25">
        <f>_xlfn.XLOOKUP(tblPayrollMaster[[#This Row],[Employee Position]],tblPositionandPayRate[Employee Position],tblPositionandPayRate[Allowance 2],0)*tblPayrollMaster[[#This Row],[Pay Factor]]</f>
        <v>0</v>
      </c>
      <c r="N564" s="25">
        <f>_xlfn.XLOOKUP(tblPayrollMaster[[#This Row],[Employee Position]],tblPositionandPayRate[Employee Position],tblPositionandPayRate[Allowance 3],0)*tblPayrollMaster[[#This Row],[Pay Factor]]</f>
        <v>0</v>
      </c>
      <c r="O564" s="25">
        <f>_xlfn.XLOOKUP(tblPayrollMaster[[#This Row],[Employee Position]],tblPositionandPayRate[Employee Position],tblPositionandPayRate[Allowance 4],0)*tblPayrollMaster[[#This Row],[Pay Factor]]</f>
        <v>0</v>
      </c>
      <c r="P564" s="25">
        <f>_xlfn.XLOOKUP(tblPayrollMaster[[#This Row],[Employee Position]],tblPositionandPayRate[Employee Position],tblPositionandPayRate[Allowance 5],0)*tblPayrollMaster[[#This Row],[Pay Factor]]</f>
        <v>0</v>
      </c>
      <c r="Q564" s="25">
        <f>SUM(tblPayrollMaster[[#This Row],[Basic Pay]:[Allowance 5]])</f>
        <v>0</v>
      </c>
      <c r="R56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64" s="51" cm="1">
        <f t="array" ref="S5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64" s="3" cm="1">
        <f t="array" ref="T5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64" s="25">
        <f>_xlfn.LET(
_xlpm.tos, _xlfn.XLOOKUP(tblPayrollMaster[[#This Row],[Employee ID]], tblEmployee[Employee ID], tblEmployee[Type of Service], ""),
IF(_xlpm.tos="Contract of Service", 8.25, 0)
)</f>
        <v>0</v>
      </c>
      <c r="V564" s="25">
        <f>tblPayrollMaster[[#This Row],[Basic Earnings]]-tblPayrollMaster[[#This Row],[Tax]]-tblPayrollMaster[[#This Row],[NIS - Employee]]-tblPayrollMaster[[#This Row],[Health Surcharge]]</f>
        <v>0</v>
      </c>
      <c r="W564" s="25">
        <f>tblPayrollMaster[[#This Row],[Net Pay]]</f>
        <v>0</v>
      </c>
      <c r="X564" s="25"/>
    </row>
    <row r="565" spans="1:24" x14ac:dyDescent="0.25">
      <c r="A565" s="24"/>
      <c r="B565" s="24" t="str">
        <f>_xlfn.XLOOKUP(tblPayrollMaster[[#This Row],[Employee ID]],tblEmployee[Employee ID],tblEmployee[Employee Name],"")</f>
        <v/>
      </c>
      <c r="C565" s="24" t="str">
        <f>_xlfn.XLOOKUP(tblPayrollMaster[[#This Row],[Employee ID]],tblEmployee[Employee ID],tblEmployee[Employee Position],"")</f>
        <v/>
      </c>
      <c r="D565" s="24" t="str">
        <f>_xlfn.XLOOKUP(tblPayrollMaster[[#This Row],[Employee ID]], tblEmployee[Employee ID], tblEmployee[Pay Status], "Pay")</f>
        <v>Pay</v>
      </c>
      <c r="E565" s="24" t="str">
        <f>_xlfn.XLOOKUP(tblPayrollMaster[[#This Row],[Employee ID]], tblEmployee[Employee ID], tblEmployee[Payable Flag], "Y")</f>
        <v>Y</v>
      </c>
      <c r="F565" s="45">
        <f>IF(tblPayrollMaster[[#This Row],[Payable Flag]]="N",0,_xlfn.XLOOKUP(tblPayrollMaster[[#This Row],[Employee ID]],tblEmployee[Employee ID],tblEmployee[Pay Factor],1))</f>
        <v>1</v>
      </c>
      <c r="G565" s="26" t="str" cm="1">
        <f t="array" ref="G565">IF(tblPayrollMaster[[#This Row],[Employee ID]]="","",_xlfn.XLOOKUP(selPayPeriodID,tblPayCalendar[PayPeriodID],tblPayCalendar[PeriodStart],""))</f>
        <v/>
      </c>
      <c r="H565" s="26" t="str" cm="1">
        <f t="array" ref="H565">IF(tblPayrollMaster[[#This Row],[Employee ID]]="","",_xlfn.XLOOKUP(selPayPeriodID,tblPayCalendar[PayPeriodID],tblPayCalendar[PeriodEnd],""))</f>
        <v/>
      </c>
      <c r="I565" s="24" t="e" cm="1" vm="1">
        <f t="array" aca="1" ref="I565" ca="1">Table18[Employer Name]</f>
        <v>#VALUE!</v>
      </c>
      <c r="J565" s="3" cm="1">
        <f t="array" ref="J56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65" s="25" t="str">
        <f>_xlfn.XLOOKUP(tblPayrollMaster[[#This Row],[Employee Position]],tblPositionandPayRate[Employee Position],tblPositionandPayRate[Overtime], " ")</f>
        <v xml:space="preserve"> </v>
      </c>
      <c r="L565" s="25">
        <f>_xlfn.XLOOKUP(tblPayrollMaster[[#This Row],[Employee Position]],tblPositionandPayRate[Employee Position],tblPositionandPayRate[Allowance 1],0)*tblPayrollMaster[[#This Row],[Pay Factor]]</f>
        <v>0</v>
      </c>
      <c r="M565" s="25">
        <f>_xlfn.XLOOKUP(tblPayrollMaster[[#This Row],[Employee Position]],tblPositionandPayRate[Employee Position],tblPositionandPayRate[Allowance 2],0)*tblPayrollMaster[[#This Row],[Pay Factor]]</f>
        <v>0</v>
      </c>
      <c r="N565" s="25">
        <f>_xlfn.XLOOKUP(tblPayrollMaster[[#This Row],[Employee Position]],tblPositionandPayRate[Employee Position],tblPositionandPayRate[Allowance 3],0)*tblPayrollMaster[[#This Row],[Pay Factor]]</f>
        <v>0</v>
      </c>
      <c r="O565" s="25">
        <f>_xlfn.XLOOKUP(tblPayrollMaster[[#This Row],[Employee Position]],tblPositionandPayRate[Employee Position],tblPositionandPayRate[Allowance 4],0)*tblPayrollMaster[[#This Row],[Pay Factor]]</f>
        <v>0</v>
      </c>
      <c r="P565" s="25">
        <f>_xlfn.XLOOKUP(tblPayrollMaster[[#This Row],[Employee Position]],tblPositionandPayRate[Employee Position],tblPositionandPayRate[Allowance 5],0)*tblPayrollMaster[[#This Row],[Pay Factor]]</f>
        <v>0</v>
      </c>
      <c r="Q565" s="25">
        <f>SUM(tblPayrollMaster[[#This Row],[Basic Pay]:[Allowance 5]])</f>
        <v>0</v>
      </c>
      <c r="R56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65" s="51" cm="1">
        <f t="array" ref="S5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65" s="3" cm="1">
        <f t="array" ref="T5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65" s="25">
        <f>_xlfn.LET(
_xlpm.tos, _xlfn.XLOOKUP(tblPayrollMaster[[#This Row],[Employee ID]], tblEmployee[Employee ID], tblEmployee[Type of Service], ""),
IF(_xlpm.tos="Contract of Service", 8.25, 0)
)</f>
        <v>0</v>
      </c>
      <c r="V565" s="25">
        <f>tblPayrollMaster[[#This Row],[Basic Earnings]]-tblPayrollMaster[[#This Row],[Tax]]-tblPayrollMaster[[#This Row],[NIS - Employee]]-tblPayrollMaster[[#This Row],[Health Surcharge]]</f>
        <v>0</v>
      </c>
      <c r="W565" s="25">
        <f>tblPayrollMaster[[#This Row],[Net Pay]]</f>
        <v>0</v>
      </c>
      <c r="X565" s="25"/>
    </row>
    <row r="566" spans="1:24" x14ac:dyDescent="0.25">
      <c r="A566" s="24"/>
      <c r="B566" s="24" t="str">
        <f>_xlfn.XLOOKUP(tblPayrollMaster[[#This Row],[Employee ID]],tblEmployee[Employee ID],tblEmployee[Employee Name],"")</f>
        <v/>
      </c>
      <c r="C566" s="24" t="str">
        <f>_xlfn.XLOOKUP(tblPayrollMaster[[#This Row],[Employee ID]],tblEmployee[Employee ID],tblEmployee[Employee Position],"")</f>
        <v/>
      </c>
      <c r="D566" s="24" t="str">
        <f>_xlfn.XLOOKUP(tblPayrollMaster[[#This Row],[Employee ID]], tblEmployee[Employee ID], tblEmployee[Pay Status], "Pay")</f>
        <v>Pay</v>
      </c>
      <c r="E566" s="24" t="str">
        <f>_xlfn.XLOOKUP(tblPayrollMaster[[#This Row],[Employee ID]], tblEmployee[Employee ID], tblEmployee[Payable Flag], "Y")</f>
        <v>Y</v>
      </c>
      <c r="F566" s="45">
        <f>IF(tblPayrollMaster[[#This Row],[Payable Flag]]="N",0,_xlfn.XLOOKUP(tblPayrollMaster[[#This Row],[Employee ID]],tblEmployee[Employee ID],tblEmployee[Pay Factor],1))</f>
        <v>1</v>
      </c>
      <c r="G566" s="26" t="str" cm="1">
        <f t="array" ref="G566">IF(tblPayrollMaster[[#This Row],[Employee ID]]="","",_xlfn.XLOOKUP(selPayPeriodID,tblPayCalendar[PayPeriodID],tblPayCalendar[PeriodStart],""))</f>
        <v/>
      </c>
      <c r="H566" s="26" t="str" cm="1">
        <f t="array" ref="H566">IF(tblPayrollMaster[[#This Row],[Employee ID]]="","",_xlfn.XLOOKUP(selPayPeriodID,tblPayCalendar[PayPeriodID],tblPayCalendar[PeriodEnd],""))</f>
        <v/>
      </c>
      <c r="I566" s="24" t="e" cm="1" vm="1">
        <f t="array" aca="1" ref="I566" ca="1">Table18[Employer Name]</f>
        <v>#VALUE!</v>
      </c>
      <c r="J566" s="3" cm="1">
        <f t="array" ref="J56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66" s="25" t="str">
        <f>_xlfn.XLOOKUP(tblPayrollMaster[[#This Row],[Employee Position]],tblPositionandPayRate[Employee Position],tblPositionandPayRate[Overtime], " ")</f>
        <v xml:space="preserve"> </v>
      </c>
      <c r="L566" s="25">
        <f>_xlfn.XLOOKUP(tblPayrollMaster[[#This Row],[Employee Position]],tblPositionandPayRate[Employee Position],tblPositionandPayRate[Allowance 1],0)*tblPayrollMaster[[#This Row],[Pay Factor]]</f>
        <v>0</v>
      </c>
      <c r="M566" s="25">
        <f>_xlfn.XLOOKUP(tblPayrollMaster[[#This Row],[Employee Position]],tblPositionandPayRate[Employee Position],tblPositionandPayRate[Allowance 2],0)*tblPayrollMaster[[#This Row],[Pay Factor]]</f>
        <v>0</v>
      </c>
      <c r="N566" s="25">
        <f>_xlfn.XLOOKUP(tblPayrollMaster[[#This Row],[Employee Position]],tblPositionandPayRate[Employee Position],tblPositionandPayRate[Allowance 3],0)*tblPayrollMaster[[#This Row],[Pay Factor]]</f>
        <v>0</v>
      </c>
      <c r="O566" s="25">
        <f>_xlfn.XLOOKUP(tblPayrollMaster[[#This Row],[Employee Position]],tblPositionandPayRate[Employee Position],tblPositionandPayRate[Allowance 4],0)*tblPayrollMaster[[#This Row],[Pay Factor]]</f>
        <v>0</v>
      </c>
      <c r="P566" s="25">
        <f>_xlfn.XLOOKUP(tblPayrollMaster[[#This Row],[Employee Position]],tblPositionandPayRate[Employee Position],tblPositionandPayRate[Allowance 5],0)*tblPayrollMaster[[#This Row],[Pay Factor]]</f>
        <v>0</v>
      </c>
      <c r="Q566" s="25">
        <f>SUM(tblPayrollMaster[[#This Row],[Basic Pay]:[Allowance 5]])</f>
        <v>0</v>
      </c>
      <c r="R56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66" s="51" cm="1">
        <f t="array" ref="S5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66" s="3" cm="1">
        <f t="array" ref="T5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66" s="25">
        <f>_xlfn.LET(
_xlpm.tos, _xlfn.XLOOKUP(tblPayrollMaster[[#This Row],[Employee ID]], tblEmployee[Employee ID], tblEmployee[Type of Service], ""),
IF(_xlpm.tos="Contract of Service", 8.25, 0)
)</f>
        <v>0</v>
      </c>
      <c r="V566" s="25">
        <f>tblPayrollMaster[[#This Row],[Basic Earnings]]-tblPayrollMaster[[#This Row],[Tax]]-tblPayrollMaster[[#This Row],[NIS - Employee]]-tblPayrollMaster[[#This Row],[Health Surcharge]]</f>
        <v>0</v>
      </c>
      <c r="W566" s="25">
        <f>tblPayrollMaster[[#This Row],[Net Pay]]</f>
        <v>0</v>
      </c>
      <c r="X566" s="25"/>
    </row>
    <row r="567" spans="1:24" x14ac:dyDescent="0.25">
      <c r="A567" s="24"/>
      <c r="B567" s="24" t="str">
        <f>_xlfn.XLOOKUP(tblPayrollMaster[[#This Row],[Employee ID]],tblEmployee[Employee ID],tblEmployee[Employee Name],"")</f>
        <v/>
      </c>
      <c r="C567" s="24" t="str">
        <f>_xlfn.XLOOKUP(tblPayrollMaster[[#This Row],[Employee ID]],tblEmployee[Employee ID],tblEmployee[Employee Position],"")</f>
        <v/>
      </c>
      <c r="D567" s="24" t="str">
        <f>_xlfn.XLOOKUP(tblPayrollMaster[[#This Row],[Employee ID]], tblEmployee[Employee ID], tblEmployee[Pay Status], "Pay")</f>
        <v>Pay</v>
      </c>
      <c r="E567" s="24" t="str">
        <f>_xlfn.XLOOKUP(tblPayrollMaster[[#This Row],[Employee ID]], tblEmployee[Employee ID], tblEmployee[Payable Flag], "Y")</f>
        <v>Y</v>
      </c>
      <c r="F567" s="45">
        <f>IF(tblPayrollMaster[[#This Row],[Payable Flag]]="N",0,_xlfn.XLOOKUP(tblPayrollMaster[[#This Row],[Employee ID]],tblEmployee[Employee ID],tblEmployee[Pay Factor],1))</f>
        <v>1</v>
      </c>
      <c r="G567" s="26" t="str" cm="1">
        <f t="array" ref="G567">IF(tblPayrollMaster[[#This Row],[Employee ID]]="","",_xlfn.XLOOKUP(selPayPeriodID,tblPayCalendar[PayPeriodID],tblPayCalendar[PeriodStart],""))</f>
        <v/>
      </c>
      <c r="H567" s="26" t="str" cm="1">
        <f t="array" ref="H567">IF(tblPayrollMaster[[#This Row],[Employee ID]]="","",_xlfn.XLOOKUP(selPayPeriodID,tblPayCalendar[PayPeriodID],tblPayCalendar[PeriodEnd],""))</f>
        <v/>
      </c>
      <c r="I567" s="24" t="e" cm="1" vm="1">
        <f t="array" aca="1" ref="I567" ca="1">Table18[Employer Name]</f>
        <v>#VALUE!</v>
      </c>
      <c r="J567" s="3" cm="1">
        <f t="array" ref="J56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67" s="25" t="str">
        <f>_xlfn.XLOOKUP(tblPayrollMaster[[#This Row],[Employee Position]],tblPositionandPayRate[Employee Position],tblPositionandPayRate[Overtime], " ")</f>
        <v xml:space="preserve"> </v>
      </c>
      <c r="L567" s="25">
        <f>_xlfn.XLOOKUP(tblPayrollMaster[[#This Row],[Employee Position]],tblPositionandPayRate[Employee Position],tblPositionandPayRate[Allowance 1],0)*tblPayrollMaster[[#This Row],[Pay Factor]]</f>
        <v>0</v>
      </c>
      <c r="M567" s="25">
        <f>_xlfn.XLOOKUP(tblPayrollMaster[[#This Row],[Employee Position]],tblPositionandPayRate[Employee Position],tblPositionandPayRate[Allowance 2],0)*tblPayrollMaster[[#This Row],[Pay Factor]]</f>
        <v>0</v>
      </c>
      <c r="N567" s="25">
        <f>_xlfn.XLOOKUP(tblPayrollMaster[[#This Row],[Employee Position]],tblPositionandPayRate[Employee Position],tblPositionandPayRate[Allowance 3],0)*tblPayrollMaster[[#This Row],[Pay Factor]]</f>
        <v>0</v>
      </c>
      <c r="O567" s="25">
        <f>_xlfn.XLOOKUP(tblPayrollMaster[[#This Row],[Employee Position]],tblPositionandPayRate[Employee Position],tblPositionandPayRate[Allowance 4],0)*tblPayrollMaster[[#This Row],[Pay Factor]]</f>
        <v>0</v>
      </c>
      <c r="P567" s="25">
        <f>_xlfn.XLOOKUP(tblPayrollMaster[[#This Row],[Employee Position]],tblPositionandPayRate[Employee Position],tblPositionandPayRate[Allowance 5],0)*tblPayrollMaster[[#This Row],[Pay Factor]]</f>
        <v>0</v>
      </c>
      <c r="Q567" s="25">
        <f>SUM(tblPayrollMaster[[#This Row],[Basic Pay]:[Allowance 5]])</f>
        <v>0</v>
      </c>
      <c r="R56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67" s="51" cm="1">
        <f t="array" ref="S5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67" s="3" cm="1">
        <f t="array" ref="T5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67" s="25">
        <f>_xlfn.LET(
_xlpm.tos, _xlfn.XLOOKUP(tblPayrollMaster[[#This Row],[Employee ID]], tblEmployee[Employee ID], tblEmployee[Type of Service], ""),
IF(_xlpm.tos="Contract of Service", 8.25, 0)
)</f>
        <v>0</v>
      </c>
      <c r="V567" s="25">
        <f>tblPayrollMaster[[#This Row],[Basic Earnings]]-tblPayrollMaster[[#This Row],[Tax]]-tblPayrollMaster[[#This Row],[NIS - Employee]]-tblPayrollMaster[[#This Row],[Health Surcharge]]</f>
        <v>0</v>
      </c>
      <c r="W567" s="25">
        <f>tblPayrollMaster[[#This Row],[Net Pay]]</f>
        <v>0</v>
      </c>
      <c r="X567" s="25"/>
    </row>
    <row r="568" spans="1:24" x14ac:dyDescent="0.25">
      <c r="A568" s="24"/>
      <c r="B568" s="24" t="str">
        <f>_xlfn.XLOOKUP(tblPayrollMaster[[#This Row],[Employee ID]],tblEmployee[Employee ID],tblEmployee[Employee Name],"")</f>
        <v/>
      </c>
      <c r="C568" s="24" t="str">
        <f>_xlfn.XLOOKUP(tblPayrollMaster[[#This Row],[Employee ID]],tblEmployee[Employee ID],tblEmployee[Employee Position],"")</f>
        <v/>
      </c>
      <c r="D568" s="24" t="str">
        <f>_xlfn.XLOOKUP(tblPayrollMaster[[#This Row],[Employee ID]], tblEmployee[Employee ID], tblEmployee[Pay Status], "Pay")</f>
        <v>Pay</v>
      </c>
      <c r="E568" s="24" t="str">
        <f>_xlfn.XLOOKUP(tblPayrollMaster[[#This Row],[Employee ID]], tblEmployee[Employee ID], tblEmployee[Payable Flag], "Y")</f>
        <v>Y</v>
      </c>
      <c r="F568" s="45">
        <f>IF(tblPayrollMaster[[#This Row],[Payable Flag]]="N",0,_xlfn.XLOOKUP(tblPayrollMaster[[#This Row],[Employee ID]],tblEmployee[Employee ID],tblEmployee[Pay Factor],1))</f>
        <v>1</v>
      </c>
      <c r="G568" s="26" t="str" cm="1">
        <f t="array" ref="G568">IF(tblPayrollMaster[[#This Row],[Employee ID]]="","",_xlfn.XLOOKUP(selPayPeriodID,tblPayCalendar[PayPeriodID],tblPayCalendar[PeriodStart],""))</f>
        <v/>
      </c>
      <c r="H568" s="26" t="str" cm="1">
        <f t="array" ref="H568">IF(tblPayrollMaster[[#This Row],[Employee ID]]="","",_xlfn.XLOOKUP(selPayPeriodID,tblPayCalendar[PayPeriodID],tblPayCalendar[PeriodEnd],""))</f>
        <v/>
      </c>
      <c r="I568" s="24" t="e" cm="1" vm="1">
        <f t="array" aca="1" ref="I568" ca="1">Table18[Employer Name]</f>
        <v>#VALUE!</v>
      </c>
      <c r="J568" s="3" cm="1">
        <f t="array" ref="J56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68" s="25" t="str">
        <f>_xlfn.XLOOKUP(tblPayrollMaster[[#This Row],[Employee Position]],tblPositionandPayRate[Employee Position],tblPositionandPayRate[Overtime], " ")</f>
        <v xml:space="preserve"> </v>
      </c>
      <c r="L568" s="25">
        <f>_xlfn.XLOOKUP(tblPayrollMaster[[#This Row],[Employee Position]],tblPositionandPayRate[Employee Position],tblPositionandPayRate[Allowance 1],0)*tblPayrollMaster[[#This Row],[Pay Factor]]</f>
        <v>0</v>
      </c>
      <c r="M568" s="25">
        <f>_xlfn.XLOOKUP(tblPayrollMaster[[#This Row],[Employee Position]],tblPositionandPayRate[Employee Position],tblPositionandPayRate[Allowance 2],0)*tblPayrollMaster[[#This Row],[Pay Factor]]</f>
        <v>0</v>
      </c>
      <c r="N568" s="25">
        <f>_xlfn.XLOOKUP(tblPayrollMaster[[#This Row],[Employee Position]],tblPositionandPayRate[Employee Position],tblPositionandPayRate[Allowance 3],0)*tblPayrollMaster[[#This Row],[Pay Factor]]</f>
        <v>0</v>
      </c>
      <c r="O568" s="25">
        <f>_xlfn.XLOOKUP(tblPayrollMaster[[#This Row],[Employee Position]],tblPositionandPayRate[Employee Position],tblPositionandPayRate[Allowance 4],0)*tblPayrollMaster[[#This Row],[Pay Factor]]</f>
        <v>0</v>
      </c>
      <c r="P568" s="25">
        <f>_xlfn.XLOOKUP(tblPayrollMaster[[#This Row],[Employee Position]],tblPositionandPayRate[Employee Position],tblPositionandPayRate[Allowance 5],0)*tblPayrollMaster[[#This Row],[Pay Factor]]</f>
        <v>0</v>
      </c>
      <c r="Q568" s="25">
        <f>SUM(tblPayrollMaster[[#This Row],[Basic Pay]:[Allowance 5]])</f>
        <v>0</v>
      </c>
      <c r="R56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68" s="51" cm="1">
        <f t="array" ref="S5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68" s="3" cm="1">
        <f t="array" ref="T5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68" s="25">
        <f>_xlfn.LET(
_xlpm.tos, _xlfn.XLOOKUP(tblPayrollMaster[[#This Row],[Employee ID]], tblEmployee[Employee ID], tblEmployee[Type of Service], ""),
IF(_xlpm.tos="Contract of Service", 8.25, 0)
)</f>
        <v>0</v>
      </c>
      <c r="V568" s="25">
        <f>tblPayrollMaster[[#This Row],[Basic Earnings]]-tblPayrollMaster[[#This Row],[Tax]]-tblPayrollMaster[[#This Row],[NIS - Employee]]-tblPayrollMaster[[#This Row],[Health Surcharge]]</f>
        <v>0</v>
      </c>
      <c r="W568" s="25">
        <f>tblPayrollMaster[[#This Row],[Net Pay]]</f>
        <v>0</v>
      </c>
      <c r="X568" s="25"/>
    </row>
    <row r="569" spans="1:24" x14ac:dyDescent="0.25">
      <c r="A569" s="24"/>
      <c r="B569" s="24" t="str">
        <f>_xlfn.XLOOKUP(tblPayrollMaster[[#This Row],[Employee ID]],tblEmployee[Employee ID],tblEmployee[Employee Name],"")</f>
        <v/>
      </c>
      <c r="C569" s="24" t="str">
        <f>_xlfn.XLOOKUP(tblPayrollMaster[[#This Row],[Employee ID]],tblEmployee[Employee ID],tblEmployee[Employee Position],"")</f>
        <v/>
      </c>
      <c r="D569" s="24" t="str">
        <f>_xlfn.XLOOKUP(tblPayrollMaster[[#This Row],[Employee ID]], tblEmployee[Employee ID], tblEmployee[Pay Status], "Pay")</f>
        <v>Pay</v>
      </c>
      <c r="E569" s="24" t="str">
        <f>_xlfn.XLOOKUP(tblPayrollMaster[[#This Row],[Employee ID]], tblEmployee[Employee ID], tblEmployee[Payable Flag], "Y")</f>
        <v>Y</v>
      </c>
      <c r="F569" s="45">
        <f>IF(tblPayrollMaster[[#This Row],[Payable Flag]]="N",0,_xlfn.XLOOKUP(tblPayrollMaster[[#This Row],[Employee ID]],tblEmployee[Employee ID],tblEmployee[Pay Factor],1))</f>
        <v>1</v>
      </c>
      <c r="G569" s="26" t="str" cm="1">
        <f t="array" ref="G569">IF(tblPayrollMaster[[#This Row],[Employee ID]]="","",_xlfn.XLOOKUP(selPayPeriodID,tblPayCalendar[PayPeriodID],tblPayCalendar[PeriodStart],""))</f>
        <v/>
      </c>
      <c r="H569" s="26" t="str" cm="1">
        <f t="array" ref="H569">IF(tblPayrollMaster[[#This Row],[Employee ID]]="","",_xlfn.XLOOKUP(selPayPeriodID,tblPayCalendar[PayPeriodID],tblPayCalendar[PeriodEnd],""))</f>
        <v/>
      </c>
      <c r="I569" s="24" t="e" cm="1" vm="1">
        <f t="array" aca="1" ref="I569" ca="1">Table18[Employer Name]</f>
        <v>#VALUE!</v>
      </c>
      <c r="J569" s="3" cm="1">
        <f t="array" ref="J56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69" s="25" t="str">
        <f>_xlfn.XLOOKUP(tblPayrollMaster[[#This Row],[Employee Position]],tblPositionandPayRate[Employee Position],tblPositionandPayRate[Overtime], " ")</f>
        <v xml:space="preserve"> </v>
      </c>
      <c r="L569" s="25">
        <f>_xlfn.XLOOKUP(tblPayrollMaster[[#This Row],[Employee Position]],tblPositionandPayRate[Employee Position],tblPositionandPayRate[Allowance 1],0)*tblPayrollMaster[[#This Row],[Pay Factor]]</f>
        <v>0</v>
      </c>
      <c r="M569" s="25">
        <f>_xlfn.XLOOKUP(tblPayrollMaster[[#This Row],[Employee Position]],tblPositionandPayRate[Employee Position],tblPositionandPayRate[Allowance 2],0)*tblPayrollMaster[[#This Row],[Pay Factor]]</f>
        <v>0</v>
      </c>
      <c r="N569" s="25">
        <f>_xlfn.XLOOKUP(tblPayrollMaster[[#This Row],[Employee Position]],tblPositionandPayRate[Employee Position],tblPositionandPayRate[Allowance 3],0)*tblPayrollMaster[[#This Row],[Pay Factor]]</f>
        <v>0</v>
      </c>
      <c r="O569" s="25">
        <f>_xlfn.XLOOKUP(tblPayrollMaster[[#This Row],[Employee Position]],tblPositionandPayRate[Employee Position],tblPositionandPayRate[Allowance 4],0)*tblPayrollMaster[[#This Row],[Pay Factor]]</f>
        <v>0</v>
      </c>
      <c r="P569" s="25">
        <f>_xlfn.XLOOKUP(tblPayrollMaster[[#This Row],[Employee Position]],tblPositionandPayRate[Employee Position],tblPositionandPayRate[Allowance 5],0)*tblPayrollMaster[[#This Row],[Pay Factor]]</f>
        <v>0</v>
      </c>
      <c r="Q569" s="25">
        <f>SUM(tblPayrollMaster[[#This Row],[Basic Pay]:[Allowance 5]])</f>
        <v>0</v>
      </c>
      <c r="R56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69" s="51" cm="1">
        <f t="array" ref="S5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69" s="3" cm="1">
        <f t="array" ref="T5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69" s="25">
        <f>_xlfn.LET(
_xlpm.tos, _xlfn.XLOOKUP(tblPayrollMaster[[#This Row],[Employee ID]], tblEmployee[Employee ID], tblEmployee[Type of Service], ""),
IF(_xlpm.tos="Contract of Service", 8.25, 0)
)</f>
        <v>0</v>
      </c>
      <c r="V569" s="25">
        <f>tblPayrollMaster[[#This Row],[Basic Earnings]]-tblPayrollMaster[[#This Row],[Tax]]-tblPayrollMaster[[#This Row],[NIS - Employee]]-tblPayrollMaster[[#This Row],[Health Surcharge]]</f>
        <v>0</v>
      </c>
      <c r="W569" s="25">
        <f>tblPayrollMaster[[#This Row],[Net Pay]]</f>
        <v>0</v>
      </c>
      <c r="X569" s="25"/>
    </row>
    <row r="570" spans="1:24" x14ac:dyDescent="0.25">
      <c r="A570" s="24"/>
      <c r="B570" s="24" t="str">
        <f>_xlfn.XLOOKUP(tblPayrollMaster[[#This Row],[Employee ID]],tblEmployee[Employee ID],tblEmployee[Employee Name],"")</f>
        <v/>
      </c>
      <c r="C570" s="24" t="str">
        <f>_xlfn.XLOOKUP(tblPayrollMaster[[#This Row],[Employee ID]],tblEmployee[Employee ID],tblEmployee[Employee Position],"")</f>
        <v/>
      </c>
      <c r="D570" s="24" t="str">
        <f>_xlfn.XLOOKUP(tblPayrollMaster[[#This Row],[Employee ID]], tblEmployee[Employee ID], tblEmployee[Pay Status], "Pay")</f>
        <v>Pay</v>
      </c>
      <c r="E570" s="24" t="str">
        <f>_xlfn.XLOOKUP(tblPayrollMaster[[#This Row],[Employee ID]], tblEmployee[Employee ID], tblEmployee[Payable Flag], "Y")</f>
        <v>Y</v>
      </c>
      <c r="F570" s="45">
        <f>IF(tblPayrollMaster[[#This Row],[Payable Flag]]="N",0,_xlfn.XLOOKUP(tblPayrollMaster[[#This Row],[Employee ID]],tblEmployee[Employee ID],tblEmployee[Pay Factor],1))</f>
        <v>1</v>
      </c>
      <c r="G570" s="26" t="str" cm="1">
        <f t="array" ref="G570">IF(tblPayrollMaster[[#This Row],[Employee ID]]="","",_xlfn.XLOOKUP(selPayPeriodID,tblPayCalendar[PayPeriodID],tblPayCalendar[PeriodStart],""))</f>
        <v/>
      </c>
      <c r="H570" s="26" t="str" cm="1">
        <f t="array" ref="H570">IF(tblPayrollMaster[[#This Row],[Employee ID]]="","",_xlfn.XLOOKUP(selPayPeriodID,tblPayCalendar[PayPeriodID],tblPayCalendar[PeriodEnd],""))</f>
        <v/>
      </c>
      <c r="I570" s="24" t="e" cm="1" vm="1">
        <f t="array" aca="1" ref="I570" ca="1">Table18[Employer Name]</f>
        <v>#VALUE!</v>
      </c>
      <c r="J570" s="3" cm="1">
        <f t="array" ref="J57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70" s="25" t="str">
        <f>_xlfn.XLOOKUP(tblPayrollMaster[[#This Row],[Employee Position]],tblPositionandPayRate[Employee Position],tblPositionandPayRate[Overtime], " ")</f>
        <v xml:space="preserve"> </v>
      </c>
      <c r="L570" s="25">
        <f>_xlfn.XLOOKUP(tblPayrollMaster[[#This Row],[Employee Position]],tblPositionandPayRate[Employee Position],tblPositionandPayRate[Allowance 1],0)*tblPayrollMaster[[#This Row],[Pay Factor]]</f>
        <v>0</v>
      </c>
      <c r="M570" s="25">
        <f>_xlfn.XLOOKUP(tblPayrollMaster[[#This Row],[Employee Position]],tblPositionandPayRate[Employee Position],tblPositionandPayRate[Allowance 2],0)*tblPayrollMaster[[#This Row],[Pay Factor]]</f>
        <v>0</v>
      </c>
      <c r="N570" s="25">
        <f>_xlfn.XLOOKUP(tblPayrollMaster[[#This Row],[Employee Position]],tblPositionandPayRate[Employee Position],tblPositionandPayRate[Allowance 3],0)*tblPayrollMaster[[#This Row],[Pay Factor]]</f>
        <v>0</v>
      </c>
      <c r="O570" s="25">
        <f>_xlfn.XLOOKUP(tblPayrollMaster[[#This Row],[Employee Position]],tblPositionandPayRate[Employee Position],tblPositionandPayRate[Allowance 4],0)*tblPayrollMaster[[#This Row],[Pay Factor]]</f>
        <v>0</v>
      </c>
      <c r="P570" s="25">
        <f>_xlfn.XLOOKUP(tblPayrollMaster[[#This Row],[Employee Position]],tblPositionandPayRate[Employee Position],tblPositionandPayRate[Allowance 5],0)*tblPayrollMaster[[#This Row],[Pay Factor]]</f>
        <v>0</v>
      </c>
      <c r="Q570" s="25">
        <f>SUM(tblPayrollMaster[[#This Row],[Basic Pay]:[Allowance 5]])</f>
        <v>0</v>
      </c>
      <c r="R57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70" s="51" cm="1">
        <f t="array" ref="S5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70" s="3" cm="1">
        <f t="array" ref="T5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70" s="25">
        <f>_xlfn.LET(
_xlpm.tos, _xlfn.XLOOKUP(tblPayrollMaster[[#This Row],[Employee ID]], tblEmployee[Employee ID], tblEmployee[Type of Service], ""),
IF(_xlpm.tos="Contract of Service", 8.25, 0)
)</f>
        <v>0</v>
      </c>
      <c r="V570" s="25">
        <f>tblPayrollMaster[[#This Row],[Basic Earnings]]-tblPayrollMaster[[#This Row],[Tax]]-tblPayrollMaster[[#This Row],[NIS - Employee]]-tblPayrollMaster[[#This Row],[Health Surcharge]]</f>
        <v>0</v>
      </c>
      <c r="W570" s="25">
        <f>tblPayrollMaster[[#This Row],[Net Pay]]</f>
        <v>0</v>
      </c>
      <c r="X570" s="25"/>
    </row>
    <row r="571" spans="1:24" x14ac:dyDescent="0.25">
      <c r="A571" s="24"/>
      <c r="B571" s="24" t="str">
        <f>_xlfn.XLOOKUP(tblPayrollMaster[[#This Row],[Employee ID]],tblEmployee[Employee ID],tblEmployee[Employee Name],"")</f>
        <v/>
      </c>
      <c r="C571" s="24" t="str">
        <f>_xlfn.XLOOKUP(tblPayrollMaster[[#This Row],[Employee ID]],tblEmployee[Employee ID],tblEmployee[Employee Position],"")</f>
        <v/>
      </c>
      <c r="D571" s="24" t="str">
        <f>_xlfn.XLOOKUP(tblPayrollMaster[[#This Row],[Employee ID]], tblEmployee[Employee ID], tblEmployee[Pay Status], "Pay")</f>
        <v>Pay</v>
      </c>
      <c r="E571" s="24" t="str">
        <f>_xlfn.XLOOKUP(tblPayrollMaster[[#This Row],[Employee ID]], tblEmployee[Employee ID], tblEmployee[Payable Flag], "Y")</f>
        <v>Y</v>
      </c>
      <c r="F571" s="45">
        <f>IF(tblPayrollMaster[[#This Row],[Payable Flag]]="N",0,_xlfn.XLOOKUP(tblPayrollMaster[[#This Row],[Employee ID]],tblEmployee[Employee ID],tblEmployee[Pay Factor],1))</f>
        <v>1</v>
      </c>
      <c r="G571" s="26" t="str" cm="1">
        <f t="array" ref="G571">IF(tblPayrollMaster[[#This Row],[Employee ID]]="","",_xlfn.XLOOKUP(selPayPeriodID,tblPayCalendar[PayPeriodID],tblPayCalendar[PeriodStart],""))</f>
        <v/>
      </c>
      <c r="H571" s="26" t="str" cm="1">
        <f t="array" ref="H571">IF(tblPayrollMaster[[#This Row],[Employee ID]]="","",_xlfn.XLOOKUP(selPayPeriodID,tblPayCalendar[PayPeriodID],tblPayCalendar[PeriodEnd],""))</f>
        <v/>
      </c>
      <c r="I571" s="24" t="e" cm="1" vm="1">
        <f t="array" aca="1" ref="I571" ca="1">Table18[Employer Name]</f>
        <v>#VALUE!</v>
      </c>
      <c r="J571" s="3" cm="1">
        <f t="array" ref="J57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71" s="25" t="str">
        <f>_xlfn.XLOOKUP(tblPayrollMaster[[#This Row],[Employee Position]],tblPositionandPayRate[Employee Position],tblPositionandPayRate[Overtime], " ")</f>
        <v xml:space="preserve"> </v>
      </c>
      <c r="L571" s="25">
        <f>_xlfn.XLOOKUP(tblPayrollMaster[[#This Row],[Employee Position]],tblPositionandPayRate[Employee Position],tblPositionandPayRate[Allowance 1],0)*tblPayrollMaster[[#This Row],[Pay Factor]]</f>
        <v>0</v>
      </c>
      <c r="M571" s="25">
        <f>_xlfn.XLOOKUP(tblPayrollMaster[[#This Row],[Employee Position]],tblPositionandPayRate[Employee Position],tblPositionandPayRate[Allowance 2],0)*tblPayrollMaster[[#This Row],[Pay Factor]]</f>
        <v>0</v>
      </c>
      <c r="N571" s="25">
        <f>_xlfn.XLOOKUP(tblPayrollMaster[[#This Row],[Employee Position]],tblPositionandPayRate[Employee Position],tblPositionandPayRate[Allowance 3],0)*tblPayrollMaster[[#This Row],[Pay Factor]]</f>
        <v>0</v>
      </c>
      <c r="O571" s="25">
        <f>_xlfn.XLOOKUP(tblPayrollMaster[[#This Row],[Employee Position]],tblPositionandPayRate[Employee Position],tblPositionandPayRate[Allowance 4],0)*tblPayrollMaster[[#This Row],[Pay Factor]]</f>
        <v>0</v>
      </c>
      <c r="P571" s="25">
        <f>_xlfn.XLOOKUP(tblPayrollMaster[[#This Row],[Employee Position]],tblPositionandPayRate[Employee Position],tblPositionandPayRate[Allowance 5],0)*tblPayrollMaster[[#This Row],[Pay Factor]]</f>
        <v>0</v>
      </c>
      <c r="Q571" s="25">
        <f>SUM(tblPayrollMaster[[#This Row],[Basic Pay]:[Allowance 5]])</f>
        <v>0</v>
      </c>
      <c r="R57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71" s="51" cm="1">
        <f t="array" ref="S5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71" s="3" cm="1">
        <f t="array" ref="T5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71" s="25">
        <f>_xlfn.LET(
_xlpm.tos, _xlfn.XLOOKUP(tblPayrollMaster[[#This Row],[Employee ID]], tblEmployee[Employee ID], tblEmployee[Type of Service], ""),
IF(_xlpm.tos="Contract of Service", 8.25, 0)
)</f>
        <v>0</v>
      </c>
      <c r="V571" s="25">
        <f>tblPayrollMaster[[#This Row],[Basic Earnings]]-tblPayrollMaster[[#This Row],[Tax]]-tblPayrollMaster[[#This Row],[NIS - Employee]]-tblPayrollMaster[[#This Row],[Health Surcharge]]</f>
        <v>0</v>
      </c>
      <c r="W571" s="25">
        <f>tblPayrollMaster[[#This Row],[Net Pay]]</f>
        <v>0</v>
      </c>
      <c r="X571" s="25"/>
    </row>
    <row r="572" spans="1:24" x14ac:dyDescent="0.25">
      <c r="A572" s="24"/>
      <c r="B572" s="24" t="str">
        <f>_xlfn.XLOOKUP(tblPayrollMaster[[#This Row],[Employee ID]],tblEmployee[Employee ID],tblEmployee[Employee Name],"")</f>
        <v/>
      </c>
      <c r="C572" s="24" t="str">
        <f>_xlfn.XLOOKUP(tblPayrollMaster[[#This Row],[Employee ID]],tblEmployee[Employee ID],tblEmployee[Employee Position],"")</f>
        <v/>
      </c>
      <c r="D572" s="24" t="str">
        <f>_xlfn.XLOOKUP(tblPayrollMaster[[#This Row],[Employee ID]], tblEmployee[Employee ID], tblEmployee[Pay Status], "Pay")</f>
        <v>Pay</v>
      </c>
      <c r="E572" s="24" t="str">
        <f>_xlfn.XLOOKUP(tblPayrollMaster[[#This Row],[Employee ID]], tblEmployee[Employee ID], tblEmployee[Payable Flag], "Y")</f>
        <v>Y</v>
      </c>
      <c r="F572" s="45">
        <f>IF(tblPayrollMaster[[#This Row],[Payable Flag]]="N",0,_xlfn.XLOOKUP(tblPayrollMaster[[#This Row],[Employee ID]],tblEmployee[Employee ID],tblEmployee[Pay Factor],1))</f>
        <v>1</v>
      </c>
      <c r="G572" s="26" t="str" cm="1">
        <f t="array" ref="G572">IF(tblPayrollMaster[[#This Row],[Employee ID]]="","",_xlfn.XLOOKUP(selPayPeriodID,tblPayCalendar[PayPeriodID],tblPayCalendar[PeriodStart],""))</f>
        <v/>
      </c>
      <c r="H572" s="26" t="str" cm="1">
        <f t="array" ref="H572">IF(tblPayrollMaster[[#This Row],[Employee ID]]="","",_xlfn.XLOOKUP(selPayPeriodID,tblPayCalendar[PayPeriodID],tblPayCalendar[PeriodEnd],""))</f>
        <v/>
      </c>
      <c r="I572" s="24" t="e" cm="1" vm="1">
        <f t="array" aca="1" ref="I572" ca="1">Table18[Employer Name]</f>
        <v>#VALUE!</v>
      </c>
      <c r="J572" s="3" cm="1">
        <f t="array" ref="J57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72" s="25" t="str">
        <f>_xlfn.XLOOKUP(tblPayrollMaster[[#This Row],[Employee Position]],tblPositionandPayRate[Employee Position],tblPositionandPayRate[Overtime], " ")</f>
        <v xml:space="preserve"> </v>
      </c>
      <c r="L572" s="25">
        <f>_xlfn.XLOOKUP(tblPayrollMaster[[#This Row],[Employee Position]],tblPositionandPayRate[Employee Position],tblPositionandPayRate[Allowance 1],0)*tblPayrollMaster[[#This Row],[Pay Factor]]</f>
        <v>0</v>
      </c>
      <c r="M572" s="25">
        <f>_xlfn.XLOOKUP(tblPayrollMaster[[#This Row],[Employee Position]],tblPositionandPayRate[Employee Position],tblPositionandPayRate[Allowance 2],0)*tblPayrollMaster[[#This Row],[Pay Factor]]</f>
        <v>0</v>
      </c>
      <c r="N572" s="25">
        <f>_xlfn.XLOOKUP(tblPayrollMaster[[#This Row],[Employee Position]],tblPositionandPayRate[Employee Position],tblPositionandPayRate[Allowance 3],0)*tblPayrollMaster[[#This Row],[Pay Factor]]</f>
        <v>0</v>
      </c>
      <c r="O572" s="25">
        <f>_xlfn.XLOOKUP(tblPayrollMaster[[#This Row],[Employee Position]],tblPositionandPayRate[Employee Position],tblPositionandPayRate[Allowance 4],0)*tblPayrollMaster[[#This Row],[Pay Factor]]</f>
        <v>0</v>
      </c>
      <c r="P572" s="25">
        <f>_xlfn.XLOOKUP(tblPayrollMaster[[#This Row],[Employee Position]],tblPositionandPayRate[Employee Position],tblPositionandPayRate[Allowance 5],0)*tblPayrollMaster[[#This Row],[Pay Factor]]</f>
        <v>0</v>
      </c>
      <c r="Q572" s="25">
        <f>SUM(tblPayrollMaster[[#This Row],[Basic Pay]:[Allowance 5]])</f>
        <v>0</v>
      </c>
      <c r="R57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72" s="51" cm="1">
        <f t="array" ref="S5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72" s="3" cm="1">
        <f t="array" ref="T5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72" s="25">
        <f>_xlfn.LET(
_xlpm.tos, _xlfn.XLOOKUP(tblPayrollMaster[[#This Row],[Employee ID]], tblEmployee[Employee ID], tblEmployee[Type of Service], ""),
IF(_xlpm.tos="Contract of Service", 8.25, 0)
)</f>
        <v>0</v>
      </c>
      <c r="V572" s="25">
        <f>tblPayrollMaster[[#This Row],[Basic Earnings]]-tblPayrollMaster[[#This Row],[Tax]]-tblPayrollMaster[[#This Row],[NIS - Employee]]-tblPayrollMaster[[#This Row],[Health Surcharge]]</f>
        <v>0</v>
      </c>
      <c r="W572" s="25">
        <f>tblPayrollMaster[[#This Row],[Net Pay]]</f>
        <v>0</v>
      </c>
      <c r="X572" s="25"/>
    </row>
    <row r="573" spans="1:24" x14ac:dyDescent="0.25">
      <c r="A573" s="24"/>
      <c r="B573" s="24" t="str">
        <f>_xlfn.XLOOKUP(tblPayrollMaster[[#This Row],[Employee ID]],tblEmployee[Employee ID],tblEmployee[Employee Name],"")</f>
        <v/>
      </c>
      <c r="C573" s="24" t="str">
        <f>_xlfn.XLOOKUP(tblPayrollMaster[[#This Row],[Employee ID]],tblEmployee[Employee ID],tblEmployee[Employee Position],"")</f>
        <v/>
      </c>
      <c r="D573" s="24" t="str">
        <f>_xlfn.XLOOKUP(tblPayrollMaster[[#This Row],[Employee ID]], tblEmployee[Employee ID], tblEmployee[Pay Status], "Pay")</f>
        <v>Pay</v>
      </c>
      <c r="E573" s="24" t="str">
        <f>_xlfn.XLOOKUP(tblPayrollMaster[[#This Row],[Employee ID]], tblEmployee[Employee ID], tblEmployee[Payable Flag], "Y")</f>
        <v>Y</v>
      </c>
      <c r="F573" s="45">
        <f>IF(tblPayrollMaster[[#This Row],[Payable Flag]]="N",0,_xlfn.XLOOKUP(tblPayrollMaster[[#This Row],[Employee ID]],tblEmployee[Employee ID],tblEmployee[Pay Factor],1))</f>
        <v>1</v>
      </c>
      <c r="G573" s="26" t="str" cm="1">
        <f t="array" ref="G573">IF(tblPayrollMaster[[#This Row],[Employee ID]]="","",_xlfn.XLOOKUP(selPayPeriodID,tblPayCalendar[PayPeriodID],tblPayCalendar[PeriodStart],""))</f>
        <v/>
      </c>
      <c r="H573" s="26" t="str" cm="1">
        <f t="array" ref="H573">IF(tblPayrollMaster[[#This Row],[Employee ID]]="","",_xlfn.XLOOKUP(selPayPeriodID,tblPayCalendar[PayPeriodID],tblPayCalendar[PeriodEnd],""))</f>
        <v/>
      </c>
      <c r="I573" s="24" t="e" cm="1" vm="1">
        <f t="array" aca="1" ref="I573" ca="1">Table18[Employer Name]</f>
        <v>#VALUE!</v>
      </c>
      <c r="J573" s="3" cm="1">
        <f t="array" ref="J57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73" s="25" t="str">
        <f>_xlfn.XLOOKUP(tblPayrollMaster[[#This Row],[Employee Position]],tblPositionandPayRate[Employee Position],tblPositionandPayRate[Overtime], " ")</f>
        <v xml:space="preserve"> </v>
      </c>
      <c r="L573" s="25">
        <f>_xlfn.XLOOKUP(tblPayrollMaster[[#This Row],[Employee Position]],tblPositionandPayRate[Employee Position],tblPositionandPayRate[Allowance 1],0)*tblPayrollMaster[[#This Row],[Pay Factor]]</f>
        <v>0</v>
      </c>
      <c r="M573" s="25">
        <f>_xlfn.XLOOKUP(tblPayrollMaster[[#This Row],[Employee Position]],tblPositionandPayRate[Employee Position],tblPositionandPayRate[Allowance 2],0)*tblPayrollMaster[[#This Row],[Pay Factor]]</f>
        <v>0</v>
      </c>
      <c r="N573" s="25">
        <f>_xlfn.XLOOKUP(tblPayrollMaster[[#This Row],[Employee Position]],tblPositionandPayRate[Employee Position],tblPositionandPayRate[Allowance 3],0)*tblPayrollMaster[[#This Row],[Pay Factor]]</f>
        <v>0</v>
      </c>
      <c r="O573" s="25">
        <f>_xlfn.XLOOKUP(tblPayrollMaster[[#This Row],[Employee Position]],tblPositionandPayRate[Employee Position],tblPositionandPayRate[Allowance 4],0)*tblPayrollMaster[[#This Row],[Pay Factor]]</f>
        <v>0</v>
      </c>
      <c r="P573" s="25">
        <f>_xlfn.XLOOKUP(tblPayrollMaster[[#This Row],[Employee Position]],tblPositionandPayRate[Employee Position],tblPositionandPayRate[Allowance 5],0)*tblPayrollMaster[[#This Row],[Pay Factor]]</f>
        <v>0</v>
      </c>
      <c r="Q573" s="25">
        <f>SUM(tblPayrollMaster[[#This Row],[Basic Pay]:[Allowance 5]])</f>
        <v>0</v>
      </c>
      <c r="R57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73" s="51" cm="1">
        <f t="array" ref="S5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73" s="3" cm="1">
        <f t="array" ref="T5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73" s="25">
        <f>_xlfn.LET(
_xlpm.tos, _xlfn.XLOOKUP(tblPayrollMaster[[#This Row],[Employee ID]], tblEmployee[Employee ID], tblEmployee[Type of Service], ""),
IF(_xlpm.tos="Contract of Service", 8.25, 0)
)</f>
        <v>0</v>
      </c>
      <c r="V573" s="25">
        <f>tblPayrollMaster[[#This Row],[Basic Earnings]]-tblPayrollMaster[[#This Row],[Tax]]-tblPayrollMaster[[#This Row],[NIS - Employee]]-tblPayrollMaster[[#This Row],[Health Surcharge]]</f>
        <v>0</v>
      </c>
      <c r="W573" s="25">
        <f>tblPayrollMaster[[#This Row],[Net Pay]]</f>
        <v>0</v>
      </c>
      <c r="X573" s="25"/>
    </row>
    <row r="574" spans="1:24" x14ac:dyDescent="0.25">
      <c r="A574" s="24"/>
      <c r="B574" s="24" t="str">
        <f>_xlfn.XLOOKUP(tblPayrollMaster[[#This Row],[Employee ID]],tblEmployee[Employee ID],tblEmployee[Employee Name],"")</f>
        <v/>
      </c>
      <c r="C574" s="24" t="str">
        <f>_xlfn.XLOOKUP(tblPayrollMaster[[#This Row],[Employee ID]],tblEmployee[Employee ID],tblEmployee[Employee Position],"")</f>
        <v/>
      </c>
      <c r="D574" s="24" t="str">
        <f>_xlfn.XLOOKUP(tblPayrollMaster[[#This Row],[Employee ID]], tblEmployee[Employee ID], tblEmployee[Pay Status], "Pay")</f>
        <v>Pay</v>
      </c>
      <c r="E574" s="24" t="str">
        <f>_xlfn.XLOOKUP(tblPayrollMaster[[#This Row],[Employee ID]], tblEmployee[Employee ID], tblEmployee[Payable Flag], "Y")</f>
        <v>Y</v>
      </c>
      <c r="F574" s="45">
        <f>IF(tblPayrollMaster[[#This Row],[Payable Flag]]="N",0,_xlfn.XLOOKUP(tblPayrollMaster[[#This Row],[Employee ID]],tblEmployee[Employee ID],tblEmployee[Pay Factor],1))</f>
        <v>1</v>
      </c>
      <c r="G574" s="26" t="str" cm="1">
        <f t="array" ref="G574">IF(tblPayrollMaster[[#This Row],[Employee ID]]="","",_xlfn.XLOOKUP(selPayPeriodID,tblPayCalendar[PayPeriodID],tblPayCalendar[PeriodStart],""))</f>
        <v/>
      </c>
      <c r="H574" s="26" t="str" cm="1">
        <f t="array" ref="H574">IF(tblPayrollMaster[[#This Row],[Employee ID]]="","",_xlfn.XLOOKUP(selPayPeriodID,tblPayCalendar[PayPeriodID],tblPayCalendar[PeriodEnd],""))</f>
        <v/>
      </c>
      <c r="I574" s="24" t="e" cm="1" vm="1">
        <f t="array" aca="1" ref="I574" ca="1">Table18[Employer Name]</f>
        <v>#VALUE!</v>
      </c>
      <c r="J574" s="3" cm="1">
        <f t="array" ref="J57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74" s="25" t="str">
        <f>_xlfn.XLOOKUP(tblPayrollMaster[[#This Row],[Employee Position]],tblPositionandPayRate[Employee Position],tblPositionandPayRate[Overtime], " ")</f>
        <v xml:space="preserve"> </v>
      </c>
      <c r="L574" s="25">
        <f>_xlfn.XLOOKUP(tblPayrollMaster[[#This Row],[Employee Position]],tblPositionandPayRate[Employee Position],tblPositionandPayRate[Allowance 1],0)*tblPayrollMaster[[#This Row],[Pay Factor]]</f>
        <v>0</v>
      </c>
      <c r="M574" s="25">
        <f>_xlfn.XLOOKUP(tblPayrollMaster[[#This Row],[Employee Position]],tblPositionandPayRate[Employee Position],tblPositionandPayRate[Allowance 2],0)*tblPayrollMaster[[#This Row],[Pay Factor]]</f>
        <v>0</v>
      </c>
      <c r="N574" s="25">
        <f>_xlfn.XLOOKUP(tblPayrollMaster[[#This Row],[Employee Position]],tblPositionandPayRate[Employee Position],tblPositionandPayRate[Allowance 3],0)*tblPayrollMaster[[#This Row],[Pay Factor]]</f>
        <v>0</v>
      </c>
      <c r="O574" s="25">
        <f>_xlfn.XLOOKUP(tblPayrollMaster[[#This Row],[Employee Position]],tblPositionandPayRate[Employee Position],tblPositionandPayRate[Allowance 4],0)*tblPayrollMaster[[#This Row],[Pay Factor]]</f>
        <v>0</v>
      </c>
      <c r="P574" s="25">
        <f>_xlfn.XLOOKUP(tblPayrollMaster[[#This Row],[Employee Position]],tblPositionandPayRate[Employee Position],tblPositionandPayRate[Allowance 5],0)*tblPayrollMaster[[#This Row],[Pay Factor]]</f>
        <v>0</v>
      </c>
      <c r="Q574" s="25">
        <f>SUM(tblPayrollMaster[[#This Row],[Basic Pay]:[Allowance 5]])</f>
        <v>0</v>
      </c>
      <c r="R57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74" s="51" cm="1">
        <f t="array" ref="S5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74" s="3" cm="1">
        <f t="array" ref="T5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74" s="25">
        <f>_xlfn.LET(
_xlpm.tos, _xlfn.XLOOKUP(tblPayrollMaster[[#This Row],[Employee ID]], tblEmployee[Employee ID], tblEmployee[Type of Service], ""),
IF(_xlpm.tos="Contract of Service", 8.25, 0)
)</f>
        <v>0</v>
      </c>
      <c r="V574" s="25">
        <f>tblPayrollMaster[[#This Row],[Basic Earnings]]-tblPayrollMaster[[#This Row],[Tax]]-tblPayrollMaster[[#This Row],[NIS - Employee]]-tblPayrollMaster[[#This Row],[Health Surcharge]]</f>
        <v>0</v>
      </c>
      <c r="W574" s="25">
        <f>tblPayrollMaster[[#This Row],[Net Pay]]</f>
        <v>0</v>
      </c>
      <c r="X574" s="25"/>
    </row>
    <row r="575" spans="1:24" x14ac:dyDescent="0.25">
      <c r="A575" s="24"/>
      <c r="B575" s="24" t="str">
        <f>_xlfn.XLOOKUP(tblPayrollMaster[[#This Row],[Employee ID]],tblEmployee[Employee ID],tblEmployee[Employee Name],"")</f>
        <v/>
      </c>
      <c r="C575" s="24" t="str">
        <f>_xlfn.XLOOKUP(tblPayrollMaster[[#This Row],[Employee ID]],tblEmployee[Employee ID],tblEmployee[Employee Position],"")</f>
        <v/>
      </c>
      <c r="D575" s="24" t="str">
        <f>_xlfn.XLOOKUP(tblPayrollMaster[[#This Row],[Employee ID]], tblEmployee[Employee ID], tblEmployee[Pay Status], "Pay")</f>
        <v>Pay</v>
      </c>
      <c r="E575" s="24" t="str">
        <f>_xlfn.XLOOKUP(tblPayrollMaster[[#This Row],[Employee ID]], tblEmployee[Employee ID], tblEmployee[Payable Flag], "Y")</f>
        <v>Y</v>
      </c>
      <c r="F575" s="45">
        <f>IF(tblPayrollMaster[[#This Row],[Payable Flag]]="N",0,_xlfn.XLOOKUP(tblPayrollMaster[[#This Row],[Employee ID]],tblEmployee[Employee ID],tblEmployee[Pay Factor],1))</f>
        <v>1</v>
      </c>
      <c r="G575" s="26" t="str" cm="1">
        <f t="array" ref="G575">IF(tblPayrollMaster[[#This Row],[Employee ID]]="","",_xlfn.XLOOKUP(selPayPeriodID,tblPayCalendar[PayPeriodID],tblPayCalendar[PeriodStart],""))</f>
        <v/>
      </c>
      <c r="H575" s="26" t="str" cm="1">
        <f t="array" ref="H575">IF(tblPayrollMaster[[#This Row],[Employee ID]]="","",_xlfn.XLOOKUP(selPayPeriodID,tblPayCalendar[PayPeriodID],tblPayCalendar[PeriodEnd],""))</f>
        <v/>
      </c>
      <c r="I575" s="24" t="e" cm="1" vm="1">
        <f t="array" aca="1" ref="I575" ca="1">Table18[Employer Name]</f>
        <v>#VALUE!</v>
      </c>
      <c r="J575" s="3" cm="1">
        <f t="array" ref="J57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75" s="25" t="str">
        <f>_xlfn.XLOOKUP(tblPayrollMaster[[#This Row],[Employee Position]],tblPositionandPayRate[Employee Position],tblPositionandPayRate[Overtime], " ")</f>
        <v xml:space="preserve"> </v>
      </c>
      <c r="L575" s="25">
        <f>_xlfn.XLOOKUP(tblPayrollMaster[[#This Row],[Employee Position]],tblPositionandPayRate[Employee Position],tblPositionandPayRate[Allowance 1],0)*tblPayrollMaster[[#This Row],[Pay Factor]]</f>
        <v>0</v>
      </c>
      <c r="M575" s="25">
        <f>_xlfn.XLOOKUP(tblPayrollMaster[[#This Row],[Employee Position]],tblPositionandPayRate[Employee Position],tblPositionandPayRate[Allowance 2],0)*tblPayrollMaster[[#This Row],[Pay Factor]]</f>
        <v>0</v>
      </c>
      <c r="N575" s="25">
        <f>_xlfn.XLOOKUP(tblPayrollMaster[[#This Row],[Employee Position]],tblPositionandPayRate[Employee Position],tblPositionandPayRate[Allowance 3],0)*tblPayrollMaster[[#This Row],[Pay Factor]]</f>
        <v>0</v>
      </c>
      <c r="O575" s="25">
        <f>_xlfn.XLOOKUP(tblPayrollMaster[[#This Row],[Employee Position]],tblPositionandPayRate[Employee Position],tblPositionandPayRate[Allowance 4],0)*tblPayrollMaster[[#This Row],[Pay Factor]]</f>
        <v>0</v>
      </c>
      <c r="P575" s="25">
        <f>_xlfn.XLOOKUP(tblPayrollMaster[[#This Row],[Employee Position]],tblPositionandPayRate[Employee Position],tblPositionandPayRate[Allowance 5],0)*tblPayrollMaster[[#This Row],[Pay Factor]]</f>
        <v>0</v>
      </c>
      <c r="Q575" s="25">
        <f>SUM(tblPayrollMaster[[#This Row],[Basic Pay]:[Allowance 5]])</f>
        <v>0</v>
      </c>
      <c r="R57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75" s="51" cm="1">
        <f t="array" ref="S5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75" s="3" cm="1">
        <f t="array" ref="T5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75" s="25">
        <f>_xlfn.LET(
_xlpm.tos, _xlfn.XLOOKUP(tblPayrollMaster[[#This Row],[Employee ID]], tblEmployee[Employee ID], tblEmployee[Type of Service], ""),
IF(_xlpm.tos="Contract of Service", 8.25, 0)
)</f>
        <v>0</v>
      </c>
      <c r="V575" s="25">
        <f>tblPayrollMaster[[#This Row],[Basic Earnings]]-tblPayrollMaster[[#This Row],[Tax]]-tblPayrollMaster[[#This Row],[NIS - Employee]]-tblPayrollMaster[[#This Row],[Health Surcharge]]</f>
        <v>0</v>
      </c>
      <c r="W575" s="25">
        <f>tblPayrollMaster[[#This Row],[Net Pay]]</f>
        <v>0</v>
      </c>
      <c r="X575" s="25"/>
    </row>
    <row r="576" spans="1:24" x14ac:dyDescent="0.25">
      <c r="A576" s="24"/>
      <c r="B576" s="24" t="str">
        <f>_xlfn.XLOOKUP(tblPayrollMaster[[#This Row],[Employee ID]],tblEmployee[Employee ID],tblEmployee[Employee Name],"")</f>
        <v/>
      </c>
      <c r="C576" s="24" t="str">
        <f>_xlfn.XLOOKUP(tblPayrollMaster[[#This Row],[Employee ID]],tblEmployee[Employee ID],tblEmployee[Employee Position],"")</f>
        <v/>
      </c>
      <c r="D576" s="24" t="str">
        <f>_xlfn.XLOOKUP(tblPayrollMaster[[#This Row],[Employee ID]], tblEmployee[Employee ID], tblEmployee[Pay Status], "Pay")</f>
        <v>Pay</v>
      </c>
      <c r="E576" s="24" t="str">
        <f>_xlfn.XLOOKUP(tblPayrollMaster[[#This Row],[Employee ID]], tblEmployee[Employee ID], tblEmployee[Payable Flag], "Y")</f>
        <v>Y</v>
      </c>
      <c r="F576" s="45">
        <f>IF(tblPayrollMaster[[#This Row],[Payable Flag]]="N",0,_xlfn.XLOOKUP(tblPayrollMaster[[#This Row],[Employee ID]],tblEmployee[Employee ID],tblEmployee[Pay Factor],1))</f>
        <v>1</v>
      </c>
      <c r="G576" s="26" t="str" cm="1">
        <f t="array" ref="G576">IF(tblPayrollMaster[[#This Row],[Employee ID]]="","",_xlfn.XLOOKUP(selPayPeriodID,tblPayCalendar[PayPeriodID],tblPayCalendar[PeriodStart],""))</f>
        <v/>
      </c>
      <c r="H576" s="26" t="str" cm="1">
        <f t="array" ref="H576">IF(tblPayrollMaster[[#This Row],[Employee ID]]="","",_xlfn.XLOOKUP(selPayPeriodID,tblPayCalendar[PayPeriodID],tblPayCalendar[PeriodEnd],""))</f>
        <v/>
      </c>
      <c r="I576" s="24" t="e" cm="1" vm="1">
        <f t="array" aca="1" ref="I576" ca="1">Table18[Employer Name]</f>
        <v>#VALUE!</v>
      </c>
      <c r="J576" s="3" cm="1">
        <f t="array" ref="J57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76" s="25" t="str">
        <f>_xlfn.XLOOKUP(tblPayrollMaster[[#This Row],[Employee Position]],tblPositionandPayRate[Employee Position],tblPositionandPayRate[Overtime], " ")</f>
        <v xml:space="preserve"> </v>
      </c>
      <c r="L576" s="25">
        <f>_xlfn.XLOOKUP(tblPayrollMaster[[#This Row],[Employee Position]],tblPositionandPayRate[Employee Position],tblPositionandPayRate[Allowance 1],0)*tblPayrollMaster[[#This Row],[Pay Factor]]</f>
        <v>0</v>
      </c>
      <c r="M576" s="25">
        <f>_xlfn.XLOOKUP(tblPayrollMaster[[#This Row],[Employee Position]],tblPositionandPayRate[Employee Position],tblPositionandPayRate[Allowance 2],0)*tblPayrollMaster[[#This Row],[Pay Factor]]</f>
        <v>0</v>
      </c>
      <c r="N576" s="25">
        <f>_xlfn.XLOOKUP(tblPayrollMaster[[#This Row],[Employee Position]],tblPositionandPayRate[Employee Position],tblPositionandPayRate[Allowance 3],0)*tblPayrollMaster[[#This Row],[Pay Factor]]</f>
        <v>0</v>
      </c>
      <c r="O576" s="25">
        <f>_xlfn.XLOOKUP(tblPayrollMaster[[#This Row],[Employee Position]],tblPositionandPayRate[Employee Position],tblPositionandPayRate[Allowance 4],0)*tblPayrollMaster[[#This Row],[Pay Factor]]</f>
        <v>0</v>
      </c>
      <c r="P576" s="25">
        <f>_xlfn.XLOOKUP(tblPayrollMaster[[#This Row],[Employee Position]],tblPositionandPayRate[Employee Position],tblPositionandPayRate[Allowance 5],0)*tblPayrollMaster[[#This Row],[Pay Factor]]</f>
        <v>0</v>
      </c>
      <c r="Q576" s="25">
        <f>SUM(tblPayrollMaster[[#This Row],[Basic Pay]:[Allowance 5]])</f>
        <v>0</v>
      </c>
      <c r="R57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76" s="51" cm="1">
        <f t="array" ref="S5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76" s="3" cm="1">
        <f t="array" ref="T5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76" s="25">
        <f>_xlfn.LET(
_xlpm.tos, _xlfn.XLOOKUP(tblPayrollMaster[[#This Row],[Employee ID]], tblEmployee[Employee ID], tblEmployee[Type of Service], ""),
IF(_xlpm.tos="Contract of Service", 8.25, 0)
)</f>
        <v>0</v>
      </c>
      <c r="V576" s="25">
        <f>tblPayrollMaster[[#This Row],[Basic Earnings]]-tblPayrollMaster[[#This Row],[Tax]]-tblPayrollMaster[[#This Row],[NIS - Employee]]-tblPayrollMaster[[#This Row],[Health Surcharge]]</f>
        <v>0</v>
      </c>
      <c r="W576" s="25">
        <f>tblPayrollMaster[[#This Row],[Net Pay]]</f>
        <v>0</v>
      </c>
      <c r="X576" s="25"/>
    </row>
    <row r="577" spans="1:24" x14ac:dyDescent="0.25">
      <c r="A577" s="24"/>
      <c r="B577" s="24" t="str">
        <f>_xlfn.XLOOKUP(tblPayrollMaster[[#This Row],[Employee ID]],tblEmployee[Employee ID],tblEmployee[Employee Name],"")</f>
        <v/>
      </c>
      <c r="C577" s="24" t="str">
        <f>_xlfn.XLOOKUP(tblPayrollMaster[[#This Row],[Employee ID]],tblEmployee[Employee ID],tblEmployee[Employee Position],"")</f>
        <v/>
      </c>
      <c r="D577" s="24" t="str">
        <f>_xlfn.XLOOKUP(tblPayrollMaster[[#This Row],[Employee ID]], tblEmployee[Employee ID], tblEmployee[Pay Status], "Pay")</f>
        <v>Pay</v>
      </c>
      <c r="E577" s="24" t="str">
        <f>_xlfn.XLOOKUP(tblPayrollMaster[[#This Row],[Employee ID]], tblEmployee[Employee ID], tblEmployee[Payable Flag], "Y")</f>
        <v>Y</v>
      </c>
      <c r="F577" s="45">
        <f>IF(tblPayrollMaster[[#This Row],[Payable Flag]]="N",0,_xlfn.XLOOKUP(tblPayrollMaster[[#This Row],[Employee ID]],tblEmployee[Employee ID],tblEmployee[Pay Factor],1))</f>
        <v>1</v>
      </c>
      <c r="G577" s="26" t="str" cm="1">
        <f t="array" ref="G577">IF(tblPayrollMaster[[#This Row],[Employee ID]]="","",_xlfn.XLOOKUP(selPayPeriodID,tblPayCalendar[PayPeriodID],tblPayCalendar[PeriodStart],""))</f>
        <v/>
      </c>
      <c r="H577" s="26" t="str" cm="1">
        <f t="array" ref="H577">IF(tblPayrollMaster[[#This Row],[Employee ID]]="","",_xlfn.XLOOKUP(selPayPeriodID,tblPayCalendar[PayPeriodID],tblPayCalendar[PeriodEnd],""))</f>
        <v/>
      </c>
      <c r="I577" s="24" t="e" cm="1" vm="1">
        <f t="array" aca="1" ref="I577" ca="1">Table18[Employer Name]</f>
        <v>#VALUE!</v>
      </c>
      <c r="J577" s="3" cm="1">
        <f t="array" ref="J57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77" s="25" t="str">
        <f>_xlfn.XLOOKUP(tblPayrollMaster[[#This Row],[Employee Position]],tblPositionandPayRate[Employee Position],tblPositionandPayRate[Overtime], " ")</f>
        <v xml:space="preserve"> </v>
      </c>
      <c r="L577" s="25">
        <f>_xlfn.XLOOKUP(tblPayrollMaster[[#This Row],[Employee Position]],tblPositionandPayRate[Employee Position],tblPositionandPayRate[Allowance 1],0)*tblPayrollMaster[[#This Row],[Pay Factor]]</f>
        <v>0</v>
      </c>
      <c r="M577" s="25">
        <f>_xlfn.XLOOKUP(tblPayrollMaster[[#This Row],[Employee Position]],tblPositionandPayRate[Employee Position],tblPositionandPayRate[Allowance 2],0)*tblPayrollMaster[[#This Row],[Pay Factor]]</f>
        <v>0</v>
      </c>
      <c r="N577" s="25">
        <f>_xlfn.XLOOKUP(tblPayrollMaster[[#This Row],[Employee Position]],tblPositionandPayRate[Employee Position],tblPositionandPayRate[Allowance 3],0)*tblPayrollMaster[[#This Row],[Pay Factor]]</f>
        <v>0</v>
      </c>
      <c r="O577" s="25">
        <f>_xlfn.XLOOKUP(tblPayrollMaster[[#This Row],[Employee Position]],tblPositionandPayRate[Employee Position],tblPositionandPayRate[Allowance 4],0)*tblPayrollMaster[[#This Row],[Pay Factor]]</f>
        <v>0</v>
      </c>
      <c r="P577" s="25">
        <f>_xlfn.XLOOKUP(tblPayrollMaster[[#This Row],[Employee Position]],tblPositionandPayRate[Employee Position],tblPositionandPayRate[Allowance 5],0)*tblPayrollMaster[[#This Row],[Pay Factor]]</f>
        <v>0</v>
      </c>
      <c r="Q577" s="25">
        <f>SUM(tblPayrollMaster[[#This Row],[Basic Pay]:[Allowance 5]])</f>
        <v>0</v>
      </c>
      <c r="R57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77" s="51" cm="1">
        <f t="array" ref="S5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77" s="3" cm="1">
        <f t="array" ref="T5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77" s="25">
        <f>_xlfn.LET(
_xlpm.tos, _xlfn.XLOOKUP(tblPayrollMaster[[#This Row],[Employee ID]], tblEmployee[Employee ID], tblEmployee[Type of Service], ""),
IF(_xlpm.tos="Contract of Service", 8.25, 0)
)</f>
        <v>0</v>
      </c>
      <c r="V577" s="25">
        <f>tblPayrollMaster[[#This Row],[Basic Earnings]]-tblPayrollMaster[[#This Row],[Tax]]-tblPayrollMaster[[#This Row],[NIS - Employee]]-tblPayrollMaster[[#This Row],[Health Surcharge]]</f>
        <v>0</v>
      </c>
      <c r="W577" s="25">
        <f>tblPayrollMaster[[#This Row],[Net Pay]]</f>
        <v>0</v>
      </c>
      <c r="X577" s="25"/>
    </row>
    <row r="578" spans="1:24" x14ac:dyDescent="0.25">
      <c r="A578" s="24"/>
      <c r="B578" s="24" t="str">
        <f>_xlfn.XLOOKUP(tblPayrollMaster[[#This Row],[Employee ID]],tblEmployee[Employee ID],tblEmployee[Employee Name],"")</f>
        <v/>
      </c>
      <c r="C578" s="24" t="str">
        <f>_xlfn.XLOOKUP(tblPayrollMaster[[#This Row],[Employee ID]],tblEmployee[Employee ID],tblEmployee[Employee Position],"")</f>
        <v/>
      </c>
      <c r="D578" s="24" t="str">
        <f>_xlfn.XLOOKUP(tblPayrollMaster[[#This Row],[Employee ID]], tblEmployee[Employee ID], tblEmployee[Pay Status], "Pay")</f>
        <v>Pay</v>
      </c>
      <c r="E578" s="24" t="str">
        <f>_xlfn.XLOOKUP(tblPayrollMaster[[#This Row],[Employee ID]], tblEmployee[Employee ID], tblEmployee[Payable Flag], "Y")</f>
        <v>Y</v>
      </c>
      <c r="F578" s="45">
        <f>IF(tblPayrollMaster[[#This Row],[Payable Flag]]="N",0,_xlfn.XLOOKUP(tblPayrollMaster[[#This Row],[Employee ID]],tblEmployee[Employee ID],tblEmployee[Pay Factor],1))</f>
        <v>1</v>
      </c>
      <c r="G578" s="26" t="str" cm="1">
        <f t="array" ref="G578">IF(tblPayrollMaster[[#This Row],[Employee ID]]="","",_xlfn.XLOOKUP(selPayPeriodID,tblPayCalendar[PayPeriodID],tblPayCalendar[PeriodStart],""))</f>
        <v/>
      </c>
      <c r="H578" s="26" t="str" cm="1">
        <f t="array" ref="H578">IF(tblPayrollMaster[[#This Row],[Employee ID]]="","",_xlfn.XLOOKUP(selPayPeriodID,tblPayCalendar[PayPeriodID],tblPayCalendar[PeriodEnd],""))</f>
        <v/>
      </c>
      <c r="I578" s="24" t="e" cm="1" vm="1">
        <f t="array" aca="1" ref="I578" ca="1">Table18[Employer Name]</f>
        <v>#VALUE!</v>
      </c>
      <c r="J578" s="3" cm="1">
        <f t="array" ref="J57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78" s="25" t="str">
        <f>_xlfn.XLOOKUP(tblPayrollMaster[[#This Row],[Employee Position]],tblPositionandPayRate[Employee Position],tblPositionandPayRate[Overtime], " ")</f>
        <v xml:space="preserve"> </v>
      </c>
      <c r="L578" s="25">
        <f>_xlfn.XLOOKUP(tblPayrollMaster[[#This Row],[Employee Position]],tblPositionandPayRate[Employee Position],tblPositionandPayRate[Allowance 1],0)*tblPayrollMaster[[#This Row],[Pay Factor]]</f>
        <v>0</v>
      </c>
      <c r="M578" s="25">
        <f>_xlfn.XLOOKUP(tblPayrollMaster[[#This Row],[Employee Position]],tblPositionandPayRate[Employee Position],tblPositionandPayRate[Allowance 2],0)*tblPayrollMaster[[#This Row],[Pay Factor]]</f>
        <v>0</v>
      </c>
      <c r="N578" s="25">
        <f>_xlfn.XLOOKUP(tblPayrollMaster[[#This Row],[Employee Position]],tblPositionandPayRate[Employee Position],tblPositionandPayRate[Allowance 3],0)*tblPayrollMaster[[#This Row],[Pay Factor]]</f>
        <v>0</v>
      </c>
      <c r="O578" s="25">
        <f>_xlfn.XLOOKUP(tblPayrollMaster[[#This Row],[Employee Position]],tblPositionandPayRate[Employee Position],tblPositionandPayRate[Allowance 4],0)*tblPayrollMaster[[#This Row],[Pay Factor]]</f>
        <v>0</v>
      </c>
      <c r="P578" s="25">
        <f>_xlfn.XLOOKUP(tblPayrollMaster[[#This Row],[Employee Position]],tblPositionandPayRate[Employee Position],tblPositionandPayRate[Allowance 5],0)*tblPayrollMaster[[#This Row],[Pay Factor]]</f>
        <v>0</v>
      </c>
      <c r="Q578" s="25">
        <f>SUM(tblPayrollMaster[[#This Row],[Basic Pay]:[Allowance 5]])</f>
        <v>0</v>
      </c>
      <c r="R57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78" s="51" cm="1">
        <f t="array" ref="S5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78" s="3" cm="1">
        <f t="array" ref="T5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78" s="25">
        <f>_xlfn.LET(
_xlpm.tos, _xlfn.XLOOKUP(tblPayrollMaster[[#This Row],[Employee ID]], tblEmployee[Employee ID], tblEmployee[Type of Service], ""),
IF(_xlpm.tos="Contract of Service", 8.25, 0)
)</f>
        <v>0</v>
      </c>
      <c r="V578" s="25">
        <f>tblPayrollMaster[[#This Row],[Basic Earnings]]-tblPayrollMaster[[#This Row],[Tax]]-tblPayrollMaster[[#This Row],[NIS - Employee]]-tblPayrollMaster[[#This Row],[Health Surcharge]]</f>
        <v>0</v>
      </c>
      <c r="W578" s="25">
        <f>tblPayrollMaster[[#This Row],[Net Pay]]</f>
        <v>0</v>
      </c>
      <c r="X578" s="25"/>
    </row>
    <row r="579" spans="1:24" x14ac:dyDescent="0.25">
      <c r="A579" s="24"/>
      <c r="B579" s="24" t="str">
        <f>_xlfn.XLOOKUP(tblPayrollMaster[[#This Row],[Employee ID]],tblEmployee[Employee ID],tblEmployee[Employee Name],"")</f>
        <v/>
      </c>
      <c r="C579" s="24" t="str">
        <f>_xlfn.XLOOKUP(tblPayrollMaster[[#This Row],[Employee ID]],tblEmployee[Employee ID],tblEmployee[Employee Position],"")</f>
        <v/>
      </c>
      <c r="D579" s="24" t="str">
        <f>_xlfn.XLOOKUP(tblPayrollMaster[[#This Row],[Employee ID]], tblEmployee[Employee ID], tblEmployee[Pay Status], "Pay")</f>
        <v>Pay</v>
      </c>
      <c r="E579" s="24" t="str">
        <f>_xlfn.XLOOKUP(tblPayrollMaster[[#This Row],[Employee ID]], tblEmployee[Employee ID], tblEmployee[Payable Flag], "Y")</f>
        <v>Y</v>
      </c>
      <c r="F579" s="45">
        <f>IF(tblPayrollMaster[[#This Row],[Payable Flag]]="N",0,_xlfn.XLOOKUP(tblPayrollMaster[[#This Row],[Employee ID]],tblEmployee[Employee ID],tblEmployee[Pay Factor],1))</f>
        <v>1</v>
      </c>
      <c r="G579" s="26" t="str" cm="1">
        <f t="array" ref="G579">IF(tblPayrollMaster[[#This Row],[Employee ID]]="","",_xlfn.XLOOKUP(selPayPeriodID,tblPayCalendar[PayPeriodID],tblPayCalendar[PeriodStart],""))</f>
        <v/>
      </c>
      <c r="H579" s="26" t="str" cm="1">
        <f t="array" ref="H579">IF(tblPayrollMaster[[#This Row],[Employee ID]]="","",_xlfn.XLOOKUP(selPayPeriodID,tblPayCalendar[PayPeriodID],tblPayCalendar[PeriodEnd],""))</f>
        <v/>
      </c>
      <c r="I579" s="24" t="e" cm="1" vm="1">
        <f t="array" aca="1" ref="I579" ca="1">Table18[Employer Name]</f>
        <v>#VALUE!</v>
      </c>
      <c r="J579" s="3" cm="1">
        <f t="array" ref="J57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79" s="25" t="str">
        <f>_xlfn.XLOOKUP(tblPayrollMaster[[#This Row],[Employee Position]],tblPositionandPayRate[Employee Position],tblPositionandPayRate[Overtime], " ")</f>
        <v xml:space="preserve"> </v>
      </c>
      <c r="L579" s="25">
        <f>_xlfn.XLOOKUP(tblPayrollMaster[[#This Row],[Employee Position]],tblPositionandPayRate[Employee Position],tblPositionandPayRate[Allowance 1],0)*tblPayrollMaster[[#This Row],[Pay Factor]]</f>
        <v>0</v>
      </c>
      <c r="M579" s="25">
        <f>_xlfn.XLOOKUP(tblPayrollMaster[[#This Row],[Employee Position]],tblPositionandPayRate[Employee Position],tblPositionandPayRate[Allowance 2],0)*tblPayrollMaster[[#This Row],[Pay Factor]]</f>
        <v>0</v>
      </c>
      <c r="N579" s="25">
        <f>_xlfn.XLOOKUP(tblPayrollMaster[[#This Row],[Employee Position]],tblPositionandPayRate[Employee Position],tblPositionandPayRate[Allowance 3],0)*tblPayrollMaster[[#This Row],[Pay Factor]]</f>
        <v>0</v>
      </c>
      <c r="O579" s="25">
        <f>_xlfn.XLOOKUP(tblPayrollMaster[[#This Row],[Employee Position]],tblPositionandPayRate[Employee Position],tblPositionandPayRate[Allowance 4],0)*tblPayrollMaster[[#This Row],[Pay Factor]]</f>
        <v>0</v>
      </c>
      <c r="P579" s="25">
        <f>_xlfn.XLOOKUP(tblPayrollMaster[[#This Row],[Employee Position]],tblPositionandPayRate[Employee Position],tblPositionandPayRate[Allowance 5],0)*tblPayrollMaster[[#This Row],[Pay Factor]]</f>
        <v>0</v>
      </c>
      <c r="Q579" s="25">
        <f>SUM(tblPayrollMaster[[#This Row],[Basic Pay]:[Allowance 5]])</f>
        <v>0</v>
      </c>
      <c r="R57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79" s="51" cm="1">
        <f t="array" ref="S5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79" s="3" cm="1">
        <f t="array" ref="T5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79" s="25">
        <f>_xlfn.LET(
_xlpm.tos, _xlfn.XLOOKUP(tblPayrollMaster[[#This Row],[Employee ID]], tblEmployee[Employee ID], tblEmployee[Type of Service], ""),
IF(_xlpm.tos="Contract of Service", 8.25, 0)
)</f>
        <v>0</v>
      </c>
      <c r="V579" s="25">
        <f>tblPayrollMaster[[#This Row],[Basic Earnings]]-tblPayrollMaster[[#This Row],[Tax]]-tblPayrollMaster[[#This Row],[NIS - Employee]]-tblPayrollMaster[[#This Row],[Health Surcharge]]</f>
        <v>0</v>
      </c>
      <c r="W579" s="25">
        <f>tblPayrollMaster[[#This Row],[Net Pay]]</f>
        <v>0</v>
      </c>
      <c r="X579" s="25"/>
    </row>
    <row r="580" spans="1:24" x14ac:dyDescent="0.25">
      <c r="A580" s="24"/>
      <c r="B580" s="24" t="str">
        <f>_xlfn.XLOOKUP(tblPayrollMaster[[#This Row],[Employee ID]],tblEmployee[Employee ID],tblEmployee[Employee Name],"")</f>
        <v/>
      </c>
      <c r="C580" s="24" t="str">
        <f>_xlfn.XLOOKUP(tblPayrollMaster[[#This Row],[Employee ID]],tblEmployee[Employee ID],tblEmployee[Employee Position],"")</f>
        <v/>
      </c>
      <c r="D580" s="24" t="str">
        <f>_xlfn.XLOOKUP(tblPayrollMaster[[#This Row],[Employee ID]], tblEmployee[Employee ID], tblEmployee[Pay Status], "Pay")</f>
        <v>Pay</v>
      </c>
      <c r="E580" s="24" t="str">
        <f>_xlfn.XLOOKUP(tblPayrollMaster[[#This Row],[Employee ID]], tblEmployee[Employee ID], tblEmployee[Payable Flag], "Y")</f>
        <v>Y</v>
      </c>
      <c r="F580" s="45">
        <f>IF(tblPayrollMaster[[#This Row],[Payable Flag]]="N",0,_xlfn.XLOOKUP(tblPayrollMaster[[#This Row],[Employee ID]],tblEmployee[Employee ID],tblEmployee[Pay Factor],1))</f>
        <v>1</v>
      </c>
      <c r="G580" s="26" t="str" cm="1">
        <f t="array" ref="G580">IF(tblPayrollMaster[[#This Row],[Employee ID]]="","",_xlfn.XLOOKUP(selPayPeriodID,tblPayCalendar[PayPeriodID],tblPayCalendar[PeriodStart],""))</f>
        <v/>
      </c>
      <c r="H580" s="26" t="str" cm="1">
        <f t="array" ref="H580">IF(tblPayrollMaster[[#This Row],[Employee ID]]="","",_xlfn.XLOOKUP(selPayPeriodID,tblPayCalendar[PayPeriodID],tblPayCalendar[PeriodEnd],""))</f>
        <v/>
      </c>
      <c r="I580" s="24" t="e" cm="1" vm="1">
        <f t="array" aca="1" ref="I580" ca="1">Table18[Employer Name]</f>
        <v>#VALUE!</v>
      </c>
      <c r="J580" s="3" cm="1">
        <f t="array" ref="J58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80" s="25" t="str">
        <f>_xlfn.XLOOKUP(tblPayrollMaster[[#This Row],[Employee Position]],tblPositionandPayRate[Employee Position],tblPositionandPayRate[Overtime], " ")</f>
        <v xml:space="preserve"> </v>
      </c>
      <c r="L580" s="25">
        <f>_xlfn.XLOOKUP(tblPayrollMaster[[#This Row],[Employee Position]],tblPositionandPayRate[Employee Position],tblPositionandPayRate[Allowance 1],0)*tblPayrollMaster[[#This Row],[Pay Factor]]</f>
        <v>0</v>
      </c>
      <c r="M580" s="25">
        <f>_xlfn.XLOOKUP(tblPayrollMaster[[#This Row],[Employee Position]],tblPositionandPayRate[Employee Position],tblPositionandPayRate[Allowance 2],0)*tblPayrollMaster[[#This Row],[Pay Factor]]</f>
        <v>0</v>
      </c>
      <c r="N580" s="25">
        <f>_xlfn.XLOOKUP(tblPayrollMaster[[#This Row],[Employee Position]],tblPositionandPayRate[Employee Position],tblPositionandPayRate[Allowance 3],0)*tblPayrollMaster[[#This Row],[Pay Factor]]</f>
        <v>0</v>
      </c>
      <c r="O580" s="25">
        <f>_xlfn.XLOOKUP(tblPayrollMaster[[#This Row],[Employee Position]],tblPositionandPayRate[Employee Position],tblPositionandPayRate[Allowance 4],0)*tblPayrollMaster[[#This Row],[Pay Factor]]</f>
        <v>0</v>
      </c>
      <c r="P580" s="25">
        <f>_xlfn.XLOOKUP(tblPayrollMaster[[#This Row],[Employee Position]],tblPositionandPayRate[Employee Position],tblPositionandPayRate[Allowance 5],0)*tblPayrollMaster[[#This Row],[Pay Factor]]</f>
        <v>0</v>
      </c>
      <c r="Q580" s="25">
        <f>SUM(tblPayrollMaster[[#This Row],[Basic Pay]:[Allowance 5]])</f>
        <v>0</v>
      </c>
      <c r="R58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80" s="51" cm="1">
        <f t="array" ref="S5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80" s="3" cm="1">
        <f t="array" ref="T5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80" s="25">
        <f>_xlfn.LET(
_xlpm.tos, _xlfn.XLOOKUP(tblPayrollMaster[[#This Row],[Employee ID]], tblEmployee[Employee ID], tblEmployee[Type of Service], ""),
IF(_xlpm.tos="Contract of Service", 8.25, 0)
)</f>
        <v>0</v>
      </c>
      <c r="V580" s="25">
        <f>tblPayrollMaster[[#This Row],[Basic Earnings]]-tblPayrollMaster[[#This Row],[Tax]]-tblPayrollMaster[[#This Row],[NIS - Employee]]-tblPayrollMaster[[#This Row],[Health Surcharge]]</f>
        <v>0</v>
      </c>
      <c r="W580" s="25">
        <f>tblPayrollMaster[[#This Row],[Net Pay]]</f>
        <v>0</v>
      </c>
      <c r="X580" s="25"/>
    </row>
    <row r="581" spans="1:24" x14ac:dyDescent="0.25">
      <c r="A581" s="24"/>
      <c r="B581" s="24" t="str">
        <f>_xlfn.XLOOKUP(tblPayrollMaster[[#This Row],[Employee ID]],tblEmployee[Employee ID],tblEmployee[Employee Name],"")</f>
        <v/>
      </c>
      <c r="C581" s="24" t="str">
        <f>_xlfn.XLOOKUP(tblPayrollMaster[[#This Row],[Employee ID]],tblEmployee[Employee ID],tblEmployee[Employee Position],"")</f>
        <v/>
      </c>
      <c r="D581" s="24" t="str">
        <f>_xlfn.XLOOKUP(tblPayrollMaster[[#This Row],[Employee ID]], tblEmployee[Employee ID], tblEmployee[Pay Status], "Pay")</f>
        <v>Pay</v>
      </c>
      <c r="E581" s="24" t="str">
        <f>_xlfn.XLOOKUP(tblPayrollMaster[[#This Row],[Employee ID]], tblEmployee[Employee ID], tblEmployee[Payable Flag], "Y")</f>
        <v>Y</v>
      </c>
      <c r="F581" s="45">
        <f>IF(tblPayrollMaster[[#This Row],[Payable Flag]]="N",0,_xlfn.XLOOKUP(tblPayrollMaster[[#This Row],[Employee ID]],tblEmployee[Employee ID],tblEmployee[Pay Factor],1))</f>
        <v>1</v>
      </c>
      <c r="G581" s="26" t="str" cm="1">
        <f t="array" ref="G581">IF(tblPayrollMaster[[#This Row],[Employee ID]]="","",_xlfn.XLOOKUP(selPayPeriodID,tblPayCalendar[PayPeriodID],tblPayCalendar[PeriodStart],""))</f>
        <v/>
      </c>
      <c r="H581" s="26" t="str" cm="1">
        <f t="array" ref="H581">IF(tblPayrollMaster[[#This Row],[Employee ID]]="","",_xlfn.XLOOKUP(selPayPeriodID,tblPayCalendar[PayPeriodID],tblPayCalendar[PeriodEnd],""))</f>
        <v/>
      </c>
      <c r="I581" s="24" t="e" cm="1" vm="1">
        <f t="array" aca="1" ref="I581" ca="1">Table18[Employer Name]</f>
        <v>#VALUE!</v>
      </c>
      <c r="J581" s="3" cm="1">
        <f t="array" ref="J58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81" s="25" t="str">
        <f>_xlfn.XLOOKUP(tblPayrollMaster[[#This Row],[Employee Position]],tblPositionandPayRate[Employee Position],tblPositionandPayRate[Overtime], " ")</f>
        <v xml:space="preserve"> </v>
      </c>
      <c r="L581" s="25">
        <f>_xlfn.XLOOKUP(tblPayrollMaster[[#This Row],[Employee Position]],tblPositionandPayRate[Employee Position],tblPositionandPayRate[Allowance 1],0)*tblPayrollMaster[[#This Row],[Pay Factor]]</f>
        <v>0</v>
      </c>
      <c r="M581" s="25">
        <f>_xlfn.XLOOKUP(tblPayrollMaster[[#This Row],[Employee Position]],tblPositionandPayRate[Employee Position],tblPositionandPayRate[Allowance 2],0)*tblPayrollMaster[[#This Row],[Pay Factor]]</f>
        <v>0</v>
      </c>
      <c r="N581" s="25">
        <f>_xlfn.XLOOKUP(tblPayrollMaster[[#This Row],[Employee Position]],tblPositionandPayRate[Employee Position],tblPositionandPayRate[Allowance 3],0)*tblPayrollMaster[[#This Row],[Pay Factor]]</f>
        <v>0</v>
      </c>
      <c r="O581" s="25">
        <f>_xlfn.XLOOKUP(tblPayrollMaster[[#This Row],[Employee Position]],tblPositionandPayRate[Employee Position],tblPositionandPayRate[Allowance 4],0)*tblPayrollMaster[[#This Row],[Pay Factor]]</f>
        <v>0</v>
      </c>
      <c r="P581" s="25">
        <f>_xlfn.XLOOKUP(tblPayrollMaster[[#This Row],[Employee Position]],tblPositionandPayRate[Employee Position],tblPositionandPayRate[Allowance 5],0)*tblPayrollMaster[[#This Row],[Pay Factor]]</f>
        <v>0</v>
      </c>
      <c r="Q581" s="25">
        <f>SUM(tblPayrollMaster[[#This Row],[Basic Pay]:[Allowance 5]])</f>
        <v>0</v>
      </c>
      <c r="R58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81" s="51" cm="1">
        <f t="array" ref="S5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81" s="3" cm="1">
        <f t="array" ref="T5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81" s="25">
        <f>_xlfn.LET(
_xlpm.tos, _xlfn.XLOOKUP(tblPayrollMaster[[#This Row],[Employee ID]], tblEmployee[Employee ID], tblEmployee[Type of Service], ""),
IF(_xlpm.tos="Contract of Service", 8.25, 0)
)</f>
        <v>0</v>
      </c>
      <c r="V581" s="25">
        <f>tblPayrollMaster[[#This Row],[Basic Earnings]]-tblPayrollMaster[[#This Row],[Tax]]-tblPayrollMaster[[#This Row],[NIS - Employee]]-tblPayrollMaster[[#This Row],[Health Surcharge]]</f>
        <v>0</v>
      </c>
      <c r="W581" s="25">
        <f>tblPayrollMaster[[#This Row],[Net Pay]]</f>
        <v>0</v>
      </c>
      <c r="X581" s="25"/>
    </row>
    <row r="582" spans="1:24" x14ac:dyDescent="0.25">
      <c r="A582" s="24"/>
      <c r="B582" s="24" t="str">
        <f>_xlfn.XLOOKUP(tblPayrollMaster[[#This Row],[Employee ID]],tblEmployee[Employee ID],tblEmployee[Employee Name],"")</f>
        <v/>
      </c>
      <c r="C582" s="24" t="str">
        <f>_xlfn.XLOOKUP(tblPayrollMaster[[#This Row],[Employee ID]],tblEmployee[Employee ID],tblEmployee[Employee Position],"")</f>
        <v/>
      </c>
      <c r="D582" s="24" t="str">
        <f>_xlfn.XLOOKUP(tblPayrollMaster[[#This Row],[Employee ID]], tblEmployee[Employee ID], tblEmployee[Pay Status], "Pay")</f>
        <v>Pay</v>
      </c>
      <c r="E582" s="24" t="str">
        <f>_xlfn.XLOOKUP(tblPayrollMaster[[#This Row],[Employee ID]], tblEmployee[Employee ID], tblEmployee[Payable Flag], "Y")</f>
        <v>Y</v>
      </c>
      <c r="F582" s="45">
        <f>IF(tblPayrollMaster[[#This Row],[Payable Flag]]="N",0,_xlfn.XLOOKUP(tblPayrollMaster[[#This Row],[Employee ID]],tblEmployee[Employee ID],tblEmployee[Pay Factor],1))</f>
        <v>1</v>
      </c>
      <c r="G582" s="26" t="str" cm="1">
        <f t="array" ref="G582">IF(tblPayrollMaster[[#This Row],[Employee ID]]="","",_xlfn.XLOOKUP(selPayPeriodID,tblPayCalendar[PayPeriodID],tblPayCalendar[PeriodStart],""))</f>
        <v/>
      </c>
      <c r="H582" s="26" t="str" cm="1">
        <f t="array" ref="H582">IF(tblPayrollMaster[[#This Row],[Employee ID]]="","",_xlfn.XLOOKUP(selPayPeriodID,tblPayCalendar[PayPeriodID],tblPayCalendar[PeriodEnd],""))</f>
        <v/>
      </c>
      <c r="I582" s="24" t="e" cm="1" vm="1">
        <f t="array" aca="1" ref="I582" ca="1">Table18[Employer Name]</f>
        <v>#VALUE!</v>
      </c>
      <c r="J582" s="3" cm="1">
        <f t="array" ref="J58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82" s="25" t="str">
        <f>_xlfn.XLOOKUP(tblPayrollMaster[[#This Row],[Employee Position]],tblPositionandPayRate[Employee Position],tblPositionandPayRate[Overtime], " ")</f>
        <v xml:space="preserve"> </v>
      </c>
      <c r="L582" s="25">
        <f>_xlfn.XLOOKUP(tblPayrollMaster[[#This Row],[Employee Position]],tblPositionandPayRate[Employee Position],tblPositionandPayRate[Allowance 1],0)*tblPayrollMaster[[#This Row],[Pay Factor]]</f>
        <v>0</v>
      </c>
      <c r="M582" s="25">
        <f>_xlfn.XLOOKUP(tblPayrollMaster[[#This Row],[Employee Position]],tblPositionandPayRate[Employee Position],tblPositionandPayRate[Allowance 2],0)*tblPayrollMaster[[#This Row],[Pay Factor]]</f>
        <v>0</v>
      </c>
      <c r="N582" s="25">
        <f>_xlfn.XLOOKUP(tblPayrollMaster[[#This Row],[Employee Position]],tblPositionandPayRate[Employee Position],tblPositionandPayRate[Allowance 3],0)*tblPayrollMaster[[#This Row],[Pay Factor]]</f>
        <v>0</v>
      </c>
      <c r="O582" s="25">
        <f>_xlfn.XLOOKUP(tblPayrollMaster[[#This Row],[Employee Position]],tblPositionandPayRate[Employee Position],tblPositionandPayRate[Allowance 4],0)*tblPayrollMaster[[#This Row],[Pay Factor]]</f>
        <v>0</v>
      </c>
      <c r="P582" s="25">
        <f>_xlfn.XLOOKUP(tblPayrollMaster[[#This Row],[Employee Position]],tblPositionandPayRate[Employee Position],tblPositionandPayRate[Allowance 5],0)*tblPayrollMaster[[#This Row],[Pay Factor]]</f>
        <v>0</v>
      </c>
      <c r="Q582" s="25">
        <f>SUM(tblPayrollMaster[[#This Row],[Basic Pay]:[Allowance 5]])</f>
        <v>0</v>
      </c>
      <c r="R58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82" s="51" cm="1">
        <f t="array" ref="S5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82" s="3" cm="1">
        <f t="array" ref="T5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82" s="25">
        <f>_xlfn.LET(
_xlpm.tos, _xlfn.XLOOKUP(tblPayrollMaster[[#This Row],[Employee ID]], tblEmployee[Employee ID], tblEmployee[Type of Service], ""),
IF(_xlpm.tos="Contract of Service", 8.25, 0)
)</f>
        <v>0</v>
      </c>
      <c r="V582" s="25">
        <f>tblPayrollMaster[[#This Row],[Basic Earnings]]-tblPayrollMaster[[#This Row],[Tax]]-tblPayrollMaster[[#This Row],[NIS - Employee]]-tblPayrollMaster[[#This Row],[Health Surcharge]]</f>
        <v>0</v>
      </c>
      <c r="W582" s="25">
        <f>tblPayrollMaster[[#This Row],[Net Pay]]</f>
        <v>0</v>
      </c>
      <c r="X582" s="25"/>
    </row>
    <row r="583" spans="1:24" x14ac:dyDescent="0.25">
      <c r="A583" s="24"/>
      <c r="B583" s="24" t="str">
        <f>_xlfn.XLOOKUP(tblPayrollMaster[[#This Row],[Employee ID]],tblEmployee[Employee ID],tblEmployee[Employee Name],"")</f>
        <v/>
      </c>
      <c r="C583" s="24" t="str">
        <f>_xlfn.XLOOKUP(tblPayrollMaster[[#This Row],[Employee ID]],tblEmployee[Employee ID],tblEmployee[Employee Position],"")</f>
        <v/>
      </c>
      <c r="D583" s="24" t="str">
        <f>_xlfn.XLOOKUP(tblPayrollMaster[[#This Row],[Employee ID]], tblEmployee[Employee ID], tblEmployee[Pay Status], "Pay")</f>
        <v>Pay</v>
      </c>
      <c r="E583" s="24" t="str">
        <f>_xlfn.XLOOKUP(tblPayrollMaster[[#This Row],[Employee ID]], tblEmployee[Employee ID], tblEmployee[Payable Flag], "Y")</f>
        <v>Y</v>
      </c>
      <c r="F583" s="45">
        <f>IF(tblPayrollMaster[[#This Row],[Payable Flag]]="N",0,_xlfn.XLOOKUP(tblPayrollMaster[[#This Row],[Employee ID]],tblEmployee[Employee ID],tblEmployee[Pay Factor],1))</f>
        <v>1</v>
      </c>
      <c r="G583" s="26" t="str" cm="1">
        <f t="array" ref="G583">IF(tblPayrollMaster[[#This Row],[Employee ID]]="","",_xlfn.XLOOKUP(selPayPeriodID,tblPayCalendar[PayPeriodID],tblPayCalendar[PeriodStart],""))</f>
        <v/>
      </c>
      <c r="H583" s="26" t="str" cm="1">
        <f t="array" ref="H583">IF(tblPayrollMaster[[#This Row],[Employee ID]]="","",_xlfn.XLOOKUP(selPayPeriodID,tblPayCalendar[PayPeriodID],tblPayCalendar[PeriodEnd],""))</f>
        <v/>
      </c>
      <c r="I583" s="24" t="e" cm="1" vm="1">
        <f t="array" aca="1" ref="I583" ca="1">Table18[Employer Name]</f>
        <v>#VALUE!</v>
      </c>
      <c r="J583" s="3" cm="1">
        <f t="array" ref="J58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83" s="25" t="str">
        <f>_xlfn.XLOOKUP(tblPayrollMaster[[#This Row],[Employee Position]],tblPositionandPayRate[Employee Position],tblPositionandPayRate[Overtime], " ")</f>
        <v xml:space="preserve"> </v>
      </c>
      <c r="L583" s="25">
        <f>_xlfn.XLOOKUP(tblPayrollMaster[[#This Row],[Employee Position]],tblPositionandPayRate[Employee Position],tblPositionandPayRate[Allowance 1],0)*tblPayrollMaster[[#This Row],[Pay Factor]]</f>
        <v>0</v>
      </c>
      <c r="M583" s="25">
        <f>_xlfn.XLOOKUP(tblPayrollMaster[[#This Row],[Employee Position]],tblPositionandPayRate[Employee Position],tblPositionandPayRate[Allowance 2],0)*tblPayrollMaster[[#This Row],[Pay Factor]]</f>
        <v>0</v>
      </c>
      <c r="N583" s="25">
        <f>_xlfn.XLOOKUP(tblPayrollMaster[[#This Row],[Employee Position]],tblPositionandPayRate[Employee Position],tblPositionandPayRate[Allowance 3],0)*tblPayrollMaster[[#This Row],[Pay Factor]]</f>
        <v>0</v>
      </c>
      <c r="O583" s="25">
        <f>_xlfn.XLOOKUP(tblPayrollMaster[[#This Row],[Employee Position]],tblPositionandPayRate[Employee Position],tblPositionandPayRate[Allowance 4],0)*tblPayrollMaster[[#This Row],[Pay Factor]]</f>
        <v>0</v>
      </c>
      <c r="P583" s="25">
        <f>_xlfn.XLOOKUP(tblPayrollMaster[[#This Row],[Employee Position]],tblPositionandPayRate[Employee Position],tblPositionandPayRate[Allowance 5],0)*tblPayrollMaster[[#This Row],[Pay Factor]]</f>
        <v>0</v>
      </c>
      <c r="Q583" s="25">
        <f>SUM(tblPayrollMaster[[#This Row],[Basic Pay]:[Allowance 5]])</f>
        <v>0</v>
      </c>
      <c r="R58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83" s="51" cm="1">
        <f t="array" ref="S5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83" s="3" cm="1">
        <f t="array" ref="T5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83" s="25">
        <f>_xlfn.LET(
_xlpm.tos, _xlfn.XLOOKUP(tblPayrollMaster[[#This Row],[Employee ID]], tblEmployee[Employee ID], tblEmployee[Type of Service], ""),
IF(_xlpm.tos="Contract of Service", 8.25, 0)
)</f>
        <v>0</v>
      </c>
      <c r="V583" s="25">
        <f>tblPayrollMaster[[#This Row],[Basic Earnings]]-tblPayrollMaster[[#This Row],[Tax]]-tblPayrollMaster[[#This Row],[NIS - Employee]]-tblPayrollMaster[[#This Row],[Health Surcharge]]</f>
        <v>0</v>
      </c>
      <c r="W583" s="25">
        <f>tblPayrollMaster[[#This Row],[Net Pay]]</f>
        <v>0</v>
      </c>
      <c r="X583" s="25"/>
    </row>
    <row r="584" spans="1:24" x14ac:dyDescent="0.25">
      <c r="A584" s="24"/>
      <c r="B584" s="24" t="str">
        <f>_xlfn.XLOOKUP(tblPayrollMaster[[#This Row],[Employee ID]],tblEmployee[Employee ID],tblEmployee[Employee Name],"")</f>
        <v/>
      </c>
      <c r="C584" s="24" t="str">
        <f>_xlfn.XLOOKUP(tblPayrollMaster[[#This Row],[Employee ID]],tblEmployee[Employee ID],tblEmployee[Employee Position],"")</f>
        <v/>
      </c>
      <c r="D584" s="24" t="str">
        <f>_xlfn.XLOOKUP(tblPayrollMaster[[#This Row],[Employee ID]], tblEmployee[Employee ID], tblEmployee[Pay Status], "Pay")</f>
        <v>Pay</v>
      </c>
      <c r="E584" s="24" t="str">
        <f>_xlfn.XLOOKUP(tblPayrollMaster[[#This Row],[Employee ID]], tblEmployee[Employee ID], tblEmployee[Payable Flag], "Y")</f>
        <v>Y</v>
      </c>
      <c r="F584" s="45">
        <f>IF(tblPayrollMaster[[#This Row],[Payable Flag]]="N",0,_xlfn.XLOOKUP(tblPayrollMaster[[#This Row],[Employee ID]],tblEmployee[Employee ID],tblEmployee[Pay Factor],1))</f>
        <v>1</v>
      </c>
      <c r="G584" s="26" t="str" cm="1">
        <f t="array" ref="G584">IF(tblPayrollMaster[[#This Row],[Employee ID]]="","",_xlfn.XLOOKUP(selPayPeriodID,tblPayCalendar[PayPeriodID],tblPayCalendar[PeriodStart],""))</f>
        <v/>
      </c>
      <c r="H584" s="26" t="str" cm="1">
        <f t="array" ref="H584">IF(tblPayrollMaster[[#This Row],[Employee ID]]="","",_xlfn.XLOOKUP(selPayPeriodID,tblPayCalendar[PayPeriodID],tblPayCalendar[PeriodEnd],""))</f>
        <v/>
      </c>
      <c r="I584" s="24" t="e" cm="1" vm="1">
        <f t="array" aca="1" ref="I584" ca="1">Table18[Employer Name]</f>
        <v>#VALUE!</v>
      </c>
      <c r="J584" s="3" cm="1">
        <f t="array" ref="J58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84" s="25" t="str">
        <f>_xlfn.XLOOKUP(tblPayrollMaster[[#This Row],[Employee Position]],tblPositionandPayRate[Employee Position],tblPositionandPayRate[Overtime], " ")</f>
        <v xml:space="preserve"> </v>
      </c>
      <c r="L584" s="25">
        <f>_xlfn.XLOOKUP(tblPayrollMaster[[#This Row],[Employee Position]],tblPositionandPayRate[Employee Position],tblPositionandPayRate[Allowance 1],0)*tblPayrollMaster[[#This Row],[Pay Factor]]</f>
        <v>0</v>
      </c>
      <c r="M584" s="25">
        <f>_xlfn.XLOOKUP(tblPayrollMaster[[#This Row],[Employee Position]],tblPositionandPayRate[Employee Position],tblPositionandPayRate[Allowance 2],0)*tblPayrollMaster[[#This Row],[Pay Factor]]</f>
        <v>0</v>
      </c>
      <c r="N584" s="25">
        <f>_xlfn.XLOOKUP(tblPayrollMaster[[#This Row],[Employee Position]],tblPositionandPayRate[Employee Position],tblPositionandPayRate[Allowance 3],0)*tblPayrollMaster[[#This Row],[Pay Factor]]</f>
        <v>0</v>
      </c>
      <c r="O584" s="25">
        <f>_xlfn.XLOOKUP(tblPayrollMaster[[#This Row],[Employee Position]],tblPositionandPayRate[Employee Position],tblPositionandPayRate[Allowance 4],0)*tblPayrollMaster[[#This Row],[Pay Factor]]</f>
        <v>0</v>
      </c>
      <c r="P584" s="25">
        <f>_xlfn.XLOOKUP(tblPayrollMaster[[#This Row],[Employee Position]],tblPositionandPayRate[Employee Position],tblPositionandPayRate[Allowance 5],0)*tblPayrollMaster[[#This Row],[Pay Factor]]</f>
        <v>0</v>
      </c>
      <c r="Q584" s="25">
        <f>SUM(tblPayrollMaster[[#This Row],[Basic Pay]:[Allowance 5]])</f>
        <v>0</v>
      </c>
      <c r="R58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84" s="51" cm="1">
        <f t="array" ref="S5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84" s="3" cm="1">
        <f t="array" ref="T5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84" s="25">
        <f>_xlfn.LET(
_xlpm.tos, _xlfn.XLOOKUP(tblPayrollMaster[[#This Row],[Employee ID]], tblEmployee[Employee ID], tblEmployee[Type of Service], ""),
IF(_xlpm.tos="Contract of Service", 8.25, 0)
)</f>
        <v>0</v>
      </c>
      <c r="V584" s="25">
        <f>tblPayrollMaster[[#This Row],[Basic Earnings]]-tblPayrollMaster[[#This Row],[Tax]]-tblPayrollMaster[[#This Row],[NIS - Employee]]-tblPayrollMaster[[#This Row],[Health Surcharge]]</f>
        <v>0</v>
      </c>
      <c r="W584" s="25">
        <f>tblPayrollMaster[[#This Row],[Net Pay]]</f>
        <v>0</v>
      </c>
      <c r="X584" s="25"/>
    </row>
    <row r="585" spans="1:24" x14ac:dyDescent="0.25">
      <c r="A585" s="24"/>
      <c r="B585" s="24" t="str">
        <f>_xlfn.XLOOKUP(tblPayrollMaster[[#This Row],[Employee ID]],tblEmployee[Employee ID],tblEmployee[Employee Name],"")</f>
        <v/>
      </c>
      <c r="C585" s="24" t="str">
        <f>_xlfn.XLOOKUP(tblPayrollMaster[[#This Row],[Employee ID]],tblEmployee[Employee ID],tblEmployee[Employee Position],"")</f>
        <v/>
      </c>
      <c r="D585" s="24" t="str">
        <f>_xlfn.XLOOKUP(tblPayrollMaster[[#This Row],[Employee ID]], tblEmployee[Employee ID], tblEmployee[Pay Status], "Pay")</f>
        <v>Pay</v>
      </c>
      <c r="E585" s="24" t="str">
        <f>_xlfn.XLOOKUP(tblPayrollMaster[[#This Row],[Employee ID]], tblEmployee[Employee ID], tblEmployee[Payable Flag], "Y")</f>
        <v>Y</v>
      </c>
      <c r="F585" s="45">
        <f>IF(tblPayrollMaster[[#This Row],[Payable Flag]]="N",0,_xlfn.XLOOKUP(tblPayrollMaster[[#This Row],[Employee ID]],tblEmployee[Employee ID],tblEmployee[Pay Factor],1))</f>
        <v>1</v>
      </c>
      <c r="G585" s="26" t="str" cm="1">
        <f t="array" ref="G585">IF(tblPayrollMaster[[#This Row],[Employee ID]]="","",_xlfn.XLOOKUP(selPayPeriodID,tblPayCalendar[PayPeriodID],tblPayCalendar[PeriodStart],""))</f>
        <v/>
      </c>
      <c r="H585" s="26" t="str" cm="1">
        <f t="array" ref="H585">IF(tblPayrollMaster[[#This Row],[Employee ID]]="","",_xlfn.XLOOKUP(selPayPeriodID,tblPayCalendar[PayPeriodID],tblPayCalendar[PeriodEnd],""))</f>
        <v/>
      </c>
      <c r="I585" s="24" t="e" cm="1" vm="1">
        <f t="array" aca="1" ref="I585" ca="1">Table18[Employer Name]</f>
        <v>#VALUE!</v>
      </c>
      <c r="J585" s="3" cm="1">
        <f t="array" ref="J58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85" s="25" t="str">
        <f>_xlfn.XLOOKUP(tblPayrollMaster[[#This Row],[Employee Position]],tblPositionandPayRate[Employee Position],tblPositionandPayRate[Overtime], " ")</f>
        <v xml:space="preserve"> </v>
      </c>
      <c r="L585" s="25">
        <f>_xlfn.XLOOKUP(tblPayrollMaster[[#This Row],[Employee Position]],tblPositionandPayRate[Employee Position],tblPositionandPayRate[Allowance 1],0)*tblPayrollMaster[[#This Row],[Pay Factor]]</f>
        <v>0</v>
      </c>
      <c r="M585" s="25">
        <f>_xlfn.XLOOKUP(tblPayrollMaster[[#This Row],[Employee Position]],tblPositionandPayRate[Employee Position],tblPositionandPayRate[Allowance 2],0)*tblPayrollMaster[[#This Row],[Pay Factor]]</f>
        <v>0</v>
      </c>
      <c r="N585" s="25">
        <f>_xlfn.XLOOKUP(tblPayrollMaster[[#This Row],[Employee Position]],tblPositionandPayRate[Employee Position],tblPositionandPayRate[Allowance 3],0)*tblPayrollMaster[[#This Row],[Pay Factor]]</f>
        <v>0</v>
      </c>
      <c r="O585" s="25">
        <f>_xlfn.XLOOKUP(tblPayrollMaster[[#This Row],[Employee Position]],tblPositionandPayRate[Employee Position],tblPositionandPayRate[Allowance 4],0)*tblPayrollMaster[[#This Row],[Pay Factor]]</f>
        <v>0</v>
      </c>
      <c r="P585" s="25">
        <f>_xlfn.XLOOKUP(tblPayrollMaster[[#This Row],[Employee Position]],tblPositionandPayRate[Employee Position],tblPositionandPayRate[Allowance 5],0)*tblPayrollMaster[[#This Row],[Pay Factor]]</f>
        <v>0</v>
      </c>
      <c r="Q585" s="25">
        <f>SUM(tblPayrollMaster[[#This Row],[Basic Pay]:[Allowance 5]])</f>
        <v>0</v>
      </c>
      <c r="R58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85" s="51" cm="1">
        <f t="array" ref="S5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85" s="3" cm="1">
        <f t="array" ref="T5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85" s="25">
        <f>_xlfn.LET(
_xlpm.tos, _xlfn.XLOOKUP(tblPayrollMaster[[#This Row],[Employee ID]], tblEmployee[Employee ID], tblEmployee[Type of Service], ""),
IF(_xlpm.tos="Contract of Service", 8.25, 0)
)</f>
        <v>0</v>
      </c>
      <c r="V585" s="25">
        <f>tblPayrollMaster[[#This Row],[Basic Earnings]]-tblPayrollMaster[[#This Row],[Tax]]-tblPayrollMaster[[#This Row],[NIS - Employee]]-tblPayrollMaster[[#This Row],[Health Surcharge]]</f>
        <v>0</v>
      </c>
      <c r="W585" s="25">
        <f>tblPayrollMaster[[#This Row],[Net Pay]]</f>
        <v>0</v>
      </c>
      <c r="X585" s="25"/>
    </row>
    <row r="586" spans="1:24" x14ac:dyDescent="0.25">
      <c r="A586" s="24"/>
      <c r="B586" s="24" t="str">
        <f>_xlfn.XLOOKUP(tblPayrollMaster[[#This Row],[Employee ID]],tblEmployee[Employee ID],tblEmployee[Employee Name],"")</f>
        <v/>
      </c>
      <c r="C586" s="24" t="str">
        <f>_xlfn.XLOOKUP(tblPayrollMaster[[#This Row],[Employee ID]],tblEmployee[Employee ID],tblEmployee[Employee Position],"")</f>
        <v/>
      </c>
      <c r="D586" s="24" t="str">
        <f>_xlfn.XLOOKUP(tblPayrollMaster[[#This Row],[Employee ID]], tblEmployee[Employee ID], tblEmployee[Pay Status], "Pay")</f>
        <v>Pay</v>
      </c>
      <c r="E586" s="24" t="str">
        <f>_xlfn.XLOOKUP(tblPayrollMaster[[#This Row],[Employee ID]], tblEmployee[Employee ID], tblEmployee[Payable Flag], "Y")</f>
        <v>Y</v>
      </c>
      <c r="F586" s="45">
        <f>IF(tblPayrollMaster[[#This Row],[Payable Flag]]="N",0,_xlfn.XLOOKUP(tblPayrollMaster[[#This Row],[Employee ID]],tblEmployee[Employee ID],tblEmployee[Pay Factor],1))</f>
        <v>1</v>
      </c>
      <c r="G586" s="26" t="str" cm="1">
        <f t="array" ref="G586">IF(tblPayrollMaster[[#This Row],[Employee ID]]="","",_xlfn.XLOOKUP(selPayPeriodID,tblPayCalendar[PayPeriodID],tblPayCalendar[PeriodStart],""))</f>
        <v/>
      </c>
      <c r="H586" s="26" t="str" cm="1">
        <f t="array" ref="H586">IF(tblPayrollMaster[[#This Row],[Employee ID]]="","",_xlfn.XLOOKUP(selPayPeriodID,tblPayCalendar[PayPeriodID],tblPayCalendar[PeriodEnd],""))</f>
        <v/>
      </c>
      <c r="I586" s="24" t="e" cm="1" vm="1">
        <f t="array" aca="1" ref="I586" ca="1">Table18[Employer Name]</f>
        <v>#VALUE!</v>
      </c>
      <c r="J586" s="3" cm="1">
        <f t="array" ref="J58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86" s="25" t="str">
        <f>_xlfn.XLOOKUP(tblPayrollMaster[[#This Row],[Employee Position]],tblPositionandPayRate[Employee Position],tblPositionandPayRate[Overtime], " ")</f>
        <v xml:space="preserve"> </v>
      </c>
      <c r="L586" s="25">
        <f>_xlfn.XLOOKUP(tblPayrollMaster[[#This Row],[Employee Position]],tblPositionandPayRate[Employee Position],tblPositionandPayRate[Allowance 1],0)*tblPayrollMaster[[#This Row],[Pay Factor]]</f>
        <v>0</v>
      </c>
      <c r="M586" s="25">
        <f>_xlfn.XLOOKUP(tblPayrollMaster[[#This Row],[Employee Position]],tblPositionandPayRate[Employee Position],tblPositionandPayRate[Allowance 2],0)*tblPayrollMaster[[#This Row],[Pay Factor]]</f>
        <v>0</v>
      </c>
      <c r="N586" s="25">
        <f>_xlfn.XLOOKUP(tblPayrollMaster[[#This Row],[Employee Position]],tblPositionandPayRate[Employee Position],tblPositionandPayRate[Allowance 3],0)*tblPayrollMaster[[#This Row],[Pay Factor]]</f>
        <v>0</v>
      </c>
      <c r="O586" s="25">
        <f>_xlfn.XLOOKUP(tblPayrollMaster[[#This Row],[Employee Position]],tblPositionandPayRate[Employee Position],tblPositionandPayRate[Allowance 4],0)*tblPayrollMaster[[#This Row],[Pay Factor]]</f>
        <v>0</v>
      </c>
      <c r="P586" s="25">
        <f>_xlfn.XLOOKUP(tblPayrollMaster[[#This Row],[Employee Position]],tblPositionandPayRate[Employee Position],tblPositionandPayRate[Allowance 5],0)*tblPayrollMaster[[#This Row],[Pay Factor]]</f>
        <v>0</v>
      </c>
      <c r="Q586" s="25">
        <f>SUM(tblPayrollMaster[[#This Row],[Basic Pay]:[Allowance 5]])</f>
        <v>0</v>
      </c>
      <c r="R58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86" s="51" cm="1">
        <f t="array" ref="S5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86" s="3" cm="1">
        <f t="array" ref="T5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86" s="25">
        <f>_xlfn.LET(
_xlpm.tos, _xlfn.XLOOKUP(tblPayrollMaster[[#This Row],[Employee ID]], tblEmployee[Employee ID], tblEmployee[Type of Service], ""),
IF(_xlpm.tos="Contract of Service", 8.25, 0)
)</f>
        <v>0</v>
      </c>
      <c r="V586" s="25">
        <f>tblPayrollMaster[[#This Row],[Basic Earnings]]-tblPayrollMaster[[#This Row],[Tax]]-tblPayrollMaster[[#This Row],[NIS - Employee]]-tblPayrollMaster[[#This Row],[Health Surcharge]]</f>
        <v>0</v>
      </c>
      <c r="W586" s="25">
        <f>tblPayrollMaster[[#This Row],[Net Pay]]</f>
        <v>0</v>
      </c>
      <c r="X586" s="25"/>
    </row>
    <row r="587" spans="1:24" x14ac:dyDescent="0.25">
      <c r="A587" s="24"/>
      <c r="B587" s="24" t="str">
        <f>_xlfn.XLOOKUP(tblPayrollMaster[[#This Row],[Employee ID]],tblEmployee[Employee ID],tblEmployee[Employee Name],"")</f>
        <v/>
      </c>
      <c r="C587" s="24" t="str">
        <f>_xlfn.XLOOKUP(tblPayrollMaster[[#This Row],[Employee ID]],tblEmployee[Employee ID],tblEmployee[Employee Position],"")</f>
        <v/>
      </c>
      <c r="D587" s="24" t="str">
        <f>_xlfn.XLOOKUP(tblPayrollMaster[[#This Row],[Employee ID]], tblEmployee[Employee ID], tblEmployee[Pay Status], "Pay")</f>
        <v>Pay</v>
      </c>
      <c r="E587" s="24" t="str">
        <f>_xlfn.XLOOKUP(tblPayrollMaster[[#This Row],[Employee ID]], tblEmployee[Employee ID], tblEmployee[Payable Flag], "Y")</f>
        <v>Y</v>
      </c>
      <c r="F587" s="45">
        <f>IF(tblPayrollMaster[[#This Row],[Payable Flag]]="N",0,_xlfn.XLOOKUP(tblPayrollMaster[[#This Row],[Employee ID]],tblEmployee[Employee ID],tblEmployee[Pay Factor],1))</f>
        <v>1</v>
      </c>
      <c r="G587" s="26" t="str" cm="1">
        <f t="array" ref="G587">IF(tblPayrollMaster[[#This Row],[Employee ID]]="","",_xlfn.XLOOKUP(selPayPeriodID,tblPayCalendar[PayPeriodID],tblPayCalendar[PeriodStart],""))</f>
        <v/>
      </c>
      <c r="H587" s="26" t="str" cm="1">
        <f t="array" ref="H587">IF(tblPayrollMaster[[#This Row],[Employee ID]]="","",_xlfn.XLOOKUP(selPayPeriodID,tblPayCalendar[PayPeriodID],tblPayCalendar[PeriodEnd],""))</f>
        <v/>
      </c>
      <c r="I587" s="24" t="e" cm="1" vm="1">
        <f t="array" aca="1" ref="I587" ca="1">Table18[Employer Name]</f>
        <v>#VALUE!</v>
      </c>
      <c r="J587" s="3" cm="1">
        <f t="array" ref="J58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87" s="25" t="str">
        <f>_xlfn.XLOOKUP(tblPayrollMaster[[#This Row],[Employee Position]],tblPositionandPayRate[Employee Position],tblPositionandPayRate[Overtime], " ")</f>
        <v xml:space="preserve"> </v>
      </c>
      <c r="L587" s="25">
        <f>_xlfn.XLOOKUP(tblPayrollMaster[[#This Row],[Employee Position]],tblPositionandPayRate[Employee Position],tblPositionandPayRate[Allowance 1],0)*tblPayrollMaster[[#This Row],[Pay Factor]]</f>
        <v>0</v>
      </c>
      <c r="M587" s="25">
        <f>_xlfn.XLOOKUP(tblPayrollMaster[[#This Row],[Employee Position]],tblPositionandPayRate[Employee Position],tblPositionandPayRate[Allowance 2],0)*tblPayrollMaster[[#This Row],[Pay Factor]]</f>
        <v>0</v>
      </c>
      <c r="N587" s="25">
        <f>_xlfn.XLOOKUP(tblPayrollMaster[[#This Row],[Employee Position]],tblPositionandPayRate[Employee Position],tblPositionandPayRate[Allowance 3],0)*tblPayrollMaster[[#This Row],[Pay Factor]]</f>
        <v>0</v>
      </c>
      <c r="O587" s="25">
        <f>_xlfn.XLOOKUP(tblPayrollMaster[[#This Row],[Employee Position]],tblPositionandPayRate[Employee Position],tblPositionandPayRate[Allowance 4],0)*tblPayrollMaster[[#This Row],[Pay Factor]]</f>
        <v>0</v>
      </c>
      <c r="P587" s="25">
        <f>_xlfn.XLOOKUP(tblPayrollMaster[[#This Row],[Employee Position]],tblPositionandPayRate[Employee Position],tblPositionandPayRate[Allowance 5],0)*tblPayrollMaster[[#This Row],[Pay Factor]]</f>
        <v>0</v>
      </c>
      <c r="Q587" s="25">
        <f>SUM(tblPayrollMaster[[#This Row],[Basic Pay]:[Allowance 5]])</f>
        <v>0</v>
      </c>
      <c r="R58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87" s="51" cm="1">
        <f t="array" ref="S5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87" s="3" cm="1">
        <f t="array" ref="T5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87" s="25">
        <f>_xlfn.LET(
_xlpm.tos, _xlfn.XLOOKUP(tblPayrollMaster[[#This Row],[Employee ID]], tblEmployee[Employee ID], tblEmployee[Type of Service], ""),
IF(_xlpm.tos="Contract of Service", 8.25, 0)
)</f>
        <v>0</v>
      </c>
      <c r="V587" s="25">
        <f>tblPayrollMaster[[#This Row],[Basic Earnings]]-tblPayrollMaster[[#This Row],[Tax]]-tblPayrollMaster[[#This Row],[NIS - Employee]]-tblPayrollMaster[[#This Row],[Health Surcharge]]</f>
        <v>0</v>
      </c>
      <c r="W587" s="25">
        <f>tblPayrollMaster[[#This Row],[Net Pay]]</f>
        <v>0</v>
      </c>
      <c r="X587" s="25"/>
    </row>
    <row r="588" spans="1:24" x14ac:dyDescent="0.25">
      <c r="A588" s="24"/>
      <c r="B588" s="24" t="str">
        <f>_xlfn.XLOOKUP(tblPayrollMaster[[#This Row],[Employee ID]],tblEmployee[Employee ID],tblEmployee[Employee Name],"")</f>
        <v/>
      </c>
      <c r="C588" s="24" t="str">
        <f>_xlfn.XLOOKUP(tblPayrollMaster[[#This Row],[Employee ID]],tblEmployee[Employee ID],tblEmployee[Employee Position],"")</f>
        <v/>
      </c>
      <c r="D588" s="24" t="str">
        <f>_xlfn.XLOOKUP(tblPayrollMaster[[#This Row],[Employee ID]], tblEmployee[Employee ID], tblEmployee[Pay Status], "Pay")</f>
        <v>Pay</v>
      </c>
      <c r="E588" s="24" t="str">
        <f>_xlfn.XLOOKUP(tblPayrollMaster[[#This Row],[Employee ID]], tblEmployee[Employee ID], tblEmployee[Payable Flag], "Y")</f>
        <v>Y</v>
      </c>
      <c r="F588" s="45">
        <f>IF(tblPayrollMaster[[#This Row],[Payable Flag]]="N",0,_xlfn.XLOOKUP(tblPayrollMaster[[#This Row],[Employee ID]],tblEmployee[Employee ID],tblEmployee[Pay Factor],1))</f>
        <v>1</v>
      </c>
      <c r="G588" s="26" t="str" cm="1">
        <f t="array" ref="G588">IF(tblPayrollMaster[[#This Row],[Employee ID]]="","",_xlfn.XLOOKUP(selPayPeriodID,tblPayCalendar[PayPeriodID],tblPayCalendar[PeriodStart],""))</f>
        <v/>
      </c>
      <c r="H588" s="26" t="str" cm="1">
        <f t="array" ref="H588">IF(tblPayrollMaster[[#This Row],[Employee ID]]="","",_xlfn.XLOOKUP(selPayPeriodID,tblPayCalendar[PayPeriodID],tblPayCalendar[PeriodEnd],""))</f>
        <v/>
      </c>
      <c r="I588" s="24" t="e" cm="1" vm="1">
        <f t="array" aca="1" ref="I588" ca="1">Table18[Employer Name]</f>
        <v>#VALUE!</v>
      </c>
      <c r="J588" s="3" cm="1">
        <f t="array" ref="J58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88" s="25" t="str">
        <f>_xlfn.XLOOKUP(tblPayrollMaster[[#This Row],[Employee Position]],tblPositionandPayRate[Employee Position],tblPositionandPayRate[Overtime], " ")</f>
        <v xml:space="preserve"> </v>
      </c>
      <c r="L588" s="25">
        <f>_xlfn.XLOOKUP(tblPayrollMaster[[#This Row],[Employee Position]],tblPositionandPayRate[Employee Position],tblPositionandPayRate[Allowance 1],0)*tblPayrollMaster[[#This Row],[Pay Factor]]</f>
        <v>0</v>
      </c>
      <c r="M588" s="25">
        <f>_xlfn.XLOOKUP(tblPayrollMaster[[#This Row],[Employee Position]],tblPositionandPayRate[Employee Position],tblPositionandPayRate[Allowance 2],0)*tblPayrollMaster[[#This Row],[Pay Factor]]</f>
        <v>0</v>
      </c>
      <c r="N588" s="25">
        <f>_xlfn.XLOOKUP(tblPayrollMaster[[#This Row],[Employee Position]],tblPositionandPayRate[Employee Position],tblPositionandPayRate[Allowance 3],0)*tblPayrollMaster[[#This Row],[Pay Factor]]</f>
        <v>0</v>
      </c>
      <c r="O588" s="25">
        <f>_xlfn.XLOOKUP(tblPayrollMaster[[#This Row],[Employee Position]],tblPositionandPayRate[Employee Position],tblPositionandPayRate[Allowance 4],0)*tblPayrollMaster[[#This Row],[Pay Factor]]</f>
        <v>0</v>
      </c>
      <c r="P588" s="25">
        <f>_xlfn.XLOOKUP(tblPayrollMaster[[#This Row],[Employee Position]],tblPositionandPayRate[Employee Position],tblPositionandPayRate[Allowance 5],0)*tblPayrollMaster[[#This Row],[Pay Factor]]</f>
        <v>0</v>
      </c>
      <c r="Q588" s="25">
        <f>SUM(tblPayrollMaster[[#This Row],[Basic Pay]:[Allowance 5]])</f>
        <v>0</v>
      </c>
      <c r="R58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88" s="51" cm="1">
        <f t="array" ref="S5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88" s="3" cm="1">
        <f t="array" ref="T5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88" s="25">
        <f>_xlfn.LET(
_xlpm.tos, _xlfn.XLOOKUP(tblPayrollMaster[[#This Row],[Employee ID]], tblEmployee[Employee ID], tblEmployee[Type of Service], ""),
IF(_xlpm.tos="Contract of Service", 8.25, 0)
)</f>
        <v>0</v>
      </c>
      <c r="V588" s="25">
        <f>tblPayrollMaster[[#This Row],[Basic Earnings]]-tblPayrollMaster[[#This Row],[Tax]]-tblPayrollMaster[[#This Row],[NIS - Employee]]-tblPayrollMaster[[#This Row],[Health Surcharge]]</f>
        <v>0</v>
      </c>
      <c r="W588" s="25">
        <f>tblPayrollMaster[[#This Row],[Net Pay]]</f>
        <v>0</v>
      </c>
      <c r="X588" s="25"/>
    </row>
    <row r="589" spans="1:24" x14ac:dyDescent="0.25">
      <c r="A589" s="24"/>
      <c r="B589" s="24" t="str">
        <f>_xlfn.XLOOKUP(tblPayrollMaster[[#This Row],[Employee ID]],tblEmployee[Employee ID],tblEmployee[Employee Name],"")</f>
        <v/>
      </c>
      <c r="C589" s="24" t="str">
        <f>_xlfn.XLOOKUP(tblPayrollMaster[[#This Row],[Employee ID]],tblEmployee[Employee ID],tblEmployee[Employee Position],"")</f>
        <v/>
      </c>
      <c r="D589" s="24" t="str">
        <f>_xlfn.XLOOKUP(tblPayrollMaster[[#This Row],[Employee ID]], tblEmployee[Employee ID], tblEmployee[Pay Status], "Pay")</f>
        <v>Pay</v>
      </c>
      <c r="E589" s="24" t="str">
        <f>_xlfn.XLOOKUP(tblPayrollMaster[[#This Row],[Employee ID]], tblEmployee[Employee ID], tblEmployee[Payable Flag], "Y")</f>
        <v>Y</v>
      </c>
      <c r="F589" s="45">
        <f>IF(tblPayrollMaster[[#This Row],[Payable Flag]]="N",0,_xlfn.XLOOKUP(tblPayrollMaster[[#This Row],[Employee ID]],tblEmployee[Employee ID],tblEmployee[Pay Factor],1))</f>
        <v>1</v>
      </c>
      <c r="G589" s="26" t="str" cm="1">
        <f t="array" ref="G589">IF(tblPayrollMaster[[#This Row],[Employee ID]]="","",_xlfn.XLOOKUP(selPayPeriodID,tblPayCalendar[PayPeriodID],tblPayCalendar[PeriodStart],""))</f>
        <v/>
      </c>
      <c r="H589" s="26" t="str" cm="1">
        <f t="array" ref="H589">IF(tblPayrollMaster[[#This Row],[Employee ID]]="","",_xlfn.XLOOKUP(selPayPeriodID,tblPayCalendar[PayPeriodID],tblPayCalendar[PeriodEnd],""))</f>
        <v/>
      </c>
      <c r="I589" s="24" t="e" cm="1" vm="1">
        <f t="array" aca="1" ref="I589" ca="1">Table18[Employer Name]</f>
        <v>#VALUE!</v>
      </c>
      <c r="J589" s="3" cm="1">
        <f t="array" ref="J58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89" s="25" t="str">
        <f>_xlfn.XLOOKUP(tblPayrollMaster[[#This Row],[Employee Position]],tblPositionandPayRate[Employee Position],tblPositionandPayRate[Overtime], " ")</f>
        <v xml:space="preserve"> </v>
      </c>
      <c r="L589" s="25">
        <f>_xlfn.XLOOKUP(tblPayrollMaster[[#This Row],[Employee Position]],tblPositionandPayRate[Employee Position],tblPositionandPayRate[Allowance 1],0)*tblPayrollMaster[[#This Row],[Pay Factor]]</f>
        <v>0</v>
      </c>
      <c r="M589" s="25">
        <f>_xlfn.XLOOKUP(tblPayrollMaster[[#This Row],[Employee Position]],tblPositionandPayRate[Employee Position],tblPositionandPayRate[Allowance 2],0)*tblPayrollMaster[[#This Row],[Pay Factor]]</f>
        <v>0</v>
      </c>
      <c r="N589" s="25">
        <f>_xlfn.XLOOKUP(tblPayrollMaster[[#This Row],[Employee Position]],tblPositionandPayRate[Employee Position],tblPositionandPayRate[Allowance 3],0)*tblPayrollMaster[[#This Row],[Pay Factor]]</f>
        <v>0</v>
      </c>
      <c r="O589" s="25">
        <f>_xlfn.XLOOKUP(tblPayrollMaster[[#This Row],[Employee Position]],tblPositionandPayRate[Employee Position],tblPositionandPayRate[Allowance 4],0)*tblPayrollMaster[[#This Row],[Pay Factor]]</f>
        <v>0</v>
      </c>
      <c r="P589" s="25">
        <f>_xlfn.XLOOKUP(tblPayrollMaster[[#This Row],[Employee Position]],tblPositionandPayRate[Employee Position],tblPositionandPayRate[Allowance 5],0)*tblPayrollMaster[[#This Row],[Pay Factor]]</f>
        <v>0</v>
      </c>
      <c r="Q589" s="25">
        <f>SUM(tblPayrollMaster[[#This Row],[Basic Pay]:[Allowance 5]])</f>
        <v>0</v>
      </c>
      <c r="R58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89" s="51" cm="1">
        <f t="array" ref="S5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89" s="3" cm="1">
        <f t="array" ref="T5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89" s="25">
        <f>_xlfn.LET(
_xlpm.tos, _xlfn.XLOOKUP(tblPayrollMaster[[#This Row],[Employee ID]], tblEmployee[Employee ID], tblEmployee[Type of Service], ""),
IF(_xlpm.tos="Contract of Service", 8.25, 0)
)</f>
        <v>0</v>
      </c>
      <c r="V589" s="25">
        <f>tblPayrollMaster[[#This Row],[Basic Earnings]]-tblPayrollMaster[[#This Row],[Tax]]-tblPayrollMaster[[#This Row],[NIS - Employee]]-tblPayrollMaster[[#This Row],[Health Surcharge]]</f>
        <v>0</v>
      </c>
      <c r="W589" s="25">
        <f>tblPayrollMaster[[#This Row],[Net Pay]]</f>
        <v>0</v>
      </c>
      <c r="X589" s="25"/>
    </row>
    <row r="590" spans="1:24" x14ac:dyDescent="0.25">
      <c r="A590" s="24"/>
      <c r="B590" s="24" t="str">
        <f>_xlfn.XLOOKUP(tblPayrollMaster[[#This Row],[Employee ID]],tblEmployee[Employee ID],tblEmployee[Employee Name],"")</f>
        <v/>
      </c>
      <c r="C590" s="24" t="str">
        <f>_xlfn.XLOOKUP(tblPayrollMaster[[#This Row],[Employee ID]],tblEmployee[Employee ID],tblEmployee[Employee Position],"")</f>
        <v/>
      </c>
      <c r="D590" s="24" t="str">
        <f>_xlfn.XLOOKUP(tblPayrollMaster[[#This Row],[Employee ID]], tblEmployee[Employee ID], tblEmployee[Pay Status], "Pay")</f>
        <v>Pay</v>
      </c>
      <c r="E590" s="24" t="str">
        <f>_xlfn.XLOOKUP(tblPayrollMaster[[#This Row],[Employee ID]], tblEmployee[Employee ID], tblEmployee[Payable Flag], "Y")</f>
        <v>Y</v>
      </c>
      <c r="F590" s="45">
        <f>IF(tblPayrollMaster[[#This Row],[Payable Flag]]="N",0,_xlfn.XLOOKUP(tblPayrollMaster[[#This Row],[Employee ID]],tblEmployee[Employee ID],tblEmployee[Pay Factor],1))</f>
        <v>1</v>
      </c>
      <c r="G590" s="26" t="str" cm="1">
        <f t="array" ref="G590">IF(tblPayrollMaster[[#This Row],[Employee ID]]="","",_xlfn.XLOOKUP(selPayPeriodID,tblPayCalendar[PayPeriodID],tblPayCalendar[PeriodStart],""))</f>
        <v/>
      </c>
      <c r="H590" s="26" t="str" cm="1">
        <f t="array" ref="H590">IF(tblPayrollMaster[[#This Row],[Employee ID]]="","",_xlfn.XLOOKUP(selPayPeriodID,tblPayCalendar[PayPeriodID],tblPayCalendar[PeriodEnd],""))</f>
        <v/>
      </c>
      <c r="I590" s="24" t="e" cm="1" vm="1">
        <f t="array" aca="1" ref="I590" ca="1">Table18[Employer Name]</f>
        <v>#VALUE!</v>
      </c>
      <c r="J590" s="3" cm="1">
        <f t="array" ref="J59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90" s="25" t="str">
        <f>_xlfn.XLOOKUP(tblPayrollMaster[[#This Row],[Employee Position]],tblPositionandPayRate[Employee Position],tblPositionandPayRate[Overtime], " ")</f>
        <v xml:space="preserve"> </v>
      </c>
      <c r="L590" s="25">
        <f>_xlfn.XLOOKUP(tblPayrollMaster[[#This Row],[Employee Position]],tblPositionandPayRate[Employee Position],tblPositionandPayRate[Allowance 1],0)*tblPayrollMaster[[#This Row],[Pay Factor]]</f>
        <v>0</v>
      </c>
      <c r="M590" s="25">
        <f>_xlfn.XLOOKUP(tblPayrollMaster[[#This Row],[Employee Position]],tblPositionandPayRate[Employee Position],tblPositionandPayRate[Allowance 2],0)*tblPayrollMaster[[#This Row],[Pay Factor]]</f>
        <v>0</v>
      </c>
      <c r="N590" s="25">
        <f>_xlfn.XLOOKUP(tblPayrollMaster[[#This Row],[Employee Position]],tblPositionandPayRate[Employee Position],tblPositionandPayRate[Allowance 3],0)*tblPayrollMaster[[#This Row],[Pay Factor]]</f>
        <v>0</v>
      </c>
      <c r="O590" s="25">
        <f>_xlfn.XLOOKUP(tblPayrollMaster[[#This Row],[Employee Position]],tblPositionandPayRate[Employee Position],tblPositionandPayRate[Allowance 4],0)*tblPayrollMaster[[#This Row],[Pay Factor]]</f>
        <v>0</v>
      </c>
      <c r="P590" s="25">
        <f>_xlfn.XLOOKUP(tblPayrollMaster[[#This Row],[Employee Position]],tblPositionandPayRate[Employee Position],tblPositionandPayRate[Allowance 5],0)*tblPayrollMaster[[#This Row],[Pay Factor]]</f>
        <v>0</v>
      </c>
      <c r="Q590" s="25">
        <f>SUM(tblPayrollMaster[[#This Row],[Basic Pay]:[Allowance 5]])</f>
        <v>0</v>
      </c>
      <c r="R59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90" s="51" cm="1">
        <f t="array" ref="S5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90" s="3" cm="1">
        <f t="array" ref="T5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90" s="25">
        <f>_xlfn.LET(
_xlpm.tos, _xlfn.XLOOKUP(tblPayrollMaster[[#This Row],[Employee ID]], tblEmployee[Employee ID], tblEmployee[Type of Service], ""),
IF(_xlpm.tos="Contract of Service", 8.25, 0)
)</f>
        <v>0</v>
      </c>
      <c r="V590" s="25">
        <f>tblPayrollMaster[[#This Row],[Basic Earnings]]-tblPayrollMaster[[#This Row],[Tax]]-tblPayrollMaster[[#This Row],[NIS - Employee]]-tblPayrollMaster[[#This Row],[Health Surcharge]]</f>
        <v>0</v>
      </c>
      <c r="W590" s="25">
        <f>tblPayrollMaster[[#This Row],[Net Pay]]</f>
        <v>0</v>
      </c>
      <c r="X590" s="25"/>
    </row>
    <row r="591" spans="1:24" x14ac:dyDescent="0.25">
      <c r="A591" s="24"/>
      <c r="B591" s="24" t="str">
        <f>_xlfn.XLOOKUP(tblPayrollMaster[[#This Row],[Employee ID]],tblEmployee[Employee ID],tblEmployee[Employee Name],"")</f>
        <v/>
      </c>
      <c r="C591" s="24" t="str">
        <f>_xlfn.XLOOKUP(tblPayrollMaster[[#This Row],[Employee ID]],tblEmployee[Employee ID],tblEmployee[Employee Position],"")</f>
        <v/>
      </c>
      <c r="D591" s="24" t="str">
        <f>_xlfn.XLOOKUP(tblPayrollMaster[[#This Row],[Employee ID]], tblEmployee[Employee ID], tblEmployee[Pay Status], "Pay")</f>
        <v>Pay</v>
      </c>
      <c r="E591" s="24" t="str">
        <f>_xlfn.XLOOKUP(tblPayrollMaster[[#This Row],[Employee ID]], tblEmployee[Employee ID], tblEmployee[Payable Flag], "Y")</f>
        <v>Y</v>
      </c>
      <c r="F591" s="45">
        <f>IF(tblPayrollMaster[[#This Row],[Payable Flag]]="N",0,_xlfn.XLOOKUP(tblPayrollMaster[[#This Row],[Employee ID]],tblEmployee[Employee ID],tblEmployee[Pay Factor],1))</f>
        <v>1</v>
      </c>
      <c r="G591" s="26" t="str" cm="1">
        <f t="array" ref="G591">IF(tblPayrollMaster[[#This Row],[Employee ID]]="","",_xlfn.XLOOKUP(selPayPeriodID,tblPayCalendar[PayPeriodID],tblPayCalendar[PeriodStart],""))</f>
        <v/>
      </c>
      <c r="H591" s="26" t="str" cm="1">
        <f t="array" ref="H591">IF(tblPayrollMaster[[#This Row],[Employee ID]]="","",_xlfn.XLOOKUP(selPayPeriodID,tblPayCalendar[PayPeriodID],tblPayCalendar[PeriodEnd],""))</f>
        <v/>
      </c>
      <c r="I591" s="24" t="e" cm="1" vm="1">
        <f t="array" aca="1" ref="I591" ca="1">Table18[Employer Name]</f>
        <v>#VALUE!</v>
      </c>
      <c r="J591" s="3" cm="1">
        <f t="array" ref="J59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91" s="25" t="str">
        <f>_xlfn.XLOOKUP(tblPayrollMaster[[#This Row],[Employee Position]],tblPositionandPayRate[Employee Position],tblPositionandPayRate[Overtime], " ")</f>
        <v xml:space="preserve"> </v>
      </c>
      <c r="L591" s="25">
        <f>_xlfn.XLOOKUP(tblPayrollMaster[[#This Row],[Employee Position]],tblPositionandPayRate[Employee Position],tblPositionandPayRate[Allowance 1],0)*tblPayrollMaster[[#This Row],[Pay Factor]]</f>
        <v>0</v>
      </c>
      <c r="M591" s="25">
        <f>_xlfn.XLOOKUP(tblPayrollMaster[[#This Row],[Employee Position]],tblPositionandPayRate[Employee Position],tblPositionandPayRate[Allowance 2],0)*tblPayrollMaster[[#This Row],[Pay Factor]]</f>
        <v>0</v>
      </c>
      <c r="N591" s="25">
        <f>_xlfn.XLOOKUP(tblPayrollMaster[[#This Row],[Employee Position]],tblPositionandPayRate[Employee Position],tblPositionandPayRate[Allowance 3],0)*tblPayrollMaster[[#This Row],[Pay Factor]]</f>
        <v>0</v>
      </c>
      <c r="O591" s="25">
        <f>_xlfn.XLOOKUP(tblPayrollMaster[[#This Row],[Employee Position]],tblPositionandPayRate[Employee Position],tblPositionandPayRate[Allowance 4],0)*tblPayrollMaster[[#This Row],[Pay Factor]]</f>
        <v>0</v>
      </c>
      <c r="P591" s="25">
        <f>_xlfn.XLOOKUP(tblPayrollMaster[[#This Row],[Employee Position]],tblPositionandPayRate[Employee Position],tblPositionandPayRate[Allowance 5],0)*tblPayrollMaster[[#This Row],[Pay Factor]]</f>
        <v>0</v>
      </c>
      <c r="Q591" s="25">
        <f>SUM(tblPayrollMaster[[#This Row],[Basic Pay]:[Allowance 5]])</f>
        <v>0</v>
      </c>
      <c r="R59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91" s="51" cm="1">
        <f t="array" ref="S5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91" s="3" cm="1">
        <f t="array" ref="T5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91" s="25">
        <f>_xlfn.LET(
_xlpm.tos, _xlfn.XLOOKUP(tblPayrollMaster[[#This Row],[Employee ID]], tblEmployee[Employee ID], tblEmployee[Type of Service], ""),
IF(_xlpm.tos="Contract of Service", 8.25, 0)
)</f>
        <v>0</v>
      </c>
      <c r="V591" s="25">
        <f>tblPayrollMaster[[#This Row],[Basic Earnings]]-tblPayrollMaster[[#This Row],[Tax]]-tblPayrollMaster[[#This Row],[NIS - Employee]]-tblPayrollMaster[[#This Row],[Health Surcharge]]</f>
        <v>0</v>
      </c>
      <c r="W591" s="25">
        <f>tblPayrollMaster[[#This Row],[Net Pay]]</f>
        <v>0</v>
      </c>
      <c r="X591" s="25"/>
    </row>
    <row r="592" spans="1:24" x14ac:dyDescent="0.25">
      <c r="A592" s="24"/>
      <c r="B592" s="24" t="str">
        <f>_xlfn.XLOOKUP(tblPayrollMaster[[#This Row],[Employee ID]],tblEmployee[Employee ID],tblEmployee[Employee Name],"")</f>
        <v/>
      </c>
      <c r="C592" s="24" t="str">
        <f>_xlfn.XLOOKUP(tblPayrollMaster[[#This Row],[Employee ID]],tblEmployee[Employee ID],tblEmployee[Employee Position],"")</f>
        <v/>
      </c>
      <c r="D592" s="24" t="str">
        <f>_xlfn.XLOOKUP(tblPayrollMaster[[#This Row],[Employee ID]], tblEmployee[Employee ID], tblEmployee[Pay Status], "Pay")</f>
        <v>Pay</v>
      </c>
      <c r="E592" s="24" t="str">
        <f>_xlfn.XLOOKUP(tblPayrollMaster[[#This Row],[Employee ID]], tblEmployee[Employee ID], tblEmployee[Payable Flag], "Y")</f>
        <v>Y</v>
      </c>
      <c r="F592" s="45">
        <f>IF(tblPayrollMaster[[#This Row],[Payable Flag]]="N",0,_xlfn.XLOOKUP(tblPayrollMaster[[#This Row],[Employee ID]],tblEmployee[Employee ID],tblEmployee[Pay Factor],1))</f>
        <v>1</v>
      </c>
      <c r="G592" s="26" t="str" cm="1">
        <f t="array" ref="G592">IF(tblPayrollMaster[[#This Row],[Employee ID]]="","",_xlfn.XLOOKUP(selPayPeriodID,tblPayCalendar[PayPeriodID],tblPayCalendar[PeriodStart],""))</f>
        <v/>
      </c>
      <c r="H592" s="26" t="str" cm="1">
        <f t="array" ref="H592">IF(tblPayrollMaster[[#This Row],[Employee ID]]="","",_xlfn.XLOOKUP(selPayPeriodID,tblPayCalendar[PayPeriodID],tblPayCalendar[PeriodEnd],""))</f>
        <v/>
      </c>
      <c r="I592" s="24" t="e" cm="1" vm="1">
        <f t="array" aca="1" ref="I592" ca="1">Table18[Employer Name]</f>
        <v>#VALUE!</v>
      </c>
      <c r="J592" s="3" cm="1">
        <f t="array" ref="J59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92" s="25" t="str">
        <f>_xlfn.XLOOKUP(tblPayrollMaster[[#This Row],[Employee Position]],tblPositionandPayRate[Employee Position],tblPositionandPayRate[Overtime], " ")</f>
        <v xml:space="preserve"> </v>
      </c>
      <c r="L592" s="25">
        <f>_xlfn.XLOOKUP(tblPayrollMaster[[#This Row],[Employee Position]],tblPositionandPayRate[Employee Position],tblPositionandPayRate[Allowance 1],0)*tblPayrollMaster[[#This Row],[Pay Factor]]</f>
        <v>0</v>
      </c>
      <c r="M592" s="25">
        <f>_xlfn.XLOOKUP(tblPayrollMaster[[#This Row],[Employee Position]],tblPositionandPayRate[Employee Position],tblPositionandPayRate[Allowance 2],0)*tblPayrollMaster[[#This Row],[Pay Factor]]</f>
        <v>0</v>
      </c>
      <c r="N592" s="25">
        <f>_xlfn.XLOOKUP(tblPayrollMaster[[#This Row],[Employee Position]],tblPositionandPayRate[Employee Position],tblPositionandPayRate[Allowance 3],0)*tblPayrollMaster[[#This Row],[Pay Factor]]</f>
        <v>0</v>
      </c>
      <c r="O592" s="25">
        <f>_xlfn.XLOOKUP(tblPayrollMaster[[#This Row],[Employee Position]],tblPositionandPayRate[Employee Position],tblPositionandPayRate[Allowance 4],0)*tblPayrollMaster[[#This Row],[Pay Factor]]</f>
        <v>0</v>
      </c>
      <c r="P592" s="25">
        <f>_xlfn.XLOOKUP(tblPayrollMaster[[#This Row],[Employee Position]],tblPositionandPayRate[Employee Position],tblPositionandPayRate[Allowance 5],0)*tblPayrollMaster[[#This Row],[Pay Factor]]</f>
        <v>0</v>
      </c>
      <c r="Q592" s="25">
        <f>SUM(tblPayrollMaster[[#This Row],[Basic Pay]:[Allowance 5]])</f>
        <v>0</v>
      </c>
      <c r="R59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92" s="51" cm="1">
        <f t="array" ref="S5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92" s="3" cm="1">
        <f t="array" ref="T5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92" s="25">
        <f>_xlfn.LET(
_xlpm.tos, _xlfn.XLOOKUP(tblPayrollMaster[[#This Row],[Employee ID]], tblEmployee[Employee ID], tblEmployee[Type of Service], ""),
IF(_xlpm.tos="Contract of Service", 8.25, 0)
)</f>
        <v>0</v>
      </c>
      <c r="V592" s="25">
        <f>tblPayrollMaster[[#This Row],[Basic Earnings]]-tblPayrollMaster[[#This Row],[Tax]]-tblPayrollMaster[[#This Row],[NIS - Employee]]-tblPayrollMaster[[#This Row],[Health Surcharge]]</f>
        <v>0</v>
      </c>
      <c r="W592" s="25">
        <f>tblPayrollMaster[[#This Row],[Net Pay]]</f>
        <v>0</v>
      </c>
      <c r="X592" s="25"/>
    </row>
    <row r="593" spans="1:24" x14ac:dyDescent="0.25">
      <c r="A593" s="24"/>
      <c r="B593" s="24" t="str">
        <f>_xlfn.XLOOKUP(tblPayrollMaster[[#This Row],[Employee ID]],tblEmployee[Employee ID],tblEmployee[Employee Name],"")</f>
        <v/>
      </c>
      <c r="C593" s="24" t="str">
        <f>_xlfn.XLOOKUP(tblPayrollMaster[[#This Row],[Employee ID]],tblEmployee[Employee ID],tblEmployee[Employee Position],"")</f>
        <v/>
      </c>
      <c r="D593" s="24" t="str">
        <f>_xlfn.XLOOKUP(tblPayrollMaster[[#This Row],[Employee ID]], tblEmployee[Employee ID], tblEmployee[Pay Status], "Pay")</f>
        <v>Pay</v>
      </c>
      <c r="E593" s="24" t="str">
        <f>_xlfn.XLOOKUP(tblPayrollMaster[[#This Row],[Employee ID]], tblEmployee[Employee ID], tblEmployee[Payable Flag], "Y")</f>
        <v>Y</v>
      </c>
      <c r="F593" s="45">
        <f>IF(tblPayrollMaster[[#This Row],[Payable Flag]]="N",0,_xlfn.XLOOKUP(tblPayrollMaster[[#This Row],[Employee ID]],tblEmployee[Employee ID],tblEmployee[Pay Factor],1))</f>
        <v>1</v>
      </c>
      <c r="G593" s="26" t="str" cm="1">
        <f t="array" ref="G593">IF(tblPayrollMaster[[#This Row],[Employee ID]]="","",_xlfn.XLOOKUP(selPayPeriodID,tblPayCalendar[PayPeriodID],tblPayCalendar[PeriodStart],""))</f>
        <v/>
      </c>
      <c r="H593" s="26" t="str" cm="1">
        <f t="array" ref="H593">IF(tblPayrollMaster[[#This Row],[Employee ID]]="","",_xlfn.XLOOKUP(selPayPeriodID,tblPayCalendar[PayPeriodID],tblPayCalendar[PeriodEnd],""))</f>
        <v/>
      </c>
      <c r="I593" s="24" t="e" cm="1" vm="1">
        <f t="array" aca="1" ref="I593" ca="1">Table18[Employer Name]</f>
        <v>#VALUE!</v>
      </c>
      <c r="J593" s="3" cm="1">
        <f t="array" ref="J59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93" s="25" t="str">
        <f>_xlfn.XLOOKUP(tblPayrollMaster[[#This Row],[Employee Position]],tblPositionandPayRate[Employee Position],tblPositionandPayRate[Overtime], " ")</f>
        <v xml:space="preserve"> </v>
      </c>
      <c r="L593" s="25">
        <f>_xlfn.XLOOKUP(tblPayrollMaster[[#This Row],[Employee Position]],tblPositionandPayRate[Employee Position],tblPositionandPayRate[Allowance 1],0)*tblPayrollMaster[[#This Row],[Pay Factor]]</f>
        <v>0</v>
      </c>
      <c r="M593" s="25">
        <f>_xlfn.XLOOKUP(tblPayrollMaster[[#This Row],[Employee Position]],tblPositionandPayRate[Employee Position],tblPositionandPayRate[Allowance 2],0)*tblPayrollMaster[[#This Row],[Pay Factor]]</f>
        <v>0</v>
      </c>
      <c r="N593" s="25">
        <f>_xlfn.XLOOKUP(tblPayrollMaster[[#This Row],[Employee Position]],tblPositionandPayRate[Employee Position],tblPositionandPayRate[Allowance 3],0)*tblPayrollMaster[[#This Row],[Pay Factor]]</f>
        <v>0</v>
      </c>
      <c r="O593" s="25">
        <f>_xlfn.XLOOKUP(tblPayrollMaster[[#This Row],[Employee Position]],tblPositionandPayRate[Employee Position],tblPositionandPayRate[Allowance 4],0)*tblPayrollMaster[[#This Row],[Pay Factor]]</f>
        <v>0</v>
      </c>
      <c r="P593" s="25">
        <f>_xlfn.XLOOKUP(tblPayrollMaster[[#This Row],[Employee Position]],tblPositionandPayRate[Employee Position],tblPositionandPayRate[Allowance 5],0)*tblPayrollMaster[[#This Row],[Pay Factor]]</f>
        <v>0</v>
      </c>
      <c r="Q593" s="25">
        <f>SUM(tblPayrollMaster[[#This Row],[Basic Pay]:[Allowance 5]])</f>
        <v>0</v>
      </c>
      <c r="R59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93" s="51" cm="1">
        <f t="array" ref="S5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93" s="3" cm="1">
        <f t="array" ref="T5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93" s="25">
        <f>_xlfn.LET(
_xlpm.tos, _xlfn.XLOOKUP(tblPayrollMaster[[#This Row],[Employee ID]], tblEmployee[Employee ID], tblEmployee[Type of Service], ""),
IF(_xlpm.tos="Contract of Service", 8.25, 0)
)</f>
        <v>0</v>
      </c>
      <c r="V593" s="25">
        <f>tblPayrollMaster[[#This Row],[Basic Earnings]]-tblPayrollMaster[[#This Row],[Tax]]-tblPayrollMaster[[#This Row],[NIS - Employee]]-tblPayrollMaster[[#This Row],[Health Surcharge]]</f>
        <v>0</v>
      </c>
      <c r="W593" s="25">
        <f>tblPayrollMaster[[#This Row],[Net Pay]]</f>
        <v>0</v>
      </c>
      <c r="X593" s="25"/>
    </row>
    <row r="594" spans="1:24" x14ac:dyDescent="0.25">
      <c r="A594" s="24"/>
      <c r="B594" s="24" t="str">
        <f>_xlfn.XLOOKUP(tblPayrollMaster[[#This Row],[Employee ID]],tblEmployee[Employee ID],tblEmployee[Employee Name],"")</f>
        <v/>
      </c>
      <c r="C594" s="24" t="str">
        <f>_xlfn.XLOOKUP(tblPayrollMaster[[#This Row],[Employee ID]],tblEmployee[Employee ID],tblEmployee[Employee Position],"")</f>
        <v/>
      </c>
      <c r="D594" s="24" t="str">
        <f>_xlfn.XLOOKUP(tblPayrollMaster[[#This Row],[Employee ID]], tblEmployee[Employee ID], tblEmployee[Pay Status], "Pay")</f>
        <v>Pay</v>
      </c>
      <c r="E594" s="24" t="str">
        <f>_xlfn.XLOOKUP(tblPayrollMaster[[#This Row],[Employee ID]], tblEmployee[Employee ID], tblEmployee[Payable Flag], "Y")</f>
        <v>Y</v>
      </c>
      <c r="F594" s="45">
        <f>IF(tblPayrollMaster[[#This Row],[Payable Flag]]="N",0,_xlfn.XLOOKUP(tblPayrollMaster[[#This Row],[Employee ID]],tblEmployee[Employee ID],tblEmployee[Pay Factor],1))</f>
        <v>1</v>
      </c>
      <c r="G594" s="26" t="str" cm="1">
        <f t="array" ref="G594">IF(tblPayrollMaster[[#This Row],[Employee ID]]="","",_xlfn.XLOOKUP(selPayPeriodID,tblPayCalendar[PayPeriodID],tblPayCalendar[PeriodStart],""))</f>
        <v/>
      </c>
      <c r="H594" s="26" t="str" cm="1">
        <f t="array" ref="H594">IF(tblPayrollMaster[[#This Row],[Employee ID]]="","",_xlfn.XLOOKUP(selPayPeriodID,tblPayCalendar[PayPeriodID],tblPayCalendar[PeriodEnd],""))</f>
        <v/>
      </c>
      <c r="I594" s="24" t="e" cm="1" vm="1">
        <f t="array" aca="1" ref="I594" ca="1">Table18[Employer Name]</f>
        <v>#VALUE!</v>
      </c>
      <c r="J594" s="3" cm="1">
        <f t="array" ref="J59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94" s="25" t="str">
        <f>_xlfn.XLOOKUP(tblPayrollMaster[[#This Row],[Employee Position]],tblPositionandPayRate[Employee Position],tblPositionandPayRate[Overtime], " ")</f>
        <v xml:space="preserve"> </v>
      </c>
      <c r="L594" s="25">
        <f>_xlfn.XLOOKUP(tblPayrollMaster[[#This Row],[Employee Position]],tblPositionandPayRate[Employee Position],tblPositionandPayRate[Allowance 1],0)*tblPayrollMaster[[#This Row],[Pay Factor]]</f>
        <v>0</v>
      </c>
      <c r="M594" s="25">
        <f>_xlfn.XLOOKUP(tblPayrollMaster[[#This Row],[Employee Position]],tblPositionandPayRate[Employee Position],tblPositionandPayRate[Allowance 2],0)*tblPayrollMaster[[#This Row],[Pay Factor]]</f>
        <v>0</v>
      </c>
      <c r="N594" s="25">
        <f>_xlfn.XLOOKUP(tblPayrollMaster[[#This Row],[Employee Position]],tblPositionandPayRate[Employee Position],tblPositionandPayRate[Allowance 3],0)*tblPayrollMaster[[#This Row],[Pay Factor]]</f>
        <v>0</v>
      </c>
      <c r="O594" s="25">
        <f>_xlfn.XLOOKUP(tblPayrollMaster[[#This Row],[Employee Position]],tblPositionandPayRate[Employee Position],tblPositionandPayRate[Allowance 4],0)*tblPayrollMaster[[#This Row],[Pay Factor]]</f>
        <v>0</v>
      </c>
      <c r="P594" s="25">
        <f>_xlfn.XLOOKUP(tblPayrollMaster[[#This Row],[Employee Position]],tblPositionandPayRate[Employee Position],tblPositionandPayRate[Allowance 5],0)*tblPayrollMaster[[#This Row],[Pay Factor]]</f>
        <v>0</v>
      </c>
      <c r="Q594" s="25">
        <f>SUM(tblPayrollMaster[[#This Row],[Basic Pay]:[Allowance 5]])</f>
        <v>0</v>
      </c>
      <c r="R59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94" s="51" cm="1">
        <f t="array" ref="S5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94" s="3" cm="1">
        <f t="array" ref="T5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94" s="25">
        <f>_xlfn.LET(
_xlpm.tos, _xlfn.XLOOKUP(tblPayrollMaster[[#This Row],[Employee ID]], tblEmployee[Employee ID], tblEmployee[Type of Service], ""),
IF(_xlpm.tos="Contract of Service", 8.25, 0)
)</f>
        <v>0</v>
      </c>
      <c r="V594" s="25">
        <f>tblPayrollMaster[[#This Row],[Basic Earnings]]-tblPayrollMaster[[#This Row],[Tax]]-tblPayrollMaster[[#This Row],[NIS - Employee]]-tblPayrollMaster[[#This Row],[Health Surcharge]]</f>
        <v>0</v>
      </c>
      <c r="W594" s="25">
        <f>tblPayrollMaster[[#This Row],[Net Pay]]</f>
        <v>0</v>
      </c>
      <c r="X594" s="25"/>
    </row>
    <row r="595" spans="1:24" x14ac:dyDescent="0.25">
      <c r="A595" s="24"/>
      <c r="B595" s="24" t="str">
        <f>_xlfn.XLOOKUP(tblPayrollMaster[[#This Row],[Employee ID]],tblEmployee[Employee ID],tblEmployee[Employee Name],"")</f>
        <v/>
      </c>
      <c r="C595" s="24" t="str">
        <f>_xlfn.XLOOKUP(tblPayrollMaster[[#This Row],[Employee ID]],tblEmployee[Employee ID],tblEmployee[Employee Position],"")</f>
        <v/>
      </c>
      <c r="D595" s="24" t="str">
        <f>_xlfn.XLOOKUP(tblPayrollMaster[[#This Row],[Employee ID]], tblEmployee[Employee ID], tblEmployee[Pay Status], "Pay")</f>
        <v>Pay</v>
      </c>
      <c r="E595" s="24" t="str">
        <f>_xlfn.XLOOKUP(tblPayrollMaster[[#This Row],[Employee ID]], tblEmployee[Employee ID], tblEmployee[Payable Flag], "Y")</f>
        <v>Y</v>
      </c>
      <c r="F595" s="45">
        <f>IF(tblPayrollMaster[[#This Row],[Payable Flag]]="N",0,_xlfn.XLOOKUP(tblPayrollMaster[[#This Row],[Employee ID]],tblEmployee[Employee ID],tblEmployee[Pay Factor],1))</f>
        <v>1</v>
      </c>
      <c r="G595" s="26" t="str" cm="1">
        <f t="array" ref="G595">IF(tblPayrollMaster[[#This Row],[Employee ID]]="","",_xlfn.XLOOKUP(selPayPeriodID,tblPayCalendar[PayPeriodID],tblPayCalendar[PeriodStart],""))</f>
        <v/>
      </c>
      <c r="H595" s="26" t="str" cm="1">
        <f t="array" ref="H595">IF(tblPayrollMaster[[#This Row],[Employee ID]]="","",_xlfn.XLOOKUP(selPayPeriodID,tblPayCalendar[PayPeriodID],tblPayCalendar[PeriodEnd],""))</f>
        <v/>
      </c>
      <c r="I595" s="24" t="e" cm="1" vm="1">
        <f t="array" aca="1" ref="I595" ca="1">Table18[Employer Name]</f>
        <v>#VALUE!</v>
      </c>
      <c r="J595" s="3" cm="1">
        <f t="array" ref="J59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95" s="25" t="str">
        <f>_xlfn.XLOOKUP(tblPayrollMaster[[#This Row],[Employee Position]],tblPositionandPayRate[Employee Position],tblPositionandPayRate[Overtime], " ")</f>
        <v xml:space="preserve"> </v>
      </c>
      <c r="L595" s="25">
        <f>_xlfn.XLOOKUP(tblPayrollMaster[[#This Row],[Employee Position]],tblPositionandPayRate[Employee Position],tblPositionandPayRate[Allowance 1],0)*tblPayrollMaster[[#This Row],[Pay Factor]]</f>
        <v>0</v>
      </c>
      <c r="M595" s="25">
        <f>_xlfn.XLOOKUP(tblPayrollMaster[[#This Row],[Employee Position]],tblPositionandPayRate[Employee Position],tblPositionandPayRate[Allowance 2],0)*tblPayrollMaster[[#This Row],[Pay Factor]]</f>
        <v>0</v>
      </c>
      <c r="N595" s="25">
        <f>_xlfn.XLOOKUP(tblPayrollMaster[[#This Row],[Employee Position]],tblPositionandPayRate[Employee Position],tblPositionandPayRate[Allowance 3],0)*tblPayrollMaster[[#This Row],[Pay Factor]]</f>
        <v>0</v>
      </c>
      <c r="O595" s="25">
        <f>_xlfn.XLOOKUP(tblPayrollMaster[[#This Row],[Employee Position]],tblPositionandPayRate[Employee Position],tblPositionandPayRate[Allowance 4],0)*tblPayrollMaster[[#This Row],[Pay Factor]]</f>
        <v>0</v>
      </c>
      <c r="P595" s="25">
        <f>_xlfn.XLOOKUP(tblPayrollMaster[[#This Row],[Employee Position]],tblPositionandPayRate[Employee Position],tblPositionandPayRate[Allowance 5],0)*tblPayrollMaster[[#This Row],[Pay Factor]]</f>
        <v>0</v>
      </c>
      <c r="Q595" s="25">
        <f>SUM(tblPayrollMaster[[#This Row],[Basic Pay]:[Allowance 5]])</f>
        <v>0</v>
      </c>
      <c r="R59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95" s="51" cm="1">
        <f t="array" ref="S5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95" s="3" cm="1">
        <f t="array" ref="T5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95" s="25">
        <f>_xlfn.LET(
_xlpm.tos, _xlfn.XLOOKUP(tblPayrollMaster[[#This Row],[Employee ID]], tblEmployee[Employee ID], tblEmployee[Type of Service], ""),
IF(_xlpm.tos="Contract of Service", 8.25, 0)
)</f>
        <v>0</v>
      </c>
      <c r="V595" s="25">
        <f>tblPayrollMaster[[#This Row],[Basic Earnings]]-tblPayrollMaster[[#This Row],[Tax]]-tblPayrollMaster[[#This Row],[NIS - Employee]]-tblPayrollMaster[[#This Row],[Health Surcharge]]</f>
        <v>0</v>
      </c>
      <c r="W595" s="25">
        <f>tblPayrollMaster[[#This Row],[Net Pay]]</f>
        <v>0</v>
      </c>
      <c r="X595" s="25"/>
    </row>
    <row r="596" spans="1:24" x14ac:dyDescent="0.25">
      <c r="A596" s="24"/>
      <c r="B596" s="24" t="str">
        <f>_xlfn.XLOOKUP(tblPayrollMaster[[#This Row],[Employee ID]],tblEmployee[Employee ID],tblEmployee[Employee Name],"")</f>
        <v/>
      </c>
      <c r="C596" s="24" t="str">
        <f>_xlfn.XLOOKUP(tblPayrollMaster[[#This Row],[Employee ID]],tblEmployee[Employee ID],tblEmployee[Employee Position],"")</f>
        <v/>
      </c>
      <c r="D596" s="24" t="str">
        <f>_xlfn.XLOOKUP(tblPayrollMaster[[#This Row],[Employee ID]], tblEmployee[Employee ID], tblEmployee[Pay Status], "Pay")</f>
        <v>Pay</v>
      </c>
      <c r="E596" s="24" t="str">
        <f>_xlfn.XLOOKUP(tblPayrollMaster[[#This Row],[Employee ID]], tblEmployee[Employee ID], tblEmployee[Payable Flag], "Y")</f>
        <v>Y</v>
      </c>
      <c r="F596" s="45">
        <f>IF(tblPayrollMaster[[#This Row],[Payable Flag]]="N",0,_xlfn.XLOOKUP(tblPayrollMaster[[#This Row],[Employee ID]],tblEmployee[Employee ID],tblEmployee[Pay Factor],1))</f>
        <v>1</v>
      </c>
      <c r="G596" s="26" t="str" cm="1">
        <f t="array" ref="G596">IF(tblPayrollMaster[[#This Row],[Employee ID]]="","",_xlfn.XLOOKUP(selPayPeriodID,tblPayCalendar[PayPeriodID],tblPayCalendar[PeriodStart],""))</f>
        <v/>
      </c>
      <c r="H596" s="26" t="str" cm="1">
        <f t="array" ref="H596">IF(tblPayrollMaster[[#This Row],[Employee ID]]="","",_xlfn.XLOOKUP(selPayPeriodID,tblPayCalendar[PayPeriodID],tblPayCalendar[PeriodEnd],""))</f>
        <v/>
      </c>
      <c r="I596" s="24" t="e" cm="1" vm="1">
        <f t="array" aca="1" ref="I596" ca="1">Table18[Employer Name]</f>
        <v>#VALUE!</v>
      </c>
      <c r="J596" s="3" cm="1">
        <f t="array" ref="J59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96" s="25" t="str">
        <f>_xlfn.XLOOKUP(tblPayrollMaster[[#This Row],[Employee Position]],tblPositionandPayRate[Employee Position],tblPositionandPayRate[Overtime], " ")</f>
        <v xml:space="preserve"> </v>
      </c>
      <c r="L596" s="25">
        <f>_xlfn.XLOOKUP(tblPayrollMaster[[#This Row],[Employee Position]],tblPositionandPayRate[Employee Position],tblPositionandPayRate[Allowance 1],0)*tblPayrollMaster[[#This Row],[Pay Factor]]</f>
        <v>0</v>
      </c>
      <c r="M596" s="25">
        <f>_xlfn.XLOOKUP(tblPayrollMaster[[#This Row],[Employee Position]],tblPositionandPayRate[Employee Position],tblPositionandPayRate[Allowance 2],0)*tblPayrollMaster[[#This Row],[Pay Factor]]</f>
        <v>0</v>
      </c>
      <c r="N596" s="25">
        <f>_xlfn.XLOOKUP(tblPayrollMaster[[#This Row],[Employee Position]],tblPositionandPayRate[Employee Position],tblPositionandPayRate[Allowance 3],0)*tblPayrollMaster[[#This Row],[Pay Factor]]</f>
        <v>0</v>
      </c>
      <c r="O596" s="25">
        <f>_xlfn.XLOOKUP(tblPayrollMaster[[#This Row],[Employee Position]],tblPositionandPayRate[Employee Position],tblPositionandPayRate[Allowance 4],0)*tblPayrollMaster[[#This Row],[Pay Factor]]</f>
        <v>0</v>
      </c>
      <c r="P596" s="25">
        <f>_xlfn.XLOOKUP(tblPayrollMaster[[#This Row],[Employee Position]],tblPositionandPayRate[Employee Position],tblPositionandPayRate[Allowance 5],0)*tblPayrollMaster[[#This Row],[Pay Factor]]</f>
        <v>0</v>
      </c>
      <c r="Q596" s="25">
        <f>SUM(tblPayrollMaster[[#This Row],[Basic Pay]:[Allowance 5]])</f>
        <v>0</v>
      </c>
      <c r="R59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96" s="51" cm="1">
        <f t="array" ref="S5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96" s="3" cm="1">
        <f t="array" ref="T5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96" s="25">
        <f>_xlfn.LET(
_xlpm.tos, _xlfn.XLOOKUP(tblPayrollMaster[[#This Row],[Employee ID]], tblEmployee[Employee ID], tblEmployee[Type of Service], ""),
IF(_xlpm.tos="Contract of Service", 8.25, 0)
)</f>
        <v>0</v>
      </c>
      <c r="V596" s="25">
        <f>tblPayrollMaster[[#This Row],[Basic Earnings]]-tblPayrollMaster[[#This Row],[Tax]]-tblPayrollMaster[[#This Row],[NIS - Employee]]-tblPayrollMaster[[#This Row],[Health Surcharge]]</f>
        <v>0</v>
      </c>
      <c r="W596" s="25">
        <f>tblPayrollMaster[[#This Row],[Net Pay]]</f>
        <v>0</v>
      </c>
      <c r="X596" s="25"/>
    </row>
    <row r="597" spans="1:24" x14ac:dyDescent="0.25">
      <c r="A597" s="24"/>
      <c r="B597" s="24" t="str">
        <f>_xlfn.XLOOKUP(tblPayrollMaster[[#This Row],[Employee ID]],tblEmployee[Employee ID],tblEmployee[Employee Name],"")</f>
        <v/>
      </c>
      <c r="C597" s="24" t="str">
        <f>_xlfn.XLOOKUP(tblPayrollMaster[[#This Row],[Employee ID]],tblEmployee[Employee ID],tblEmployee[Employee Position],"")</f>
        <v/>
      </c>
      <c r="D597" s="24" t="str">
        <f>_xlfn.XLOOKUP(tblPayrollMaster[[#This Row],[Employee ID]], tblEmployee[Employee ID], tblEmployee[Pay Status], "Pay")</f>
        <v>Pay</v>
      </c>
      <c r="E597" s="24" t="str">
        <f>_xlfn.XLOOKUP(tblPayrollMaster[[#This Row],[Employee ID]], tblEmployee[Employee ID], tblEmployee[Payable Flag], "Y")</f>
        <v>Y</v>
      </c>
      <c r="F597" s="45">
        <f>IF(tblPayrollMaster[[#This Row],[Payable Flag]]="N",0,_xlfn.XLOOKUP(tblPayrollMaster[[#This Row],[Employee ID]],tblEmployee[Employee ID],tblEmployee[Pay Factor],1))</f>
        <v>1</v>
      </c>
      <c r="G597" s="26" t="str" cm="1">
        <f t="array" ref="G597">IF(tblPayrollMaster[[#This Row],[Employee ID]]="","",_xlfn.XLOOKUP(selPayPeriodID,tblPayCalendar[PayPeriodID],tblPayCalendar[PeriodStart],""))</f>
        <v/>
      </c>
      <c r="H597" s="26" t="str" cm="1">
        <f t="array" ref="H597">IF(tblPayrollMaster[[#This Row],[Employee ID]]="","",_xlfn.XLOOKUP(selPayPeriodID,tblPayCalendar[PayPeriodID],tblPayCalendar[PeriodEnd],""))</f>
        <v/>
      </c>
      <c r="I597" s="24" t="e" cm="1" vm="1">
        <f t="array" aca="1" ref="I597" ca="1">Table18[Employer Name]</f>
        <v>#VALUE!</v>
      </c>
      <c r="J597" s="3" cm="1">
        <f t="array" ref="J59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97" s="25" t="str">
        <f>_xlfn.XLOOKUP(tblPayrollMaster[[#This Row],[Employee Position]],tblPositionandPayRate[Employee Position],tblPositionandPayRate[Overtime], " ")</f>
        <v xml:space="preserve"> </v>
      </c>
      <c r="L597" s="25">
        <f>_xlfn.XLOOKUP(tblPayrollMaster[[#This Row],[Employee Position]],tblPositionandPayRate[Employee Position],tblPositionandPayRate[Allowance 1],0)*tblPayrollMaster[[#This Row],[Pay Factor]]</f>
        <v>0</v>
      </c>
      <c r="M597" s="25">
        <f>_xlfn.XLOOKUP(tblPayrollMaster[[#This Row],[Employee Position]],tblPositionandPayRate[Employee Position],tblPositionandPayRate[Allowance 2],0)*tblPayrollMaster[[#This Row],[Pay Factor]]</f>
        <v>0</v>
      </c>
      <c r="N597" s="25">
        <f>_xlfn.XLOOKUP(tblPayrollMaster[[#This Row],[Employee Position]],tblPositionandPayRate[Employee Position],tblPositionandPayRate[Allowance 3],0)*tblPayrollMaster[[#This Row],[Pay Factor]]</f>
        <v>0</v>
      </c>
      <c r="O597" s="25">
        <f>_xlfn.XLOOKUP(tblPayrollMaster[[#This Row],[Employee Position]],tblPositionandPayRate[Employee Position],tblPositionandPayRate[Allowance 4],0)*tblPayrollMaster[[#This Row],[Pay Factor]]</f>
        <v>0</v>
      </c>
      <c r="P597" s="25">
        <f>_xlfn.XLOOKUP(tblPayrollMaster[[#This Row],[Employee Position]],tblPositionandPayRate[Employee Position],tblPositionandPayRate[Allowance 5],0)*tblPayrollMaster[[#This Row],[Pay Factor]]</f>
        <v>0</v>
      </c>
      <c r="Q597" s="25">
        <f>SUM(tblPayrollMaster[[#This Row],[Basic Pay]:[Allowance 5]])</f>
        <v>0</v>
      </c>
      <c r="R59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97" s="51" cm="1">
        <f t="array" ref="S5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97" s="3" cm="1">
        <f t="array" ref="T5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97" s="25">
        <f>_xlfn.LET(
_xlpm.tos, _xlfn.XLOOKUP(tblPayrollMaster[[#This Row],[Employee ID]], tblEmployee[Employee ID], tblEmployee[Type of Service], ""),
IF(_xlpm.tos="Contract of Service", 8.25, 0)
)</f>
        <v>0</v>
      </c>
      <c r="V597" s="25">
        <f>tblPayrollMaster[[#This Row],[Basic Earnings]]-tblPayrollMaster[[#This Row],[Tax]]-tblPayrollMaster[[#This Row],[NIS - Employee]]-tblPayrollMaster[[#This Row],[Health Surcharge]]</f>
        <v>0</v>
      </c>
      <c r="W597" s="25">
        <f>tblPayrollMaster[[#This Row],[Net Pay]]</f>
        <v>0</v>
      </c>
      <c r="X597" s="25"/>
    </row>
    <row r="598" spans="1:24" x14ac:dyDescent="0.25">
      <c r="A598" s="24"/>
      <c r="B598" s="24" t="str">
        <f>_xlfn.XLOOKUP(tblPayrollMaster[[#This Row],[Employee ID]],tblEmployee[Employee ID],tblEmployee[Employee Name],"")</f>
        <v/>
      </c>
      <c r="C598" s="24" t="str">
        <f>_xlfn.XLOOKUP(tblPayrollMaster[[#This Row],[Employee ID]],tblEmployee[Employee ID],tblEmployee[Employee Position],"")</f>
        <v/>
      </c>
      <c r="D598" s="24" t="str">
        <f>_xlfn.XLOOKUP(tblPayrollMaster[[#This Row],[Employee ID]], tblEmployee[Employee ID], tblEmployee[Pay Status], "Pay")</f>
        <v>Pay</v>
      </c>
      <c r="E598" s="24" t="str">
        <f>_xlfn.XLOOKUP(tblPayrollMaster[[#This Row],[Employee ID]], tblEmployee[Employee ID], tblEmployee[Payable Flag], "Y")</f>
        <v>Y</v>
      </c>
      <c r="F598" s="45">
        <f>IF(tblPayrollMaster[[#This Row],[Payable Flag]]="N",0,_xlfn.XLOOKUP(tblPayrollMaster[[#This Row],[Employee ID]],tblEmployee[Employee ID],tblEmployee[Pay Factor],1))</f>
        <v>1</v>
      </c>
      <c r="G598" s="26" t="str" cm="1">
        <f t="array" ref="G598">IF(tblPayrollMaster[[#This Row],[Employee ID]]="","",_xlfn.XLOOKUP(selPayPeriodID,tblPayCalendar[PayPeriodID],tblPayCalendar[PeriodStart],""))</f>
        <v/>
      </c>
      <c r="H598" s="26" t="str" cm="1">
        <f t="array" ref="H598">IF(tblPayrollMaster[[#This Row],[Employee ID]]="","",_xlfn.XLOOKUP(selPayPeriodID,tblPayCalendar[PayPeriodID],tblPayCalendar[PeriodEnd],""))</f>
        <v/>
      </c>
      <c r="I598" s="24" t="e" cm="1" vm="1">
        <f t="array" aca="1" ref="I598" ca="1">Table18[Employer Name]</f>
        <v>#VALUE!</v>
      </c>
      <c r="J598" s="3" cm="1">
        <f t="array" ref="J59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98" s="25" t="str">
        <f>_xlfn.XLOOKUP(tblPayrollMaster[[#This Row],[Employee Position]],tblPositionandPayRate[Employee Position],tblPositionandPayRate[Overtime], " ")</f>
        <v xml:space="preserve"> </v>
      </c>
      <c r="L598" s="25">
        <f>_xlfn.XLOOKUP(tblPayrollMaster[[#This Row],[Employee Position]],tblPositionandPayRate[Employee Position],tblPositionandPayRate[Allowance 1],0)*tblPayrollMaster[[#This Row],[Pay Factor]]</f>
        <v>0</v>
      </c>
      <c r="M598" s="25">
        <f>_xlfn.XLOOKUP(tblPayrollMaster[[#This Row],[Employee Position]],tblPositionandPayRate[Employee Position],tblPositionandPayRate[Allowance 2],0)*tblPayrollMaster[[#This Row],[Pay Factor]]</f>
        <v>0</v>
      </c>
      <c r="N598" s="25">
        <f>_xlfn.XLOOKUP(tblPayrollMaster[[#This Row],[Employee Position]],tblPositionandPayRate[Employee Position],tblPositionandPayRate[Allowance 3],0)*tblPayrollMaster[[#This Row],[Pay Factor]]</f>
        <v>0</v>
      </c>
      <c r="O598" s="25">
        <f>_xlfn.XLOOKUP(tblPayrollMaster[[#This Row],[Employee Position]],tblPositionandPayRate[Employee Position],tblPositionandPayRate[Allowance 4],0)*tblPayrollMaster[[#This Row],[Pay Factor]]</f>
        <v>0</v>
      </c>
      <c r="P598" s="25">
        <f>_xlfn.XLOOKUP(tblPayrollMaster[[#This Row],[Employee Position]],tblPositionandPayRate[Employee Position],tblPositionandPayRate[Allowance 5],0)*tblPayrollMaster[[#This Row],[Pay Factor]]</f>
        <v>0</v>
      </c>
      <c r="Q598" s="25">
        <f>SUM(tblPayrollMaster[[#This Row],[Basic Pay]:[Allowance 5]])</f>
        <v>0</v>
      </c>
      <c r="R59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98" s="51" cm="1">
        <f t="array" ref="S5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98" s="3" cm="1">
        <f t="array" ref="T5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98" s="25">
        <f>_xlfn.LET(
_xlpm.tos, _xlfn.XLOOKUP(tblPayrollMaster[[#This Row],[Employee ID]], tblEmployee[Employee ID], tblEmployee[Type of Service], ""),
IF(_xlpm.tos="Contract of Service", 8.25, 0)
)</f>
        <v>0</v>
      </c>
      <c r="V598" s="25">
        <f>tblPayrollMaster[[#This Row],[Basic Earnings]]-tblPayrollMaster[[#This Row],[Tax]]-tblPayrollMaster[[#This Row],[NIS - Employee]]-tblPayrollMaster[[#This Row],[Health Surcharge]]</f>
        <v>0</v>
      </c>
      <c r="W598" s="25">
        <f>tblPayrollMaster[[#This Row],[Net Pay]]</f>
        <v>0</v>
      </c>
      <c r="X598" s="25"/>
    </row>
    <row r="599" spans="1:24" x14ac:dyDescent="0.25">
      <c r="A599" s="24"/>
      <c r="B599" s="24" t="str">
        <f>_xlfn.XLOOKUP(tblPayrollMaster[[#This Row],[Employee ID]],tblEmployee[Employee ID],tblEmployee[Employee Name],"")</f>
        <v/>
      </c>
      <c r="C599" s="24" t="str">
        <f>_xlfn.XLOOKUP(tblPayrollMaster[[#This Row],[Employee ID]],tblEmployee[Employee ID],tblEmployee[Employee Position],"")</f>
        <v/>
      </c>
      <c r="D599" s="24" t="str">
        <f>_xlfn.XLOOKUP(tblPayrollMaster[[#This Row],[Employee ID]], tblEmployee[Employee ID], tblEmployee[Pay Status], "Pay")</f>
        <v>Pay</v>
      </c>
      <c r="E599" s="24" t="str">
        <f>_xlfn.XLOOKUP(tblPayrollMaster[[#This Row],[Employee ID]], tblEmployee[Employee ID], tblEmployee[Payable Flag], "Y")</f>
        <v>Y</v>
      </c>
      <c r="F599" s="45">
        <f>IF(tblPayrollMaster[[#This Row],[Payable Flag]]="N",0,_xlfn.XLOOKUP(tblPayrollMaster[[#This Row],[Employee ID]],tblEmployee[Employee ID],tblEmployee[Pay Factor],1))</f>
        <v>1</v>
      </c>
      <c r="G599" s="26" t="str" cm="1">
        <f t="array" ref="G599">IF(tblPayrollMaster[[#This Row],[Employee ID]]="","",_xlfn.XLOOKUP(selPayPeriodID,tblPayCalendar[PayPeriodID],tblPayCalendar[PeriodStart],""))</f>
        <v/>
      </c>
      <c r="H599" s="26" t="str" cm="1">
        <f t="array" ref="H599">IF(tblPayrollMaster[[#This Row],[Employee ID]]="","",_xlfn.XLOOKUP(selPayPeriodID,tblPayCalendar[PayPeriodID],tblPayCalendar[PeriodEnd],""))</f>
        <v/>
      </c>
      <c r="I599" s="24" t="e" cm="1" vm="1">
        <f t="array" aca="1" ref="I599" ca="1">Table18[Employer Name]</f>
        <v>#VALUE!</v>
      </c>
      <c r="J599" s="3" cm="1">
        <f t="array" ref="J59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599" s="25" t="str">
        <f>_xlfn.XLOOKUP(tblPayrollMaster[[#This Row],[Employee Position]],tblPositionandPayRate[Employee Position],tblPositionandPayRate[Overtime], " ")</f>
        <v xml:space="preserve"> </v>
      </c>
      <c r="L599" s="25">
        <f>_xlfn.XLOOKUP(tblPayrollMaster[[#This Row],[Employee Position]],tblPositionandPayRate[Employee Position],tblPositionandPayRate[Allowance 1],0)*tblPayrollMaster[[#This Row],[Pay Factor]]</f>
        <v>0</v>
      </c>
      <c r="M599" s="25">
        <f>_xlfn.XLOOKUP(tblPayrollMaster[[#This Row],[Employee Position]],tblPositionandPayRate[Employee Position],tblPositionandPayRate[Allowance 2],0)*tblPayrollMaster[[#This Row],[Pay Factor]]</f>
        <v>0</v>
      </c>
      <c r="N599" s="25">
        <f>_xlfn.XLOOKUP(tblPayrollMaster[[#This Row],[Employee Position]],tblPositionandPayRate[Employee Position],tblPositionandPayRate[Allowance 3],0)*tblPayrollMaster[[#This Row],[Pay Factor]]</f>
        <v>0</v>
      </c>
      <c r="O599" s="25">
        <f>_xlfn.XLOOKUP(tblPayrollMaster[[#This Row],[Employee Position]],tblPositionandPayRate[Employee Position],tblPositionandPayRate[Allowance 4],0)*tblPayrollMaster[[#This Row],[Pay Factor]]</f>
        <v>0</v>
      </c>
      <c r="P599" s="25">
        <f>_xlfn.XLOOKUP(tblPayrollMaster[[#This Row],[Employee Position]],tblPositionandPayRate[Employee Position],tblPositionandPayRate[Allowance 5],0)*tblPayrollMaster[[#This Row],[Pay Factor]]</f>
        <v>0</v>
      </c>
      <c r="Q599" s="25">
        <f>SUM(tblPayrollMaster[[#This Row],[Basic Pay]:[Allowance 5]])</f>
        <v>0</v>
      </c>
      <c r="R59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599" s="51" cm="1">
        <f t="array" ref="S5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599" s="3" cm="1">
        <f t="array" ref="T5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599" s="25">
        <f>_xlfn.LET(
_xlpm.tos, _xlfn.XLOOKUP(tblPayrollMaster[[#This Row],[Employee ID]], tblEmployee[Employee ID], tblEmployee[Type of Service], ""),
IF(_xlpm.tos="Contract of Service", 8.25, 0)
)</f>
        <v>0</v>
      </c>
      <c r="V599" s="25">
        <f>tblPayrollMaster[[#This Row],[Basic Earnings]]-tblPayrollMaster[[#This Row],[Tax]]-tblPayrollMaster[[#This Row],[NIS - Employee]]-tblPayrollMaster[[#This Row],[Health Surcharge]]</f>
        <v>0</v>
      </c>
      <c r="W599" s="25">
        <f>tblPayrollMaster[[#This Row],[Net Pay]]</f>
        <v>0</v>
      </c>
      <c r="X599" s="25"/>
    </row>
    <row r="600" spans="1:24" x14ac:dyDescent="0.25">
      <c r="A600" s="24"/>
      <c r="B600" s="24" t="str">
        <f>_xlfn.XLOOKUP(tblPayrollMaster[[#This Row],[Employee ID]],tblEmployee[Employee ID],tblEmployee[Employee Name],"")</f>
        <v/>
      </c>
      <c r="C600" s="24" t="str">
        <f>_xlfn.XLOOKUP(tblPayrollMaster[[#This Row],[Employee ID]],tblEmployee[Employee ID],tblEmployee[Employee Position],"")</f>
        <v/>
      </c>
      <c r="D600" s="24" t="str">
        <f>_xlfn.XLOOKUP(tblPayrollMaster[[#This Row],[Employee ID]], tblEmployee[Employee ID], tblEmployee[Pay Status], "Pay")</f>
        <v>Pay</v>
      </c>
      <c r="E600" s="24" t="str">
        <f>_xlfn.XLOOKUP(tblPayrollMaster[[#This Row],[Employee ID]], tblEmployee[Employee ID], tblEmployee[Payable Flag], "Y")</f>
        <v>Y</v>
      </c>
      <c r="F600" s="45">
        <f>IF(tblPayrollMaster[[#This Row],[Payable Flag]]="N",0,_xlfn.XLOOKUP(tblPayrollMaster[[#This Row],[Employee ID]],tblEmployee[Employee ID],tblEmployee[Pay Factor],1))</f>
        <v>1</v>
      </c>
      <c r="G600" s="26" t="str" cm="1">
        <f t="array" ref="G600">IF(tblPayrollMaster[[#This Row],[Employee ID]]="","",_xlfn.XLOOKUP(selPayPeriodID,tblPayCalendar[PayPeriodID],tblPayCalendar[PeriodStart],""))</f>
        <v/>
      </c>
      <c r="H600" s="26" t="str" cm="1">
        <f t="array" ref="H600">IF(tblPayrollMaster[[#This Row],[Employee ID]]="","",_xlfn.XLOOKUP(selPayPeriodID,tblPayCalendar[PayPeriodID],tblPayCalendar[PeriodEnd],""))</f>
        <v/>
      </c>
      <c r="I600" s="24" t="e" cm="1" vm="1">
        <f t="array" aca="1" ref="I600" ca="1">Table18[Employer Name]</f>
        <v>#VALUE!</v>
      </c>
      <c r="J600" s="3" cm="1">
        <f t="array" ref="J60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00" s="25" t="str">
        <f>_xlfn.XLOOKUP(tblPayrollMaster[[#This Row],[Employee Position]],tblPositionandPayRate[Employee Position],tblPositionandPayRate[Overtime], " ")</f>
        <v xml:space="preserve"> </v>
      </c>
      <c r="L600" s="25">
        <f>_xlfn.XLOOKUP(tblPayrollMaster[[#This Row],[Employee Position]],tblPositionandPayRate[Employee Position],tblPositionandPayRate[Allowance 1],0)*tblPayrollMaster[[#This Row],[Pay Factor]]</f>
        <v>0</v>
      </c>
      <c r="M600" s="25">
        <f>_xlfn.XLOOKUP(tblPayrollMaster[[#This Row],[Employee Position]],tblPositionandPayRate[Employee Position],tblPositionandPayRate[Allowance 2],0)*tblPayrollMaster[[#This Row],[Pay Factor]]</f>
        <v>0</v>
      </c>
      <c r="N600" s="25">
        <f>_xlfn.XLOOKUP(tblPayrollMaster[[#This Row],[Employee Position]],tblPositionandPayRate[Employee Position],tblPositionandPayRate[Allowance 3],0)*tblPayrollMaster[[#This Row],[Pay Factor]]</f>
        <v>0</v>
      </c>
      <c r="O600" s="25">
        <f>_xlfn.XLOOKUP(tblPayrollMaster[[#This Row],[Employee Position]],tblPositionandPayRate[Employee Position],tblPositionandPayRate[Allowance 4],0)*tblPayrollMaster[[#This Row],[Pay Factor]]</f>
        <v>0</v>
      </c>
      <c r="P600" s="25">
        <f>_xlfn.XLOOKUP(tblPayrollMaster[[#This Row],[Employee Position]],tblPositionandPayRate[Employee Position],tblPositionandPayRate[Allowance 5],0)*tblPayrollMaster[[#This Row],[Pay Factor]]</f>
        <v>0</v>
      </c>
      <c r="Q600" s="25">
        <f>SUM(tblPayrollMaster[[#This Row],[Basic Pay]:[Allowance 5]])</f>
        <v>0</v>
      </c>
      <c r="R60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00" s="51" cm="1">
        <f t="array" ref="S6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00" s="3" cm="1">
        <f t="array" ref="T6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00" s="25">
        <f>_xlfn.LET(
_xlpm.tos, _xlfn.XLOOKUP(tblPayrollMaster[[#This Row],[Employee ID]], tblEmployee[Employee ID], tblEmployee[Type of Service], ""),
IF(_xlpm.tos="Contract of Service", 8.25, 0)
)</f>
        <v>0</v>
      </c>
      <c r="V600" s="25">
        <f>tblPayrollMaster[[#This Row],[Basic Earnings]]-tblPayrollMaster[[#This Row],[Tax]]-tblPayrollMaster[[#This Row],[NIS - Employee]]-tblPayrollMaster[[#This Row],[Health Surcharge]]</f>
        <v>0</v>
      </c>
      <c r="W600" s="25">
        <f>tblPayrollMaster[[#This Row],[Net Pay]]</f>
        <v>0</v>
      </c>
      <c r="X600" s="25"/>
    </row>
    <row r="601" spans="1:24" x14ac:dyDescent="0.25">
      <c r="A601" s="24"/>
      <c r="B601" s="24" t="str">
        <f>_xlfn.XLOOKUP(tblPayrollMaster[[#This Row],[Employee ID]],tblEmployee[Employee ID],tblEmployee[Employee Name],"")</f>
        <v/>
      </c>
      <c r="C601" s="24" t="str">
        <f>_xlfn.XLOOKUP(tblPayrollMaster[[#This Row],[Employee ID]],tblEmployee[Employee ID],tblEmployee[Employee Position],"")</f>
        <v/>
      </c>
      <c r="D601" s="24" t="str">
        <f>_xlfn.XLOOKUP(tblPayrollMaster[[#This Row],[Employee ID]], tblEmployee[Employee ID], tblEmployee[Pay Status], "Pay")</f>
        <v>Pay</v>
      </c>
      <c r="E601" s="24" t="str">
        <f>_xlfn.XLOOKUP(tblPayrollMaster[[#This Row],[Employee ID]], tblEmployee[Employee ID], tblEmployee[Payable Flag], "Y")</f>
        <v>Y</v>
      </c>
      <c r="F601" s="45">
        <f>IF(tblPayrollMaster[[#This Row],[Payable Flag]]="N",0,_xlfn.XLOOKUP(tblPayrollMaster[[#This Row],[Employee ID]],tblEmployee[Employee ID],tblEmployee[Pay Factor],1))</f>
        <v>1</v>
      </c>
      <c r="G601" s="26" t="str" cm="1">
        <f t="array" ref="G601">IF(tblPayrollMaster[[#This Row],[Employee ID]]="","",_xlfn.XLOOKUP(selPayPeriodID,tblPayCalendar[PayPeriodID],tblPayCalendar[PeriodStart],""))</f>
        <v/>
      </c>
      <c r="H601" s="26" t="str" cm="1">
        <f t="array" ref="H601">IF(tblPayrollMaster[[#This Row],[Employee ID]]="","",_xlfn.XLOOKUP(selPayPeriodID,tblPayCalendar[PayPeriodID],tblPayCalendar[PeriodEnd],""))</f>
        <v/>
      </c>
      <c r="I601" s="24" t="e" cm="1" vm="1">
        <f t="array" aca="1" ref="I601" ca="1">Table18[Employer Name]</f>
        <v>#VALUE!</v>
      </c>
      <c r="J601" s="3" cm="1">
        <f t="array" ref="J60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01" s="25" t="str">
        <f>_xlfn.XLOOKUP(tblPayrollMaster[[#This Row],[Employee Position]],tblPositionandPayRate[Employee Position],tblPositionandPayRate[Overtime], " ")</f>
        <v xml:space="preserve"> </v>
      </c>
      <c r="L601" s="25">
        <f>_xlfn.XLOOKUP(tblPayrollMaster[[#This Row],[Employee Position]],tblPositionandPayRate[Employee Position],tblPositionandPayRate[Allowance 1],0)*tblPayrollMaster[[#This Row],[Pay Factor]]</f>
        <v>0</v>
      </c>
      <c r="M601" s="25">
        <f>_xlfn.XLOOKUP(tblPayrollMaster[[#This Row],[Employee Position]],tblPositionandPayRate[Employee Position],tblPositionandPayRate[Allowance 2],0)*tblPayrollMaster[[#This Row],[Pay Factor]]</f>
        <v>0</v>
      </c>
      <c r="N601" s="25">
        <f>_xlfn.XLOOKUP(tblPayrollMaster[[#This Row],[Employee Position]],tblPositionandPayRate[Employee Position],tblPositionandPayRate[Allowance 3],0)*tblPayrollMaster[[#This Row],[Pay Factor]]</f>
        <v>0</v>
      </c>
      <c r="O601" s="25">
        <f>_xlfn.XLOOKUP(tblPayrollMaster[[#This Row],[Employee Position]],tblPositionandPayRate[Employee Position],tblPositionandPayRate[Allowance 4],0)*tblPayrollMaster[[#This Row],[Pay Factor]]</f>
        <v>0</v>
      </c>
      <c r="P601" s="25">
        <f>_xlfn.XLOOKUP(tblPayrollMaster[[#This Row],[Employee Position]],tblPositionandPayRate[Employee Position],tblPositionandPayRate[Allowance 5],0)*tblPayrollMaster[[#This Row],[Pay Factor]]</f>
        <v>0</v>
      </c>
      <c r="Q601" s="25">
        <f>SUM(tblPayrollMaster[[#This Row],[Basic Pay]:[Allowance 5]])</f>
        <v>0</v>
      </c>
      <c r="R60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01" s="51" cm="1">
        <f t="array" ref="S6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01" s="3" cm="1">
        <f t="array" ref="T6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01" s="25">
        <f>_xlfn.LET(
_xlpm.tos, _xlfn.XLOOKUP(tblPayrollMaster[[#This Row],[Employee ID]], tblEmployee[Employee ID], tblEmployee[Type of Service], ""),
IF(_xlpm.tos="Contract of Service", 8.25, 0)
)</f>
        <v>0</v>
      </c>
      <c r="V601" s="25">
        <f>tblPayrollMaster[[#This Row],[Basic Earnings]]-tblPayrollMaster[[#This Row],[Tax]]-tblPayrollMaster[[#This Row],[NIS - Employee]]-tblPayrollMaster[[#This Row],[Health Surcharge]]</f>
        <v>0</v>
      </c>
      <c r="W601" s="25">
        <f>tblPayrollMaster[[#This Row],[Net Pay]]</f>
        <v>0</v>
      </c>
      <c r="X601" s="25"/>
    </row>
    <row r="602" spans="1:24" x14ac:dyDescent="0.25">
      <c r="A602" s="24"/>
      <c r="B602" s="24" t="str">
        <f>_xlfn.XLOOKUP(tblPayrollMaster[[#This Row],[Employee ID]],tblEmployee[Employee ID],tblEmployee[Employee Name],"")</f>
        <v/>
      </c>
      <c r="C602" s="24" t="str">
        <f>_xlfn.XLOOKUP(tblPayrollMaster[[#This Row],[Employee ID]],tblEmployee[Employee ID],tblEmployee[Employee Position],"")</f>
        <v/>
      </c>
      <c r="D602" s="24" t="str">
        <f>_xlfn.XLOOKUP(tblPayrollMaster[[#This Row],[Employee ID]], tblEmployee[Employee ID], tblEmployee[Pay Status], "Pay")</f>
        <v>Pay</v>
      </c>
      <c r="E602" s="24" t="str">
        <f>_xlfn.XLOOKUP(tblPayrollMaster[[#This Row],[Employee ID]], tblEmployee[Employee ID], tblEmployee[Payable Flag], "Y")</f>
        <v>Y</v>
      </c>
      <c r="F602" s="45">
        <f>IF(tblPayrollMaster[[#This Row],[Payable Flag]]="N",0,_xlfn.XLOOKUP(tblPayrollMaster[[#This Row],[Employee ID]],tblEmployee[Employee ID],tblEmployee[Pay Factor],1))</f>
        <v>1</v>
      </c>
      <c r="G602" s="26" t="str" cm="1">
        <f t="array" ref="G602">IF(tblPayrollMaster[[#This Row],[Employee ID]]="","",_xlfn.XLOOKUP(selPayPeriodID,tblPayCalendar[PayPeriodID],tblPayCalendar[PeriodStart],""))</f>
        <v/>
      </c>
      <c r="H602" s="26" t="str" cm="1">
        <f t="array" ref="H602">IF(tblPayrollMaster[[#This Row],[Employee ID]]="","",_xlfn.XLOOKUP(selPayPeriodID,tblPayCalendar[PayPeriodID],tblPayCalendar[PeriodEnd],""))</f>
        <v/>
      </c>
      <c r="I602" s="24" t="e" cm="1" vm="1">
        <f t="array" aca="1" ref="I602" ca="1">Table18[Employer Name]</f>
        <v>#VALUE!</v>
      </c>
      <c r="J602" s="3" cm="1">
        <f t="array" ref="J60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02" s="25" t="str">
        <f>_xlfn.XLOOKUP(tblPayrollMaster[[#This Row],[Employee Position]],tblPositionandPayRate[Employee Position],tblPositionandPayRate[Overtime], " ")</f>
        <v xml:space="preserve"> </v>
      </c>
      <c r="L602" s="25">
        <f>_xlfn.XLOOKUP(tblPayrollMaster[[#This Row],[Employee Position]],tblPositionandPayRate[Employee Position],tblPositionandPayRate[Allowance 1],0)*tblPayrollMaster[[#This Row],[Pay Factor]]</f>
        <v>0</v>
      </c>
      <c r="M602" s="25">
        <f>_xlfn.XLOOKUP(tblPayrollMaster[[#This Row],[Employee Position]],tblPositionandPayRate[Employee Position],tblPositionandPayRate[Allowance 2],0)*tblPayrollMaster[[#This Row],[Pay Factor]]</f>
        <v>0</v>
      </c>
      <c r="N602" s="25">
        <f>_xlfn.XLOOKUP(tblPayrollMaster[[#This Row],[Employee Position]],tblPositionandPayRate[Employee Position],tblPositionandPayRate[Allowance 3],0)*tblPayrollMaster[[#This Row],[Pay Factor]]</f>
        <v>0</v>
      </c>
      <c r="O602" s="25">
        <f>_xlfn.XLOOKUP(tblPayrollMaster[[#This Row],[Employee Position]],tblPositionandPayRate[Employee Position],tblPositionandPayRate[Allowance 4],0)*tblPayrollMaster[[#This Row],[Pay Factor]]</f>
        <v>0</v>
      </c>
      <c r="P602" s="25">
        <f>_xlfn.XLOOKUP(tblPayrollMaster[[#This Row],[Employee Position]],tblPositionandPayRate[Employee Position],tblPositionandPayRate[Allowance 5],0)*tblPayrollMaster[[#This Row],[Pay Factor]]</f>
        <v>0</v>
      </c>
      <c r="Q602" s="25">
        <f>SUM(tblPayrollMaster[[#This Row],[Basic Pay]:[Allowance 5]])</f>
        <v>0</v>
      </c>
      <c r="R60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02" s="51" cm="1">
        <f t="array" ref="S6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02" s="3" cm="1">
        <f t="array" ref="T6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02" s="25">
        <f>_xlfn.LET(
_xlpm.tos, _xlfn.XLOOKUP(tblPayrollMaster[[#This Row],[Employee ID]], tblEmployee[Employee ID], tblEmployee[Type of Service], ""),
IF(_xlpm.tos="Contract of Service", 8.25, 0)
)</f>
        <v>0</v>
      </c>
      <c r="V602" s="25">
        <f>tblPayrollMaster[[#This Row],[Basic Earnings]]-tblPayrollMaster[[#This Row],[Tax]]-tblPayrollMaster[[#This Row],[NIS - Employee]]-tblPayrollMaster[[#This Row],[Health Surcharge]]</f>
        <v>0</v>
      </c>
      <c r="W602" s="25">
        <f>tblPayrollMaster[[#This Row],[Net Pay]]</f>
        <v>0</v>
      </c>
      <c r="X602" s="25"/>
    </row>
    <row r="603" spans="1:24" x14ac:dyDescent="0.25">
      <c r="A603" s="24"/>
      <c r="B603" s="24" t="str">
        <f>_xlfn.XLOOKUP(tblPayrollMaster[[#This Row],[Employee ID]],tblEmployee[Employee ID],tblEmployee[Employee Name],"")</f>
        <v/>
      </c>
      <c r="C603" s="24" t="str">
        <f>_xlfn.XLOOKUP(tblPayrollMaster[[#This Row],[Employee ID]],tblEmployee[Employee ID],tblEmployee[Employee Position],"")</f>
        <v/>
      </c>
      <c r="D603" s="24" t="str">
        <f>_xlfn.XLOOKUP(tblPayrollMaster[[#This Row],[Employee ID]], tblEmployee[Employee ID], tblEmployee[Pay Status], "Pay")</f>
        <v>Pay</v>
      </c>
      <c r="E603" s="24" t="str">
        <f>_xlfn.XLOOKUP(tblPayrollMaster[[#This Row],[Employee ID]], tblEmployee[Employee ID], tblEmployee[Payable Flag], "Y")</f>
        <v>Y</v>
      </c>
      <c r="F603" s="45">
        <f>IF(tblPayrollMaster[[#This Row],[Payable Flag]]="N",0,_xlfn.XLOOKUP(tblPayrollMaster[[#This Row],[Employee ID]],tblEmployee[Employee ID],tblEmployee[Pay Factor],1))</f>
        <v>1</v>
      </c>
      <c r="G603" s="26" t="str" cm="1">
        <f t="array" ref="G603">IF(tblPayrollMaster[[#This Row],[Employee ID]]="","",_xlfn.XLOOKUP(selPayPeriodID,tblPayCalendar[PayPeriodID],tblPayCalendar[PeriodStart],""))</f>
        <v/>
      </c>
      <c r="H603" s="26" t="str" cm="1">
        <f t="array" ref="H603">IF(tblPayrollMaster[[#This Row],[Employee ID]]="","",_xlfn.XLOOKUP(selPayPeriodID,tblPayCalendar[PayPeriodID],tblPayCalendar[PeriodEnd],""))</f>
        <v/>
      </c>
      <c r="I603" s="24" t="e" cm="1" vm="1">
        <f t="array" aca="1" ref="I603" ca="1">Table18[Employer Name]</f>
        <v>#VALUE!</v>
      </c>
      <c r="J603" s="3" cm="1">
        <f t="array" ref="J60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03" s="25" t="str">
        <f>_xlfn.XLOOKUP(tblPayrollMaster[[#This Row],[Employee Position]],tblPositionandPayRate[Employee Position],tblPositionandPayRate[Overtime], " ")</f>
        <v xml:space="preserve"> </v>
      </c>
      <c r="L603" s="25">
        <f>_xlfn.XLOOKUP(tblPayrollMaster[[#This Row],[Employee Position]],tblPositionandPayRate[Employee Position],tblPositionandPayRate[Allowance 1],0)*tblPayrollMaster[[#This Row],[Pay Factor]]</f>
        <v>0</v>
      </c>
      <c r="M603" s="25">
        <f>_xlfn.XLOOKUP(tblPayrollMaster[[#This Row],[Employee Position]],tblPositionandPayRate[Employee Position],tblPositionandPayRate[Allowance 2],0)*tblPayrollMaster[[#This Row],[Pay Factor]]</f>
        <v>0</v>
      </c>
      <c r="N603" s="25">
        <f>_xlfn.XLOOKUP(tblPayrollMaster[[#This Row],[Employee Position]],tblPositionandPayRate[Employee Position],tblPositionandPayRate[Allowance 3],0)*tblPayrollMaster[[#This Row],[Pay Factor]]</f>
        <v>0</v>
      </c>
      <c r="O603" s="25">
        <f>_xlfn.XLOOKUP(tblPayrollMaster[[#This Row],[Employee Position]],tblPositionandPayRate[Employee Position],tblPositionandPayRate[Allowance 4],0)*tblPayrollMaster[[#This Row],[Pay Factor]]</f>
        <v>0</v>
      </c>
      <c r="P603" s="25">
        <f>_xlfn.XLOOKUP(tblPayrollMaster[[#This Row],[Employee Position]],tblPositionandPayRate[Employee Position],tblPositionandPayRate[Allowance 5],0)*tblPayrollMaster[[#This Row],[Pay Factor]]</f>
        <v>0</v>
      </c>
      <c r="Q603" s="25">
        <f>SUM(tblPayrollMaster[[#This Row],[Basic Pay]:[Allowance 5]])</f>
        <v>0</v>
      </c>
      <c r="R60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03" s="51" cm="1">
        <f t="array" ref="S6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03" s="3" cm="1">
        <f t="array" ref="T6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03" s="25">
        <f>_xlfn.LET(
_xlpm.tos, _xlfn.XLOOKUP(tblPayrollMaster[[#This Row],[Employee ID]], tblEmployee[Employee ID], tblEmployee[Type of Service], ""),
IF(_xlpm.tos="Contract of Service", 8.25, 0)
)</f>
        <v>0</v>
      </c>
      <c r="V603" s="25">
        <f>tblPayrollMaster[[#This Row],[Basic Earnings]]-tblPayrollMaster[[#This Row],[Tax]]-tblPayrollMaster[[#This Row],[NIS - Employee]]-tblPayrollMaster[[#This Row],[Health Surcharge]]</f>
        <v>0</v>
      </c>
      <c r="W603" s="25">
        <f>tblPayrollMaster[[#This Row],[Net Pay]]</f>
        <v>0</v>
      </c>
      <c r="X603" s="25"/>
    </row>
    <row r="604" spans="1:24" x14ac:dyDescent="0.25">
      <c r="A604" s="24"/>
      <c r="B604" s="24" t="str">
        <f>_xlfn.XLOOKUP(tblPayrollMaster[[#This Row],[Employee ID]],tblEmployee[Employee ID],tblEmployee[Employee Name],"")</f>
        <v/>
      </c>
      <c r="C604" s="24" t="str">
        <f>_xlfn.XLOOKUP(tblPayrollMaster[[#This Row],[Employee ID]],tblEmployee[Employee ID],tblEmployee[Employee Position],"")</f>
        <v/>
      </c>
      <c r="D604" s="24" t="str">
        <f>_xlfn.XLOOKUP(tblPayrollMaster[[#This Row],[Employee ID]], tblEmployee[Employee ID], tblEmployee[Pay Status], "Pay")</f>
        <v>Pay</v>
      </c>
      <c r="E604" s="24" t="str">
        <f>_xlfn.XLOOKUP(tblPayrollMaster[[#This Row],[Employee ID]], tblEmployee[Employee ID], tblEmployee[Payable Flag], "Y")</f>
        <v>Y</v>
      </c>
      <c r="F604" s="45">
        <f>IF(tblPayrollMaster[[#This Row],[Payable Flag]]="N",0,_xlfn.XLOOKUP(tblPayrollMaster[[#This Row],[Employee ID]],tblEmployee[Employee ID],tblEmployee[Pay Factor],1))</f>
        <v>1</v>
      </c>
      <c r="G604" s="26" t="str" cm="1">
        <f t="array" ref="G604">IF(tblPayrollMaster[[#This Row],[Employee ID]]="","",_xlfn.XLOOKUP(selPayPeriodID,tblPayCalendar[PayPeriodID],tblPayCalendar[PeriodStart],""))</f>
        <v/>
      </c>
      <c r="H604" s="26" t="str" cm="1">
        <f t="array" ref="H604">IF(tblPayrollMaster[[#This Row],[Employee ID]]="","",_xlfn.XLOOKUP(selPayPeriodID,tblPayCalendar[PayPeriodID],tblPayCalendar[PeriodEnd],""))</f>
        <v/>
      </c>
      <c r="I604" s="24" t="e" cm="1" vm="1">
        <f t="array" aca="1" ref="I604" ca="1">Table18[Employer Name]</f>
        <v>#VALUE!</v>
      </c>
      <c r="J604" s="3" cm="1">
        <f t="array" ref="J60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04" s="25" t="str">
        <f>_xlfn.XLOOKUP(tblPayrollMaster[[#This Row],[Employee Position]],tblPositionandPayRate[Employee Position],tblPositionandPayRate[Overtime], " ")</f>
        <v xml:space="preserve"> </v>
      </c>
      <c r="L604" s="25">
        <f>_xlfn.XLOOKUP(tblPayrollMaster[[#This Row],[Employee Position]],tblPositionandPayRate[Employee Position],tblPositionandPayRate[Allowance 1],0)*tblPayrollMaster[[#This Row],[Pay Factor]]</f>
        <v>0</v>
      </c>
      <c r="M604" s="25">
        <f>_xlfn.XLOOKUP(tblPayrollMaster[[#This Row],[Employee Position]],tblPositionandPayRate[Employee Position],tblPositionandPayRate[Allowance 2],0)*tblPayrollMaster[[#This Row],[Pay Factor]]</f>
        <v>0</v>
      </c>
      <c r="N604" s="25">
        <f>_xlfn.XLOOKUP(tblPayrollMaster[[#This Row],[Employee Position]],tblPositionandPayRate[Employee Position],tblPositionandPayRate[Allowance 3],0)*tblPayrollMaster[[#This Row],[Pay Factor]]</f>
        <v>0</v>
      </c>
      <c r="O604" s="25">
        <f>_xlfn.XLOOKUP(tblPayrollMaster[[#This Row],[Employee Position]],tblPositionandPayRate[Employee Position],tblPositionandPayRate[Allowance 4],0)*tblPayrollMaster[[#This Row],[Pay Factor]]</f>
        <v>0</v>
      </c>
      <c r="P604" s="25">
        <f>_xlfn.XLOOKUP(tblPayrollMaster[[#This Row],[Employee Position]],tblPositionandPayRate[Employee Position],tblPositionandPayRate[Allowance 5],0)*tblPayrollMaster[[#This Row],[Pay Factor]]</f>
        <v>0</v>
      </c>
      <c r="Q604" s="25">
        <f>SUM(tblPayrollMaster[[#This Row],[Basic Pay]:[Allowance 5]])</f>
        <v>0</v>
      </c>
      <c r="R60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04" s="51" cm="1">
        <f t="array" ref="S6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04" s="3" cm="1">
        <f t="array" ref="T6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04" s="25">
        <f>_xlfn.LET(
_xlpm.tos, _xlfn.XLOOKUP(tblPayrollMaster[[#This Row],[Employee ID]], tblEmployee[Employee ID], tblEmployee[Type of Service], ""),
IF(_xlpm.tos="Contract of Service", 8.25, 0)
)</f>
        <v>0</v>
      </c>
      <c r="V604" s="25">
        <f>tblPayrollMaster[[#This Row],[Basic Earnings]]-tblPayrollMaster[[#This Row],[Tax]]-tblPayrollMaster[[#This Row],[NIS - Employee]]-tblPayrollMaster[[#This Row],[Health Surcharge]]</f>
        <v>0</v>
      </c>
      <c r="W604" s="25">
        <f>tblPayrollMaster[[#This Row],[Net Pay]]</f>
        <v>0</v>
      </c>
      <c r="X604" s="25"/>
    </row>
    <row r="605" spans="1:24" x14ac:dyDescent="0.25">
      <c r="A605" s="24"/>
      <c r="B605" s="24" t="str">
        <f>_xlfn.XLOOKUP(tblPayrollMaster[[#This Row],[Employee ID]],tblEmployee[Employee ID],tblEmployee[Employee Name],"")</f>
        <v/>
      </c>
      <c r="C605" s="24" t="str">
        <f>_xlfn.XLOOKUP(tblPayrollMaster[[#This Row],[Employee ID]],tblEmployee[Employee ID],tblEmployee[Employee Position],"")</f>
        <v/>
      </c>
      <c r="D605" s="24" t="str">
        <f>_xlfn.XLOOKUP(tblPayrollMaster[[#This Row],[Employee ID]], tblEmployee[Employee ID], tblEmployee[Pay Status], "Pay")</f>
        <v>Pay</v>
      </c>
      <c r="E605" s="24" t="str">
        <f>_xlfn.XLOOKUP(tblPayrollMaster[[#This Row],[Employee ID]], tblEmployee[Employee ID], tblEmployee[Payable Flag], "Y")</f>
        <v>Y</v>
      </c>
      <c r="F605" s="45">
        <f>IF(tblPayrollMaster[[#This Row],[Payable Flag]]="N",0,_xlfn.XLOOKUP(tblPayrollMaster[[#This Row],[Employee ID]],tblEmployee[Employee ID],tblEmployee[Pay Factor],1))</f>
        <v>1</v>
      </c>
      <c r="G605" s="26" t="str" cm="1">
        <f t="array" ref="G605">IF(tblPayrollMaster[[#This Row],[Employee ID]]="","",_xlfn.XLOOKUP(selPayPeriodID,tblPayCalendar[PayPeriodID],tblPayCalendar[PeriodStart],""))</f>
        <v/>
      </c>
      <c r="H605" s="26" t="str" cm="1">
        <f t="array" ref="H605">IF(tblPayrollMaster[[#This Row],[Employee ID]]="","",_xlfn.XLOOKUP(selPayPeriodID,tblPayCalendar[PayPeriodID],tblPayCalendar[PeriodEnd],""))</f>
        <v/>
      </c>
      <c r="I605" s="24" t="e" cm="1" vm="1">
        <f t="array" aca="1" ref="I605" ca="1">Table18[Employer Name]</f>
        <v>#VALUE!</v>
      </c>
      <c r="J605" s="3" cm="1">
        <f t="array" ref="J60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05" s="25" t="str">
        <f>_xlfn.XLOOKUP(tblPayrollMaster[[#This Row],[Employee Position]],tblPositionandPayRate[Employee Position],tblPositionandPayRate[Overtime], " ")</f>
        <v xml:space="preserve"> </v>
      </c>
      <c r="L605" s="25">
        <f>_xlfn.XLOOKUP(tblPayrollMaster[[#This Row],[Employee Position]],tblPositionandPayRate[Employee Position],tblPositionandPayRate[Allowance 1],0)*tblPayrollMaster[[#This Row],[Pay Factor]]</f>
        <v>0</v>
      </c>
      <c r="M605" s="25">
        <f>_xlfn.XLOOKUP(tblPayrollMaster[[#This Row],[Employee Position]],tblPositionandPayRate[Employee Position],tblPositionandPayRate[Allowance 2],0)*tblPayrollMaster[[#This Row],[Pay Factor]]</f>
        <v>0</v>
      </c>
      <c r="N605" s="25">
        <f>_xlfn.XLOOKUP(tblPayrollMaster[[#This Row],[Employee Position]],tblPositionandPayRate[Employee Position],tblPositionandPayRate[Allowance 3],0)*tblPayrollMaster[[#This Row],[Pay Factor]]</f>
        <v>0</v>
      </c>
      <c r="O605" s="25">
        <f>_xlfn.XLOOKUP(tblPayrollMaster[[#This Row],[Employee Position]],tblPositionandPayRate[Employee Position],tblPositionandPayRate[Allowance 4],0)*tblPayrollMaster[[#This Row],[Pay Factor]]</f>
        <v>0</v>
      </c>
      <c r="P605" s="25">
        <f>_xlfn.XLOOKUP(tblPayrollMaster[[#This Row],[Employee Position]],tblPositionandPayRate[Employee Position],tblPositionandPayRate[Allowance 5],0)*tblPayrollMaster[[#This Row],[Pay Factor]]</f>
        <v>0</v>
      </c>
      <c r="Q605" s="25">
        <f>SUM(tblPayrollMaster[[#This Row],[Basic Pay]:[Allowance 5]])</f>
        <v>0</v>
      </c>
      <c r="R60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05" s="51" cm="1">
        <f t="array" ref="S6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05" s="3" cm="1">
        <f t="array" ref="T6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05" s="25">
        <f>_xlfn.LET(
_xlpm.tos, _xlfn.XLOOKUP(tblPayrollMaster[[#This Row],[Employee ID]], tblEmployee[Employee ID], tblEmployee[Type of Service], ""),
IF(_xlpm.tos="Contract of Service", 8.25, 0)
)</f>
        <v>0</v>
      </c>
      <c r="V605" s="25">
        <f>tblPayrollMaster[[#This Row],[Basic Earnings]]-tblPayrollMaster[[#This Row],[Tax]]-tblPayrollMaster[[#This Row],[NIS - Employee]]-tblPayrollMaster[[#This Row],[Health Surcharge]]</f>
        <v>0</v>
      </c>
      <c r="W605" s="25">
        <f>tblPayrollMaster[[#This Row],[Net Pay]]</f>
        <v>0</v>
      </c>
      <c r="X605" s="25"/>
    </row>
    <row r="606" spans="1:24" x14ac:dyDescent="0.25">
      <c r="A606" s="24"/>
      <c r="B606" s="24" t="str">
        <f>_xlfn.XLOOKUP(tblPayrollMaster[[#This Row],[Employee ID]],tblEmployee[Employee ID],tblEmployee[Employee Name],"")</f>
        <v/>
      </c>
      <c r="C606" s="24" t="str">
        <f>_xlfn.XLOOKUP(tblPayrollMaster[[#This Row],[Employee ID]],tblEmployee[Employee ID],tblEmployee[Employee Position],"")</f>
        <v/>
      </c>
      <c r="D606" s="24" t="str">
        <f>_xlfn.XLOOKUP(tblPayrollMaster[[#This Row],[Employee ID]], tblEmployee[Employee ID], tblEmployee[Pay Status], "Pay")</f>
        <v>Pay</v>
      </c>
      <c r="E606" s="24" t="str">
        <f>_xlfn.XLOOKUP(tblPayrollMaster[[#This Row],[Employee ID]], tblEmployee[Employee ID], tblEmployee[Payable Flag], "Y")</f>
        <v>Y</v>
      </c>
      <c r="F606" s="45">
        <f>IF(tblPayrollMaster[[#This Row],[Payable Flag]]="N",0,_xlfn.XLOOKUP(tblPayrollMaster[[#This Row],[Employee ID]],tblEmployee[Employee ID],tblEmployee[Pay Factor],1))</f>
        <v>1</v>
      </c>
      <c r="G606" s="26" t="str" cm="1">
        <f t="array" ref="G606">IF(tblPayrollMaster[[#This Row],[Employee ID]]="","",_xlfn.XLOOKUP(selPayPeriodID,tblPayCalendar[PayPeriodID],tblPayCalendar[PeriodStart],""))</f>
        <v/>
      </c>
      <c r="H606" s="26" t="str" cm="1">
        <f t="array" ref="H606">IF(tblPayrollMaster[[#This Row],[Employee ID]]="","",_xlfn.XLOOKUP(selPayPeriodID,tblPayCalendar[PayPeriodID],tblPayCalendar[PeriodEnd],""))</f>
        <v/>
      </c>
      <c r="I606" s="24" t="e" cm="1" vm="1">
        <f t="array" aca="1" ref="I606" ca="1">Table18[Employer Name]</f>
        <v>#VALUE!</v>
      </c>
      <c r="J606" s="3" cm="1">
        <f t="array" ref="J60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06" s="25" t="str">
        <f>_xlfn.XLOOKUP(tblPayrollMaster[[#This Row],[Employee Position]],tblPositionandPayRate[Employee Position],tblPositionandPayRate[Overtime], " ")</f>
        <v xml:space="preserve"> </v>
      </c>
      <c r="L606" s="25">
        <f>_xlfn.XLOOKUP(tblPayrollMaster[[#This Row],[Employee Position]],tblPositionandPayRate[Employee Position],tblPositionandPayRate[Allowance 1],0)*tblPayrollMaster[[#This Row],[Pay Factor]]</f>
        <v>0</v>
      </c>
      <c r="M606" s="25">
        <f>_xlfn.XLOOKUP(tblPayrollMaster[[#This Row],[Employee Position]],tblPositionandPayRate[Employee Position],tblPositionandPayRate[Allowance 2],0)*tblPayrollMaster[[#This Row],[Pay Factor]]</f>
        <v>0</v>
      </c>
      <c r="N606" s="25">
        <f>_xlfn.XLOOKUP(tblPayrollMaster[[#This Row],[Employee Position]],tblPositionandPayRate[Employee Position],tblPositionandPayRate[Allowance 3],0)*tblPayrollMaster[[#This Row],[Pay Factor]]</f>
        <v>0</v>
      </c>
      <c r="O606" s="25">
        <f>_xlfn.XLOOKUP(tblPayrollMaster[[#This Row],[Employee Position]],tblPositionandPayRate[Employee Position],tblPositionandPayRate[Allowance 4],0)*tblPayrollMaster[[#This Row],[Pay Factor]]</f>
        <v>0</v>
      </c>
      <c r="P606" s="25">
        <f>_xlfn.XLOOKUP(tblPayrollMaster[[#This Row],[Employee Position]],tblPositionandPayRate[Employee Position],tblPositionandPayRate[Allowance 5],0)*tblPayrollMaster[[#This Row],[Pay Factor]]</f>
        <v>0</v>
      </c>
      <c r="Q606" s="25">
        <f>SUM(tblPayrollMaster[[#This Row],[Basic Pay]:[Allowance 5]])</f>
        <v>0</v>
      </c>
      <c r="R60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06" s="51" cm="1">
        <f t="array" ref="S6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06" s="3" cm="1">
        <f t="array" ref="T6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06" s="25">
        <f>_xlfn.LET(
_xlpm.tos, _xlfn.XLOOKUP(tblPayrollMaster[[#This Row],[Employee ID]], tblEmployee[Employee ID], tblEmployee[Type of Service], ""),
IF(_xlpm.tos="Contract of Service", 8.25, 0)
)</f>
        <v>0</v>
      </c>
      <c r="V606" s="25">
        <f>tblPayrollMaster[[#This Row],[Basic Earnings]]-tblPayrollMaster[[#This Row],[Tax]]-tblPayrollMaster[[#This Row],[NIS - Employee]]-tblPayrollMaster[[#This Row],[Health Surcharge]]</f>
        <v>0</v>
      </c>
      <c r="W606" s="25">
        <f>tblPayrollMaster[[#This Row],[Net Pay]]</f>
        <v>0</v>
      </c>
      <c r="X606" s="25"/>
    </row>
    <row r="607" spans="1:24" x14ac:dyDescent="0.25">
      <c r="A607" s="24"/>
      <c r="B607" s="24" t="str">
        <f>_xlfn.XLOOKUP(tblPayrollMaster[[#This Row],[Employee ID]],tblEmployee[Employee ID],tblEmployee[Employee Name],"")</f>
        <v/>
      </c>
      <c r="C607" s="24" t="str">
        <f>_xlfn.XLOOKUP(tblPayrollMaster[[#This Row],[Employee ID]],tblEmployee[Employee ID],tblEmployee[Employee Position],"")</f>
        <v/>
      </c>
      <c r="D607" s="24" t="str">
        <f>_xlfn.XLOOKUP(tblPayrollMaster[[#This Row],[Employee ID]], tblEmployee[Employee ID], tblEmployee[Pay Status], "Pay")</f>
        <v>Pay</v>
      </c>
      <c r="E607" s="24" t="str">
        <f>_xlfn.XLOOKUP(tblPayrollMaster[[#This Row],[Employee ID]], tblEmployee[Employee ID], tblEmployee[Payable Flag], "Y")</f>
        <v>Y</v>
      </c>
      <c r="F607" s="45">
        <f>IF(tblPayrollMaster[[#This Row],[Payable Flag]]="N",0,_xlfn.XLOOKUP(tblPayrollMaster[[#This Row],[Employee ID]],tblEmployee[Employee ID],tblEmployee[Pay Factor],1))</f>
        <v>1</v>
      </c>
      <c r="G607" s="26" t="str" cm="1">
        <f t="array" ref="G607">IF(tblPayrollMaster[[#This Row],[Employee ID]]="","",_xlfn.XLOOKUP(selPayPeriodID,tblPayCalendar[PayPeriodID],tblPayCalendar[PeriodStart],""))</f>
        <v/>
      </c>
      <c r="H607" s="26" t="str" cm="1">
        <f t="array" ref="H607">IF(tblPayrollMaster[[#This Row],[Employee ID]]="","",_xlfn.XLOOKUP(selPayPeriodID,tblPayCalendar[PayPeriodID],tblPayCalendar[PeriodEnd],""))</f>
        <v/>
      </c>
      <c r="I607" s="24" t="e" cm="1" vm="1">
        <f t="array" aca="1" ref="I607" ca="1">Table18[Employer Name]</f>
        <v>#VALUE!</v>
      </c>
      <c r="J607" s="3" cm="1">
        <f t="array" ref="J60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07" s="25" t="str">
        <f>_xlfn.XLOOKUP(tblPayrollMaster[[#This Row],[Employee Position]],tblPositionandPayRate[Employee Position],tblPositionandPayRate[Overtime], " ")</f>
        <v xml:space="preserve"> </v>
      </c>
      <c r="L607" s="25">
        <f>_xlfn.XLOOKUP(tblPayrollMaster[[#This Row],[Employee Position]],tblPositionandPayRate[Employee Position],tblPositionandPayRate[Allowance 1],0)*tblPayrollMaster[[#This Row],[Pay Factor]]</f>
        <v>0</v>
      </c>
      <c r="M607" s="25">
        <f>_xlfn.XLOOKUP(tblPayrollMaster[[#This Row],[Employee Position]],tblPositionandPayRate[Employee Position],tblPositionandPayRate[Allowance 2],0)*tblPayrollMaster[[#This Row],[Pay Factor]]</f>
        <v>0</v>
      </c>
      <c r="N607" s="25">
        <f>_xlfn.XLOOKUP(tblPayrollMaster[[#This Row],[Employee Position]],tblPositionandPayRate[Employee Position],tblPositionandPayRate[Allowance 3],0)*tblPayrollMaster[[#This Row],[Pay Factor]]</f>
        <v>0</v>
      </c>
      <c r="O607" s="25">
        <f>_xlfn.XLOOKUP(tblPayrollMaster[[#This Row],[Employee Position]],tblPositionandPayRate[Employee Position],tblPositionandPayRate[Allowance 4],0)*tblPayrollMaster[[#This Row],[Pay Factor]]</f>
        <v>0</v>
      </c>
      <c r="P607" s="25">
        <f>_xlfn.XLOOKUP(tblPayrollMaster[[#This Row],[Employee Position]],tblPositionandPayRate[Employee Position],tblPositionandPayRate[Allowance 5],0)*tblPayrollMaster[[#This Row],[Pay Factor]]</f>
        <v>0</v>
      </c>
      <c r="Q607" s="25">
        <f>SUM(tblPayrollMaster[[#This Row],[Basic Pay]:[Allowance 5]])</f>
        <v>0</v>
      </c>
      <c r="R60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07" s="51" cm="1">
        <f t="array" ref="S6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07" s="3" cm="1">
        <f t="array" ref="T6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07" s="25">
        <f>_xlfn.LET(
_xlpm.tos, _xlfn.XLOOKUP(tblPayrollMaster[[#This Row],[Employee ID]], tblEmployee[Employee ID], tblEmployee[Type of Service], ""),
IF(_xlpm.tos="Contract of Service", 8.25, 0)
)</f>
        <v>0</v>
      </c>
      <c r="V607" s="25">
        <f>tblPayrollMaster[[#This Row],[Basic Earnings]]-tblPayrollMaster[[#This Row],[Tax]]-tblPayrollMaster[[#This Row],[NIS - Employee]]-tblPayrollMaster[[#This Row],[Health Surcharge]]</f>
        <v>0</v>
      </c>
      <c r="W607" s="25">
        <f>tblPayrollMaster[[#This Row],[Net Pay]]</f>
        <v>0</v>
      </c>
      <c r="X607" s="25"/>
    </row>
    <row r="608" spans="1:24" x14ac:dyDescent="0.25">
      <c r="A608" s="24"/>
      <c r="B608" s="24" t="str">
        <f>_xlfn.XLOOKUP(tblPayrollMaster[[#This Row],[Employee ID]],tblEmployee[Employee ID],tblEmployee[Employee Name],"")</f>
        <v/>
      </c>
      <c r="C608" s="24" t="str">
        <f>_xlfn.XLOOKUP(tblPayrollMaster[[#This Row],[Employee ID]],tblEmployee[Employee ID],tblEmployee[Employee Position],"")</f>
        <v/>
      </c>
      <c r="D608" s="24" t="str">
        <f>_xlfn.XLOOKUP(tblPayrollMaster[[#This Row],[Employee ID]], tblEmployee[Employee ID], tblEmployee[Pay Status], "Pay")</f>
        <v>Pay</v>
      </c>
      <c r="E608" s="24" t="str">
        <f>_xlfn.XLOOKUP(tblPayrollMaster[[#This Row],[Employee ID]], tblEmployee[Employee ID], tblEmployee[Payable Flag], "Y")</f>
        <v>Y</v>
      </c>
      <c r="F608" s="45">
        <f>IF(tblPayrollMaster[[#This Row],[Payable Flag]]="N",0,_xlfn.XLOOKUP(tblPayrollMaster[[#This Row],[Employee ID]],tblEmployee[Employee ID],tblEmployee[Pay Factor],1))</f>
        <v>1</v>
      </c>
      <c r="G608" s="26" t="str" cm="1">
        <f t="array" ref="G608">IF(tblPayrollMaster[[#This Row],[Employee ID]]="","",_xlfn.XLOOKUP(selPayPeriodID,tblPayCalendar[PayPeriodID],tblPayCalendar[PeriodStart],""))</f>
        <v/>
      </c>
      <c r="H608" s="26" t="str" cm="1">
        <f t="array" ref="H608">IF(tblPayrollMaster[[#This Row],[Employee ID]]="","",_xlfn.XLOOKUP(selPayPeriodID,tblPayCalendar[PayPeriodID],tblPayCalendar[PeriodEnd],""))</f>
        <v/>
      </c>
      <c r="I608" s="24" t="e" cm="1" vm="1">
        <f t="array" aca="1" ref="I608" ca="1">Table18[Employer Name]</f>
        <v>#VALUE!</v>
      </c>
      <c r="J608" s="3" cm="1">
        <f t="array" ref="J60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08" s="25" t="str">
        <f>_xlfn.XLOOKUP(tblPayrollMaster[[#This Row],[Employee Position]],tblPositionandPayRate[Employee Position],tblPositionandPayRate[Overtime], " ")</f>
        <v xml:space="preserve"> </v>
      </c>
      <c r="L608" s="25">
        <f>_xlfn.XLOOKUP(tblPayrollMaster[[#This Row],[Employee Position]],tblPositionandPayRate[Employee Position],tblPositionandPayRate[Allowance 1],0)*tblPayrollMaster[[#This Row],[Pay Factor]]</f>
        <v>0</v>
      </c>
      <c r="M608" s="25">
        <f>_xlfn.XLOOKUP(tblPayrollMaster[[#This Row],[Employee Position]],tblPositionandPayRate[Employee Position],tblPositionandPayRate[Allowance 2],0)*tblPayrollMaster[[#This Row],[Pay Factor]]</f>
        <v>0</v>
      </c>
      <c r="N608" s="25">
        <f>_xlfn.XLOOKUP(tblPayrollMaster[[#This Row],[Employee Position]],tblPositionandPayRate[Employee Position],tblPositionandPayRate[Allowance 3],0)*tblPayrollMaster[[#This Row],[Pay Factor]]</f>
        <v>0</v>
      </c>
      <c r="O608" s="25">
        <f>_xlfn.XLOOKUP(tblPayrollMaster[[#This Row],[Employee Position]],tblPositionandPayRate[Employee Position],tblPositionandPayRate[Allowance 4],0)*tblPayrollMaster[[#This Row],[Pay Factor]]</f>
        <v>0</v>
      </c>
      <c r="P608" s="25">
        <f>_xlfn.XLOOKUP(tblPayrollMaster[[#This Row],[Employee Position]],tblPositionandPayRate[Employee Position],tblPositionandPayRate[Allowance 5],0)*tblPayrollMaster[[#This Row],[Pay Factor]]</f>
        <v>0</v>
      </c>
      <c r="Q608" s="25">
        <f>SUM(tblPayrollMaster[[#This Row],[Basic Pay]:[Allowance 5]])</f>
        <v>0</v>
      </c>
      <c r="R60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08" s="51" cm="1">
        <f t="array" ref="S6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08" s="3" cm="1">
        <f t="array" ref="T6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08" s="25">
        <f>_xlfn.LET(
_xlpm.tos, _xlfn.XLOOKUP(tblPayrollMaster[[#This Row],[Employee ID]], tblEmployee[Employee ID], tblEmployee[Type of Service], ""),
IF(_xlpm.tos="Contract of Service", 8.25, 0)
)</f>
        <v>0</v>
      </c>
      <c r="V608" s="25">
        <f>tblPayrollMaster[[#This Row],[Basic Earnings]]-tblPayrollMaster[[#This Row],[Tax]]-tblPayrollMaster[[#This Row],[NIS - Employee]]-tblPayrollMaster[[#This Row],[Health Surcharge]]</f>
        <v>0</v>
      </c>
      <c r="W608" s="25">
        <f>tblPayrollMaster[[#This Row],[Net Pay]]</f>
        <v>0</v>
      </c>
      <c r="X608" s="25"/>
    </row>
    <row r="609" spans="1:24" x14ac:dyDescent="0.25">
      <c r="A609" s="24"/>
      <c r="B609" s="24" t="str">
        <f>_xlfn.XLOOKUP(tblPayrollMaster[[#This Row],[Employee ID]],tblEmployee[Employee ID],tblEmployee[Employee Name],"")</f>
        <v/>
      </c>
      <c r="C609" s="24" t="str">
        <f>_xlfn.XLOOKUP(tblPayrollMaster[[#This Row],[Employee ID]],tblEmployee[Employee ID],tblEmployee[Employee Position],"")</f>
        <v/>
      </c>
      <c r="D609" s="24" t="str">
        <f>_xlfn.XLOOKUP(tblPayrollMaster[[#This Row],[Employee ID]], tblEmployee[Employee ID], tblEmployee[Pay Status], "Pay")</f>
        <v>Pay</v>
      </c>
      <c r="E609" s="24" t="str">
        <f>_xlfn.XLOOKUP(tblPayrollMaster[[#This Row],[Employee ID]], tblEmployee[Employee ID], tblEmployee[Payable Flag], "Y")</f>
        <v>Y</v>
      </c>
      <c r="F609" s="45">
        <f>IF(tblPayrollMaster[[#This Row],[Payable Flag]]="N",0,_xlfn.XLOOKUP(tblPayrollMaster[[#This Row],[Employee ID]],tblEmployee[Employee ID],tblEmployee[Pay Factor],1))</f>
        <v>1</v>
      </c>
      <c r="G609" s="26" t="str" cm="1">
        <f t="array" ref="G609">IF(tblPayrollMaster[[#This Row],[Employee ID]]="","",_xlfn.XLOOKUP(selPayPeriodID,tblPayCalendar[PayPeriodID],tblPayCalendar[PeriodStart],""))</f>
        <v/>
      </c>
      <c r="H609" s="26" t="str" cm="1">
        <f t="array" ref="H609">IF(tblPayrollMaster[[#This Row],[Employee ID]]="","",_xlfn.XLOOKUP(selPayPeriodID,tblPayCalendar[PayPeriodID],tblPayCalendar[PeriodEnd],""))</f>
        <v/>
      </c>
      <c r="I609" s="24" t="e" cm="1" vm="1">
        <f t="array" aca="1" ref="I609" ca="1">Table18[Employer Name]</f>
        <v>#VALUE!</v>
      </c>
      <c r="J609" s="3" cm="1">
        <f t="array" ref="J60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09" s="25" t="str">
        <f>_xlfn.XLOOKUP(tblPayrollMaster[[#This Row],[Employee Position]],tblPositionandPayRate[Employee Position],tblPositionandPayRate[Overtime], " ")</f>
        <v xml:space="preserve"> </v>
      </c>
      <c r="L609" s="25">
        <f>_xlfn.XLOOKUP(tblPayrollMaster[[#This Row],[Employee Position]],tblPositionandPayRate[Employee Position],tblPositionandPayRate[Allowance 1],0)*tblPayrollMaster[[#This Row],[Pay Factor]]</f>
        <v>0</v>
      </c>
      <c r="M609" s="25">
        <f>_xlfn.XLOOKUP(tblPayrollMaster[[#This Row],[Employee Position]],tblPositionandPayRate[Employee Position],tblPositionandPayRate[Allowance 2],0)*tblPayrollMaster[[#This Row],[Pay Factor]]</f>
        <v>0</v>
      </c>
      <c r="N609" s="25">
        <f>_xlfn.XLOOKUP(tblPayrollMaster[[#This Row],[Employee Position]],tblPositionandPayRate[Employee Position],tblPositionandPayRate[Allowance 3],0)*tblPayrollMaster[[#This Row],[Pay Factor]]</f>
        <v>0</v>
      </c>
      <c r="O609" s="25">
        <f>_xlfn.XLOOKUP(tblPayrollMaster[[#This Row],[Employee Position]],tblPositionandPayRate[Employee Position],tblPositionandPayRate[Allowance 4],0)*tblPayrollMaster[[#This Row],[Pay Factor]]</f>
        <v>0</v>
      </c>
      <c r="P609" s="25">
        <f>_xlfn.XLOOKUP(tblPayrollMaster[[#This Row],[Employee Position]],tblPositionandPayRate[Employee Position],tblPositionandPayRate[Allowance 5],0)*tblPayrollMaster[[#This Row],[Pay Factor]]</f>
        <v>0</v>
      </c>
      <c r="Q609" s="25">
        <f>SUM(tblPayrollMaster[[#This Row],[Basic Pay]:[Allowance 5]])</f>
        <v>0</v>
      </c>
      <c r="R60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09" s="51" cm="1">
        <f t="array" ref="S6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09" s="3" cm="1">
        <f t="array" ref="T6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09" s="25">
        <f>_xlfn.LET(
_xlpm.tos, _xlfn.XLOOKUP(tblPayrollMaster[[#This Row],[Employee ID]], tblEmployee[Employee ID], tblEmployee[Type of Service], ""),
IF(_xlpm.tos="Contract of Service", 8.25, 0)
)</f>
        <v>0</v>
      </c>
      <c r="V609" s="25">
        <f>tblPayrollMaster[[#This Row],[Basic Earnings]]-tblPayrollMaster[[#This Row],[Tax]]-tblPayrollMaster[[#This Row],[NIS - Employee]]-tblPayrollMaster[[#This Row],[Health Surcharge]]</f>
        <v>0</v>
      </c>
      <c r="W609" s="25">
        <f>tblPayrollMaster[[#This Row],[Net Pay]]</f>
        <v>0</v>
      </c>
      <c r="X609" s="25"/>
    </row>
    <row r="610" spans="1:24" x14ac:dyDescent="0.25">
      <c r="A610" s="24"/>
      <c r="B610" s="24" t="str">
        <f>_xlfn.XLOOKUP(tblPayrollMaster[[#This Row],[Employee ID]],tblEmployee[Employee ID],tblEmployee[Employee Name],"")</f>
        <v/>
      </c>
      <c r="C610" s="24" t="str">
        <f>_xlfn.XLOOKUP(tblPayrollMaster[[#This Row],[Employee ID]],tblEmployee[Employee ID],tblEmployee[Employee Position],"")</f>
        <v/>
      </c>
      <c r="D610" s="24" t="str">
        <f>_xlfn.XLOOKUP(tblPayrollMaster[[#This Row],[Employee ID]], tblEmployee[Employee ID], tblEmployee[Pay Status], "Pay")</f>
        <v>Pay</v>
      </c>
      <c r="E610" s="24" t="str">
        <f>_xlfn.XLOOKUP(tblPayrollMaster[[#This Row],[Employee ID]], tblEmployee[Employee ID], tblEmployee[Payable Flag], "Y")</f>
        <v>Y</v>
      </c>
      <c r="F610" s="45">
        <f>IF(tblPayrollMaster[[#This Row],[Payable Flag]]="N",0,_xlfn.XLOOKUP(tblPayrollMaster[[#This Row],[Employee ID]],tblEmployee[Employee ID],tblEmployee[Pay Factor],1))</f>
        <v>1</v>
      </c>
      <c r="G610" s="26" t="str" cm="1">
        <f t="array" ref="G610">IF(tblPayrollMaster[[#This Row],[Employee ID]]="","",_xlfn.XLOOKUP(selPayPeriodID,tblPayCalendar[PayPeriodID],tblPayCalendar[PeriodStart],""))</f>
        <v/>
      </c>
      <c r="H610" s="26" t="str" cm="1">
        <f t="array" ref="H610">IF(tblPayrollMaster[[#This Row],[Employee ID]]="","",_xlfn.XLOOKUP(selPayPeriodID,tblPayCalendar[PayPeriodID],tblPayCalendar[PeriodEnd],""))</f>
        <v/>
      </c>
      <c r="I610" s="24" t="e" cm="1" vm="1">
        <f t="array" aca="1" ref="I610" ca="1">Table18[Employer Name]</f>
        <v>#VALUE!</v>
      </c>
      <c r="J610" s="3" cm="1">
        <f t="array" ref="J61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10" s="25" t="str">
        <f>_xlfn.XLOOKUP(tblPayrollMaster[[#This Row],[Employee Position]],tblPositionandPayRate[Employee Position],tblPositionandPayRate[Overtime], " ")</f>
        <v xml:space="preserve"> </v>
      </c>
      <c r="L610" s="25">
        <f>_xlfn.XLOOKUP(tblPayrollMaster[[#This Row],[Employee Position]],tblPositionandPayRate[Employee Position],tblPositionandPayRate[Allowance 1],0)*tblPayrollMaster[[#This Row],[Pay Factor]]</f>
        <v>0</v>
      </c>
      <c r="M610" s="25">
        <f>_xlfn.XLOOKUP(tblPayrollMaster[[#This Row],[Employee Position]],tblPositionandPayRate[Employee Position],tblPositionandPayRate[Allowance 2],0)*tblPayrollMaster[[#This Row],[Pay Factor]]</f>
        <v>0</v>
      </c>
      <c r="N610" s="25">
        <f>_xlfn.XLOOKUP(tblPayrollMaster[[#This Row],[Employee Position]],tblPositionandPayRate[Employee Position],tblPositionandPayRate[Allowance 3],0)*tblPayrollMaster[[#This Row],[Pay Factor]]</f>
        <v>0</v>
      </c>
      <c r="O610" s="25">
        <f>_xlfn.XLOOKUP(tblPayrollMaster[[#This Row],[Employee Position]],tblPositionandPayRate[Employee Position],tblPositionandPayRate[Allowance 4],0)*tblPayrollMaster[[#This Row],[Pay Factor]]</f>
        <v>0</v>
      </c>
      <c r="P610" s="25">
        <f>_xlfn.XLOOKUP(tblPayrollMaster[[#This Row],[Employee Position]],tblPositionandPayRate[Employee Position],tblPositionandPayRate[Allowance 5],0)*tblPayrollMaster[[#This Row],[Pay Factor]]</f>
        <v>0</v>
      </c>
      <c r="Q610" s="25">
        <f>SUM(tblPayrollMaster[[#This Row],[Basic Pay]:[Allowance 5]])</f>
        <v>0</v>
      </c>
      <c r="R61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10" s="51" cm="1">
        <f t="array" ref="S6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10" s="3" cm="1">
        <f t="array" ref="T6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10" s="25">
        <f>_xlfn.LET(
_xlpm.tos, _xlfn.XLOOKUP(tblPayrollMaster[[#This Row],[Employee ID]], tblEmployee[Employee ID], tblEmployee[Type of Service], ""),
IF(_xlpm.tos="Contract of Service", 8.25, 0)
)</f>
        <v>0</v>
      </c>
      <c r="V610" s="25">
        <f>tblPayrollMaster[[#This Row],[Basic Earnings]]-tblPayrollMaster[[#This Row],[Tax]]-tblPayrollMaster[[#This Row],[NIS - Employee]]-tblPayrollMaster[[#This Row],[Health Surcharge]]</f>
        <v>0</v>
      </c>
      <c r="W610" s="25">
        <f>tblPayrollMaster[[#This Row],[Net Pay]]</f>
        <v>0</v>
      </c>
      <c r="X610" s="25"/>
    </row>
    <row r="611" spans="1:24" x14ac:dyDescent="0.25">
      <c r="A611" s="24"/>
      <c r="B611" s="24" t="str">
        <f>_xlfn.XLOOKUP(tblPayrollMaster[[#This Row],[Employee ID]],tblEmployee[Employee ID],tblEmployee[Employee Name],"")</f>
        <v/>
      </c>
      <c r="C611" s="24" t="str">
        <f>_xlfn.XLOOKUP(tblPayrollMaster[[#This Row],[Employee ID]],tblEmployee[Employee ID],tblEmployee[Employee Position],"")</f>
        <v/>
      </c>
      <c r="D611" s="24" t="str">
        <f>_xlfn.XLOOKUP(tblPayrollMaster[[#This Row],[Employee ID]], tblEmployee[Employee ID], tblEmployee[Pay Status], "Pay")</f>
        <v>Pay</v>
      </c>
      <c r="E611" s="24" t="str">
        <f>_xlfn.XLOOKUP(tblPayrollMaster[[#This Row],[Employee ID]], tblEmployee[Employee ID], tblEmployee[Payable Flag], "Y")</f>
        <v>Y</v>
      </c>
      <c r="F611" s="45">
        <f>IF(tblPayrollMaster[[#This Row],[Payable Flag]]="N",0,_xlfn.XLOOKUP(tblPayrollMaster[[#This Row],[Employee ID]],tblEmployee[Employee ID],tblEmployee[Pay Factor],1))</f>
        <v>1</v>
      </c>
      <c r="G611" s="26" t="str" cm="1">
        <f t="array" ref="G611">IF(tblPayrollMaster[[#This Row],[Employee ID]]="","",_xlfn.XLOOKUP(selPayPeriodID,tblPayCalendar[PayPeriodID],tblPayCalendar[PeriodStart],""))</f>
        <v/>
      </c>
      <c r="H611" s="26" t="str" cm="1">
        <f t="array" ref="H611">IF(tblPayrollMaster[[#This Row],[Employee ID]]="","",_xlfn.XLOOKUP(selPayPeriodID,tblPayCalendar[PayPeriodID],tblPayCalendar[PeriodEnd],""))</f>
        <v/>
      </c>
      <c r="I611" s="24" t="e" cm="1" vm="1">
        <f t="array" aca="1" ref="I611" ca="1">Table18[Employer Name]</f>
        <v>#VALUE!</v>
      </c>
      <c r="J611" s="3" cm="1">
        <f t="array" ref="J61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11" s="25" t="str">
        <f>_xlfn.XLOOKUP(tblPayrollMaster[[#This Row],[Employee Position]],tblPositionandPayRate[Employee Position],tblPositionandPayRate[Overtime], " ")</f>
        <v xml:space="preserve"> </v>
      </c>
      <c r="L611" s="25">
        <f>_xlfn.XLOOKUP(tblPayrollMaster[[#This Row],[Employee Position]],tblPositionandPayRate[Employee Position],tblPositionandPayRate[Allowance 1],0)*tblPayrollMaster[[#This Row],[Pay Factor]]</f>
        <v>0</v>
      </c>
      <c r="M611" s="25">
        <f>_xlfn.XLOOKUP(tblPayrollMaster[[#This Row],[Employee Position]],tblPositionandPayRate[Employee Position],tblPositionandPayRate[Allowance 2],0)*tblPayrollMaster[[#This Row],[Pay Factor]]</f>
        <v>0</v>
      </c>
      <c r="N611" s="25">
        <f>_xlfn.XLOOKUP(tblPayrollMaster[[#This Row],[Employee Position]],tblPositionandPayRate[Employee Position],tblPositionandPayRate[Allowance 3],0)*tblPayrollMaster[[#This Row],[Pay Factor]]</f>
        <v>0</v>
      </c>
      <c r="O611" s="25">
        <f>_xlfn.XLOOKUP(tblPayrollMaster[[#This Row],[Employee Position]],tblPositionandPayRate[Employee Position],tblPositionandPayRate[Allowance 4],0)*tblPayrollMaster[[#This Row],[Pay Factor]]</f>
        <v>0</v>
      </c>
      <c r="P611" s="25">
        <f>_xlfn.XLOOKUP(tblPayrollMaster[[#This Row],[Employee Position]],tblPositionandPayRate[Employee Position],tblPositionandPayRate[Allowance 5],0)*tblPayrollMaster[[#This Row],[Pay Factor]]</f>
        <v>0</v>
      </c>
      <c r="Q611" s="25">
        <f>SUM(tblPayrollMaster[[#This Row],[Basic Pay]:[Allowance 5]])</f>
        <v>0</v>
      </c>
      <c r="R61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11" s="51" cm="1">
        <f t="array" ref="S6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11" s="3" cm="1">
        <f t="array" ref="T6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11" s="25">
        <f>_xlfn.LET(
_xlpm.tos, _xlfn.XLOOKUP(tblPayrollMaster[[#This Row],[Employee ID]], tblEmployee[Employee ID], tblEmployee[Type of Service], ""),
IF(_xlpm.tos="Contract of Service", 8.25, 0)
)</f>
        <v>0</v>
      </c>
      <c r="V611" s="25">
        <f>tblPayrollMaster[[#This Row],[Basic Earnings]]-tblPayrollMaster[[#This Row],[Tax]]-tblPayrollMaster[[#This Row],[NIS - Employee]]-tblPayrollMaster[[#This Row],[Health Surcharge]]</f>
        <v>0</v>
      </c>
      <c r="W611" s="25">
        <f>tblPayrollMaster[[#This Row],[Net Pay]]</f>
        <v>0</v>
      </c>
      <c r="X611" s="25"/>
    </row>
    <row r="612" spans="1:24" x14ac:dyDescent="0.25">
      <c r="A612" s="24"/>
      <c r="B612" s="24" t="str">
        <f>_xlfn.XLOOKUP(tblPayrollMaster[[#This Row],[Employee ID]],tblEmployee[Employee ID],tblEmployee[Employee Name],"")</f>
        <v/>
      </c>
      <c r="C612" s="24" t="str">
        <f>_xlfn.XLOOKUP(tblPayrollMaster[[#This Row],[Employee ID]],tblEmployee[Employee ID],tblEmployee[Employee Position],"")</f>
        <v/>
      </c>
      <c r="D612" s="24" t="str">
        <f>_xlfn.XLOOKUP(tblPayrollMaster[[#This Row],[Employee ID]], tblEmployee[Employee ID], tblEmployee[Pay Status], "Pay")</f>
        <v>Pay</v>
      </c>
      <c r="E612" s="24" t="str">
        <f>_xlfn.XLOOKUP(tblPayrollMaster[[#This Row],[Employee ID]], tblEmployee[Employee ID], tblEmployee[Payable Flag], "Y")</f>
        <v>Y</v>
      </c>
      <c r="F612" s="45">
        <f>IF(tblPayrollMaster[[#This Row],[Payable Flag]]="N",0,_xlfn.XLOOKUP(tblPayrollMaster[[#This Row],[Employee ID]],tblEmployee[Employee ID],tblEmployee[Pay Factor],1))</f>
        <v>1</v>
      </c>
      <c r="G612" s="26" t="str" cm="1">
        <f t="array" ref="G612">IF(tblPayrollMaster[[#This Row],[Employee ID]]="","",_xlfn.XLOOKUP(selPayPeriodID,tblPayCalendar[PayPeriodID],tblPayCalendar[PeriodStart],""))</f>
        <v/>
      </c>
      <c r="H612" s="26" t="str" cm="1">
        <f t="array" ref="H612">IF(tblPayrollMaster[[#This Row],[Employee ID]]="","",_xlfn.XLOOKUP(selPayPeriodID,tblPayCalendar[PayPeriodID],tblPayCalendar[PeriodEnd],""))</f>
        <v/>
      </c>
      <c r="I612" s="24" t="e" cm="1" vm="1">
        <f t="array" aca="1" ref="I612" ca="1">Table18[Employer Name]</f>
        <v>#VALUE!</v>
      </c>
      <c r="J612" s="3" cm="1">
        <f t="array" ref="J61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12" s="25" t="str">
        <f>_xlfn.XLOOKUP(tblPayrollMaster[[#This Row],[Employee Position]],tblPositionandPayRate[Employee Position],tblPositionandPayRate[Overtime], " ")</f>
        <v xml:space="preserve"> </v>
      </c>
      <c r="L612" s="25">
        <f>_xlfn.XLOOKUP(tblPayrollMaster[[#This Row],[Employee Position]],tblPositionandPayRate[Employee Position],tblPositionandPayRate[Allowance 1],0)*tblPayrollMaster[[#This Row],[Pay Factor]]</f>
        <v>0</v>
      </c>
      <c r="M612" s="25">
        <f>_xlfn.XLOOKUP(tblPayrollMaster[[#This Row],[Employee Position]],tblPositionandPayRate[Employee Position],tblPositionandPayRate[Allowance 2],0)*tblPayrollMaster[[#This Row],[Pay Factor]]</f>
        <v>0</v>
      </c>
      <c r="N612" s="25">
        <f>_xlfn.XLOOKUP(tblPayrollMaster[[#This Row],[Employee Position]],tblPositionandPayRate[Employee Position],tblPositionandPayRate[Allowance 3],0)*tblPayrollMaster[[#This Row],[Pay Factor]]</f>
        <v>0</v>
      </c>
      <c r="O612" s="25">
        <f>_xlfn.XLOOKUP(tblPayrollMaster[[#This Row],[Employee Position]],tblPositionandPayRate[Employee Position],tblPositionandPayRate[Allowance 4],0)*tblPayrollMaster[[#This Row],[Pay Factor]]</f>
        <v>0</v>
      </c>
      <c r="P612" s="25">
        <f>_xlfn.XLOOKUP(tblPayrollMaster[[#This Row],[Employee Position]],tblPositionandPayRate[Employee Position],tblPositionandPayRate[Allowance 5],0)*tblPayrollMaster[[#This Row],[Pay Factor]]</f>
        <v>0</v>
      </c>
      <c r="Q612" s="25">
        <f>SUM(tblPayrollMaster[[#This Row],[Basic Pay]:[Allowance 5]])</f>
        <v>0</v>
      </c>
      <c r="R61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12" s="51" cm="1">
        <f t="array" ref="S6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12" s="3" cm="1">
        <f t="array" ref="T6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12" s="25">
        <f>_xlfn.LET(
_xlpm.tos, _xlfn.XLOOKUP(tblPayrollMaster[[#This Row],[Employee ID]], tblEmployee[Employee ID], tblEmployee[Type of Service], ""),
IF(_xlpm.tos="Contract of Service", 8.25, 0)
)</f>
        <v>0</v>
      </c>
      <c r="V612" s="25">
        <f>tblPayrollMaster[[#This Row],[Basic Earnings]]-tblPayrollMaster[[#This Row],[Tax]]-tblPayrollMaster[[#This Row],[NIS - Employee]]-tblPayrollMaster[[#This Row],[Health Surcharge]]</f>
        <v>0</v>
      </c>
      <c r="W612" s="25">
        <f>tblPayrollMaster[[#This Row],[Net Pay]]</f>
        <v>0</v>
      </c>
      <c r="X612" s="25"/>
    </row>
    <row r="613" spans="1:24" x14ac:dyDescent="0.25">
      <c r="A613" s="24"/>
      <c r="B613" s="24" t="str">
        <f>_xlfn.XLOOKUP(tblPayrollMaster[[#This Row],[Employee ID]],tblEmployee[Employee ID],tblEmployee[Employee Name],"")</f>
        <v/>
      </c>
      <c r="C613" s="24" t="str">
        <f>_xlfn.XLOOKUP(tblPayrollMaster[[#This Row],[Employee ID]],tblEmployee[Employee ID],tblEmployee[Employee Position],"")</f>
        <v/>
      </c>
      <c r="D613" s="24" t="str">
        <f>_xlfn.XLOOKUP(tblPayrollMaster[[#This Row],[Employee ID]], tblEmployee[Employee ID], tblEmployee[Pay Status], "Pay")</f>
        <v>Pay</v>
      </c>
      <c r="E613" s="24" t="str">
        <f>_xlfn.XLOOKUP(tblPayrollMaster[[#This Row],[Employee ID]], tblEmployee[Employee ID], tblEmployee[Payable Flag], "Y")</f>
        <v>Y</v>
      </c>
      <c r="F613" s="45">
        <f>IF(tblPayrollMaster[[#This Row],[Payable Flag]]="N",0,_xlfn.XLOOKUP(tblPayrollMaster[[#This Row],[Employee ID]],tblEmployee[Employee ID],tblEmployee[Pay Factor],1))</f>
        <v>1</v>
      </c>
      <c r="G613" s="26" t="str" cm="1">
        <f t="array" ref="G613">IF(tblPayrollMaster[[#This Row],[Employee ID]]="","",_xlfn.XLOOKUP(selPayPeriodID,tblPayCalendar[PayPeriodID],tblPayCalendar[PeriodStart],""))</f>
        <v/>
      </c>
      <c r="H613" s="26" t="str" cm="1">
        <f t="array" ref="H613">IF(tblPayrollMaster[[#This Row],[Employee ID]]="","",_xlfn.XLOOKUP(selPayPeriodID,tblPayCalendar[PayPeriodID],tblPayCalendar[PeriodEnd],""))</f>
        <v/>
      </c>
      <c r="I613" s="24" t="e" cm="1" vm="1">
        <f t="array" aca="1" ref="I613" ca="1">Table18[Employer Name]</f>
        <v>#VALUE!</v>
      </c>
      <c r="J613" s="3" cm="1">
        <f t="array" ref="J61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13" s="25" t="str">
        <f>_xlfn.XLOOKUP(tblPayrollMaster[[#This Row],[Employee Position]],tblPositionandPayRate[Employee Position],tblPositionandPayRate[Overtime], " ")</f>
        <v xml:space="preserve"> </v>
      </c>
      <c r="L613" s="25">
        <f>_xlfn.XLOOKUP(tblPayrollMaster[[#This Row],[Employee Position]],tblPositionandPayRate[Employee Position],tblPositionandPayRate[Allowance 1],0)*tblPayrollMaster[[#This Row],[Pay Factor]]</f>
        <v>0</v>
      </c>
      <c r="M613" s="25">
        <f>_xlfn.XLOOKUP(tblPayrollMaster[[#This Row],[Employee Position]],tblPositionandPayRate[Employee Position],tblPositionandPayRate[Allowance 2],0)*tblPayrollMaster[[#This Row],[Pay Factor]]</f>
        <v>0</v>
      </c>
      <c r="N613" s="25">
        <f>_xlfn.XLOOKUP(tblPayrollMaster[[#This Row],[Employee Position]],tblPositionandPayRate[Employee Position],tblPositionandPayRate[Allowance 3],0)*tblPayrollMaster[[#This Row],[Pay Factor]]</f>
        <v>0</v>
      </c>
      <c r="O613" s="25">
        <f>_xlfn.XLOOKUP(tblPayrollMaster[[#This Row],[Employee Position]],tblPositionandPayRate[Employee Position],tblPositionandPayRate[Allowance 4],0)*tblPayrollMaster[[#This Row],[Pay Factor]]</f>
        <v>0</v>
      </c>
      <c r="P613" s="25">
        <f>_xlfn.XLOOKUP(tblPayrollMaster[[#This Row],[Employee Position]],tblPositionandPayRate[Employee Position],tblPositionandPayRate[Allowance 5],0)*tblPayrollMaster[[#This Row],[Pay Factor]]</f>
        <v>0</v>
      </c>
      <c r="Q613" s="25">
        <f>SUM(tblPayrollMaster[[#This Row],[Basic Pay]:[Allowance 5]])</f>
        <v>0</v>
      </c>
      <c r="R61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13" s="51" cm="1">
        <f t="array" ref="S6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13" s="3" cm="1">
        <f t="array" ref="T6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13" s="25">
        <f>_xlfn.LET(
_xlpm.tos, _xlfn.XLOOKUP(tblPayrollMaster[[#This Row],[Employee ID]], tblEmployee[Employee ID], tblEmployee[Type of Service], ""),
IF(_xlpm.tos="Contract of Service", 8.25, 0)
)</f>
        <v>0</v>
      </c>
      <c r="V613" s="25">
        <f>tblPayrollMaster[[#This Row],[Basic Earnings]]-tblPayrollMaster[[#This Row],[Tax]]-tblPayrollMaster[[#This Row],[NIS - Employee]]-tblPayrollMaster[[#This Row],[Health Surcharge]]</f>
        <v>0</v>
      </c>
      <c r="W613" s="25">
        <f>tblPayrollMaster[[#This Row],[Net Pay]]</f>
        <v>0</v>
      </c>
      <c r="X613" s="25"/>
    </row>
    <row r="614" spans="1:24" x14ac:dyDescent="0.25">
      <c r="A614" s="24"/>
      <c r="B614" s="24" t="str">
        <f>_xlfn.XLOOKUP(tblPayrollMaster[[#This Row],[Employee ID]],tblEmployee[Employee ID],tblEmployee[Employee Name],"")</f>
        <v/>
      </c>
      <c r="C614" s="24" t="str">
        <f>_xlfn.XLOOKUP(tblPayrollMaster[[#This Row],[Employee ID]],tblEmployee[Employee ID],tblEmployee[Employee Position],"")</f>
        <v/>
      </c>
      <c r="D614" s="24" t="str">
        <f>_xlfn.XLOOKUP(tblPayrollMaster[[#This Row],[Employee ID]], tblEmployee[Employee ID], tblEmployee[Pay Status], "Pay")</f>
        <v>Pay</v>
      </c>
      <c r="E614" s="24" t="str">
        <f>_xlfn.XLOOKUP(tblPayrollMaster[[#This Row],[Employee ID]], tblEmployee[Employee ID], tblEmployee[Payable Flag], "Y")</f>
        <v>Y</v>
      </c>
      <c r="F614" s="45">
        <f>IF(tblPayrollMaster[[#This Row],[Payable Flag]]="N",0,_xlfn.XLOOKUP(tblPayrollMaster[[#This Row],[Employee ID]],tblEmployee[Employee ID],tblEmployee[Pay Factor],1))</f>
        <v>1</v>
      </c>
      <c r="G614" s="26" t="str" cm="1">
        <f t="array" ref="G614">IF(tblPayrollMaster[[#This Row],[Employee ID]]="","",_xlfn.XLOOKUP(selPayPeriodID,tblPayCalendar[PayPeriodID],tblPayCalendar[PeriodStart],""))</f>
        <v/>
      </c>
      <c r="H614" s="26" t="str" cm="1">
        <f t="array" ref="H614">IF(tblPayrollMaster[[#This Row],[Employee ID]]="","",_xlfn.XLOOKUP(selPayPeriodID,tblPayCalendar[PayPeriodID],tblPayCalendar[PeriodEnd],""))</f>
        <v/>
      </c>
      <c r="I614" s="24" t="e" cm="1" vm="1">
        <f t="array" aca="1" ref="I614" ca="1">Table18[Employer Name]</f>
        <v>#VALUE!</v>
      </c>
      <c r="J614" s="3" cm="1">
        <f t="array" ref="J61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14" s="25" t="str">
        <f>_xlfn.XLOOKUP(tblPayrollMaster[[#This Row],[Employee Position]],tblPositionandPayRate[Employee Position],tblPositionandPayRate[Overtime], " ")</f>
        <v xml:space="preserve"> </v>
      </c>
      <c r="L614" s="25">
        <f>_xlfn.XLOOKUP(tblPayrollMaster[[#This Row],[Employee Position]],tblPositionandPayRate[Employee Position],tblPositionandPayRate[Allowance 1],0)*tblPayrollMaster[[#This Row],[Pay Factor]]</f>
        <v>0</v>
      </c>
      <c r="M614" s="25">
        <f>_xlfn.XLOOKUP(tblPayrollMaster[[#This Row],[Employee Position]],tblPositionandPayRate[Employee Position],tblPositionandPayRate[Allowance 2],0)*tblPayrollMaster[[#This Row],[Pay Factor]]</f>
        <v>0</v>
      </c>
      <c r="N614" s="25">
        <f>_xlfn.XLOOKUP(tblPayrollMaster[[#This Row],[Employee Position]],tblPositionandPayRate[Employee Position],tblPositionandPayRate[Allowance 3],0)*tblPayrollMaster[[#This Row],[Pay Factor]]</f>
        <v>0</v>
      </c>
      <c r="O614" s="25">
        <f>_xlfn.XLOOKUP(tblPayrollMaster[[#This Row],[Employee Position]],tblPositionandPayRate[Employee Position],tblPositionandPayRate[Allowance 4],0)*tblPayrollMaster[[#This Row],[Pay Factor]]</f>
        <v>0</v>
      </c>
      <c r="P614" s="25">
        <f>_xlfn.XLOOKUP(tblPayrollMaster[[#This Row],[Employee Position]],tblPositionandPayRate[Employee Position],tblPositionandPayRate[Allowance 5],0)*tblPayrollMaster[[#This Row],[Pay Factor]]</f>
        <v>0</v>
      </c>
      <c r="Q614" s="25">
        <f>SUM(tblPayrollMaster[[#This Row],[Basic Pay]:[Allowance 5]])</f>
        <v>0</v>
      </c>
      <c r="R61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14" s="51" cm="1">
        <f t="array" ref="S6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14" s="3" cm="1">
        <f t="array" ref="T6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14" s="25">
        <f>_xlfn.LET(
_xlpm.tos, _xlfn.XLOOKUP(tblPayrollMaster[[#This Row],[Employee ID]], tblEmployee[Employee ID], tblEmployee[Type of Service], ""),
IF(_xlpm.tos="Contract of Service", 8.25, 0)
)</f>
        <v>0</v>
      </c>
      <c r="V614" s="25">
        <f>tblPayrollMaster[[#This Row],[Basic Earnings]]-tblPayrollMaster[[#This Row],[Tax]]-tblPayrollMaster[[#This Row],[NIS - Employee]]-tblPayrollMaster[[#This Row],[Health Surcharge]]</f>
        <v>0</v>
      </c>
      <c r="W614" s="25">
        <f>tblPayrollMaster[[#This Row],[Net Pay]]</f>
        <v>0</v>
      </c>
      <c r="X614" s="25"/>
    </row>
    <row r="615" spans="1:24" x14ac:dyDescent="0.25">
      <c r="A615" s="24"/>
      <c r="B615" s="24" t="str">
        <f>_xlfn.XLOOKUP(tblPayrollMaster[[#This Row],[Employee ID]],tblEmployee[Employee ID],tblEmployee[Employee Name],"")</f>
        <v/>
      </c>
      <c r="C615" s="24" t="str">
        <f>_xlfn.XLOOKUP(tblPayrollMaster[[#This Row],[Employee ID]],tblEmployee[Employee ID],tblEmployee[Employee Position],"")</f>
        <v/>
      </c>
      <c r="D615" s="24" t="str">
        <f>_xlfn.XLOOKUP(tblPayrollMaster[[#This Row],[Employee ID]], tblEmployee[Employee ID], tblEmployee[Pay Status], "Pay")</f>
        <v>Pay</v>
      </c>
      <c r="E615" s="24" t="str">
        <f>_xlfn.XLOOKUP(tblPayrollMaster[[#This Row],[Employee ID]], tblEmployee[Employee ID], tblEmployee[Payable Flag], "Y")</f>
        <v>Y</v>
      </c>
      <c r="F615" s="45">
        <f>IF(tblPayrollMaster[[#This Row],[Payable Flag]]="N",0,_xlfn.XLOOKUP(tblPayrollMaster[[#This Row],[Employee ID]],tblEmployee[Employee ID],tblEmployee[Pay Factor],1))</f>
        <v>1</v>
      </c>
      <c r="G615" s="26" t="str" cm="1">
        <f t="array" ref="G615">IF(tblPayrollMaster[[#This Row],[Employee ID]]="","",_xlfn.XLOOKUP(selPayPeriodID,tblPayCalendar[PayPeriodID],tblPayCalendar[PeriodStart],""))</f>
        <v/>
      </c>
      <c r="H615" s="26" t="str" cm="1">
        <f t="array" ref="H615">IF(tblPayrollMaster[[#This Row],[Employee ID]]="","",_xlfn.XLOOKUP(selPayPeriodID,tblPayCalendar[PayPeriodID],tblPayCalendar[PeriodEnd],""))</f>
        <v/>
      </c>
      <c r="I615" s="24" t="e" cm="1" vm="1">
        <f t="array" aca="1" ref="I615" ca="1">Table18[Employer Name]</f>
        <v>#VALUE!</v>
      </c>
      <c r="J615" s="3" cm="1">
        <f t="array" ref="J61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15" s="25" t="str">
        <f>_xlfn.XLOOKUP(tblPayrollMaster[[#This Row],[Employee Position]],tblPositionandPayRate[Employee Position],tblPositionandPayRate[Overtime], " ")</f>
        <v xml:space="preserve"> </v>
      </c>
      <c r="L615" s="25">
        <f>_xlfn.XLOOKUP(tblPayrollMaster[[#This Row],[Employee Position]],tblPositionandPayRate[Employee Position],tblPositionandPayRate[Allowance 1],0)*tblPayrollMaster[[#This Row],[Pay Factor]]</f>
        <v>0</v>
      </c>
      <c r="M615" s="25">
        <f>_xlfn.XLOOKUP(tblPayrollMaster[[#This Row],[Employee Position]],tblPositionandPayRate[Employee Position],tblPositionandPayRate[Allowance 2],0)*tblPayrollMaster[[#This Row],[Pay Factor]]</f>
        <v>0</v>
      </c>
      <c r="N615" s="25">
        <f>_xlfn.XLOOKUP(tblPayrollMaster[[#This Row],[Employee Position]],tblPositionandPayRate[Employee Position],tblPositionandPayRate[Allowance 3],0)*tblPayrollMaster[[#This Row],[Pay Factor]]</f>
        <v>0</v>
      </c>
      <c r="O615" s="25">
        <f>_xlfn.XLOOKUP(tblPayrollMaster[[#This Row],[Employee Position]],tblPositionandPayRate[Employee Position],tblPositionandPayRate[Allowance 4],0)*tblPayrollMaster[[#This Row],[Pay Factor]]</f>
        <v>0</v>
      </c>
      <c r="P615" s="25">
        <f>_xlfn.XLOOKUP(tblPayrollMaster[[#This Row],[Employee Position]],tblPositionandPayRate[Employee Position],tblPositionandPayRate[Allowance 5],0)*tblPayrollMaster[[#This Row],[Pay Factor]]</f>
        <v>0</v>
      </c>
      <c r="Q615" s="25">
        <f>SUM(tblPayrollMaster[[#This Row],[Basic Pay]:[Allowance 5]])</f>
        <v>0</v>
      </c>
      <c r="R61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15" s="51" cm="1">
        <f t="array" ref="S6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15" s="3" cm="1">
        <f t="array" ref="T6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15" s="25">
        <f>_xlfn.LET(
_xlpm.tos, _xlfn.XLOOKUP(tblPayrollMaster[[#This Row],[Employee ID]], tblEmployee[Employee ID], tblEmployee[Type of Service], ""),
IF(_xlpm.tos="Contract of Service", 8.25, 0)
)</f>
        <v>0</v>
      </c>
      <c r="V615" s="25">
        <f>tblPayrollMaster[[#This Row],[Basic Earnings]]-tblPayrollMaster[[#This Row],[Tax]]-tblPayrollMaster[[#This Row],[NIS - Employee]]-tblPayrollMaster[[#This Row],[Health Surcharge]]</f>
        <v>0</v>
      </c>
      <c r="W615" s="25">
        <f>tblPayrollMaster[[#This Row],[Net Pay]]</f>
        <v>0</v>
      </c>
      <c r="X615" s="25"/>
    </row>
    <row r="616" spans="1:24" x14ac:dyDescent="0.25">
      <c r="A616" s="24"/>
      <c r="B616" s="24" t="str">
        <f>_xlfn.XLOOKUP(tblPayrollMaster[[#This Row],[Employee ID]],tblEmployee[Employee ID],tblEmployee[Employee Name],"")</f>
        <v/>
      </c>
      <c r="C616" s="24" t="str">
        <f>_xlfn.XLOOKUP(tblPayrollMaster[[#This Row],[Employee ID]],tblEmployee[Employee ID],tblEmployee[Employee Position],"")</f>
        <v/>
      </c>
      <c r="D616" s="24" t="str">
        <f>_xlfn.XLOOKUP(tblPayrollMaster[[#This Row],[Employee ID]], tblEmployee[Employee ID], tblEmployee[Pay Status], "Pay")</f>
        <v>Pay</v>
      </c>
      <c r="E616" s="24" t="str">
        <f>_xlfn.XLOOKUP(tblPayrollMaster[[#This Row],[Employee ID]], tblEmployee[Employee ID], tblEmployee[Payable Flag], "Y")</f>
        <v>Y</v>
      </c>
      <c r="F616" s="45">
        <f>IF(tblPayrollMaster[[#This Row],[Payable Flag]]="N",0,_xlfn.XLOOKUP(tblPayrollMaster[[#This Row],[Employee ID]],tblEmployee[Employee ID],tblEmployee[Pay Factor],1))</f>
        <v>1</v>
      </c>
      <c r="G616" s="26" t="str" cm="1">
        <f t="array" ref="G616">IF(tblPayrollMaster[[#This Row],[Employee ID]]="","",_xlfn.XLOOKUP(selPayPeriodID,tblPayCalendar[PayPeriodID],tblPayCalendar[PeriodStart],""))</f>
        <v/>
      </c>
      <c r="H616" s="26" t="str" cm="1">
        <f t="array" ref="H616">IF(tblPayrollMaster[[#This Row],[Employee ID]]="","",_xlfn.XLOOKUP(selPayPeriodID,tblPayCalendar[PayPeriodID],tblPayCalendar[PeriodEnd],""))</f>
        <v/>
      </c>
      <c r="I616" s="24" t="e" cm="1" vm="1">
        <f t="array" aca="1" ref="I616" ca="1">Table18[Employer Name]</f>
        <v>#VALUE!</v>
      </c>
      <c r="J616" s="3" cm="1">
        <f t="array" ref="J61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16" s="25" t="str">
        <f>_xlfn.XLOOKUP(tblPayrollMaster[[#This Row],[Employee Position]],tblPositionandPayRate[Employee Position],tblPositionandPayRate[Overtime], " ")</f>
        <v xml:space="preserve"> </v>
      </c>
      <c r="L616" s="25">
        <f>_xlfn.XLOOKUP(tblPayrollMaster[[#This Row],[Employee Position]],tblPositionandPayRate[Employee Position],tblPositionandPayRate[Allowance 1],0)*tblPayrollMaster[[#This Row],[Pay Factor]]</f>
        <v>0</v>
      </c>
      <c r="M616" s="25">
        <f>_xlfn.XLOOKUP(tblPayrollMaster[[#This Row],[Employee Position]],tblPositionandPayRate[Employee Position],tblPositionandPayRate[Allowance 2],0)*tblPayrollMaster[[#This Row],[Pay Factor]]</f>
        <v>0</v>
      </c>
      <c r="N616" s="25">
        <f>_xlfn.XLOOKUP(tblPayrollMaster[[#This Row],[Employee Position]],tblPositionandPayRate[Employee Position],tblPositionandPayRate[Allowance 3],0)*tblPayrollMaster[[#This Row],[Pay Factor]]</f>
        <v>0</v>
      </c>
      <c r="O616" s="25">
        <f>_xlfn.XLOOKUP(tblPayrollMaster[[#This Row],[Employee Position]],tblPositionandPayRate[Employee Position],tblPositionandPayRate[Allowance 4],0)*tblPayrollMaster[[#This Row],[Pay Factor]]</f>
        <v>0</v>
      </c>
      <c r="P616" s="25">
        <f>_xlfn.XLOOKUP(tblPayrollMaster[[#This Row],[Employee Position]],tblPositionandPayRate[Employee Position],tblPositionandPayRate[Allowance 5],0)*tblPayrollMaster[[#This Row],[Pay Factor]]</f>
        <v>0</v>
      </c>
      <c r="Q616" s="25">
        <f>SUM(tblPayrollMaster[[#This Row],[Basic Pay]:[Allowance 5]])</f>
        <v>0</v>
      </c>
      <c r="R61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16" s="51" cm="1">
        <f t="array" ref="S6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16" s="3" cm="1">
        <f t="array" ref="T6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16" s="25">
        <f>_xlfn.LET(
_xlpm.tos, _xlfn.XLOOKUP(tblPayrollMaster[[#This Row],[Employee ID]], tblEmployee[Employee ID], tblEmployee[Type of Service], ""),
IF(_xlpm.tos="Contract of Service", 8.25, 0)
)</f>
        <v>0</v>
      </c>
      <c r="V616" s="25">
        <f>tblPayrollMaster[[#This Row],[Basic Earnings]]-tblPayrollMaster[[#This Row],[Tax]]-tblPayrollMaster[[#This Row],[NIS - Employee]]-tblPayrollMaster[[#This Row],[Health Surcharge]]</f>
        <v>0</v>
      </c>
      <c r="W616" s="25">
        <f>tblPayrollMaster[[#This Row],[Net Pay]]</f>
        <v>0</v>
      </c>
      <c r="X616" s="25"/>
    </row>
    <row r="617" spans="1:24" x14ac:dyDescent="0.25">
      <c r="A617" s="24"/>
      <c r="B617" s="24" t="str">
        <f>_xlfn.XLOOKUP(tblPayrollMaster[[#This Row],[Employee ID]],tblEmployee[Employee ID],tblEmployee[Employee Name],"")</f>
        <v/>
      </c>
      <c r="C617" s="24" t="str">
        <f>_xlfn.XLOOKUP(tblPayrollMaster[[#This Row],[Employee ID]],tblEmployee[Employee ID],tblEmployee[Employee Position],"")</f>
        <v/>
      </c>
      <c r="D617" s="24" t="str">
        <f>_xlfn.XLOOKUP(tblPayrollMaster[[#This Row],[Employee ID]], tblEmployee[Employee ID], tblEmployee[Pay Status], "Pay")</f>
        <v>Pay</v>
      </c>
      <c r="E617" s="24" t="str">
        <f>_xlfn.XLOOKUP(tblPayrollMaster[[#This Row],[Employee ID]], tblEmployee[Employee ID], tblEmployee[Payable Flag], "Y")</f>
        <v>Y</v>
      </c>
      <c r="F617" s="45">
        <f>IF(tblPayrollMaster[[#This Row],[Payable Flag]]="N",0,_xlfn.XLOOKUP(tblPayrollMaster[[#This Row],[Employee ID]],tblEmployee[Employee ID],tblEmployee[Pay Factor],1))</f>
        <v>1</v>
      </c>
      <c r="G617" s="26" t="str" cm="1">
        <f t="array" ref="G617">IF(tblPayrollMaster[[#This Row],[Employee ID]]="","",_xlfn.XLOOKUP(selPayPeriodID,tblPayCalendar[PayPeriodID],tblPayCalendar[PeriodStart],""))</f>
        <v/>
      </c>
      <c r="H617" s="26" t="str" cm="1">
        <f t="array" ref="H617">IF(tblPayrollMaster[[#This Row],[Employee ID]]="","",_xlfn.XLOOKUP(selPayPeriodID,tblPayCalendar[PayPeriodID],tblPayCalendar[PeriodEnd],""))</f>
        <v/>
      </c>
      <c r="I617" s="24" t="e" cm="1" vm="1">
        <f t="array" aca="1" ref="I617" ca="1">Table18[Employer Name]</f>
        <v>#VALUE!</v>
      </c>
      <c r="J617" s="3" cm="1">
        <f t="array" ref="J61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17" s="25" t="str">
        <f>_xlfn.XLOOKUP(tblPayrollMaster[[#This Row],[Employee Position]],tblPositionandPayRate[Employee Position],tblPositionandPayRate[Overtime], " ")</f>
        <v xml:space="preserve"> </v>
      </c>
      <c r="L617" s="25">
        <f>_xlfn.XLOOKUP(tblPayrollMaster[[#This Row],[Employee Position]],tblPositionandPayRate[Employee Position],tblPositionandPayRate[Allowance 1],0)*tblPayrollMaster[[#This Row],[Pay Factor]]</f>
        <v>0</v>
      </c>
      <c r="M617" s="25">
        <f>_xlfn.XLOOKUP(tblPayrollMaster[[#This Row],[Employee Position]],tblPositionandPayRate[Employee Position],tblPositionandPayRate[Allowance 2],0)*tblPayrollMaster[[#This Row],[Pay Factor]]</f>
        <v>0</v>
      </c>
      <c r="N617" s="25">
        <f>_xlfn.XLOOKUP(tblPayrollMaster[[#This Row],[Employee Position]],tblPositionandPayRate[Employee Position],tblPositionandPayRate[Allowance 3],0)*tblPayrollMaster[[#This Row],[Pay Factor]]</f>
        <v>0</v>
      </c>
      <c r="O617" s="25">
        <f>_xlfn.XLOOKUP(tblPayrollMaster[[#This Row],[Employee Position]],tblPositionandPayRate[Employee Position],tblPositionandPayRate[Allowance 4],0)*tblPayrollMaster[[#This Row],[Pay Factor]]</f>
        <v>0</v>
      </c>
      <c r="P617" s="25">
        <f>_xlfn.XLOOKUP(tblPayrollMaster[[#This Row],[Employee Position]],tblPositionandPayRate[Employee Position],tblPositionandPayRate[Allowance 5],0)*tblPayrollMaster[[#This Row],[Pay Factor]]</f>
        <v>0</v>
      </c>
      <c r="Q617" s="25">
        <f>SUM(tblPayrollMaster[[#This Row],[Basic Pay]:[Allowance 5]])</f>
        <v>0</v>
      </c>
      <c r="R61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17" s="51" cm="1">
        <f t="array" ref="S6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17" s="3" cm="1">
        <f t="array" ref="T6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17" s="25">
        <f>_xlfn.LET(
_xlpm.tos, _xlfn.XLOOKUP(tblPayrollMaster[[#This Row],[Employee ID]], tblEmployee[Employee ID], tblEmployee[Type of Service], ""),
IF(_xlpm.tos="Contract of Service", 8.25, 0)
)</f>
        <v>0</v>
      </c>
      <c r="V617" s="25">
        <f>tblPayrollMaster[[#This Row],[Basic Earnings]]-tblPayrollMaster[[#This Row],[Tax]]-tblPayrollMaster[[#This Row],[NIS - Employee]]-tblPayrollMaster[[#This Row],[Health Surcharge]]</f>
        <v>0</v>
      </c>
      <c r="W617" s="25">
        <f>tblPayrollMaster[[#This Row],[Net Pay]]</f>
        <v>0</v>
      </c>
      <c r="X617" s="25"/>
    </row>
    <row r="618" spans="1:24" x14ac:dyDescent="0.25">
      <c r="A618" s="24"/>
      <c r="B618" s="24" t="str">
        <f>_xlfn.XLOOKUP(tblPayrollMaster[[#This Row],[Employee ID]],tblEmployee[Employee ID],tblEmployee[Employee Name],"")</f>
        <v/>
      </c>
      <c r="C618" s="24" t="str">
        <f>_xlfn.XLOOKUP(tblPayrollMaster[[#This Row],[Employee ID]],tblEmployee[Employee ID],tblEmployee[Employee Position],"")</f>
        <v/>
      </c>
      <c r="D618" s="24" t="str">
        <f>_xlfn.XLOOKUP(tblPayrollMaster[[#This Row],[Employee ID]], tblEmployee[Employee ID], tblEmployee[Pay Status], "Pay")</f>
        <v>Pay</v>
      </c>
      <c r="E618" s="24" t="str">
        <f>_xlfn.XLOOKUP(tblPayrollMaster[[#This Row],[Employee ID]], tblEmployee[Employee ID], tblEmployee[Payable Flag], "Y")</f>
        <v>Y</v>
      </c>
      <c r="F618" s="45">
        <f>IF(tblPayrollMaster[[#This Row],[Payable Flag]]="N",0,_xlfn.XLOOKUP(tblPayrollMaster[[#This Row],[Employee ID]],tblEmployee[Employee ID],tblEmployee[Pay Factor],1))</f>
        <v>1</v>
      </c>
      <c r="G618" s="26" t="str" cm="1">
        <f t="array" ref="G618">IF(tblPayrollMaster[[#This Row],[Employee ID]]="","",_xlfn.XLOOKUP(selPayPeriodID,tblPayCalendar[PayPeriodID],tblPayCalendar[PeriodStart],""))</f>
        <v/>
      </c>
      <c r="H618" s="26" t="str" cm="1">
        <f t="array" ref="H618">IF(tblPayrollMaster[[#This Row],[Employee ID]]="","",_xlfn.XLOOKUP(selPayPeriodID,tblPayCalendar[PayPeriodID],tblPayCalendar[PeriodEnd],""))</f>
        <v/>
      </c>
      <c r="I618" s="24" t="e" cm="1" vm="1">
        <f t="array" aca="1" ref="I618" ca="1">Table18[Employer Name]</f>
        <v>#VALUE!</v>
      </c>
      <c r="J618" s="3" cm="1">
        <f t="array" ref="J61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18" s="25" t="str">
        <f>_xlfn.XLOOKUP(tblPayrollMaster[[#This Row],[Employee Position]],tblPositionandPayRate[Employee Position],tblPositionandPayRate[Overtime], " ")</f>
        <v xml:space="preserve"> </v>
      </c>
      <c r="L618" s="25">
        <f>_xlfn.XLOOKUP(tblPayrollMaster[[#This Row],[Employee Position]],tblPositionandPayRate[Employee Position],tblPositionandPayRate[Allowance 1],0)*tblPayrollMaster[[#This Row],[Pay Factor]]</f>
        <v>0</v>
      </c>
      <c r="M618" s="25">
        <f>_xlfn.XLOOKUP(tblPayrollMaster[[#This Row],[Employee Position]],tblPositionandPayRate[Employee Position],tblPositionandPayRate[Allowance 2],0)*tblPayrollMaster[[#This Row],[Pay Factor]]</f>
        <v>0</v>
      </c>
      <c r="N618" s="25">
        <f>_xlfn.XLOOKUP(tblPayrollMaster[[#This Row],[Employee Position]],tblPositionandPayRate[Employee Position],tblPositionandPayRate[Allowance 3],0)*tblPayrollMaster[[#This Row],[Pay Factor]]</f>
        <v>0</v>
      </c>
      <c r="O618" s="25">
        <f>_xlfn.XLOOKUP(tblPayrollMaster[[#This Row],[Employee Position]],tblPositionandPayRate[Employee Position],tblPositionandPayRate[Allowance 4],0)*tblPayrollMaster[[#This Row],[Pay Factor]]</f>
        <v>0</v>
      </c>
      <c r="P618" s="25">
        <f>_xlfn.XLOOKUP(tblPayrollMaster[[#This Row],[Employee Position]],tblPositionandPayRate[Employee Position],tblPositionandPayRate[Allowance 5],0)*tblPayrollMaster[[#This Row],[Pay Factor]]</f>
        <v>0</v>
      </c>
      <c r="Q618" s="25">
        <f>SUM(tblPayrollMaster[[#This Row],[Basic Pay]:[Allowance 5]])</f>
        <v>0</v>
      </c>
      <c r="R61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18" s="51" cm="1">
        <f t="array" ref="S6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18" s="3" cm="1">
        <f t="array" ref="T6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18" s="25">
        <f>_xlfn.LET(
_xlpm.tos, _xlfn.XLOOKUP(tblPayrollMaster[[#This Row],[Employee ID]], tblEmployee[Employee ID], tblEmployee[Type of Service], ""),
IF(_xlpm.tos="Contract of Service", 8.25, 0)
)</f>
        <v>0</v>
      </c>
      <c r="V618" s="25">
        <f>tblPayrollMaster[[#This Row],[Basic Earnings]]-tblPayrollMaster[[#This Row],[Tax]]-tblPayrollMaster[[#This Row],[NIS - Employee]]-tblPayrollMaster[[#This Row],[Health Surcharge]]</f>
        <v>0</v>
      </c>
      <c r="W618" s="25">
        <f>tblPayrollMaster[[#This Row],[Net Pay]]</f>
        <v>0</v>
      </c>
      <c r="X618" s="25"/>
    </row>
    <row r="619" spans="1:24" x14ac:dyDescent="0.25">
      <c r="A619" s="24"/>
      <c r="B619" s="24" t="str">
        <f>_xlfn.XLOOKUP(tblPayrollMaster[[#This Row],[Employee ID]],tblEmployee[Employee ID],tblEmployee[Employee Name],"")</f>
        <v/>
      </c>
      <c r="C619" s="24" t="str">
        <f>_xlfn.XLOOKUP(tblPayrollMaster[[#This Row],[Employee ID]],tblEmployee[Employee ID],tblEmployee[Employee Position],"")</f>
        <v/>
      </c>
      <c r="D619" s="24" t="str">
        <f>_xlfn.XLOOKUP(tblPayrollMaster[[#This Row],[Employee ID]], tblEmployee[Employee ID], tblEmployee[Pay Status], "Pay")</f>
        <v>Pay</v>
      </c>
      <c r="E619" s="24" t="str">
        <f>_xlfn.XLOOKUP(tblPayrollMaster[[#This Row],[Employee ID]], tblEmployee[Employee ID], tblEmployee[Payable Flag], "Y")</f>
        <v>Y</v>
      </c>
      <c r="F619" s="45">
        <f>IF(tblPayrollMaster[[#This Row],[Payable Flag]]="N",0,_xlfn.XLOOKUP(tblPayrollMaster[[#This Row],[Employee ID]],tblEmployee[Employee ID],tblEmployee[Pay Factor],1))</f>
        <v>1</v>
      </c>
      <c r="G619" s="26" t="str" cm="1">
        <f t="array" ref="G619">IF(tblPayrollMaster[[#This Row],[Employee ID]]="","",_xlfn.XLOOKUP(selPayPeriodID,tblPayCalendar[PayPeriodID],tblPayCalendar[PeriodStart],""))</f>
        <v/>
      </c>
      <c r="H619" s="26" t="str" cm="1">
        <f t="array" ref="H619">IF(tblPayrollMaster[[#This Row],[Employee ID]]="","",_xlfn.XLOOKUP(selPayPeriodID,tblPayCalendar[PayPeriodID],tblPayCalendar[PeriodEnd],""))</f>
        <v/>
      </c>
      <c r="I619" s="24" t="e" cm="1" vm="1">
        <f t="array" aca="1" ref="I619" ca="1">Table18[Employer Name]</f>
        <v>#VALUE!</v>
      </c>
      <c r="J619" s="3" cm="1">
        <f t="array" ref="J61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19" s="25" t="str">
        <f>_xlfn.XLOOKUP(tblPayrollMaster[[#This Row],[Employee Position]],tblPositionandPayRate[Employee Position],tblPositionandPayRate[Overtime], " ")</f>
        <v xml:space="preserve"> </v>
      </c>
      <c r="L619" s="25">
        <f>_xlfn.XLOOKUP(tblPayrollMaster[[#This Row],[Employee Position]],tblPositionandPayRate[Employee Position],tblPositionandPayRate[Allowance 1],0)*tblPayrollMaster[[#This Row],[Pay Factor]]</f>
        <v>0</v>
      </c>
      <c r="M619" s="25">
        <f>_xlfn.XLOOKUP(tblPayrollMaster[[#This Row],[Employee Position]],tblPositionandPayRate[Employee Position],tblPositionandPayRate[Allowance 2],0)*tblPayrollMaster[[#This Row],[Pay Factor]]</f>
        <v>0</v>
      </c>
      <c r="N619" s="25">
        <f>_xlfn.XLOOKUP(tblPayrollMaster[[#This Row],[Employee Position]],tblPositionandPayRate[Employee Position],tblPositionandPayRate[Allowance 3],0)*tblPayrollMaster[[#This Row],[Pay Factor]]</f>
        <v>0</v>
      </c>
      <c r="O619" s="25">
        <f>_xlfn.XLOOKUP(tblPayrollMaster[[#This Row],[Employee Position]],tblPositionandPayRate[Employee Position],tblPositionandPayRate[Allowance 4],0)*tblPayrollMaster[[#This Row],[Pay Factor]]</f>
        <v>0</v>
      </c>
      <c r="P619" s="25">
        <f>_xlfn.XLOOKUP(tblPayrollMaster[[#This Row],[Employee Position]],tblPositionandPayRate[Employee Position],tblPositionandPayRate[Allowance 5],0)*tblPayrollMaster[[#This Row],[Pay Factor]]</f>
        <v>0</v>
      </c>
      <c r="Q619" s="25">
        <f>SUM(tblPayrollMaster[[#This Row],[Basic Pay]:[Allowance 5]])</f>
        <v>0</v>
      </c>
      <c r="R61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19" s="51" cm="1">
        <f t="array" ref="S6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19" s="3" cm="1">
        <f t="array" ref="T6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19" s="25">
        <f>_xlfn.LET(
_xlpm.tos, _xlfn.XLOOKUP(tblPayrollMaster[[#This Row],[Employee ID]], tblEmployee[Employee ID], tblEmployee[Type of Service], ""),
IF(_xlpm.tos="Contract of Service", 8.25, 0)
)</f>
        <v>0</v>
      </c>
      <c r="V619" s="25">
        <f>tblPayrollMaster[[#This Row],[Basic Earnings]]-tblPayrollMaster[[#This Row],[Tax]]-tblPayrollMaster[[#This Row],[NIS - Employee]]-tblPayrollMaster[[#This Row],[Health Surcharge]]</f>
        <v>0</v>
      </c>
      <c r="W619" s="25">
        <f>tblPayrollMaster[[#This Row],[Net Pay]]</f>
        <v>0</v>
      </c>
      <c r="X619" s="25"/>
    </row>
    <row r="620" spans="1:24" x14ac:dyDescent="0.25">
      <c r="A620" s="24"/>
      <c r="B620" s="24" t="str">
        <f>_xlfn.XLOOKUP(tblPayrollMaster[[#This Row],[Employee ID]],tblEmployee[Employee ID],tblEmployee[Employee Name],"")</f>
        <v/>
      </c>
      <c r="C620" s="24" t="str">
        <f>_xlfn.XLOOKUP(tblPayrollMaster[[#This Row],[Employee ID]],tblEmployee[Employee ID],tblEmployee[Employee Position],"")</f>
        <v/>
      </c>
      <c r="D620" s="24" t="str">
        <f>_xlfn.XLOOKUP(tblPayrollMaster[[#This Row],[Employee ID]], tblEmployee[Employee ID], tblEmployee[Pay Status], "Pay")</f>
        <v>Pay</v>
      </c>
      <c r="E620" s="24" t="str">
        <f>_xlfn.XLOOKUP(tblPayrollMaster[[#This Row],[Employee ID]], tblEmployee[Employee ID], tblEmployee[Payable Flag], "Y")</f>
        <v>Y</v>
      </c>
      <c r="F620" s="45">
        <f>IF(tblPayrollMaster[[#This Row],[Payable Flag]]="N",0,_xlfn.XLOOKUP(tblPayrollMaster[[#This Row],[Employee ID]],tblEmployee[Employee ID],tblEmployee[Pay Factor],1))</f>
        <v>1</v>
      </c>
      <c r="G620" s="26" t="str" cm="1">
        <f t="array" ref="G620">IF(tblPayrollMaster[[#This Row],[Employee ID]]="","",_xlfn.XLOOKUP(selPayPeriodID,tblPayCalendar[PayPeriodID],tblPayCalendar[PeriodStart],""))</f>
        <v/>
      </c>
      <c r="H620" s="26" t="str" cm="1">
        <f t="array" ref="H620">IF(tblPayrollMaster[[#This Row],[Employee ID]]="","",_xlfn.XLOOKUP(selPayPeriodID,tblPayCalendar[PayPeriodID],tblPayCalendar[PeriodEnd],""))</f>
        <v/>
      </c>
      <c r="I620" s="24" t="e" cm="1" vm="1">
        <f t="array" aca="1" ref="I620" ca="1">Table18[Employer Name]</f>
        <v>#VALUE!</v>
      </c>
      <c r="J620" s="3" cm="1">
        <f t="array" ref="J62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20" s="25" t="str">
        <f>_xlfn.XLOOKUP(tblPayrollMaster[[#This Row],[Employee Position]],tblPositionandPayRate[Employee Position],tblPositionandPayRate[Overtime], " ")</f>
        <v xml:space="preserve"> </v>
      </c>
      <c r="L620" s="25">
        <f>_xlfn.XLOOKUP(tblPayrollMaster[[#This Row],[Employee Position]],tblPositionandPayRate[Employee Position],tblPositionandPayRate[Allowance 1],0)*tblPayrollMaster[[#This Row],[Pay Factor]]</f>
        <v>0</v>
      </c>
      <c r="M620" s="25">
        <f>_xlfn.XLOOKUP(tblPayrollMaster[[#This Row],[Employee Position]],tblPositionandPayRate[Employee Position],tblPositionandPayRate[Allowance 2],0)*tblPayrollMaster[[#This Row],[Pay Factor]]</f>
        <v>0</v>
      </c>
      <c r="N620" s="25">
        <f>_xlfn.XLOOKUP(tblPayrollMaster[[#This Row],[Employee Position]],tblPositionandPayRate[Employee Position],tblPositionandPayRate[Allowance 3],0)*tblPayrollMaster[[#This Row],[Pay Factor]]</f>
        <v>0</v>
      </c>
      <c r="O620" s="25">
        <f>_xlfn.XLOOKUP(tblPayrollMaster[[#This Row],[Employee Position]],tblPositionandPayRate[Employee Position],tblPositionandPayRate[Allowance 4],0)*tblPayrollMaster[[#This Row],[Pay Factor]]</f>
        <v>0</v>
      </c>
      <c r="P620" s="25">
        <f>_xlfn.XLOOKUP(tblPayrollMaster[[#This Row],[Employee Position]],tblPositionandPayRate[Employee Position],tblPositionandPayRate[Allowance 5],0)*tblPayrollMaster[[#This Row],[Pay Factor]]</f>
        <v>0</v>
      </c>
      <c r="Q620" s="25">
        <f>SUM(tblPayrollMaster[[#This Row],[Basic Pay]:[Allowance 5]])</f>
        <v>0</v>
      </c>
      <c r="R62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20" s="51" cm="1">
        <f t="array" ref="S6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20" s="3" cm="1">
        <f t="array" ref="T6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20" s="25">
        <f>_xlfn.LET(
_xlpm.tos, _xlfn.XLOOKUP(tblPayrollMaster[[#This Row],[Employee ID]], tblEmployee[Employee ID], tblEmployee[Type of Service], ""),
IF(_xlpm.tos="Contract of Service", 8.25, 0)
)</f>
        <v>0</v>
      </c>
      <c r="V620" s="25">
        <f>tblPayrollMaster[[#This Row],[Basic Earnings]]-tblPayrollMaster[[#This Row],[Tax]]-tblPayrollMaster[[#This Row],[NIS - Employee]]-tblPayrollMaster[[#This Row],[Health Surcharge]]</f>
        <v>0</v>
      </c>
      <c r="W620" s="25">
        <f>tblPayrollMaster[[#This Row],[Net Pay]]</f>
        <v>0</v>
      </c>
      <c r="X620" s="25"/>
    </row>
    <row r="621" spans="1:24" x14ac:dyDescent="0.25">
      <c r="A621" s="24"/>
      <c r="B621" s="24" t="str">
        <f>_xlfn.XLOOKUP(tblPayrollMaster[[#This Row],[Employee ID]],tblEmployee[Employee ID],tblEmployee[Employee Name],"")</f>
        <v/>
      </c>
      <c r="C621" s="24" t="str">
        <f>_xlfn.XLOOKUP(tblPayrollMaster[[#This Row],[Employee ID]],tblEmployee[Employee ID],tblEmployee[Employee Position],"")</f>
        <v/>
      </c>
      <c r="D621" s="24" t="str">
        <f>_xlfn.XLOOKUP(tblPayrollMaster[[#This Row],[Employee ID]], tblEmployee[Employee ID], tblEmployee[Pay Status], "Pay")</f>
        <v>Pay</v>
      </c>
      <c r="E621" s="24" t="str">
        <f>_xlfn.XLOOKUP(tblPayrollMaster[[#This Row],[Employee ID]], tblEmployee[Employee ID], tblEmployee[Payable Flag], "Y")</f>
        <v>Y</v>
      </c>
      <c r="F621" s="45">
        <f>IF(tblPayrollMaster[[#This Row],[Payable Flag]]="N",0,_xlfn.XLOOKUP(tblPayrollMaster[[#This Row],[Employee ID]],tblEmployee[Employee ID],tblEmployee[Pay Factor],1))</f>
        <v>1</v>
      </c>
      <c r="G621" s="26" t="str" cm="1">
        <f t="array" ref="G621">IF(tblPayrollMaster[[#This Row],[Employee ID]]="","",_xlfn.XLOOKUP(selPayPeriodID,tblPayCalendar[PayPeriodID],tblPayCalendar[PeriodStart],""))</f>
        <v/>
      </c>
      <c r="H621" s="26" t="str" cm="1">
        <f t="array" ref="H621">IF(tblPayrollMaster[[#This Row],[Employee ID]]="","",_xlfn.XLOOKUP(selPayPeriodID,tblPayCalendar[PayPeriodID],tblPayCalendar[PeriodEnd],""))</f>
        <v/>
      </c>
      <c r="I621" s="24" t="e" cm="1" vm="1">
        <f t="array" aca="1" ref="I621" ca="1">Table18[Employer Name]</f>
        <v>#VALUE!</v>
      </c>
      <c r="J621" s="3" cm="1">
        <f t="array" ref="J62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21" s="25" t="str">
        <f>_xlfn.XLOOKUP(tblPayrollMaster[[#This Row],[Employee Position]],tblPositionandPayRate[Employee Position],tblPositionandPayRate[Overtime], " ")</f>
        <v xml:space="preserve"> </v>
      </c>
      <c r="L621" s="25">
        <f>_xlfn.XLOOKUP(tblPayrollMaster[[#This Row],[Employee Position]],tblPositionandPayRate[Employee Position],tblPositionandPayRate[Allowance 1],0)*tblPayrollMaster[[#This Row],[Pay Factor]]</f>
        <v>0</v>
      </c>
      <c r="M621" s="25">
        <f>_xlfn.XLOOKUP(tblPayrollMaster[[#This Row],[Employee Position]],tblPositionandPayRate[Employee Position],tblPositionandPayRate[Allowance 2],0)*tblPayrollMaster[[#This Row],[Pay Factor]]</f>
        <v>0</v>
      </c>
      <c r="N621" s="25">
        <f>_xlfn.XLOOKUP(tblPayrollMaster[[#This Row],[Employee Position]],tblPositionandPayRate[Employee Position],tblPositionandPayRate[Allowance 3],0)*tblPayrollMaster[[#This Row],[Pay Factor]]</f>
        <v>0</v>
      </c>
      <c r="O621" s="25">
        <f>_xlfn.XLOOKUP(tblPayrollMaster[[#This Row],[Employee Position]],tblPositionandPayRate[Employee Position],tblPositionandPayRate[Allowance 4],0)*tblPayrollMaster[[#This Row],[Pay Factor]]</f>
        <v>0</v>
      </c>
      <c r="P621" s="25">
        <f>_xlfn.XLOOKUP(tblPayrollMaster[[#This Row],[Employee Position]],tblPositionandPayRate[Employee Position],tblPositionandPayRate[Allowance 5],0)*tblPayrollMaster[[#This Row],[Pay Factor]]</f>
        <v>0</v>
      </c>
      <c r="Q621" s="25">
        <f>SUM(tblPayrollMaster[[#This Row],[Basic Pay]:[Allowance 5]])</f>
        <v>0</v>
      </c>
      <c r="R62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21" s="51" cm="1">
        <f t="array" ref="S6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21" s="3" cm="1">
        <f t="array" ref="T6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21" s="25">
        <f>_xlfn.LET(
_xlpm.tos, _xlfn.XLOOKUP(tblPayrollMaster[[#This Row],[Employee ID]], tblEmployee[Employee ID], tblEmployee[Type of Service], ""),
IF(_xlpm.tos="Contract of Service", 8.25, 0)
)</f>
        <v>0</v>
      </c>
      <c r="V621" s="25">
        <f>tblPayrollMaster[[#This Row],[Basic Earnings]]-tblPayrollMaster[[#This Row],[Tax]]-tblPayrollMaster[[#This Row],[NIS - Employee]]-tblPayrollMaster[[#This Row],[Health Surcharge]]</f>
        <v>0</v>
      </c>
      <c r="W621" s="25">
        <f>tblPayrollMaster[[#This Row],[Net Pay]]</f>
        <v>0</v>
      </c>
      <c r="X621" s="25"/>
    </row>
    <row r="622" spans="1:24" x14ac:dyDescent="0.25">
      <c r="A622" s="24"/>
      <c r="B622" s="24" t="str">
        <f>_xlfn.XLOOKUP(tblPayrollMaster[[#This Row],[Employee ID]],tblEmployee[Employee ID],tblEmployee[Employee Name],"")</f>
        <v/>
      </c>
      <c r="C622" s="24" t="str">
        <f>_xlfn.XLOOKUP(tblPayrollMaster[[#This Row],[Employee ID]],tblEmployee[Employee ID],tblEmployee[Employee Position],"")</f>
        <v/>
      </c>
      <c r="D622" s="24" t="str">
        <f>_xlfn.XLOOKUP(tblPayrollMaster[[#This Row],[Employee ID]], tblEmployee[Employee ID], tblEmployee[Pay Status], "Pay")</f>
        <v>Pay</v>
      </c>
      <c r="E622" s="24" t="str">
        <f>_xlfn.XLOOKUP(tblPayrollMaster[[#This Row],[Employee ID]], tblEmployee[Employee ID], tblEmployee[Payable Flag], "Y")</f>
        <v>Y</v>
      </c>
      <c r="F622" s="45">
        <f>IF(tblPayrollMaster[[#This Row],[Payable Flag]]="N",0,_xlfn.XLOOKUP(tblPayrollMaster[[#This Row],[Employee ID]],tblEmployee[Employee ID],tblEmployee[Pay Factor],1))</f>
        <v>1</v>
      </c>
      <c r="G622" s="26" t="str" cm="1">
        <f t="array" ref="G622">IF(tblPayrollMaster[[#This Row],[Employee ID]]="","",_xlfn.XLOOKUP(selPayPeriodID,tblPayCalendar[PayPeriodID],tblPayCalendar[PeriodStart],""))</f>
        <v/>
      </c>
      <c r="H622" s="26" t="str" cm="1">
        <f t="array" ref="H622">IF(tblPayrollMaster[[#This Row],[Employee ID]]="","",_xlfn.XLOOKUP(selPayPeriodID,tblPayCalendar[PayPeriodID],tblPayCalendar[PeriodEnd],""))</f>
        <v/>
      </c>
      <c r="I622" s="24" t="e" cm="1" vm="1">
        <f t="array" aca="1" ref="I622" ca="1">Table18[Employer Name]</f>
        <v>#VALUE!</v>
      </c>
      <c r="J622" s="3" cm="1">
        <f t="array" ref="J62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22" s="25" t="str">
        <f>_xlfn.XLOOKUP(tblPayrollMaster[[#This Row],[Employee Position]],tblPositionandPayRate[Employee Position],tblPositionandPayRate[Overtime], " ")</f>
        <v xml:space="preserve"> </v>
      </c>
      <c r="L622" s="25">
        <f>_xlfn.XLOOKUP(tblPayrollMaster[[#This Row],[Employee Position]],tblPositionandPayRate[Employee Position],tblPositionandPayRate[Allowance 1],0)*tblPayrollMaster[[#This Row],[Pay Factor]]</f>
        <v>0</v>
      </c>
      <c r="M622" s="25">
        <f>_xlfn.XLOOKUP(tblPayrollMaster[[#This Row],[Employee Position]],tblPositionandPayRate[Employee Position],tblPositionandPayRate[Allowance 2],0)*tblPayrollMaster[[#This Row],[Pay Factor]]</f>
        <v>0</v>
      </c>
      <c r="N622" s="25">
        <f>_xlfn.XLOOKUP(tblPayrollMaster[[#This Row],[Employee Position]],tblPositionandPayRate[Employee Position],tblPositionandPayRate[Allowance 3],0)*tblPayrollMaster[[#This Row],[Pay Factor]]</f>
        <v>0</v>
      </c>
      <c r="O622" s="25">
        <f>_xlfn.XLOOKUP(tblPayrollMaster[[#This Row],[Employee Position]],tblPositionandPayRate[Employee Position],tblPositionandPayRate[Allowance 4],0)*tblPayrollMaster[[#This Row],[Pay Factor]]</f>
        <v>0</v>
      </c>
      <c r="P622" s="25">
        <f>_xlfn.XLOOKUP(tblPayrollMaster[[#This Row],[Employee Position]],tblPositionandPayRate[Employee Position],tblPositionandPayRate[Allowance 5],0)*tblPayrollMaster[[#This Row],[Pay Factor]]</f>
        <v>0</v>
      </c>
      <c r="Q622" s="25">
        <f>SUM(tblPayrollMaster[[#This Row],[Basic Pay]:[Allowance 5]])</f>
        <v>0</v>
      </c>
      <c r="R62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22" s="51" cm="1">
        <f t="array" ref="S6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22" s="3" cm="1">
        <f t="array" ref="T6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22" s="25">
        <f>_xlfn.LET(
_xlpm.tos, _xlfn.XLOOKUP(tblPayrollMaster[[#This Row],[Employee ID]], tblEmployee[Employee ID], tblEmployee[Type of Service], ""),
IF(_xlpm.tos="Contract of Service", 8.25, 0)
)</f>
        <v>0</v>
      </c>
      <c r="V622" s="25">
        <f>tblPayrollMaster[[#This Row],[Basic Earnings]]-tblPayrollMaster[[#This Row],[Tax]]-tblPayrollMaster[[#This Row],[NIS - Employee]]-tblPayrollMaster[[#This Row],[Health Surcharge]]</f>
        <v>0</v>
      </c>
      <c r="W622" s="25">
        <f>tblPayrollMaster[[#This Row],[Net Pay]]</f>
        <v>0</v>
      </c>
      <c r="X622" s="25"/>
    </row>
    <row r="623" spans="1:24" x14ac:dyDescent="0.25">
      <c r="A623" s="24"/>
      <c r="B623" s="24" t="str">
        <f>_xlfn.XLOOKUP(tblPayrollMaster[[#This Row],[Employee ID]],tblEmployee[Employee ID],tblEmployee[Employee Name],"")</f>
        <v/>
      </c>
      <c r="C623" s="24" t="str">
        <f>_xlfn.XLOOKUP(tblPayrollMaster[[#This Row],[Employee ID]],tblEmployee[Employee ID],tblEmployee[Employee Position],"")</f>
        <v/>
      </c>
      <c r="D623" s="24" t="str">
        <f>_xlfn.XLOOKUP(tblPayrollMaster[[#This Row],[Employee ID]], tblEmployee[Employee ID], tblEmployee[Pay Status], "Pay")</f>
        <v>Pay</v>
      </c>
      <c r="E623" s="24" t="str">
        <f>_xlfn.XLOOKUP(tblPayrollMaster[[#This Row],[Employee ID]], tblEmployee[Employee ID], tblEmployee[Payable Flag], "Y")</f>
        <v>Y</v>
      </c>
      <c r="F623" s="45">
        <f>IF(tblPayrollMaster[[#This Row],[Payable Flag]]="N",0,_xlfn.XLOOKUP(tblPayrollMaster[[#This Row],[Employee ID]],tblEmployee[Employee ID],tblEmployee[Pay Factor],1))</f>
        <v>1</v>
      </c>
      <c r="G623" s="26" t="str" cm="1">
        <f t="array" ref="G623">IF(tblPayrollMaster[[#This Row],[Employee ID]]="","",_xlfn.XLOOKUP(selPayPeriodID,tblPayCalendar[PayPeriodID],tblPayCalendar[PeriodStart],""))</f>
        <v/>
      </c>
      <c r="H623" s="26" t="str" cm="1">
        <f t="array" ref="H623">IF(tblPayrollMaster[[#This Row],[Employee ID]]="","",_xlfn.XLOOKUP(selPayPeriodID,tblPayCalendar[PayPeriodID],tblPayCalendar[PeriodEnd],""))</f>
        <v/>
      </c>
      <c r="I623" s="24" t="e" cm="1" vm="1">
        <f t="array" aca="1" ref="I623" ca="1">Table18[Employer Name]</f>
        <v>#VALUE!</v>
      </c>
      <c r="J623" s="3" cm="1">
        <f t="array" ref="J62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23" s="25" t="str">
        <f>_xlfn.XLOOKUP(tblPayrollMaster[[#This Row],[Employee Position]],tblPositionandPayRate[Employee Position],tblPositionandPayRate[Overtime], " ")</f>
        <v xml:space="preserve"> </v>
      </c>
      <c r="L623" s="25">
        <f>_xlfn.XLOOKUP(tblPayrollMaster[[#This Row],[Employee Position]],tblPositionandPayRate[Employee Position],tblPositionandPayRate[Allowance 1],0)*tblPayrollMaster[[#This Row],[Pay Factor]]</f>
        <v>0</v>
      </c>
      <c r="M623" s="25">
        <f>_xlfn.XLOOKUP(tblPayrollMaster[[#This Row],[Employee Position]],tblPositionandPayRate[Employee Position],tblPositionandPayRate[Allowance 2],0)*tblPayrollMaster[[#This Row],[Pay Factor]]</f>
        <v>0</v>
      </c>
      <c r="N623" s="25">
        <f>_xlfn.XLOOKUP(tblPayrollMaster[[#This Row],[Employee Position]],tblPositionandPayRate[Employee Position],tblPositionandPayRate[Allowance 3],0)*tblPayrollMaster[[#This Row],[Pay Factor]]</f>
        <v>0</v>
      </c>
      <c r="O623" s="25">
        <f>_xlfn.XLOOKUP(tblPayrollMaster[[#This Row],[Employee Position]],tblPositionandPayRate[Employee Position],tblPositionandPayRate[Allowance 4],0)*tblPayrollMaster[[#This Row],[Pay Factor]]</f>
        <v>0</v>
      </c>
      <c r="P623" s="25">
        <f>_xlfn.XLOOKUP(tblPayrollMaster[[#This Row],[Employee Position]],tblPositionandPayRate[Employee Position],tblPositionandPayRate[Allowance 5],0)*tblPayrollMaster[[#This Row],[Pay Factor]]</f>
        <v>0</v>
      </c>
      <c r="Q623" s="25">
        <f>SUM(tblPayrollMaster[[#This Row],[Basic Pay]:[Allowance 5]])</f>
        <v>0</v>
      </c>
      <c r="R62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23" s="51" cm="1">
        <f t="array" ref="S6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23" s="3" cm="1">
        <f t="array" ref="T6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23" s="25">
        <f>_xlfn.LET(
_xlpm.tos, _xlfn.XLOOKUP(tblPayrollMaster[[#This Row],[Employee ID]], tblEmployee[Employee ID], tblEmployee[Type of Service], ""),
IF(_xlpm.tos="Contract of Service", 8.25, 0)
)</f>
        <v>0</v>
      </c>
      <c r="V623" s="25">
        <f>tblPayrollMaster[[#This Row],[Basic Earnings]]-tblPayrollMaster[[#This Row],[Tax]]-tblPayrollMaster[[#This Row],[NIS - Employee]]-tblPayrollMaster[[#This Row],[Health Surcharge]]</f>
        <v>0</v>
      </c>
      <c r="W623" s="25">
        <f>tblPayrollMaster[[#This Row],[Net Pay]]</f>
        <v>0</v>
      </c>
      <c r="X623" s="25"/>
    </row>
    <row r="624" spans="1:24" x14ac:dyDescent="0.25">
      <c r="A624" s="24"/>
      <c r="B624" s="24" t="str">
        <f>_xlfn.XLOOKUP(tblPayrollMaster[[#This Row],[Employee ID]],tblEmployee[Employee ID],tblEmployee[Employee Name],"")</f>
        <v/>
      </c>
      <c r="C624" s="24" t="str">
        <f>_xlfn.XLOOKUP(tblPayrollMaster[[#This Row],[Employee ID]],tblEmployee[Employee ID],tblEmployee[Employee Position],"")</f>
        <v/>
      </c>
      <c r="D624" s="24" t="str">
        <f>_xlfn.XLOOKUP(tblPayrollMaster[[#This Row],[Employee ID]], tblEmployee[Employee ID], tblEmployee[Pay Status], "Pay")</f>
        <v>Pay</v>
      </c>
      <c r="E624" s="24" t="str">
        <f>_xlfn.XLOOKUP(tblPayrollMaster[[#This Row],[Employee ID]], tblEmployee[Employee ID], tblEmployee[Payable Flag], "Y")</f>
        <v>Y</v>
      </c>
      <c r="F624" s="45">
        <f>IF(tblPayrollMaster[[#This Row],[Payable Flag]]="N",0,_xlfn.XLOOKUP(tblPayrollMaster[[#This Row],[Employee ID]],tblEmployee[Employee ID],tblEmployee[Pay Factor],1))</f>
        <v>1</v>
      </c>
      <c r="G624" s="26" t="str" cm="1">
        <f t="array" ref="G624">IF(tblPayrollMaster[[#This Row],[Employee ID]]="","",_xlfn.XLOOKUP(selPayPeriodID,tblPayCalendar[PayPeriodID],tblPayCalendar[PeriodStart],""))</f>
        <v/>
      </c>
      <c r="H624" s="26" t="str" cm="1">
        <f t="array" ref="H624">IF(tblPayrollMaster[[#This Row],[Employee ID]]="","",_xlfn.XLOOKUP(selPayPeriodID,tblPayCalendar[PayPeriodID],tblPayCalendar[PeriodEnd],""))</f>
        <v/>
      </c>
      <c r="I624" s="24" t="e" cm="1" vm="1">
        <f t="array" aca="1" ref="I624" ca="1">Table18[Employer Name]</f>
        <v>#VALUE!</v>
      </c>
      <c r="J624" s="3" cm="1">
        <f t="array" ref="J62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24" s="25" t="str">
        <f>_xlfn.XLOOKUP(tblPayrollMaster[[#This Row],[Employee Position]],tblPositionandPayRate[Employee Position],tblPositionandPayRate[Overtime], " ")</f>
        <v xml:space="preserve"> </v>
      </c>
      <c r="L624" s="25">
        <f>_xlfn.XLOOKUP(tblPayrollMaster[[#This Row],[Employee Position]],tblPositionandPayRate[Employee Position],tblPositionandPayRate[Allowance 1],0)*tblPayrollMaster[[#This Row],[Pay Factor]]</f>
        <v>0</v>
      </c>
      <c r="M624" s="25">
        <f>_xlfn.XLOOKUP(tblPayrollMaster[[#This Row],[Employee Position]],tblPositionandPayRate[Employee Position],tblPositionandPayRate[Allowance 2],0)*tblPayrollMaster[[#This Row],[Pay Factor]]</f>
        <v>0</v>
      </c>
      <c r="N624" s="25">
        <f>_xlfn.XLOOKUP(tblPayrollMaster[[#This Row],[Employee Position]],tblPositionandPayRate[Employee Position],tblPositionandPayRate[Allowance 3],0)*tblPayrollMaster[[#This Row],[Pay Factor]]</f>
        <v>0</v>
      </c>
      <c r="O624" s="25">
        <f>_xlfn.XLOOKUP(tblPayrollMaster[[#This Row],[Employee Position]],tblPositionandPayRate[Employee Position],tblPositionandPayRate[Allowance 4],0)*tblPayrollMaster[[#This Row],[Pay Factor]]</f>
        <v>0</v>
      </c>
      <c r="P624" s="25">
        <f>_xlfn.XLOOKUP(tblPayrollMaster[[#This Row],[Employee Position]],tblPositionandPayRate[Employee Position],tblPositionandPayRate[Allowance 5],0)*tblPayrollMaster[[#This Row],[Pay Factor]]</f>
        <v>0</v>
      </c>
      <c r="Q624" s="25">
        <f>SUM(tblPayrollMaster[[#This Row],[Basic Pay]:[Allowance 5]])</f>
        <v>0</v>
      </c>
      <c r="R62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24" s="51" cm="1">
        <f t="array" ref="S6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24" s="3" cm="1">
        <f t="array" ref="T6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24" s="25">
        <f>_xlfn.LET(
_xlpm.tos, _xlfn.XLOOKUP(tblPayrollMaster[[#This Row],[Employee ID]], tblEmployee[Employee ID], tblEmployee[Type of Service], ""),
IF(_xlpm.tos="Contract of Service", 8.25, 0)
)</f>
        <v>0</v>
      </c>
      <c r="V624" s="25">
        <f>tblPayrollMaster[[#This Row],[Basic Earnings]]-tblPayrollMaster[[#This Row],[Tax]]-tblPayrollMaster[[#This Row],[NIS - Employee]]-tblPayrollMaster[[#This Row],[Health Surcharge]]</f>
        <v>0</v>
      </c>
      <c r="W624" s="25">
        <f>tblPayrollMaster[[#This Row],[Net Pay]]</f>
        <v>0</v>
      </c>
      <c r="X624" s="25"/>
    </row>
    <row r="625" spans="1:24" x14ac:dyDescent="0.25">
      <c r="A625" s="24"/>
      <c r="B625" s="24" t="str">
        <f>_xlfn.XLOOKUP(tblPayrollMaster[[#This Row],[Employee ID]],tblEmployee[Employee ID],tblEmployee[Employee Name],"")</f>
        <v/>
      </c>
      <c r="C625" s="24" t="str">
        <f>_xlfn.XLOOKUP(tblPayrollMaster[[#This Row],[Employee ID]],tblEmployee[Employee ID],tblEmployee[Employee Position],"")</f>
        <v/>
      </c>
      <c r="D625" s="24" t="str">
        <f>_xlfn.XLOOKUP(tblPayrollMaster[[#This Row],[Employee ID]], tblEmployee[Employee ID], tblEmployee[Pay Status], "Pay")</f>
        <v>Pay</v>
      </c>
      <c r="E625" s="24" t="str">
        <f>_xlfn.XLOOKUP(tblPayrollMaster[[#This Row],[Employee ID]], tblEmployee[Employee ID], tblEmployee[Payable Flag], "Y")</f>
        <v>Y</v>
      </c>
      <c r="F625" s="45">
        <f>IF(tblPayrollMaster[[#This Row],[Payable Flag]]="N",0,_xlfn.XLOOKUP(tblPayrollMaster[[#This Row],[Employee ID]],tblEmployee[Employee ID],tblEmployee[Pay Factor],1))</f>
        <v>1</v>
      </c>
      <c r="G625" s="26" t="str" cm="1">
        <f t="array" ref="G625">IF(tblPayrollMaster[[#This Row],[Employee ID]]="","",_xlfn.XLOOKUP(selPayPeriodID,tblPayCalendar[PayPeriodID],tblPayCalendar[PeriodStart],""))</f>
        <v/>
      </c>
      <c r="H625" s="26" t="str" cm="1">
        <f t="array" ref="H625">IF(tblPayrollMaster[[#This Row],[Employee ID]]="","",_xlfn.XLOOKUP(selPayPeriodID,tblPayCalendar[PayPeriodID],tblPayCalendar[PeriodEnd],""))</f>
        <v/>
      </c>
      <c r="I625" s="24" t="e" cm="1" vm="1">
        <f t="array" aca="1" ref="I625" ca="1">Table18[Employer Name]</f>
        <v>#VALUE!</v>
      </c>
      <c r="J625" s="3" cm="1">
        <f t="array" ref="J62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25" s="25" t="str">
        <f>_xlfn.XLOOKUP(tblPayrollMaster[[#This Row],[Employee Position]],tblPositionandPayRate[Employee Position],tblPositionandPayRate[Overtime], " ")</f>
        <v xml:space="preserve"> </v>
      </c>
      <c r="L625" s="25">
        <f>_xlfn.XLOOKUP(tblPayrollMaster[[#This Row],[Employee Position]],tblPositionandPayRate[Employee Position],tblPositionandPayRate[Allowance 1],0)*tblPayrollMaster[[#This Row],[Pay Factor]]</f>
        <v>0</v>
      </c>
      <c r="M625" s="25">
        <f>_xlfn.XLOOKUP(tblPayrollMaster[[#This Row],[Employee Position]],tblPositionandPayRate[Employee Position],tblPositionandPayRate[Allowance 2],0)*tblPayrollMaster[[#This Row],[Pay Factor]]</f>
        <v>0</v>
      </c>
      <c r="N625" s="25">
        <f>_xlfn.XLOOKUP(tblPayrollMaster[[#This Row],[Employee Position]],tblPositionandPayRate[Employee Position],tblPositionandPayRate[Allowance 3],0)*tblPayrollMaster[[#This Row],[Pay Factor]]</f>
        <v>0</v>
      </c>
      <c r="O625" s="25">
        <f>_xlfn.XLOOKUP(tblPayrollMaster[[#This Row],[Employee Position]],tblPositionandPayRate[Employee Position],tblPositionandPayRate[Allowance 4],0)*tblPayrollMaster[[#This Row],[Pay Factor]]</f>
        <v>0</v>
      </c>
      <c r="P625" s="25">
        <f>_xlfn.XLOOKUP(tblPayrollMaster[[#This Row],[Employee Position]],tblPositionandPayRate[Employee Position],tblPositionandPayRate[Allowance 5],0)*tblPayrollMaster[[#This Row],[Pay Factor]]</f>
        <v>0</v>
      </c>
      <c r="Q625" s="25">
        <f>SUM(tblPayrollMaster[[#This Row],[Basic Pay]:[Allowance 5]])</f>
        <v>0</v>
      </c>
      <c r="R62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25" s="51" cm="1">
        <f t="array" ref="S6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25" s="3" cm="1">
        <f t="array" ref="T6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25" s="25">
        <f>_xlfn.LET(
_xlpm.tos, _xlfn.XLOOKUP(tblPayrollMaster[[#This Row],[Employee ID]], tblEmployee[Employee ID], tblEmployee[Type of Service], ""),
IF(_xlpm.tos="Contract of Service", 8.25, 0)
)</f>
        <v>0</v>
      </c>
      <c r="V625" s="25">
        <f>tblPayrollMaster[[#This Row],[Basic Earnings]]-tblPayrollMaster[[#This Row],[Tax]]-tblPayrollMaster[[#This Row],[NIS - Employee]]-tblPayrollMaster[[#This Row],[Health Surcharge]]</f>
        <v>0</v>
      </c>
      <c r="W625" s="25">
        <f>tblPayrollMaster[[#This Row],[Net Pay]]</f>
        <v>0</v>
      </c>
      <c r="X625" s="25"/>
    </row>
    <row r="626" spans="1:24" x14ac:dyDescent="0.25">
      <c r="A626" s="24"/>
      <c r="B626" s="24" t="str">
        <f>_xlfn.XLOOKUP(tblPayrollMaster[[#This Row],[Employee ID]],tblEmployee[Employee ID],tblEmployee[Employee Name],"")</f>
        <v/>
      </c>
      <c r="C626" s="24" t="str">
        <f>_xlfn.XLOOKUP(tblPayrollMaster[[#This Row],[Employee ID]],tblEmployee[Employee ID],tblEmployee[Employee Position],"")</f>
        <v/>
      </c>
      <c r="D626" s="24" t="str">
        <f>_xlfn.XLOOKUP(tblPayrollMaster[[#This Row],[Employee ID]], tblEmployee[Employee ID], tblEmployee[Pay Status], "Pay")</f>
        <v>Pay</v>
      </c>
      <c r="E626" s="24" t="str">
        <f>_xlfn.XLOOKUP(tblPayrollMaster[[#This Row],[Employee ID]], tblEmployee[Employee ID], tblEmployee[Payable Flag], "Y")</f>
        <v>Y</v>
      </c>
      <c r="F626" s="45">
        <f>IF(tblPayrollMaster[[#This Row],[Payable Flag]]="N",0,_xlfn.XLOOKUP(tblPayrollMaster[[#This Row],[Employee ID]],tblEmployee[Employee ID],tblEmployee[Pay Factor],1))</f>
        <v>1</v>
      </c>
      <c r="G626" s="26" t="str" cm="1">
        <f t="array" ref="G626">IF(tblPayrollMaster[[#This Row],[Employee ID]]="","",_xlfn.XLOOKUP(selPayPeriodID,tblPayCalendar[PayPeriodID],tblPayCalendar[PeriodStart],""))</f>
        <v/>
      </c>
      <c r="H626" s="26" t="str" cm="1">
        <f t="array" ref="H626">IF(tblPayrollMaster[[#This Row],[Employee ID]]="","",_xlfn.XLOOKUP(selPayPeriodID,tblPayCalendar[PayPeriodID],tblPayCalendar[PeriodEnd],""))</f>
        <v/>
      </c>
      <c r="I626" s="24" t="e" cm="1" vm="1">
        <f t="array" aca="1" ref="I626" ca="1">Table18[Employer Name]</f>
        <v>#VALUE!</v>
      </c>
      <c r="J626" s="3" cm="1">
        <f t="array" ref="J62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26" s="25" t="str">
        <f>_xlfn.XLOOKUP(tblPayrollMaster[[#This Row],[Employee Position]],tblPositionandPayRate[Employee Position],tblPositionandPayRate[Overtime], " ")</f>
        <v xml:space="preserve"> </v>
      </c>
      <c r="L626" s="25">
        <f>_xlfn.XLOOKUP(tblPayrollMaster[[#This Row],[Employee Position]],tblPositionandPayRate[Employee Position],tblPositionandPayRate[Allowance 1],0)*tblPayrollMaster[[#This Row],[Pay Factor]]</f>
        <v>0</v>
      </c>
      <c r="M626" s="25">
        <f>_xlfn.XLOOKUP(tblPayrollMaster[[#This Row],[Employee Position]],tblPositionandPayRate[Employee Position],tblPositionandPayRate[Allowance 2],0)*tblPayrollMaster[[#This Row],[Pay Factor]]</f>
        <v>0</v>
      </c>
      <c r="N626" s="25">
        <f>_xlfn.XLOOKUP(tblPayrollMaster[[#This Row],[Employee Position]],tblPositionandPayRate[Employee Position],tblPositionandPayRate[Allowance 3],0)*tblPayrollMaster[[#This Row],[Pay Factor]]</f>
        <v>0</v>
      </c>
      <c r="O626" s="25">
        <f>_xlfn.XLOOKUP(tblPayrollMaster[[#This Row],[Employee Position]],tblPositionandPayRate[Employee Position],tblPositionandPayRate[Allowance 4],0)*tblPayrollMaster[[#This Row],[Pay Factor]]</f>
        <v>0</v>
      </c>
      <c r="P626" s="25">
        <f>_xlfn.XLOOKUP(tblPayrollMaster[[#This Row],[Employee Position]],tblPositionandPayRate[Employee Position],tblPositionandPayRate[Allowance 5],0)*tblPayrollMaster[[#This Row],[Pay Factor]]</f>
        <v>0</v>
      </c>
      <c r="Q626" s="25">
        <f>SUM(tblPayrollMaster[[#This Row],[Basic Pay]:[Allowance 5]])</f>
        <v>0</v>
      </c>
      <c r="R62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26" s="51" cm="1">
        <f t="array" ref="S6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26" s="3" cm="1">
        <f t="array" ref="T6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26" s="25">
        <f>_xlfn.LET(
_xlpm.tos, _xlfn.XLOOKUP(tblPayrollMaster[[#This Row],[Employee ID]], tblEmployee[Employee ID], tblEmployee[Type of Service], ""),
IF(_xlpm.tos="Contract of Service", 8.25, 0)
)</f>
        <v>0</v>
      </c>
      <c r="V626" s="25">
        <f>tblPayrollMaster[[#This Row],[Basic Earnings]]-tblPayrollMaster[[#This Row],[Tax]]-tblPayrollMaster[[#This Row],[NIS - Employee]]-tblPayrollMaster[[#This Row],[Health Surcharge]]</f>
        <v>0</v>
      </c>
      <c r="W626" s="25">
        <f>tblPayrollMaster[[#This Row],[Net Pay]]</f>
        <v>0</v>
      </c>
      <c r="X626" s="25"/>
    </row>
    <row r="627" spans="1:24" x14ac:dyDescent="0.25">
      <c r="A627" s="24"/>
      <c r="B627" s="24" t="str">
        <f>_xlfn.XLOOKUP(tblPayrollMaster[[#This Row],[Employee ID]],tblEmployee[Employee ID],tblEmployee[Employee Name],"")</f>
        <v/>
      </c>
      <c r="C627" s="24" t="str">
        <f>_xlfn.XLOOKUP(tblPayrollMaster[[#This Row],[Employee ID]],tblEmployee[Employee ID],tblEmployee[Employee Position],"")</f>
        <v/>
      </c>
      <c r="D627" s="24" t="str">
        <f>_xlfn.XLOOKUP(tblPayrollMaster[[#This Row],[Employee ID]], tblEmployee[Employee ID], tblEmployee[Pay Status], "Pay")</f>
        <v>Pay</v>
      </c>
      <c r="E627" s="24" t="str">
        <f>_xlfn.XLOOKUP(tblPayrollMaster[[#This Row],[Employee ID]], tblEmployee[Employee ID], tblEmployee[Payable Flag], "Y")</f>
        <v>Y</v>
      </c>
      <c r="F627" s="45">
        <f>IF(tblPayrollMaster[[#This Row],[Payable Flag]]="N",0,_xlfn.XLOOKUP(tblPayrollMaster[[#This Row],[Employee ID]],tblEmployee[Employee ID],tblEmployee[Pay Factor],1))</f>
        <v>1</v>
      </c>
      <c r="G627" s="26" t="str" cm="1">
        <f t="array" ref="G627">IF(tblPayrollMaster[[#This Row],[Employee ID]]="","",_xlfn.XLOOKUP(selPayPeriodID,tblPayCalendar[PayPeriodID],tblPayCalendar[PeriodStart],""))</f>
        <v/>
      </c>
      <c r="H627" s="26" t="str" cm="1">
        <f t="array" ref="H627">IF(tblPayrollMaster[[#This Row],[Employee ID]]="","",_xlfn.XLOOKUP(selPayPeriodID,tblPayCalendar[PayPeriodID],tblPayCalendar[PeriodEnd],""))</f>
        <v/>
      </c>
      <c r="I627" s="24" t="e" cm="1" vm="1">
        <f t="array" aca="1" ref="I627" ca="1">Table18[Employer Name]</f>
        <v>#VALUE!</v>
      </c>
      <c r="J627" s="3" cm="1">
        <f t="array" ref="J62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27" s="25" t="str">
        <f>_xlfn.XLOOKUP(tblPayrollMaster[[#This Row],[Employee Position]],tblPositionandPayRate[Employee Position],tblPositionandPayRate[Overtime], " ")</f>
        <v xml:space="preserve"> </v>
      </c>
      <c r="L627" s="25">
        <f>_xlfn.XLOOKUP(tblPayrollMaster[[#This Row],[Employee Position]],tblPositionandPayRate[Employee Position],tblPositionandPayRate[Allowance 1],0)*tblPayrollMaster[[#This Row],[Pay Factor]]</f>
        <v>0</v>
      </c>
      <c r="M627" s="25">
        <f>_xlfn.XLOOKUP(tblPayrollMaster[[#This Row],[Employee Position]],tblPositionandPayRate[Employee Position],tblPositionandPayRate[Allowance 2],0)*tblPayrollMaster[[#This Row],[Pay Factor]]</f>
        <v>0</v>
      </c>
      <c r="N627" s="25">
        <f>_xlfn.XLOOKUP(tblPayrollMaster[[#This Row],[Employee Position]],tblPositionandPayRate[Employee Position],tblPositionandPayRate[Allowance 3],0)*tblPayrollMaster[[#This Row],[Pay Factor]]</f>
        <v>0</v>
      </c>
      <c r="O627" s="25">
        <f>_xlfn.XLOOKUP(tblPayrollMaster[[#This Row],[Employee Position]],tblPositionandPayRate[Employee Position],tblPositionandPayRate[Allowance 4],0)*tblPayrollMaster[[#This Row],[Pay Factor]]</f>
        <v>0</v>
      </c>
      <c r="P627" s="25">
        <f>_xlfn.XLOOKUP(tblPayrollMaster[[#This Row],[Employee Position]],tblPositionandPayRate[Employee Position],tblPositionandPayRate[Allowance 5],0)*tblPayrollMaster[[#This Row],[Pay Factor]]</f>
        <v>0</v>
      </c>
      <c r="Q627" s="25">
        <f>SUM(tblPayrollMaster[[#This Row],[Basic Pay]:[Allowance 5]])</f>
        <v>0</v>
      </c>
      <c r="R62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27" s="51" cm="1">
        <f t="array" ref="S6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27" s="3" cm="1">
        <f t="array" ref="T6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27" s="25">
        <f>_xlfn.LET(
_xlpm.tos, _xlfn.XLOOKUP(tblPayrollMaster[[#This Row],[Employee ID]], tblEmployee[Employee ID], tblEmployee[Type of Service], ""),
IF(_xlpm.tos="Contract of Service", 8.25, 0)
)</f>
        <v>0</v>
      </c>
      <c r="V627" s="25">
        <f>tblPayrollMaster[[#This Row],[Basic Earnings]]-tblPayrollMaster[[#This Row],[Tax]]-tblPayrollMaster[[#This Row],[NIS - Employee]]-tblPayrollMaster[[#This Row],[Health Surcharge]]</f>
        <v>0</v>
      </c>
      <c r="W627" s="25">
        <f>tblPayrollMaster[[#This Row],[Net Pay]]</f>
        <v>0</v>
      </c>
      <c r="X627" s="25"/>
    </row>
    <row r="628" spans="1:24" x14ac:dyDescent="0.25">
      <c r="A628" s="24"/>
      <c r="B628" s="24" t="str">
        <f>_xlfn.XLOOKUP(tblPayrollMaster[[#This Row],[Employee ID]],tblEmployee[Employee ID],tblEmployee[Employee Name],"")</f>
        <v/>
      </c>
      <c r="C628" s="24" t="str">
        <f>_xlfn.XLOOKUP(tblPayrollMaster[[#This Row],[Employee ID]],tblEmployee[Employee ID],tblEmployee[Employee Position],"")</f>
        <v/>
      </c>
      <c r="D628" s="24" t="str">
        <f>_xlfn.XLOOKUP(tblPayrollMaster[[#This Row],[Employee ID]], tblEmployee[Employee ID], tblEmployee[Pay Status], "Pay")</f>
        <v>Pay</v>
      </c>
      <c r="E628" s="24" t="str">
        <f>_xlfn.XLOOKUP(tblPayrollMaster[[#This Row],[Employee ID]], tblEmployee[Employee ID], tblEmployee[Payable Flag], "Y")</f>
        <v>Y</v>
      </c>
      <c r="F628" s="45">
        <f>IF(tblPayrollMaster[[#This Row],[Payable Flag]]="N",0,_xlfn.XLOOKUP(tblPayrollMaster[[#This Row],[Employee ID]],tblEmployee[Employee ID],tblEmployee[Pay Factor],1))</f>
        <v>1</v>
      </c>
      <c r="G628" s="26" t="str" cm="1">
        <f t="array" ref="G628">IF(tblPayrollMaster[[#This Row],[Employee ID]]="","",_xlfn.XLOOKUP(selPayPeriodID,tblPayCalendar[PayPeriodID],tblPayCalendar[PeriodStart],""))</f>
        <v/>
      </c>
      <c r="H628" s="26" t="str" cm="1">
        <f t="array" ref="H628">IF(tblPayrollMaster[[#This Row],[Employee ID]]="","",_xlfn.XLOOKUP(selPayPeriodID,tblPayCalendar[PayPeriodID],tblPayCalendar[PeriodEnd],""))</f>
        <v/>
      </c>
      <c r="I628" s="24" t="e" cm="1" vm="1">
        <f t="array" aca="1" ref="I628" ca="1">Table18[Employer Name]</f>
        <v>#VALUE!</v>
      </c>
      <c r="J628" s="3" cm="1">
        <f t="array" ref="J62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28" s="25" t="str">
        <f>_xlfn.XLOOKUP(tblPayrollMaster[[#This Row],[Employee Position]],tblPositionandPayRate[Employee Position],tblPositionandPayRate[Overtime], " ")</f>
        <v xml:space="preserve"> </v>
      </c>
      <c r="L628" s="25">
        <f>_xlfn.XLOOKUP(tblPayrollMaster[[#This Row],[Employee Position]],tblPositionandPayRate[Employee Position],tblPositionandPayRate[Allowance 1],0)*tblPayrollMaster[[#This Row],[Pay Factor]]</f>
        <v>0</v>
      </c>
      <c r="M628" s="25">
        <f>_xlfn.XLOOKUP(tblPayrollMaster[[#This Row],[Employee Position]],tblPositionandPayRate[Employee Position],tblPositionandPayRate[Allowance 2],0)*tblPayrollMaster[[#This Row],[Pay Factor]]</f>
        <v>0</v>
      </c>
      <c r="N628" s="25">
        <f>_xlfn.XLOOKUP(tblPayrollMaster[[#This Row],[Employee Position]],tblPositionandPayRate[Employee Position],tblPositionandPayRate[Allowance 3],0)*tblPayrollMaster[[#This Row],[Pay Factor]]</f>
        <v>0</v>
      </c>
      <c r="O628" s="25">
        <f>_xlfn.XLOOKUP(tblPayrollMaster[[#This Row],[Employee Position]],tblPositionandPayRate[Employee Position],tblPositionandPayRate[Allowance 4],0)*tblPayrollMaster[[#This Row],[Pay Factor]]</f>
        <v>0</v>
      </c>
      <c r="P628" s="25">
        <f>_xlfn.XLOOKUP(tblPayrollMaster[[#This Row],[Employee Position]],tblPositionandPayRate[Employee Position],tblPositionandPayRate[Allowance 5],0)*tblPayrollMaster[[#This Row],[Pay Factor]]</f>
        <v>0</v>
      </c>
      <c r="Q628" s="25">
        <f>SUM(tblPayrollMaster[[#This Row],[Basic Pay]:[Allowance 5]])</f>
        <v>0</v>
      </c>
      <c r="R62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28" s="51" cm="1">
        <f t="array" ref="S6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28" s="3" cm="1">
        <f t="array" ref="T6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28" s="25">
        <f>_xlfn.LET(
_xlpm.tos, _xlfn.XLOOKUP(tblPayrollMaster[[#This Row],[Employee ID]], tblEmployee[Employee ID], tblEmployee[Type of Service], ""),
IF(_xlpm.tos="Contract of Service", 8.25, 0)
)</f>
        <v>0</v>
      </c>
      <c r="V628" s="25">
        <f>tblPayrollMaster[[#This Row],[Basic Earnings]]-tblPayrollMaster[[#This Row],[Tax]]-tblPayrollMaster[[#This Row],[NIS - Employee]]-tblPayrollMaster[[#This Row],[Health Surcharge]]</f>
        <v>0</v>
      </c>
      <c r="W628" s="25">
        <f>tblPayrollMaster[[#This Row],[Net Pay]]</f>
        <v>0</v>
      </c>
      <c r="X628" s="25"/>
    </row>
    <row r="629" spans="1:24" x14ac:dyDescent="0.25">
      <c r="A629" s="24"/>
      <c r="B629" s="24" t="str">
        <f>_xlfn.XLOOKUP(tblPayrollMaster[[#This Row],[Employee ID]],tblEmployee[Employee ID],tblEmployee[Employee Name],"")</f>
        <v/>
      </c>
      <c r="C629" s="24" t="str">
        <f>_xlfn.XLOOKUP(tblPayrollMaster[[#This Row],[Employee ID]],tblEmployee[Employee ID],tblEmployee[Employee Position],"")</f>
        <v/>
      </c>
      <c r="D629" s="24" t="str">
        <f>_xlfn.XLOOKUP(tblPayrollMaster[[#This Row],[Employee ID]], tblEmployee[Employee ID], tblEmployee[Pay Status], "Pay")</f>
        <v>Pay</v>
      </c>
      <c r="E629" s="24" t="str">
        <f>_xlfn.XLOOKUP(tblPayrollMaster[[#This Row],[Employee ID]], tblEmployee[Employee ID], tblEmployee[Payable Flag], "Y")</f>
        <v>Y</v>
      </c>
      <c r="F629" s="45">
        <f>IF(tblPayrollMaster[[#This Row],[Payable Flag]]="N",0,_xlfn.XLOOKUP(tblPayrollMaster[[#This Row],[Employee ID]],tblEmployee[Employee ID],tblEmployee[Pay Factor],1))</f>
        <v>1</v>
      </c>
      <c r="G629" s="26" t="str" cm="1">
        <f t="array" ref="G629">IF(tblPayrollMaster[[#This Row],[Employee ID]]="","",_xlfn.XLOOKUP(selPayPeriodID,tblPayCalendar[PayPeriodID],tblPayCalendar[PeriodStart],""))</f>
        <v/>
      </c>
      <c r="H629" s="26" t="str" cm="1">
        <f t="array" ref="H629">IF(tblPayrollMaster[[#This Row],[Employee ID]]="","",_xlfn.XLOOKUP(selPayPeriodID,tblPayCalendar[PayPeriodID],tblPayCalendar[PeriodEnd],""))</f>
        <v/>
      </c>
      <c r="I629" s="24" t="e" cm="1" vm="1">
        <f t="array" aca="1" ref="I629" ca="1">Table18[Employer Name]</f>
        <v>#VALUE!</v>
      </c>
      <c r="J629" s="3" cm="1">
        <f t="array" ref="J62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29" s="25" t="str">
        <f>_xlfn.XLOOKUP(tblPayrollMaster[[#This Row],[Employee Position]],tblPositionandPayRate[Employee Position],tblPositionandPayRate[Overtime], " ")</f>
        <v xml:space="preserve"> </v>
      </c>
      <c r="L629" s="25">
        <f>_xlfn.XLOOKUP(tblPayrollMaster[[#This Row],[Employee Position]],tblPositionandPayRate[Employee Position],tblPositionandPayRate[Allowance 1],0)*tblPayrollMaster[[#This Row],[Pay Factor]]</f>
        <v>0</v>
      </c>
      <c r="M629" s="25">
        <f>_xlfn.XLOOKUP(tblPayrollMaster[[#This Row],[Employee Position]],tblPositionandPayRate[Employee Position],tblPositionandPayRate[Allowance 2],0)*tblPayrollMaster[[#This Row],[Pay Factor]]</f>
        <v>0</v>
      </c>
      <c r="N629" s="25">
        <f>_xlfn.XLOOKUP(tblPayrollMaster[[#This Row],[Employee Position]],tblPositionandPayRate[Employee Position],tblPositionandPayRate[Allowance 3],0)*tblPayrollMaster[[#This Row],[Pay Factor]]</f>
        <v>0</v>
      </c>
      <c r="O629" s="25">
        <f>_xlfn.XLOOKUP(tblPayrollMaster[[#This Row],[Employee Position]],tblPositionandPayRate[Employee Position],tblPositionandPayRate[Allowance 4],0)*tblPayrollMaster[[#This Row],[Pay Factor]]</f>
        <v>0</v>
      </c>
      <c r="P629" s="25">
        <f>_xlfn.XLOOKUP(tblPayrollMaster[[#This Row],[Employee Position]],tblPositionandPayRate[Employee Position],tblPositionandPayRate[Allowance 5],0)*tblPayrollMaster[[#This Row],[Pay Factor]]</f>
        <v>0</v>
      </c>
      <c r="Q629" s="25">
        <f>SUM(tblPayrollMaster[[#This Row],[Basic Pay]:[Allowance 5]])</f>
        <v>0</v>
      </c>
      <c r="R62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29" s="51" cm="1">
        <f t="array" ref="S6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29" s="3" cm="1">
        <f t="array" ref="T6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29" s="25">
        <f>_xlfn.LET(
_xlpm.tos, _xlfn.XLOOKUP(tblPayrollMaster[[#This Row],[Employee ID]], tblEmployee[Employee ID], tblEmployee[Type of Service], ""),
IF(_xlpm.tos="Contract of Service", 8.25, 0)
)</f>
        <v>0</v>
      </c>
      <c r="V629" s="25">
        <f>tblPayrollMaster[[#This Row],[Basic Earnings]]-tblPayrollMaster[[#This Row],[Tax]]-tblPayrollMaster[[#This Row],[NIS - Employee]]-tblPayrollMaster[[#This Row],[Health Surcharge]]</f>
        <v>0</v>
      </c>
      <c r="W629" s="25">
        <f>tblPayrollMaster[[#This Row],[Net Pay]]</f>
        <v>0</v>
      </c>
      <c r="X629" s="25"/>
    </row>
    <row r="630" spans="1:24" x14ac:dyDescent="0.25">
      <c r="A630" s="24"/>
      <c r="B630" s="24" t="str">
        <f>_xlfn.XLOOKUP(tblPayrollMaster[[#This Row],[Employee ID]],tblEmployee[Employee ID],tblEmployee[Employee Name],"")</f>
        <v/>
      </c>
      <c r="C630" s="24" t="str">
        <f>_xlfn.XLOOKUP(tblPayrollMaster[[#This Row],[Employee ID]],tblEmployee[Employee ID],tblEmployee[Employee Position],"")</f>
        <v/>
      </c>
      <c r="D630" s="24" t="str">
        <f>_xlfn.XLOOKUP(tblPayrollMaster[[#This Row],[Employee ID]], tblEmployee[Employee ID], tblEmployee[Pay Status], "Pay")</f>
        <v>Pay</v>
      </c>
      <c r="E630" s="24" t="str">
        <f>_xlfn.XLOOKUP(tblPayrollMaster[[#This Row],[Employee ID]], tblEmployee[Employee ID], tblEmployee[Payable Flag], "Y")</f>
        <v>Y</v>
      </c>
      <c r="F630" s="45">
        <f>IF(tblPayrollMaster[[#This Row],[Payable Flag]]="N",0,_xlfn.XLOOKUP(tblPayrollMaster[[#This Row],[Employee ID]],tblEmployee[Employee ID],tblEmployee[Pay Factor],1))</f>
        <v>1</v>
      </c>
      <c r="G630" s="26" t="str" cm="1">
        <f t="array" ref="G630">IF(tblPayrollMaster[[#This Row],[Employee ID]]="","",_xlfn.XLOOKUP(selPayPeriodID,tblPayCalendar[PayPeriodID],tblPayCalendar[PeriodStart],""))</f>
        <v/>
      </c>
      <c r="H630" s="26" t="str" cm="1">
        <f t="array" ref="H630">IF(tblPayrollMaster[[#This Row],[Employee ID]]="","",_xlfn.XLOOKUP(selPayPeriodID,tblPayCalendar[PayPeriodID],tblPayCalendar[PeriodEnd],""))</f>
        <v/>
      </c>
      <c r="I630" s="24" t="e" cm="1" vm="1">
        <f t="array" aca="1" ref="I630" ca="1">Table18[Employer Name]</f>
        <v>#VALUE!</v>
      </c>
      <c r="J630" s="3" cm="1">
        <f t="array" ref="J63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30" s="25" t="str">
        <f>_xlfn.XLOOKUP(tblPayrollMaster[[#This Row],[Employee Position]],tblPositionandPayRate[Employee Position],tblPositionandPayRate[Overtime], " ")</f>
        <v xml:space="preserve"> </v>
      </c>
      <c r="L630" s="25">
        <f>_xlfn.XLOOKUP(tblPayrollMaster[[#This Row],[Employee Position]],tblPositionandPayRate[Employee Position],tblPositionandPayRate[Allowance 1],0)*tblPayrollMaster[[#This Row],[Pay Factor]]</f>
        <v>0</v>
      </c>
      <c r="M630" s="25">
        <f>_xlfn.XLOOKUP(tblPayrollMaster[[#This Row],[Employee Position]],tblPositionandPayRate[Employee Position],tblPositionandPayRate[Allowance 2],0)*tblPayrollMaster[[#This Row],[Pay Factor]]</f>
        <v>0</v>
      </c>
      <c r="N630" s="25">
        <f>_xlfn.XLOOKUP(tblPayrollMaster[[#This Row],[Employee Position]],tblPositionandPayRate[Employee Position],tblPositionandPayRate[Allowance 3],0)*tblPayrollMaster[[#This Row],[Pay Factor]]</f>
        <v>0</v>
      </c>
      <c r="O630" s="25">
        <f>_xlfn.XLOOKUP(tblPayrollMaster[[#This Row],[Employee Position]],tblPositionandPayRate[Employee Position],tblPositionandPayRate[Allowance 4],0)*tblPayrollMaster[[#This Row],[Pay Factor]]</f>
        <v>0</v>
      </c>
      <c r="P630" s="25">
        <f>_xlfn.XLOOKUP(tblPayrollMaster[[#This Row],[Employee Position]],tblPositionandPayRate[Employee Position],tblPositionandPayRate[Allowance 5],0)*tblPayrollMaster[[#This Row],[Pay Factor]]</f>
        <v>0</v>
      </c>
      <c r="Q630" s="25">
        <f>SUM(tblPayrollMaster[[#This Row],[Basic Pay]:[Allowance 5]])</f>
        <v>0</v>
      </c>
      <c r="R63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30" s="51" cm="1">
        <f t="array" ref="S6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30" s="3" cm="1">
        <f t="array" ref="T6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30" s="25">
        <f>_xlfn.LET(
_xlpm.tos, _xlfn.XLOOKUP(tblPayrollMaster[[#This Row],[Employee ID]], tblEmployee[Employee ID], tblEmployee[Type of Service], ""),
IF(_xlpm.tos="Contract of Service", 8.25, 0)
)</f>
        <v>0</v>
      </c>
      <c r="V630" s="25">
        <f>tblPayrollMaster[[#This Row],[Basic Earnings]]-tblPayrollMaster[[#This Row],[Tax]]-tblPayrollMaster[[#This Row],[NIS - Employee]]-tblPayrollMaster[[#This Row],[Health Surcharge]]</f>
        <v>0</v>
      </c>
      <c r="W630" s="25">
        <f>tblPayrollMaster[[#This Row],[Net Pay]]</f>
        <v>0</v>
      </c>
      <c r="X630" s="25"/>
    </row>
    <row r="631" spans="1:24" x14ac:dyDescent="0.25">
      <c r="A631" s="24"/>
      <c r="B631" s="24" t="str">
        <f>_xlfn.XLOOKUP(tblPayrollMaster[[#This Row],[Employee ID]],tblEmployee[Employee ID],tblEmployee[Employee Name],"")</f>
        <v/>
      </c>
      <c r="C631" s="24" t="str">
        <f>_xlfn.XLOOKUP(tblPayrollMaster[[#This Row],[Employee ID]],tblEmployee[Employee ID],tblEmployee[Employee Position],"")</f>
        <v/>
      </c>
      <c r="D631" s="24" t="str">
        <f>_xlfn.XLOOKUP(tblPayrollMaster[[#This Row],[Employee ID]], tblEmployee[Employee ID], tblEmployee[Pay Status], "Pay")</f>
        <v>Pay</v>
      </c>
      <c r="E631" s="24" t="str">
        <f>_xlfn.XLOOKUP(tblPayrollMaster[[#This Row],[Employee ID]], tblEmployee[Employee ID], tblEmployee[Payable Flag], "Y")</f>
        <v>Y</v>
      </c>
      <c r="F631" s="45">
        <f>IF(tblPayrollMaster[[#This Row],[Payable Flag]]="N",0,_xlfn.XLOOKUP(tblPayrollMaster[[#This Row],[Employee ID]],tblEmployee[Employee ID],tblEmployee[Pay Factor],1))</f>
        <v>1</v>
      </c>
      <c r="G631" s="26" t="str" cm="1">
        <f t="array" ref="G631">IF(tblPayrollMaster[[#This Row],[Employee ID]]="","",_xlfn.XLOOKUP(selPayPeriodID,tblPayCalendar[PayPeriodID],tblPayCalendar[PeriodStart],""))</f>
        <v/>
      </c>
      <c r="H631" s="26" t="str" cm="1">
        <f t="array" ref="H631">IF(tblPayrollMaster[[#This Row],[Employee ID]]="","",_xlfn.XLOOKUP(selPayPeriodID,tblPayCalendar[PayPeriodID],tblPayCalendar[PeriodEnd],""))</f>
        <v/>
      </c>
      <c r="I631" s="24" t="e" cm="1" vm="1">
        <f t="array" aca="1" ref="I631" ca="1">Table18[Employer Name]</f>
        <v>#VALUE!</v>
      </c>
      <c r="J631" s="3" cm="1">
        <f t="array" ref="J63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31" s="25" t="str">
        <f>_xlfn.XLOOKUP(tblPayrollMaster[[#This Row],[Employee Position]],tblPositionandPayRate[Employee Position],tblPositionandPayRate[Overtime], " ")</f>
        <v xml:space="preserve"> </v>
      </c>
      <c r="L631" s="25">
        <f>_xlfn.XLOOKUP(tblPayrollMaster[[#This Row],[Employee Position]],tblPositionandPayRate[Employee Position],tblPositionandPayRate[Allowance 1],0)*tblPayrollMaster[[#This Row],[Pay Factor]]</f>
        <v>0</v>
      </c>
      <c r="M631" s="25">
        <f>_xlfn.XLOOKUP(tblPayrollMaster[[#This Row],[Employee Position]],tblPositionandPayRate[Employee Position],tblPositionandPayRate[Allowance 2],0)*tblPayrollMaster[[#This Row],[Pay Factor]]</f>
        <v>0</v>
      </c>
      <c r="N631" s="25">
        <f>_xlfn.XLOOKUP(tblPayrollMaster[[#This Row],[Employee Position]],tblPositionandPayRate[Employee Position],tblPositionandPayRate[Allowance 3],0)*tblPayrollMaster[[#This Row],[Pay Factor]]</f>
        <v>0</v>
      </c>
      <c r="O631" s="25">
        <f>_xlfn.XLOOKUP(tblPayrollMaster[[#This Row],[Employee Position]],tblPositionandPayRate[Employee Position],tblPositionandPayRate[Allowance 4],0)*tblPayrollMaster[[#This Row],[Pay Factor]]</f>
        <v>0</v>
      </c>
      <c r="P631" s="25">
        <f>_xlfn.XLOOKUP(tblPayrollMaster[[#This Row],[Employee Position]],tblPositionandPayRate[Employee Position],tblPositionandPayRate[Allowance 5],0)*tblPayrollMaster[[#This Row],[Pay Factor]]</f>
        <v>0</v>
      </c>
      <c r="Q631" s="25">
        <f>SUM(tblPayrollMaster[[#This Row],[Basic Pay]:[Allowance 5]])</f>
        <v>0</v>
      </c>
      <c r="R63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31" s="51" cm="1">
        <f t="array" ref="S6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31" s="3" cm="1">
        <f t="array" ref="T6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31" s="25">
        <f>_xlfn.LET(
_xlpm.tos, _xlfn.XLOOKUP(tblPayrollMaster[[#This Row],[Employee ID]], tblEmployee[Employee ID], tblEmployee[Type of Service], ""),
IF(_xlpm.tos="Contract of Service", 8.25, 0)
)</f>
        <v>0</v>
      </c>
      <c r="V631" s="25">
        <f>tblPayrollMaster[[#This Row],[Basic Earnings]]-tblPayrollMaster[[#This Row],[Tax]]-tblPayrollMaster[[#This Row],[NIS - Employee]]-tblPayrollMaster[[#This Row],[Health Surcharge]]</f>
        <v>0</v>
      </c>
      <c r="W631" s="25">
        <f>tblPayrollMaster[[#This Row],[Net Pay]]</f>
        <v>0</v>
      </c>
      <c r="X631" s="25"/>
    </row>
    <row r="632" spans="1:24" x14ac:dyDescent="0.25">
      <c r="A632" s="24"/>
      <c r="B632" s="24" t="str">
        <f>_xlfn.XLOOKUP(tblPayrollMaster[[#This Row],[Employee ID]],tblEmployee[Employee ID],tblEmployee[Employee Name],"")</f>
        <v/>
      </c>
      <c r="C632" s="24" t="str">
        <f>_xlfn.XLOOKUP(tblPayrollMaster[[#This Row],[Employee ID]],tblEmployee[Employee ID],tblEmployee[Employee Position],"")</f>
        <v/>
      </c>
      <c r="D632" s="24" t="str">
        <f>_xlfn.XLOOKUP(tblPayrollMaster[[#This Row],[Employee ID]], tblEmployee[Employee ID], tblEmployee[Pay Status], "Pay")</f>
        <v>Pay</v>
      </c>
      <c r="E632" s="24" t="str">
        <f>_xlfn.XLOOKUP(tblPayrollMaster[[#This Row],[Employee ID]], tblEmployee[Employee ID], tblEmployee[Payable Flag], "Y")</f>
        <v>Y</v>
      </c>
      <c r="F632" s="45">
        <f>IF(tblPayrollMaster[[#This Row],[Payable Flag]]="N",0,_xlfn.XLOOKUP(tblPayrollMaster[[#This Row],[Employee ID]],tblEmployee[Employee ID],tblEmployee[Pay Factor],1))</f>
        <v>1</v>
      </c>
      <c r="G632" s="26" t="str" cm="1">
        <f t="array" ref="G632">IF(tblPayrollMaster[[#This Row],[Employee ID]]="","",_xlfn.XLOOKUP(selPayPeriodID,tblPayCalendar[PayPeriodID],tblPayCalendar[PeriodStart],""))</f>
        <v/>
      </c>
      <c r="H632" s="26" t="str" cm="1">
        <f t="array" ref="H632">IF(tblPayrollMaster[[#This Row],[Employee ID]]="","",_xlfn.XLOOKUP(selPayPeriodID,tblPayCalendar[PayPeriodID],tblPayCalendar[PeriodEnd],""))</f>
        <v/>
      </c>
      <c r="I632" s="24" t="e" cm="1" vm="1">
        <f t="array" aca="1" ref="I632" ca="1">Table18[Employer Name]</f>
        <v>#VALUE!</v>
      </c>
      <c r="J632" s="3" cm="1">
        <f t="array" ref="J63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32" s="25" t="str">
        <f>_xlfn.XLOOKUP(tblPayrollMaster[[#This Row],[Employee Position]],tblPositionandPayRate[Employee Position],tblPositionandPayRate[Overtime], " ")</f>
        <v xml:space="preserve"> </v>
      </c>
      <c r="L632" s="25">
        <f>_xlfn.XLOOKUP(tblPayrollMaster[[#This Row],[Employee Position]],tblPositionandPayRate[Employee Position],tblPositionandPayRate[Allowance 1],0)*tblPayrollMaster[[#This Row],[Pay Factor]]</f>
        <v>0</v>
      </c>
      <c r="M632" s="25">
        <f>_xlfn.XLOOKUP(tblPayrollMaster[[#This Row],[Employee Position]],tblPositionandPayRate[Employee Position],tblPositionandPayRate[Allowance 2],0)*tblPayrollMaster[[#This Row],[Pay Factor]]</f>
        <v>0</v>
      </c>
      <c r="N632" s="25">
        <f>_xlfn.XLOOKUP(tblPayrollMaster[[#This Row],[Employee Position]],tblPositionandPayRate[Employee Position],tblPositionandPayRate[Allowance 3],0)*tblPayrollMaster[[#This Row],[Pay Factor]]</f>
        <v>0</v>
      </c>
      <c r="O632" s="25">
        <f>_xlfn.XLOOKUP(tblPayrollMaster[[#This Row],[Employee Position]],tblPositionandPayRate[Employee Position],tblPositionandPayRate[Allowance 4],0)*tblPayrollMaster[[#This Row],[Pay Factor]]</f>
        <v>0</v>
      </c>
      <c r="P632" s="25">
        <f>_xlfn.XLOOKUP(tblPayrollMaster[[#This Row],[Employee Position]],tblPositionandPayRate[Employee Position],tblPositionandPayRate[Allowance 5],0)*tblPayrollMaster[[#This Row],[Pay Factor]]</f>
        <v>0</v>
      </c>
      <c r="Q632" s="25">
        <f>SUM(tblPayrollMaster[[#This Row],[Basic Pay]:[Allowance 5]])</f>
        <v>0</v>
      </c>
      <c r="R63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32" s="51" cm="1">
        <f t="array" ref="S6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32" s="3" cm="1">
        <f t="array" ref="T6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32" s="25">
        <f>_xlfn.LET(
_xlpm.tos, _xlfn.XLOOKUP(tblPayrollMaster[[#This Row],[Employee ID]], tblEmployee[Employee ID], tblEmployee[Type of Service], ""),
IF(_xlpm.tos="Contract of Service", 8.25, 0)
)</f>
        <v>0</v>
      </c>
      <c r="V632" s="25">
        <f>tblPayrollMaster[[#This Row],[Basic Earnings]]-tblPayrollMaster[[#This Row],[Tax]]-tblPayrollMaster[[#This Row],[NIS - Employee]]-tblPayrollMaster[[#This Row],[Health Surcharge]]</f>
        <v>0</v>
      </c>
      <c r="W632" s="25">
        <f>tblPayrollMaster[[#This Row],[Net Pay]]</f>
        <v>0</v>
      </c>
      <c r="X632" s="25"/>
    </row>
    <row r="633" spans="1:24" x14ac:dyDescent="0.25">
      <c r="A633" s="24"/>
      <c r="B633" s="24" t="str">
        <f>_xlfn.XLOOKUP(tblPayrollMaster[[#This Row],[Employee ID]],tblEmployee[Employee ID],tblEmployee[Employee Name],"")</f>
        <v/>
      </c>
      <c r="C633" s="24" t="str">
        <f>_xlfn.XLOOKUP(tblPayrollMaster[[#This Row],[Employee ID]],tblEmployee[Employee ID],tblEmployee[Employee Position],"")</f>
        <v/>
      </c>
      <c r="D633" s="24" t="str">
        <f>_xlfn.XLOOKUP(tblPayrollMaster[[#This Row],[Employee ID]], tblEmployee[Employee ID], tblEmployee[Pay Status], "Pay")</f>
        <v>Pay</v>
      </c>
      <c r="E633" s="24" t="str">
        <f>_xlfn.XLOOKUP(tblPayrollMaster[[#This Row],[Employee ID]], tblEmployee[Employee ID], tblEmployee[Payable Flag], "Y")</f>
        <v>Y</v>
      </c>
      <c r="F633" s="45">
        <f>IF(tblPayrollMaster[[#This Row],[Payable Flag]]="N",0,_xlfn.XLOOKUP(tblPayrollMaster[[#This Row],[Employee ID]],tblEmployee[Employee ID],tblEmployee[Pay Factor],1))</f>
        <v>1</v>
      </c>
      <c r="G633" s="26" t="str" cm="1">
        <f t="array" ref="G633">IF(tblPayrollMaster[[#This Row],[Employee ID]]="","",_xlfn.XLOOKUP(selPayPeriodID,tblPayCalendar[PayPeriodID],tblPayCalendar[PeriodStart],""))</f>
        <v/>
      </c>
      <c r="H633" s="26" t="str" cm="1">
        <f t="array" ref="H633">IF(tblPayrollMaster[[#This Row],[Employee ID]]="","",_xlfn.XLOOKUP(selPayPeriodID,tblPayCalendar[PayPeriodID],tblPayCalendar[PeriodEnd],""))</f>
        <v/>
      </c>
      <c r="I633" s="24" t="e" cm="1" vm="1">
        <f t="array" aca="1" ref="I633" ca="1">Table18[Employer Name]</f>
        <v>#VALUE!</v>
      </c>
      <c r="J633" s="3" cm="1">
        <f t="array" ref="J63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33" s="25" t="str">
        <f>_xlfn.XLOOKUP(tblPayrollMaster[[#This Row],[Employee Position]],tblPositionandPayRate[Employee Position],tblPositionandPayRate[Overtime], " ")</f>
        <v xml:space="preserve"> </v>
      </c>
      <c r="L633" s="25">
        <f>_xlfn.XLOOKUP(tblPayrollMaster[[#This Row],[Employee Position]],tblPositionandPayRate[Employee Position],tblPositionandPayRate[Allowance 1],0)*tblPayrollMaster[[#This Row],[Pay Factor]]</f>
        <v>0</v>
      </c>
      <c r="M633" s="25">
        <f>_xlfn.XLOOKUP(tblPayrollMaster[[#This Row],[Employee Position]],tblPositionandPayRate[Employee Position],tblPositionandPayRate[Allowance 2],0)*tblPayrollMaster[[#This Row],[Pay Factor]]</f>
        <v>0</v>
      </c>
      <c r="N633" s="25">
        <f>_xlfn.XLOOKUP(tblPayrollMaster[[#This Row],[Employee Position]],tblPositionandPayRate[Employee Position],tblPositionandPayRate[Allowance 3],0)*tblPayrollMaster[[#This Row],[Pay Factor]]</f>
        <v>0</v>
      </c>
      <c r="O633" s="25">
        <f>_xlfn.XLOOKUP(tblPayrollMaster[[#This Row],[Employee Position]],tblPositionandPayRate[Employee Position],tblPositionandPayRate[Allowance 4],0)*tblPayrollMaster[[#This Row],[Pay Factor]]</f>
        <v>0</v>
      </c>
      <c r="P633" s="25">
        <f>_xlfn.XLOOKUP(tblPayrollMaster[[#This Row],[Employee Position]],tblPositionandPayRate[Employee Position],tblPositionandPayRate[Allowance 5],0)*tblPayrollMaster[[#This Row],[Pay Factor]]</f>
        <v>0</v>
      </c>
      <c r="Q633" s="25">
        <f>SUM(tblPayrollMaster[[#This Row],[Basic Pay]:[Allowance 5]])</f>
        <v>0</v>
      </c>
      <c r="R63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33" s="51" cm="1">
        <f t="array" ref="S6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33" s="3" cm="1">
        <f t="array" ref="T6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33" s="25">
        <f>_xlfn.LET(
_xlpm.tos, _xlfn.XLOOKUP(tblPayrollMaster[[#This Row],[Employee ID]], tblEmployee[Employee ID], tblEmployee[Type of Service], ""),
IF(_xlpm.tos="Contract of Service", 8.25, 0)
)</f>
        <v>0</v>
      </c>
      <c r="V633" s="25">
        <f>tblPayrollMaster[[#This Row],[Basic Earnings]]-tblPayrollMaster[[#This Row],[Tax]]-tblPayrollMaster[[#This Row],[NIS - Employee]]-tblPayrollMaster[[#This Row],[Health Surcharge]]</f>
        <v>0</v>
      </c>
      <c r="W633" s="25">
        <f>tblPayrollMaster[[#This Row],[Net Pay]]</f>
        <v>0</v>
      </c>
      <c r="X633" s="25"/>
    </row>
    <row r="634" spans="1:24" x14ac:dyDescent="0.25">
      <c r="A634" s="24"/>
      <c r="B634" s="24" t="str">
        <f>_xlfn.XLOOKUP(tblPayrollMaster[[#This Row],[Employee ID]],tblEmployee[Employee ID],tblEmployee[Employee Name],"")</f>
        <v/>
      </c>
      <c r="C634" s="24" t="str">
        <f>_xlfn.XLOOKUP(tblPayrollMaster[[#This Row],[Employee ID]],tblEmployee[Employee ID],tblEmployee[Employee Position],"")</f>
        <v/>
      </c>
      <c r="D634" s="24" t="str">
        <f>_xlfn.XLOOKUP(tblPayrollMaster[[#This Row],[Employee ID]], tblEmployee[Employee ID], tblEmployee[Pay Status], "Pay")</f>
        <v>Pay</v>
      </c>
      <c r="E634" s="24" t="str">
        <f>_xlfn.XLOOKUP(tblPayrollMaster[[#This Row],[Employee ID]], tblEmployee[Employee ID], tblEmployee[Payable Flag], "Y")</f>
        <v>Y</v>
      </c>
      <c r="F634" s="45">
        <f>IF(tblPayrollMaster[[#This Row],[Payable Flag]]="N",0,_xlfn.XLOOKUP(tblPayrollMaster[[#This Row],[Employee ID]],tblEmployee[Employee ID],tblEmployee[Pay Factor],1))</f>
        <v>1</v>
      </c>
      <c r="G634" s="26" t="str" cm="1">
        <f t="array" ref="G634">IF(tblPayrollMaster[[#This Row],[Employee ID]]="","",_xlfn.XLOOKUP(selPayPeriodID,tblPayCalendar[PayPeriodID],tblPayCalendar[PeriodStart],""))</f>
        <v/>
      </c>
      <c r="H634" s="26" t="str" cm="1">
        <f t="array" ref="H634">IF(tblPayrollMaster[[#This Row],[Employee ID]]="","",_xlfn.XLOOKUP(selPayPeriodID,tblPayCalendar[PayPeriodID],tblPayCalendar[PeriodEnd],""))</f>
        <v/>
      </c>
      <c r="I634" s="24" t="e" cm="1" vm="1">
        <f t="array" aca="1" ref="I634" ca="1">Table18[Employer Name]</f>
        <v>#VALUE!</v>
      </c>
      <c r="J634" s="3" cm="1">
        <f t="array" ref="J63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34" s="25" t="str">
        <f>_xlfn.XLOOKUP(tblPayrollMaster[[#This Row],[Employee Position]],tblPositionandPayRate[Employee Position],tblPositionandPayRate[Overtime], " ")</f>
        <v xml:space="preserve"> </v>
      </c>
      <c r="L634" s="25">
        <f>_xlfn.XLOOKUP(tblPayrollMaster[[#This Row],[Employee Position]],tblPositionandPayRate[Employee Position],tblPositionandPayRate[Allowance 1],0)*tblPayrollMaster[[#This Row],[Pay Factor]]</f>
        <v>0</v>
      </c>
      <c r="M634" s="25">
        <f>_xlfn.XLOOKUP(tblPayrollMaster[[#This Row],[Employee Position]],tblPositionandPayRate[Employee Position],tblPositionandPayRate[Allowance 2],0)*tblPayrollMaster[[#This Row],[Pay Factor]]</f>
        <v>0</v>
      </c>
      <c r="N634" s="25">
        <f>_xlfn.XLOOKUP(tblPayrollMaster[[#This Row],[Employee Position]],tblPositionandPayRate[Employee Position],tblPositionandPayRate[Allowance 3],0)*tblPayrollMaster[[#This Row],[Pay Factor]]</f>
        <v>0</v>
      </c>
      <c r="O634" s="25">
        <f>_xlfn.XLOOKUP(tblPayrollMaster[[#This Row],[Employee Position]],tblPositionandPayRate[Employee Position],tblPositionandPayRate[Allowance 4],0)*tblPayrollMaster[[#This Row],[Pay Factor]]</f>
        <v>0</v>
      </c>
      <c r="P634" s="25">
        <f>_xlfn.XLOOKUP(tblPayrollMaster[[#This Row],[Employee Position]],tblPositionandPayRate[Employee Position],tblPositionandPayRate[Allowance 5],0)*tblPayrollMaster[[#This Row],[Pay Factor]]</f>
        <v>0</v>
      </c>
      <c r="Q634" s="25">
        <f>SUM(tblPayrollMaster[[#This Row],[Basic Pay]:[Allowance 5]])</f>
        <v>0</v>
      </c>
      <c r="R63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34" s="51" cm="1">
        <f t="array" ref="S6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34" s="3" cm="1">
        <f t="array" ref="T6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34" s="25">
        <f>_xlfn.LET(
_xlpm.tos, _xlfn.XLOOKUP(tblPayrollMaster[[#This Row],[Employee ID]], tblEmployee[Employee ID], tblEmployee[Type of Service], ""),
IF(_xlpm.tos="Contract of Service", 8.25, 0)
)</f>
        <v>0</v>
      </c>
      <c r="V634" s="25">
        <f>tblPayrollMaster[[#This Row],[Basic Earnings]]-tblPayrollMaster[[#This Row],[Tax]]-tblPayrollMaster[[#This Row],[NIS - Employee]]-tblPayrollMaster[[#This Row],[Health Surcharge]]</f>
        <v>0</v>
      </c>
      <c r="W634" s="25">
        <f>tblPayrollMaster[[#This Row],[Net Pay]]</f>
        <v>0</v>
      </c>
      <c r="X634" s="25"/>
    </row>
    <row r="635" spans="1:24" x14ac:dyDescent="0.25">
      <c r="A635" s="24"/>
      <c r="B635" s="24" t="str">
        <f>_xlfn.XLOOKUP(tblPayrollMaster[[#This Row],[Employee ID]],tblEmployee[Employee ID],tblEmployee[Employee Name],"")</f>
        <v/>
      </c>
      <c r="C635" s="24" t="str">
        <f>_xlfn.XLOOKUP(tblPayrollMaster[[#This Row],[Employee ID]],tblEmployee[Employee ID],tblEmployee[Employee Position],"")</f>
        <v/>
      </c>
      <c r="D635" s="24" t="str">
        <f>_xlfn.XLOOKUP(tblPayrollMaster[[#This Row],[Employee ID]], tblEmployee[Employee ID], tblEmployee[Pay Status], "Pay")</f>
        <v>Pay</v>
      </c>
      <c r="E635" s="24" t="str">
        <f>_xlfn.XLOOKUP(tblPayrollMaster[[#This Row],[Employee ID]], tblEmployee[Employee ID], tblEmployee[Payable Flag], "Y")</f>
        <v>Y</v>
      </c>
      <c r="F635" s="45">
        <f>IF(tblPayrollMaster[[#This Row],[Payable Flag]]="N",0,_xlfn.XLOOKUP(tblPayrollMaster[[#This Row],[Employee ID]],tblEmployee[Employee ID],tblEmployee[Pay Factor],1))</f>
        <v>1</v>
      </c>
      <c r="G635" s="26" t="str" cm="1">
        <f t="array" ref="G635">IF(tblPayrollMaster[[#This Row],[Employee ID]]="","",_xlfn.XLOOKUP(selPayPeriodID,tblPayCalendar[PayPeriodID],tblPayCalendar[PeriodStart],""))</f>
        <v/>
      </c>
      <c r="H635" s="26" t="str" cm="1">
        <f t="array" ref="H635">IF(tblPayrollMaster[[#This Row],[Employee ID]]="","",_xlfn.XLOOKUP(selPayPeriodID,tblPayCalendar[PayPeriodID],tblPayCalendar[PeriodEnd],""))</f>
        <v/>
      </c>
      <c r="I635" s="24" t="e" cm="1" vm="1">
        <f t="array" aca="1" ref="I635" ca="1">Table18[Employer Name]</f>
        <v>#VALUE!</v>
      </c>
      <c r="J635" s="3" cm="1">
        <f t="array" ref="J63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35" s="25" t="str">
        <f>_xlfn.XLOOKUP(tblPayrollMaster[[#This Row],[Employee Position]],tblPositionandPayRate[Employee Position],tblPositionandPayRate[Overtime], " ")</f>
        <v xml:space="preserve"> </v>
      </c>
      <c r="L635" s="25">
        <f>_xlfn.XLOOKUP(tblPayrollMaster[[#This Row],[Employee Position]],tblPositionandPayRate[Employee Position],tblPositionandPayRate[Allowance 1],0)*tblPayrollMaster[[#This Row],[Pay Factor]]</f>
        <v>0</v>
      </c>
      <c r="M635" s="25">
        <f>_xlfn.XLOOKUP(tblPayrollMaster[[#This Row],[Employee Position]],tblPositionandPayRate[Employee Position],tblPositionandPayRate[Allowance 2],0)*tblPayrollMaster[[#This Row],[Pay Factor]]</f>
        <v>0</v>
      </c>
      <c r="N635" s="25">
        <f>_xlfn.XLOOKUP(tblPayrollMaster[[#This Row],[Employee Position]],tblPositionandPayRate[Employee Position],tblPositionandPayRate[Allowance 3],0)*tblPayrollMaster[[#This Row],[Pay Factor]]</f>
        <v>0</v>
      </c>
      <c r="O635" s="25">
        <f>_xlfn.XLOOKUP(tblPayrollMaster[[#This Row],[Employee Position]],tblPositionandPayRate[Employee Position],tblPositionandPayRate[Allowance 4],0)*tblPayrollMaster[[#This Row],[Pay Factor]]</f>
        <v>0</v>
      </c>
      <c r="P635" s="25">
        <f>_xlfn.XLOOKUP(tblPayrollMaster[[#This Row],[Employee Position]],tblPositionandPayRate[Employee Position],tblPositionandPayRate[Allowance 5],0)*tblPayrollMaster[[#This Row],[Pay Factor]]</f>
        <v>0</v>
      </c>
      <c r="Q635" s="25">
        <f>SUM(tblPayrollMaster[[#This Row],[Basic Pay]:[Allowance 5]])</f>
        <v>0</v>
      </c>
      <c r="R63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35" s="51" cm="1">
        <f t="array" ref="S6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35" s="3" cm="1">
        <f t="array" ref="T6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35" s="25">
        <f>_xlfn.LET(
_xlpm.tos, _xlfn.XLOOKUP(tblPayrollMaster[[#This Row],[Employee ID]], tblEmployee[Employee ID], tblEmployee[Type of Service], ""),
IF(_xlpm.tos="Contract of Service", 8.25, 0)
)</f>
        <v>0</v>
      </c>
      <c r="V635" s="25">
        <f>tblPayrollMaster[[#This Row],[Basic Earnings]]-tblPayrollMaster[[#This Row],[Tax]]-tblPayrollMaster[[#This Row],[NIS - Employee]]-tblPayrollMaster[[#This Row],[Health Surcharge]]</f>
        <v>0</v>
      </c>
      <c r="W635" s="25">
        <f>tblPayrollMaster[[#This Row],[Net Pay]]</f>
        <v>0</v>
      </c>
      <c r="X635" s="25"/>
    </row>
    <row r="636" spans="1:24" x14ac:dyDescent="0.25">
      <c r="A636" s="24"/>
      <c r="B636" s="24" t="str">
        <f>_xlfn.XLOOKUP(tblPayrollMaster[[#This Row],[Employee ID]],tblEmployee[Employee ID],tblEmployee[Employee Name],"")</f>
        <v/>
      </c>
      <c r="C636" s="24" t="str">
        <f>_xlfn.XLOOKUP(tblPayrollMaster[[#This Row],[Employee ID]],tblEmployee[Employee ID],tblEmployee[Employee Position],"")</f>
        <v/>
      </c>
      <c r="D636" s="24" t="str">
        <f>_xlfn.XLOOKUP(tblPayrollMaster[[#This Row],[Employee ID]], tblEmployee[Employee ID], tblEmployee[Pay Status], "Pay")</f>
        <v>Pay</v>
      </c>
      <c r="E636" s="24" t="str">
        <f>_xlfn.XLOOKUP(tblPayrollMaster[[#This Row],[Employee ID]], tblEmployee[Employee ID], tblEmployee[Payable Flag], "Y")</f>
        <v>Y</v>
      </c>
      <c r="F636" s="45">
        <f>IF(tblPayrollMaster[[#This Row],[Payable Flag]]="N",0,_xlfn.XLOOKUP(tblPayrollMaster[[#This Row],[Employee ID]],tblEmployee[Employee ID],tblEmployee[Pay Factor],1))</f>
        <v>1</v>
      </c>
      <c r="G636" s="26" t="str" cm="1">
        <f t="array" ref="G636">IF(tblPayrollMaster[[#This Row],[Employee ID]]="","",_xlfn.XLOOKUP(selPayPeriodID,tblPayCalendar[PayPeriodID],tblPayCalendar[PeriodStart],""))</f>
        <v/>
      </c>
      <c r="H636" s="26" t="str" cm="1">
        <f t="array" ref="H636">IF(tblPayrollMaster[[#This Row],[Employee ID]]="","",_xlfn.XLOOKUP(selPayPeriodID,tblPayCalendar[PayPeriodID],tblPayCalendar[PeriodEnd],""))</f>
        <v/>
      </c>
      <c r="I636" s="24" t="e" cm="1" vm="1">
        <f t="array" aca="1" ref="I636" ca="1">Table18[Employer Name]</f>
        <v>#VALUE!</v>
      </c>
      <c r="J636" s="3" cm="1">
        <f t="array" ref="J63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36" s="25" t="str">
        <f>_xlfn.XLOOKUP(tblPayrollMaster[[#This Row],[Employee Position]],tblPositionandPayRate[Employee Position],tblPositionandPayRate[Overtime], " ")</f>
        <v xml:space="preserve"> </v>
      </c>
      <c r="L636" s="25">
        <f>_xlfn.XLOOKUP(tblPayrollMaster[[#This Row],[Employee Position]],tblPositionandPayRate[Employee Position],tblPositionandPayRate[Allowance 1],0)*tblPayrollMaster[[#This Row],[Pay Factor]]</f>
        <v>0</v>
      </c>
      <c r="M636" s="25">
        <f>_xlfn.XLOOKUP(tblPayrollMaster[[#This Row],[Employee Position]],tblPositionandPayRate[Employee Position],tblPositionandPayRate[Allowance 2],0)*tblPayrollMaster[[#This Row],[Pay Factor]]</f>
        <v>0</v>
      </c>
      <c r="N636" s="25">
        <f>_xlfn.XLOOKUP(tblPayrollMaster[[#This Row],[Employee Position]],tblPositionandPayRate[Employee Position],tblPositionandPayRate[Allowance 3],0)*tblPayrollMaster[[#This Row],[Pay Factor]]</f>
        <v>0</v>
      </c>
      <c r="O636" s="25">
        <f>_xlfn.XLOOKUP(tblPayrollMaster[[#This Row],[Employee Position]],tblPositionandPayRate[Employee Position],tblPositionandPayRate[Allowance 4],0)*tblPayrollMaster[[#This Row],[Pay Factor]]</f>
        <v>0</v>
      </c>
      <c r="P636" s="25">
        <f>_xlfn.XLOOKUP(tblPayrollMaster[[#This Row],[Employee Position]],tblPositionandPayRate[Employee Position],tblPositionandPayRate[Allowance 5],0)*tblPayrollMaster[[#This Row],[Pay Factor]]</f>
        <v>0</v>
      </c>
      <c r="Q636" s="25">
        <f>SUM(tblPayrollMaster[[#This Row],[Basic Pay]:[Allowance 5]])</f>
        <v>0</v>
      </c>
      <c r="R63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36" s="51" cm="1">
        <f t="array" ref="S6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36" s="3" cm="1">
        <f t="array" ref="T6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36" s="25">
        <f>_xlfn.LET(
_xlpm.tos, _xlfn.XLOOKUP(tblPayrollMaster[[#This Row],[Employee ID]], tblEmployee[Employee ID], tblEmployee[Type of Service], ""),
IF(_xlpm.tos="Contract of Service", 8.25, 0)
)</f>
        <v>0</v>
      </c>
      <c r="V636" s="25">
        <f>tblPayrollMaster[[#This Row],[Basic Earnings]]-tblPayrollMaster[[#This Row],[Tax]]-tblPayrollMaster[[#This Row],[NIS - Employee]]-tblPayrollMaster[[#This Row],[Health Surcharge]]</f>
        <v>0</v>
      </c>
      <c r="W636" s="25">
        <f>tblPayrollMaster[[#This Row],[Net Pay]]</f>
        <v>0</v>
      </c>
      <c r="X636" s="25"/>
    </row>
    <row r="637" spans="1:24" x14ac:dyDescent="0.25">
      <c r="A637" s="24"/>
      <c r="B637" s="24" t="str">
        <f>_xlfn.XLOOKUP(tblPayrollMaster[[#This Row],[Employee ID]],tblEmployee[Employee ID],tblEmployee[Employee Name],"")</f>
        <v/>
      </c>
      <c r="C637" s="24" t="str">
        <f>_xlfn.XLOOKUP(tblPayrollMaster[[#This Row],[Employee ID]],tblEmployee[Employee ID],tblEmployee[Employee Position],"")</f>
        <v/>
      </c>
      <c r="D637" s="24" t="str">
        <f>_xlfn.XLOOKUP(tblPayrollMaster[[#This Row],[Employee ID]], tblEmployee[Employee ID], tblEmployee[Pay Status], "Pay")</f>
        <v>Pay</v>
      </c>
      <c r="E637" s="24" t="str">
        <f>_xlfn.XLOOKUP(tblPayrollMaster[[#This Row],[Employee ID]], tblEmployee[Employee ID], tblEmployee[Payable Flag], "Y")</f>
        <v>Y</v>
      </c>
      <c r="F637" s="45">
        <f>IF(tblPayrollMaster[[#This Row],[Payable Flag]]="N",0,_xlfn.XLOOKUP(tblPayrollMaster[[#This Row],[Employee ID]],tblEmployee[Employee ID],tblEmployee[Pay Factor],1))</f>
        <v>1</v>
      </c>
      <c r="G637" s="26" t="str" cm="1">
        <f t="array" ref="G637">IF(tblPayrollMaster[[#This Row],[Employee ID]]="","",_xlfn.XLOOKUP(selPayPeriodID,tblPayCalendar[PayPeriodID],tblPayCalendar[PeriodStart],""))</f>
        <v/>
      </c>
      <c r="H637" s="26" t="str" cm="1">
        <f t="array" ref="H637">IF(tblPayrollMaster[[#This Row],[Employee ID]]="","",_xlfn.XLOOKUP(selPayPeriodID,tblPayCalendar[PayPeriodID],tblPayCalendar[PeriodEnd],""))</f>
        <v/>
      </c>
      <c r="I637" s="24" t="e" cm="1" vm="1">
        <f t="array" aca="1" ref="I637" ca="1">Table18[Employer Name]</f>
        <v>#VALUE!</v>
      </c>
      <c r="J637" s="3" cm="1">
        <f t="array" ref="J63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37" s="25" t="str">
        <f>_xlfn.XLOOKUP(tblPayrollMaster[[#This Row],[Employee Position]],tblPositionandPayRate[Employee Position],tblPositionandPayRate[Overtime], " ")</f>
        <v xml:space="preserve"> </v>
      </c>
      <c r="L637" s="25">
        <f>_xlfn.XLOOKUP(tblPayrollMaster[[#This Row],[Employee Position]],tblPositionandPayRate[Employee Position],tblPositionandPayRate[Allowance 1],0)*tblPayrollMaster[[#This Row],[Pay Factor]]</f>
        <v>0</v>
      </c>
      <c r="M637" s="25">
        <f>_xlfn.XLOOKUP(tblPayrollMaster[[#This Row],[Employee Position]],tblPositionandPayRate[Employee Position],tblPositionandPayRate[Allowance 2],0)*tblPayrollMaster[[#This Row],[Pay Factor]]</f>
        <v>0</v>
      </c>
      <c r="N637" s="25">
        <f>_xlfn.XLOOKUP(tblPayrollMaster[[#This Row],[Employee Position]],tblPositionandPayRate[Employee Position],tblPositionandPayRate[Allowance 3],0)*tblPayrollMaster[[#This Row],[Pay Factor]]</f>
        <v>0</v>
      </c>
      <c r="O637" s="25">
        <f>_xlfn.XLOOKUP(tblPayrollMaster[[#This Row],[Employee Position]],tblPositionandPayRate[Employee Position],tblPositionandPayRate[Allowance 4],0)*tblPayrollMaster[[#This Row],[Pay Factor]]</f>
        <v>0</v>
      </c>
      <c r="P637" s="25">
        <f>_xlfn.XLOOKUP(tblPayrollMaster[[#This Row],[Employee Position]],tblPositionandPayRate[Employee Position],tblPositionandPayRate[Allowance 5],0)*tblPayrollMaster[[#This Row],[Pay Factor]]</f>
        <v>0</v>
      </c>
      <c r="Q637" s="25">
        <f>SUM(tblPayrollMaster[[#This Row],[Basic Pay]:[Allowance 5]])</f>
        <v>0</v>
      </c>
      <c r="R63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37" s="51" cm="1">
        <f t="array" ref="S6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37" s="3" cm="1">
        <f t="array" ref="T6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37" s="25">
        <f>_xlfn.LET(
_xlpm.tos, _xlfn.XLOOKUP(tblPayrollMaster[[#This Row],[Employee ID]], tblEmployee[Employee ID], tblEmployee[Type of Service], ""),
IF(_xlpm.tos="Contract of Service", 8.25, 0)
)</f>
        <v>0</v>
      </c>
      <c r="V637" s="25">
        <f>tblPayrollMaster[[#This Row],[Basic Earnings]]-tblPayrollMaster[[#This Row],[Tax]]-tblPayrollMaster[[#This Row],[NIS - Employee]]-tblPayrollMaster[[#This Row],[Health Surcharge]]</f>
        <v>0</v>
      </c>
      <c r="W637" s="25">
        <f>tblPayrollMaster[[#This Row],[Net Pay]]</f>
        <v>0</v>
      </c>
      <c r="X637" s="25"/>
    </row>
    <row r="638" spans="1:24" x14ac:dyDescent="0.25">
      <c r="A638" s="24"/>
      <c r="B638" s="24" t="str">
        <f>_xlfn.XLOOKUP(tblPayrollMaster[[#This Row],[Employee ID]],tblEmployee[Employee ID],tblEmployee[Employee Name],"")</f>
        <v/>
      </c>
      <c r="C638" s="24" t="str">
        <f>_xlfn.XLOOKUP(tblPayrollMaster[[#This Row],[Employee ID]],tblEmployee[Employee ID],tblEmployee[Employee Position],"")</f>
        <v/>
      </c>
      <c r="D638" s="24" t="str">
        <f>_xlfn.XLOOKUP(tblPayrollMaster[[#This Row],[Employee ID]], tblEmployee[Employee ID], tblEmployee[Pay Status], "Pay")</f>
        <v>Pay</v>
      </c>
      <c r="E638" s="24" t="str">
        <f>_xlfn.XLOOKUP(tblPayrollMaster[[#This Row],[Employee ID]], tblEmployee[Employee ID], tblEmployee[Payable Flag], "Y")</f>
        <v>Y</v>
      </c>
      <c r="F638" s="45">
        <f>IF(tblPayrollMaster[[#This Row],[Payable Flag]]="N",0,_xlfn.XLOOKUP(tblPayrollMaster[[#This Row],[Employee ID]],tblEmployee[Employee ID],tblEmployee[Pay Factor],1))</f>
        <v>1</v>
      </c>
      <c r="G638" s="26" t="str" cm="1">
        <f t="array" ref="G638">IF(tblPayrollMaster[[#This Row],[Employee ID]]="","",_xlfn.XLOOKUP(selPayPeriodID,tblPayCalendar[PayPeriodID],tblPayCalendar[PeriodStart],""))</f>
        <v/>
      </c>
      <c r="H638" s="26" t="str" cm="1">
        <f t="array" ref="H638">IF(tblPayrollMaster[[#This Row],[Employee ID]]="","",_xlfn.XLOOKUP(selPayPeriodID,tblPayCalendar[PayPeriodID],tblPayCalendar[PeriodEnd],""))</f>
        <v/>
      </c>
      <c r="I638" s="24" t="e" cm="1" vm="1">
        <f t="array" aca="1" ref="I638" ca="1">Table18[Employer Name]</f>
        <v>#VALUE!</v>
      </c>
      <c r="J638" s="3" cm="1">
        <f t="array" ref="J63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38" s="25" t="str">
        <f>_xlfn.XLOOKUP(tblPayrollMaster[[#This Row],[Employee Position]],tblPositionandPayRate[Employee Position],tblPositionandPayRate[Overtime], " ")</f>
        <v xml:space="preserve"> </v>
      </c>
      <c r="L638" s="25">
        <f>_xlfn.XLOOKUP(tblPayrollMaster[[#This Row],[Employee Position]],tblPositionandPayRate[Employee Position],tblPositionandPayRate[Allowance 1],0)*tblPayrollMaster[[#This Row],[Pay Factor]]</f>
        <v>0</v>
      </c>
      <c r="M638" s="25">
        <f>_xlfn.XLOOKUP(tblPayrollMaster[[#This Row],[Employee Position]],tblPositionandPayRate[Employee Position],tblPositionandPayRate[Allowance 2],0)*tblPayrollMaster[[#This Row],[Pay Factor]]</f>
        <v>0</v>
      </c>
      <c r="N638" s="25">
        <f>_xlfn.XLOOKUP(tblPayrollMaster[[#This Row],[Employee Position]],tblPositionandPayRate[Employee Position],tblPositionandPayRate[Allowance 3],0)*tblPayrollMaster[[#This Row],[Pay Factor]]</f>
        <v>0</v>
      </c>
      <c r="O638" s="25">
        <f>_xlfn.XLOOKUP(tblPayrollMaster[[#This Row],[Employee Position]],tblPositionandPayRate[Employee Position],tblPositionandPayRate[Allowance 4],0)*tblPayrollMaster[[#This Row],[Pay Factor]]</f>
        <v>0</v>
      </c>
      <c r="P638" s="25">
        <f>_xlfn.XLOOKUP(tblPayrollMaster[[#This Row],[Employee Position]],tblPositionandPayRate[Employee Position],tblPositionandPayRate[Allowance 5],0)*tblPayrollMaster[[#This Row],[Pay Factor]]</f>
        <v>0</v>
      </c>
      <c r="Q638" s="25">
        <f>SUM(tblPayrollMaster[[#This Row],[Basic Pay]:[Allowance 5]])</f>
        <v>0</v>
      </c>
      <c r="R63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38" s="51" cm="1">
        <f t="array" ref="S6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38" s="3" cm="1">
        <f t="array" ref="T6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38" s="25">
        <f>_xlfn.LET(
_xlpm.tos, _xlfn.XLOOKUP(tblPayrollMaster[[#This Row],[Employee ID]], tblEmployee[Employee ID], tblEmployee[Type of Service], ""),
IF(_xlpm.tos="Contract of Service", 8.25, 0)
)</f>
        <v>0</v>
      </c>
      <c r="V638" s="25">
        <f>tblPayrollMaster[[#This Row],[Basic Earnings]]-tblPayrollMaster[[#This Row],[Tax]]-tblPayrollMaster[[#This Row],[NIS - Employee]]-tblPayrollMaster[[#This Row],[Health Surcharge]]</f>
        <v>0</v>
      </c>
      <c r="W638" s="25">
        <f>tblPayrollMaster[[#This Row],[Net Pay]]</f>
        <v>0</v>
      </c>
      <c r="X638" s="25"/>
    </row>
    <row r="639" spans="1:24" x14ac:dyDescent="0.25">
      <c r="A639" s="24"/>
      <c r="B639" s="24" t="str">
        <f>_xlfn.XLOOKUP(tblPayrollMaster[[#This Row],[Employee ID]],tblEmployee[Employee ID],tblEmployee[Employee Name],"")</f>
        <v/>
      </c>
      <c r="C639" s="24" t="str">
        <f>_xlfn.XLOOKUP(tblPayrollMaster[[#This Row],[Employee ID]],tblEmployee[Employee ID],tblEmployee[Employee Position],"")</f>
        <v/>
      </c>
      <c r="D639" s="24" t="str">
        <f>_xlfn.XLOOKUP(tblPayrollMaster[[#This Row],[Employee ID]], tblEmployee[Employee ID], tblEmployee[Pay Status], "Pay")</f>
        <v>Pay</v>
      </c>
      <c r="E639" s="24" t="str">
        <f>_xlfn.XLOOKUP(tblPayrollMaster[[#This Row],[Employee ID]], tblEmployee[Employee ID], tblEmployee[Payable Flag], "Y")</f>
        <v>Y</v>
      </c>
      <c r="F639" s="45">
        <f>IF(tblPayrollMaster[[#This Row],[Payable Flag]]="N",0,_xlfn.XLOOKUP(tblPayrollMaster[[#This Row],[Employee ID]],tblEmployee[Employee ID],tblEmployee[Pay Factor],1))</f>
        <v>1</v>
      </c>
      <c r="G639" s="26" t="str" cm="1">
        <f t="array" ref="G639">IF(tblPayrollMaster[[#This Row],[Employee ID]]="","",_xlfn.XLOOKUP(selPayPeriodID,tblPayCalendar[PayPeriodID],tblPayCalendar[PeriodStart],""))</f>
        <v/>
      </c>
      <c r="H639" s="26" t="str" cm="1">
        <f t="array" ref="H639">IF(tblPayrollMaster[[#This Row],[Employee ID]]="","",_xlfn.XLOOKUP(selPayPeriodID,tblPayCalendar[PayPeriodID],tblPayCalendar[PeriodEnd],""))</f>
        <v/>
      </c>
      <c r="I639" s="24" t="e" cm="1" vm="1">
        <f t="array" aca="1" ref="I639" ca="1">Table18[Employer Name]</f>
        <v>#VALUE!</v>
      </c>
      <c r="J639" s="3" cm="1">
        <f t="array" ref="J63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39" s="25" t="str">
        <f>_xlfn.XLOOKUP(tblPayrollMaster[[#This Row],[Employee Position]],tblPositionandPayRate[Employee Position],tblPositionandPayRate[Overtime], " ")</f>
        <v xml:space="preserve"> </v>
      </c>
      <c r="L639" s="25">
        <f>_xlfn.XLOOKUP(tblPayrollMaster[[#This Row],[Employee Position]],tblPositionandPayRate[Employee Position],tblPositionandPayRate[Allowance 1],0)*tblPayrollMaster[[#This Row],[Pay Factor]]</f>
        <v>0</v>
      </c>
      <c r="M639" s="25">
        <f>_xlfn.XLOOKUP(tblPayrollMaster[[#This Row],[Employee Position]],tblPositionandPayRate[Employee Position],tblPositionandPayRate[Allowance 2],0)*tblPayrollMaster[[#This Row],[Pay Factor]]</f>
        <v>0</v>
      </c>
      <c r="N639" s="25">
        <f>_xlfn.XLOOKUP(tblPayrollMaster[[#This Row],[Employee Position]],tblPositionandPayRate[Employee Position],tblPositionandPayRate[Allowance 3],0)*tblPayrollMaster[[#This Row],[Pay Factor]]</f>
        <v>0</v>
      </c>
      <c r="O639" s="25">
        <f>_xlfn.XLOOKUP(tblPayrollMaster[[#This Row],[Employee Position]],tblPositionandPayRate[Employee Position],tblPositionandPayRate[Allowance 4],0)*tblPayrollMaster[[#This Row],[Pay Factor]]</f>
        <v>0</v>
      </c>
      <c r="P639" s="25">
        <f>_xlfn.XLOOKUP(tblPayrollMaster[[#This Row],[Employee Position]],tblPositionandPayRate[Employee Position],tblPositionandPayRate[Allowance 5],0)*tblPayrollMaster[[#This Row],[Pay Factor]]</f>
        <v>0</v>
      </c>
      <c r="Q639" s="25">
        <f>SUM(tblPayrollMaster[[#This Row],[Basic Pay]:[Allowance 5]])</f>
        <v>0</v>
      </c>
      <c r="R63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39" s="51" cm="1">
        <f t="array" ref="S6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39" s="3" cm="1">
        <f t="array" ref="T6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39" s="25">
        <f>_xlfn.LET(
_xlpm.tos, _xlfn.XLOOKUP(tblPayrollMaster[[#This Row],[Employee ID]], tblEmployee[Employee ID], tblEmployee[Type of Service], ""),
IF(_xlpm.tos="Contract of Service", 8.25, 0)
)</f>
        <v>0</v>
      </c>
      <c r="V639" s="25">
        <f>tblPayrollMaster[[#This Row],[Basic Earnings]]-tblPayrollMaster[[#This Row],[Tax]]-tblPayrollMaster[[#This Row],[NIS - Employee]]-tblPayrollMaster[[#This Row],[Health Surcharge]]</f>
        <v>0</v>
      </c>
      <c r="W639" s="25">
        <f>tblPayrollMaster[[#This Row],[Net Pay]]</f>
        <v>0</v>
      </c>
      <c r="X639" s="25"/>
    </row>
    <row r="640" spans="1:24" x14ac:dyDescent="0.25">
      <c r="A640" s="24"/>
      <c r="B640" s="24" t="str">
        <f>_xlfn.XLOOKUP(tblPayrollMaster[[#This Row],[Employee ID]],tblEmployee[Employee ID],tblEmployee[Employee Name],"")</f>
        <v/>
      </c>
      <c r="C640" s="24" t="str">
        <f>_xlfn.XLOOKUP(tblPayrollMaster[[#This Row],[Employee ID]],tblEmployee[Employee ID],tblEmployee[Employee Position],"")</f>
        <v/>
      </c>
      <c r="D640" s="24" t="str">
        <f>_xlfn.XLOOKUP(tblPayrollMaster[[#This Row],[Employee ID]], tblEmployee[Employee ID], tblEmployee[Pay Status], "Pay")</f>
        <v>Pay</v>
      </c>
      <c r="E640" s="24" t="str">
        <f>_xlfn.XLOOKUP(tblPayrollMaster[[#This Row],[Employee ID]], tblEmployee[Employee ID], tblEmployee[Payable Flag], "Y")</f>
        <v>Y</v>
      </c>
      <c r="F640" s="45">
        <f>IF(tblPayrollMaster[[#This Row],[Payable Flag]]="N",0,_xlfn.XLOOKUP(tblPayrollMaster[[#This Row],[Employee ID]],tblEmployee[Employee ID],tblEmployee[Pay Factor],1))</f>
        <v>1</v>
      </c>
      <c r="G640" s="26" t="str" cm="1">
        <f t="array" ref="G640">IF(tblPayrollMaster[[#This Row],[Employee ID]]="","",_xlfn.XLOOKUP(selPayPeriodID,tblPayCalendar[PayPeriodID],tblPayCalendar[PeriodStart],""))</f>
        <v/>
      </c>
      <c r="H640" s="26" t="str" cm="1">
        <f t="array" ref="H640">IF(tblPayrollMaster[[#This Row],[Employee ID]]="","",_xlfn.XLOOKUP(selPayPeriodID,tblPayCalendar[PayPeriodID],tblPayCalendar[PeriodEnd],""))</f>
        <v/>
      </c>
      <c r="I640" s="24" t="e" cm="1" vm="1">
        <f t="array" aca="1" ref="I640" ca="1">Table18[Employer Name]</f>
        <v>#VALUE!</v>
      </c>
      <c r="J640" s="3" cm="1">
        <f t="array" ref="J64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40" s="25" t="str">
        <f>_xlfn.XLOOKUP(tblPayrollMaster[[#This Row],[Employee Position]],tblPositionandPayRate[Employee Position],tblPositionandPayRate[Overtime], " ")</f>
        <v xml:space="preserve"> </v>
      </c>
      <c r="L640" s="25">
        <f>_xlfn.XLOOKUP(tblPayrollMaster[[#This Row],[Employee Position]],tblPositionandPayRate[Employee Position],tblPositionandPayRate[Allowance 1],0)*tblPayrollMaster[[#This Row],[Pay Factor]]</f>
        <v>0</v>
      </c>
      <c r="M640" s="25">
        <f>_xlfn.XLOOKUP(tblPayrollMaster[[#This Row],[Employee Position]],tblPositionandPayRate[Employee Position],tblPositionandPayRate[Allowance 2],0)*tblPayrollMaster[[#This Row],[Pay Factor]]</f>
        <v>0</v>
      </c>
      <c r="N640" s="25">
        <f>_xlfn.XLOOKUP(tblPayrollMaster[[#This Row],[Employee Position]],tblPositionandPayRate[Employee Position],tblPositionandPayRate[Allowance 3],0)*tblPayrollMaster[[#This Row],[Pay Factor]]</f>
        <v>0</v>
      </c>
      <c r="O640" s="25">
        <f>_xlfn.XLOOKUP(tblPayrollMaster[[#This Row],[Employee Position]],tblPositionandPayRate[Employee Position],tblPositionandPayRate[Allowance 4],0)*tblPayrollMaster[[#This Row],[Pay Factor]]</f>
        <v>0</v>
      </c>
      <c r="P640" s="25">
        <f>_xlfn.XLOOKUP(tblPayrollMaster[[#This Row],[Employee Position]],tblPositionandPayRate[Employee Position],tblPositionandPayRate[Allowance 5],0)*tblPayrollMaster[[#This Row],[Pay Factor]]</f>
        <v>0</v>
      </c>
      <c r="Q640" s="25">
        <f>SUM(tblPayrollMaster[[#This Row],[Basic Pay]:[Allowance 5]])</f>
        <v>0</v>
      </c>
      <c r="R64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40" s="51" cm="1">
        <f t="array" ref="S6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40" s="3" cm="1">
        <f t="array" ref="T6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40" s="25">
        <f>_xlfn.LET(
_xlpm.tos, _xlfn.XLOOKUP(tblPayrollMaster[[#This Row],[Employee ID]], tblEmployee[Employee ID], tblEmployee[Type of Service], ""),
IF(_xlpm.tos="Contract of Service", 8.25, 0)
)</f>
        <v>0</v>
      </c>
      <c r="V640" s="25">
        <f>tblPayrollMaster[[#This Row],[Basic Earnings]]-tblPayrollMaster[[#This Row],[Tax]]-tblPayrollMaster[[#This Row],[NIS - Employee]]-tblPayrollMaster[[#This Row],[Health Surcharge]]</f>
        <v>0</v>
      </c>
      <c r="W640" s="25">
        <f>tblPayrollMaster[[#This Row],[Net Pay]]</f>
        <v>0</v>
      </c>
      <c r="X640" s="25"/>
    </row>
    <row r="641" spans="1:24" x14ac:dyDescent="0.25">
      <c r="A641" s="24"/>
      <c r="B641" s="24" t="str">
        <f>_xlfn.XLOOKUP(tblPayrollMaster[[#This Row],[Employee ID]],tblEmployee[Employee ID],tblEmployee[Employee Name],"")</f>
        <v/>
      </c>
      <c r="C641" s="24" t="str">
        <f>_xlfn.XLOOKUP(tblPayrollMaster[[#This Row],[Employee ID]],tblEmployee[Employee ID],tblEmployee[Employee Position],"")</f>
        <v/>
      </c>
      <c r="D641" s="24" t="str">
        <f>_xlfn.XLOOKUP(tblPayrollMaster[[#This Row],[Employee ID]], tblEmployee[Employee ID], tblEmployee[Pay Status], "Pay")</f>
        <v>Pay</v>
      </c>
      <c r="E641" s="24" t="str">
        <f>_xlfn.XLOOKUP(tblPayrollMaster[[#This Row],[Employee ID]], tblEmployee[Employee ID], tblEmployee[Payable Flag], "Y")</f>
        <v>Y</v>
      </c>
      <c r="F641" s="45">
        <f>IF(tblPayrollMaster[[#This Row],[Payable Flag]]="N",0,_xlfn.XLOOKUP(tblPayrollMaster[[#This Row],[Employee ID]],tblEmployee[Employee ID],tblEmployee[Pay Factor],1))</f>
        <v>1</v>
      </c>
      <c r="G641" s="26" t="str" cm="1">
        <f t="array" ref="G641">IF(tblPayrollMaster[[#This Row],[Employee ID]]="","",_xlfn.XLOOKUP(selPayPeriodID,tblPayCalendar[PayPeriodID],tblPayCalendar[PeriodStart],""))</f>
        <v/>
      </c>
      <c r="H641" s="26" t="str" cm="1">
        <f t="array" ref="H641">IF(tblPayrollMaster[[#This Row],[Employee ID]]="","",_xlfn.XLOOKUP(selPayPeriodID,tblPayCalendar[PayPeriodID],tblPayCalendar[PeriodEnd],""))</f>
        <v/>
      </c>
      <c r="I641" s="24" t="e" cm="1" vm="1">
        <f t="array" aca="1" ref="I641" ca="1">Table18[Employer Name]</f>
        <v>#VALUE!</v>
      </c>
      <c r="J641" s="3" cm="1">
        <f t="array" ref="J64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41" s="25" t="str">
        <f>_xlfn.XLOOKUP(tblPayrollMaster[[#This Row],[Employee Position]],tblPositionandPayRate[Employee Position],tblPositionandPayRate[Overtime], " ")</f>
        <v xml:space="preserve"> </v>
      </c>
      <c r="L641" s="25">
        <f>_xlfn.XLOOKUP(tblPayrollMaster[[#This Row],[Employee Position]],tblPositionandPayRate[Employee Position],tblPositionandPayRate[Allowance 1],0)*tblPayrollMaster[[#This Row],[Pay Factor]]</f>
        <v>0</v>
      </c>
      <c r="M641" s="25">
        <f>_xlfn.XLOOKUP(tblPayrollMaster[[#This Row],[Employee Position]],tblPositionandPayRate[Employee Position],tblPositionandPayRate[Allowance 2],0)*tblPayrollMaster[[#This Row],[Pay Factor]]</f>
        <v>0</v>
      </c>
      <c r="N641" s="25">
        <f>_xlfn.XLOOKUP(tblPayrollMaster[[#This Row],[Employee Position]],tblPositionandPayRate[Employee Position],tblPositionandPayRate[Allowance 3],0)*tblPayrollMaster[[#This Row],[Pay Factor]]</f>
        <v>0</v>
      </c>
      <c r="O641" s="25">
        <f>_xlfn.XLOOKUP(tblPayrollMaster[[#This Row],[Employee Position]],tblPositionandPayRate[Employee Position],tblPositionandPayRate[Allowance 4],0)*tblPayrollMaster[[#This Row],[Pay Factor]]</f>
        <v>0</v>
      </c>
      <c r="P641" s="25">
        <f>_xlfn.XLOOKUP(tblPayrollMaster[[#This Row],[Employee Position]],tblPositionandPayRate[Employee Position],tblPositionandPayRate[Allowance 5],0)*tblPayrollMaster[[#This Row],[Pay Factor]]</f>
        <v>0</v>
      </c>
      <c r="Q641" s="25">
        <f>SUM(tblPayrollMaster[[#This Row],[Basic Pay]:[Allowance 5]])</f>
        <v>0</v>
      </c>
      <c r="R64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41" s="51" cm="1">
        <f t="array" ref="S6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41" s="3" cm="1">
        <f t="array" ref="T6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41" s="25">
        <f>_xlfn.LET(
_xlpm.tos, _xlfn.XLOOKUP(tblPayrollMaster[[#This Row],[Employee ID]], tblEmployee[Employee ID], tblEmployee[Type of Service], ""),
IF(_xlpm.tos="Contract of Service", 8.25, 0)
)</f>
        <v>0</v>
      </c>
      <c r="V641" s="25">
        <f>tblPayrollMaster[[#This Row],[Basic Earnings]]-tblPayrollMaster[[#This Row],[Tax]]-tblPayrollMaster[[#This Row],[NIS - Employee]]-tblPayrollMaster[[#This Row],[Health Surcharge]]</f>
        <v>0</v>
      </c>
      <c r="W641" s="25">
        <f>tblPayrollMaster[[#This Row],[Net Pay]]</f>
        <v>0</v>
      </c>
      <c r="X641" s="25"/>
    </row>
    <row r="642" spans="1:24" x14ac:dyDescent="0.25">
      <c r="A642" s="24"/>
      <c r="B642" s="24" t="str">
        <f>_xlfn.XLOOKUP(tblPayrollMaster[[#This Row],[Employee ID]],tblEmployee[Employee ID],tblEmployee[Employee Name],"")</f>
        <v/>
      </c>
      <c r="C642" s="24" t="str">
        <f>_xlfn.XLOOKUP(tblPayrollMaster[[#This Row],[Employee ID]],tblEmployee[Employee ID],tblEmployee[Employee Position],"")</f>
        <v/>
      </c>
      <c r="D642" s="24" t="str">
        <f>_xlfn.XLOOKUP(tblPayrollMaster[[#This Row],[Employee ID]], tblEmployee[Employee ID], tblEmployee[Pay Status], "Pay")</f>
        <v>Pay</v>
      </c>
      <c r="E642" s="24" t="str">
        <f>_xlfn.XLOOKUP(tblPayrollMaster[[#This Row],[Employee ID]], tblEmployee[Employee ID], tblEmployee[Payable Flag], "Y")</f>
        <v>Y</v>
      </c>
      <c r="F642" s="45">
        <f>IF(tblPayrollMaster[[#This Row],[Payable Flag]]="N",0,_xlfn.XLOOKUP(tblPayrollMaster[[#This Row],[Employee ID]],tblEmployee[Employee ID],tblEmployee[Pay Factor],1))</f>
        <v>1</v>
      </c>
      <c r="G642" s="26" t="str" cm="1">
        <f t="array" ref="G642">IF(tblPayrollMaster[[#This Row],[Employee ID]]="","",_xlfn.XLOOKUP(selPayPeriodID,tblPayCalendar[PayPeriodID],tblPayCalendar[PeriodStart],""))</f>
        <v/>
      </c>
      <c r="H642" s="26" t="str" cm="1">
        <f t="array" ref="H642">IF(tblPayrollMaster[[#This Row],[Employee ID]]="","",_xlfn.XLOOKUP(selPayPeriodID,tblPayCalendar[PayPeriodID],tblPayCalendar[PeriodEnd],""))</f>
        <v/>
      </c>
      <c r="I642" s="24" t="e" cm="1" vm="1">
        <f t="array" aca="1" ref="I642" ca="1">Table18[Employer Name]</f>
        <v>#VALUE!</v>
      </c>
      <c r="J642" s="3" cm="1">
        <f t="array" ref="J64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42" s="25" t="str">
        <f>_xlfn.XLOOKUP(tblPayrollMaster[[#This Row],[Employee Position]],tblPositionandPayRate[Employee Position],tblPositionandPayRate[Overtime], " ")</f>
        <v xml:space="preserve"> </v>
      </c>
      <c r="L642" s="25">
        <f>_xlfn.XLOOKUP(tblPayrollMaster[[#This Row],[Employee Position]],tblPositionandPayRate[Employee Position],tblPositionandPayRate[Allowance 1],0)*tblPayrollMaster[[#This Row],[Pay Factor]]</f>
        <v>0</v>
      </c>
      <c r="M642" s="25">
        <f>_xlfn.XLOOKUP(tblPayrollMaster[[#This Row],[Employee Position]],tblPositionandPayRate[Employee Position],tblPositionandPayRate[Allowance 2],0)*tblPayrollMaster[[#This Row],[Pay Factor]]</f>
        <v>0</v>
      </c>
      <c r="N642" s="25">
        <f>_xlfn.XLOOKUP(tblPayrollMaster[[#This Row],[Employee Position]],tblPositionandPayRate[Employee Position],tblPositionandPayRate[Allowance 3],0)*tblPayrollMaster[[#This Row],[Pay Factor]]</f>
        <v>0</v>
      </c>
      <c r="O642" s="25">
        <f>_xlfn.XLOOKUP(tblPayrollMaster[[#This Row],[Employee Position]],tblPositionandPayRate[Employee Position],tblPositionandPayRate[Allowance 4],0)*tblPayrollMaster[[#This Row],[Pay Factor]]</f>
        <v>0</v>
      </c>
      <c r="P642" s="25">
        <f>_xlfn.XLOOKUP(tblPayrollMaster[[#This Row],[Employee Position]],tblPositionandPayRate[Employee Position],tblPositionandPayRate[Allowance 5],0)*tblPayrollMaster[[#This Row],[Pay Factor]]</f>
        <v>0</v>
      </c>
      <c r="Q642" s="25">
        <f>SUM(tblPayrollMaster[[#This Row],[Basic Pay]:[Allowance 5]])</f>
        <v>0</v>
      </c>
      <c r="R64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42" s="51" cm="1">
        <f t="array" ref="S6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42" s="3" cm="1">
        <f t="array" ref="T6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42" s="25">
        <f>_xlfn.LET(
_xlpm.tos, _xlfn.XLOOKUP(tblPayrollMaster[[#This Row],[Employee ID]], tblEmployee[Employee ID], tblEmployee[Type of Service], ""),
IF(_xlpm.tos="Contract of Service", 8.25, 0)
)</f>
        <v>0</v>
      </c>
      <c r="V642" s="25">
        <f>tblPayrollMaster[[#This Row],[Basic Earnings]]-tblPayrollMaster[[#This Row],[Tax]]-tblPayrollMaster[[#This Row],[NIS - Employee]]-tblPayrollMaster[[#This Row],[Health Surcharge]]</f>
        <v>0</v>
      </c>
      <c r="W642" s="25">
        <f>tblPayrollMaster[[#This Row],[Net Pay]]</f>
        <v>0</v>
      </c>
      <c r="X642" s="25"/>
    </row>
    <row r="643" spans="1:24" x14ac:dyDescent="0.25">
      <c r="A643" s="24"/>
      <c r="B643" s="24" t="str">
        <f>_xlfn.XLOOKUP(tblPayrollMaster[[#This Row],[Employee ID]],tblEmployee[Employee ID],tblEmployee[Employee Name],"")</f>
        <v/>
      </c>
      <c r="C643" s="24" t="str">
        <f>_xlfn.XLOOKUP(tblPayrollMaster[[#This Row],[Employee ID]],tblEmployee[Employee ID],tblEmployee[Employee Position],"")</f>
        <v/>
      </c>
      <c r="D643" s="24" t="str">
        <f>_xlfn.XLOOKUP(tblPayrollMaster[[#This Row],[Employee ID]], tblEmployee[Employee ID], tblEmployee[Pay Status], "Pay")</f>
        <v>Pay</v>
      </c>
      <c r="E643" s="24" t="str">
        <f>_xlfn.XLOOKUP(tblPayrollMaster[[#This Row],[Employee ID]], tblEmployee[Employee ID], tblEmployee[Payable Flag], "Y")</f>
        <v>Y</v>
      </c>
      <c r="F643" s="45">
        <f>IF(tblPayrollMaster[[#This Row],[Payable Flag]]="N",0,_xlfn.XLOOKUP(tblPayrollMaster[[#This Row],[Employee ID]],tblEmployee[Employee ID],tblEmployee[Pay Factor],1))</f>
        <v>1</v>
      </c>
      <c r="G643" s="26" t="str" cm="1">
        <f t="array" ref="G643">IF(tblPayrollMaster[[#This Row],[Employee ID]]="","",_xlfn.XLOOKUP(selPayPeriodID,tblPayCalendar[PayPeriodID],tblPayCalendar[PeriodStart],""))</f>
        <v/>
      </c>
      <c r="H643" s="26" t="str" cm="1">
        <f t="array" ref="H643">IF(tblPayrollMaster[[#This Row],[Employee ID]]="","",_xlfn.XLOOKUP(selPayPeriodID,tblPayCalendar[PayPeriodID],tblPayCalendar[PeriodEnd],""))</f>
        <v/>
      </c>
      <c r="I643" s="24" t="e" cm="1" vm="1">
        <f t="array" aca="1" ref="I643" ca="1">Table18[Employer Name]</f>
        <v>#VALUE!</v>
      </c>
      <c r="J643" s="3" cm="1">
        <f t="array" ref="J64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43" s="25" t="str">
        <f>_xlfn.XLOOKUP(tblPayrollMaster[[#This Row],[Employee Position]],tblPositionandPayRate[Employee Position],tblPositionandPayRate[Overtime], " ")</f>
        <v xml:space="preserve"> </v>
      </c>
      <c r="L643" s="25">
        <f>_xlfn.XLOOKUP(tblPayrollMaster[[#This Row],[Employee Position]],tblPositionandPayRate[Employee Position],tblPositionandPayRate[Allowance 1],0)*tblPayrollMaster[[#This Row],[Pay Factor]]</f>
        <v>0</v>
      </c>
      <c r="M643" s="25">
        <f>_xlfn.XLOOKUP(tblPayrollMaster[[#This Row],[Employee Position]],tblPositionandPayRate[Employee Position],tblPositionandPayRate[Allowance 2],0)*tblPayrollMaster[[#This Row],[Pay Factor]]</f>
        <v>0</v>
      </c>
      <c r="N643" s="25">
        <f>_xlfn.XLOOKUP(tblPayrollMaster[[#This Row],[Employee Position]],tblPositionandPayRate[Employee Position],tblPositionandPayRate[Allowance 3],0)*tblPayrollMaster[[#This Row],[Pay Factor]]</f>
        <v>0</v>
      </c>
      <c r="O643" s="25">
        <f>_xlfn.XLOOKUP(tblPayrollMaster[[#This Row],[Employee Position]],tblPositionandPayRate[Employee Position],tblPositionandPayRate[Allowance 4],0)*tblPayrollMaster[[#This Row],[Pay Factor]]</f>
        <v>0</v>
      </c>
      <c r="P643" s="25">
        <f>_xlfn.XLOOKUP(tblPayrollMaster[[#This Row],[Employee Position]],tblPositionandPayRate[Employee Position],tblPositionandPayRate[Allowance 5],0)*tblPayrollMaster[[#This Row],[Pay Factor]]</f>
        <v>0</v>
      </c>
      <c r="Q643" s="25">
        <f>SUM(tblPayrollMaster[[#This Row],[Basic Pay]:[Allowance 5]])</f>
        <v>0</v>
      </c>
      <c r="R64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43" s="51" cm="1">
        <f t="array" ref="S6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43" s="3" cm="1">
        <f t="array" ref="T6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43" s="25">
        <f>_xlfn.LET(
_xlpm.tos, _xlfn.XLOOKUP(tblPayrollMaster[[#This Row],[Employee ID]], tblEmployee[Employee ID], tblEmployee[Type of Service], ""),
IF(_xlpm.tos="Contract of Service", 8.25, 0)
)</f>
        <v>0</v>
      </c>
      <c r="V643" s="25">
        <f>tblPayrollMaster[[#This Row],[Basic Earnings]]-tblPayrollMaster[[#This Row],[Tax]]-tblPayrollMaster[[#This Row],[NIS - Employee]]-tblPayrollMaster[[#This Row],[Health Surcharge]]</f>
        <v>0</v>
      </c>
      <c r="W643" s="25">
        <f>tblPayrollMaster[[#This Row],[Net Pay]]</f>
        <v>0</v>
      </c>
      <c r="X643" s="25"/>
    </row>
    <row r="644" spans="1:24" x14ac:dyDescent="0.25">
      <c r="A644" s="24"/>
      <c r="B644" s="24" t="str">
        <f>_xlfn.XLOOKUP(tblPayrollMaster[[#This Row],[Employee ID]],tblEmployee[Employee ID],tblEmployee[Employee Name],"")</f>
        <v/>
      </c>
      <c r="C644" s="24" t="str">
        <f>_xlfn.XLOOKUP(tblPayrollMaster[[#This Row],[Employee ID]],tblEmployee[Employee ID],tblEmployee[Employee Position],"")</f>
        <v/>
      </c>
      <c r="D644" s="24" t="str">
        <f>_xlfn.XLOOKUP(tblPayrollMaster[[#This Row],[Employee ID]], tblEmployee[Employee ID], tblEmployee[Pay Status], "Pay")</f>
        <v>Pay</v>
      </c>
      <c r="E644" s="24" t="str">
        <f>_xlfn.XLOOKUP(tblPayrollMaster[[#This Row],[Employee ID]], tblEmployee[Employee ID], tblEmployee[Payable Flag], "Y")</f>
        <v>Y</v>
      </c>
      <c r="F644" s="45">
        <f>IF(tblPayrollMaster[[#This Row],[Payable Flag]]="N",0,_xlfn.XLOOKUP(tblPayrollMaster[[#This Row],[Employee ID]],tblEmployee[Employee ID],tblEmployee[Pay Factor],1))</f>
        <v>1</v>
      </c>
      <c r="G644" s="26" t="str" cm="1">
        <f t="array" ref="G644">IF(tblPayrollMaster[[#This Row],[Employee ID]]="","",_xlfn.XLOOKUP(selPayPeriodID,tblPayCalendar[PayPeriodID],tblPayCalendar[PeriodStart],""))</f>
        <v/>
      </c>
      <c r="H644" s="26" t="str" cm="1">
        <f t="array" ref="H644">IF(tblPayrollMaster[[#This Row],[Employee ID]]="","",_xlfn.XLOOKUP(selPayPeriodID,tblPayCalendar[PayPeriodID],tblPayCalendar[PeriodEnd],""))</f>
        <v/>
      </c>
      <c r="I644" s="24" t="e" cm="1" vm="1">
        <f t="array" aca="1" ref="I644" ca="1">Table18[Employer Name]</f>
        <v>#VALUE!</v>
      </c>
      <c r="J644" s="3" cm="1">
        <f t="array" ref="J64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44" s="25" t="str">
        <f>_xlfn.XLOOKUP(tblPayrollMaster[[#This Row],[Employee Position]],tblPositionandPayRate[Employee Position],tblPositionandPayRate[Overtime], " ")</f>
        <v xml:space="preserve"> </v>
      </c>
      <c r="L644" s="25">
        <f>_xlfn.XLOOKUP(tblPayrollMaster[[#This Row],[Employee Position]],tblPositionandPayRate[Employee Position],tblPositionandPayRate[Allowance 1],0)*tblPayrollMaster[[#This Row],[Pay Factor]]</f>
        <v>0</v>
      </c>
      <c r="M644" s="25">
        <f>_xlfn.XLOOKUP(tblPayrollMaster[[#This Row],[Employee Position]],tblPositionandPayRate[Employee Position],tblPositionandPayRate[Allowance 2],0)*tblPayrollMaster[[#This Row],[Pay Factor]]</f>
        <v>0</v>
      </c>
      <c r="N644" s="25">
        <f>_xlfn.XLOOKUP(tblPayrollMaster[[#This Row],[Employee Position]],tblPositionandPayRate[Employee Position],tblPositionandPayRate[Allowance 3],0)*tblPayrollMaster[[#This Row],[Pay Factor]]</f>
        <v>0</v>
      </c>
      <c r="O644" s="25">
        <f>_xlfn.XLOOKUP(tblPayrollMaster[[#This Row],[Employee Position]],tblPositionandPayRate[Employee Position],tblPositionandPayRate[Allowance 4],0)*tblPayrollMaster[[#This Row],[Pay Factor]]</f>
        <v>0</v>
      </c>
      <c r="P644" s="25">
        <f>_xlfn.XLOOKUP(tblPayrollMaster[[#This Row],[Employee Position]],tblPositionandPayRate[Employee Position],tblPositionandPayRate[Allowance 5],0)*tblPayrollMaster[[#This Row],[Pay Factor]]</f>
        <v>0</v>
      </c>
      <c r="Q644" s="25">
        <f>SUM(tblPayrollMaster[[#This Row],[Basic Pay]:[Allowance 5]])</f>
        <v>0</v>
      </c>
      <c r="R64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44" s="51" cm="1">
        <f t="array" ref="S6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44" s="3" cm="1">
        <f t="array" ref="T6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44" s="25">
        <f>_xlfn.LET(
_xlpm.tos, _xlfn.XLOOKUP(tblPayrollMaster[[#This Row],[Employee ID]], tblEmployee[Employee ID], tblEmployee[Type of Service], ""),
IF(_xlpm.tos="Contract of Service", 8.25, 0)
)</f>
        <v>0</v>
      </c>
      <c r="V644" s="25">
        <f>tblPayrollMaster[[#This Row],[Basic Earnings]]-tblPayrollMaster[[#This Row],[Tax]]-tblPayrollMaster[[#This Row],[NIS - Employee]]-tblPayrollMaster[[#This Row],[Health Surcharge]]</f>
        <v>0</v>
      </c>
      <c r="W644" s="25">
        <f>tblPayrollMaster[[#This Row],[Net Pay]]</f>
        <v>0</v>
      </c>
      <c r="X644" s="25"/>
    </row>
    <row r="645" spans="1:24" x14ac:dyDescent="0.25">
      <c r="A645" s="24"/>
      <c r="B645" s="24" t="str">
        <f>_xlfn.XLOOKUP(tblPayrollMaster[[#This Row],[Employee ID]],tblEmployee[Employee ID],tblEmployee[Employee Name],"")</f>
        <v/>
      </c>
      <c r="C645" s="24" t="str">
        <f>_xlfn.XLOOKUP(tblPayrollMaster[[#This Row],[Employee ID]],tblEmployee[Employee ID],tblEmployee[Employee Position],"")</f>
        <v/>
      </c>
      <c r="D645" s="24" t="str">
        <f>_xlfn.XLOOKUP(tblPayrollMaster[[#This Row],[Employee ID]], tblEmployee[Employee ID], tblEmployee[Pay Status], "Pay")</f>
        <v>Pay</v>
      </c>
      <c r="E645" s="24" t="str">
        <f>_xlfn.XLOOKUP(tblPayrollMaster[[#This Row],[Employee ID]], tblEmployee[Employee ID], tblEmployee[Payable Flag], "Y")</f>
        <v>Y</v>
      </c>
      <c r="F645" s="45">
        <f>IF(tblPayrollMaster[[#This Row],[Payable Flag]]="N",0,_xlfn.XLOOKUP(tblPayrollMaster[[#This Row],[Employee ID]],tblEmployee[Employee ID],tblEmployee[Pay Factor],1))</f>
        <v>1</v>
      </c>
      <c r="G645" s="26" t="str" cm="1">
        <f t="array" ref="G645">IF(tblPayrollMaster[[#This Row],[Employee ID]]="","",_xlfn.XLOOKUP(selPayPeriodID,tblPayCalendar[PayPeriodID],tblPayCalendar[PeriodStart],""))</f>
        <v/>
      </c>
      <c r="H645" s="26" t="str" cm="1">
        <f t="array" ref="H645">IF(tblPayrollMaster[[#This Row],[Employee ID]]="","",_xlfn.XLOOKUP(selPayPeriodID,tblPayCalendar[PayPeriodID],tblPayCalendar[PeriodEnd],""))</f>
        <v/>
      </c>
      <c r="I645" s="24" t="e" cm="1" vm="1">
        <f t="array" aca="1" ref="I645" ca="1">Table18[Employer Name]</f>
        <v>#VALUE!</v>
      </c>
      <c r="J645" s="3" cm="1">
        <f t="array" ref="J64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45" s="25" t="str">
        <f>_xlfn.XLOOKUP(tblPayrollMaster[[#This Row],[Employee Position]],tblPositionandPayRate[Employee Position],tblPositionandPayRate[Overtime], " ")</f>
        <v xml:space="preserve"> </v>
      </c>
      <c r="L645" s="25">
        <f>_xlfn.XLOOKUP(tblPayrollMaster[[#This Row],[Employee Position]],tblPositionandPayRate[Employee Position],tblPositionandPayRate[Allowance 1],0)*tblPayrollMaster[[#This Row],[Pay Factor]]</f>
        <v>0</v>
      </c>
      <c r="M645" s="25">
        <f>_xlfn.XLOOKUP(tblPayrollMaster[[#This Row],[Employee Position]],tblPositionandPayRate[Employee Position],tblPositionandPayRate[Allowance 2],0)*tblPayrollMaster[[#This Row],[Pay Factor]]</f>
        <v>0</v>
      </c>
      <c r="N645" s="25">
        <f>_xlfn.XLOOKUP(tblPayrollMaster[[#This Row],[Employee Position]],tblPositionandPayRate[Employee Position],tblPositionandPayRate[Allowance 3],0)*tblPayrollMaster[[#This Row],[Pay Factor]]</f>
        <v>0</v>
      </c>
      <c r="O645" s="25">
        <f>_xlfn.XLOOKUP(tblPayrollMaster[[#This Row],[Employee Position]],tblPositionandPayRate[Employee Position],tblPositionandPayRate[Allowance 4],0)*tblPayrollMaster[[#This Row],[Pay Factor]]</f>
        <v>0</v>
      </c>
      <c r="P645" s="25">
        <f>_xlfn.XLOOKUP(tblPayrollMaster[[#This Row],[Employee Position]],tblPositionandPayRate[Employee Position],tblPositionandPayRate[Allowance 5],0)*tblPayrollMaster[[#This Row],[Pay Factor]]</f>
        <v>0</v>
      </c>
      <c r="Q645" s="25">
        <f>SUM(tblPayrollMaster[[#This Row],[Basic Pay]:[Allowance 5]])</f>
        <v>0</v>
      </c>
      <c r="R64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45" s="51" cm="1">
        <f t="array" ref="S6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45" s="3" cm="1">
        <f t="array" ref="T6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45" s="25">
        <f>_xlfn.LET(
_xlpm.tos, _xlfn.XLOOKUP(tblPayrollMaster[[#This Row],[Employee ID]], tblEmployee[Employee ID], tblEmployee[Type of Service], ""),
IF(_xlpm.tos="Contract of Service", 8.25, 0)
)</f>
        <v>0</v>
      </c>
      <c r="V645" s="25">
        <f>tblPayrollMaster[[#This Row],[Basic Earnings]]-tblPayrollMaster[[#This Row],[Tax]]-tblPayrollMaster[[#This Row],[NIS - Employee]]-tblPayrollMaster[[#This Row],[Health Surcharge]]</f>
        <v>0</v>
      </c>
      <c r="W645" s="25">
        <f>tblPayrollMaster[[#This Row],[Net Pay]]</f>
        <v>0</v>
      </c>
      <c r="X645" s="25"/>
    </row>
    <row r="646" spans="1:24" x14ac:dyDescent="0.25">
      <c r="A646" s="24"/>
      <c r="B646" s="24" t="str">
        <f>_xlfn.XLOOKUP(tblPayrollMaster[[#This Row],[Employee ID]],tblEmployee[Employee ID],tblEmployee[Employee Name],"")</f>
        <v/>
      </c>
      <c r="C646" s="24" t="str">
        <f>_xlfn.XLOOKUP(tblPayrollMaster[[#This Row],[Employee ID]],tblEmployee[Employee ID],tblEmployee[Employee Position],"")</f>
        <v/>
      </c>
      <c r="D646" s="24" t="str">
        <f>_xlfn.XLOOKUP(tblPayrollMaster[[#This Row],[Employee ID]], tblEmployee[Employee ID], tblEmployee[Pay Status], "Pay")</f>
        <v>Pay</v>
      </c>
      <c r="E646" s="24" t="str">
        <f>_xlfn.XLOOKUP(tblPayrollMaster[[#This Row],[Employee ID]], tblEmployee[Employee ID], tblEmployee[Payable Flag], "Y")</f>
        <v>Y</v>
      </c>
      <c r="F646" s="45">
        <f>IF(tblPayrollMaster[[#This Row],[Payable Flag]]="N",0,_xlfn.XLOOKUP(tblPayrollMaster[[#This Row],[Employee ID]],tblEmployee[Employee ID],tblEmployee[Pay Factor],1))</f>
        <v>1</v>
      </c>
      <c r="G646" s="26" t="str" cm="1">
        <f t="array" ref="G646">IF(tblPayrollMaster[[#This Row],[Employee ID]]="","",_xlfn.XLOOKUP(selPayPeriodID,tblPayCalendar[PayPeriodID],tblPayCalendar[PeriodStart],""))</f>
        <v/>
      </c>
      <c r="H646" s="26" t="str" cm="1">
        <f t="array" ref="H646">IF(tblPayrollMaster[[#This Row],[Employee ID]]="","",_xlfn.XLOOKUP(selPayPeriodID,tblPayCalendar[PayPeriodID],tblPayCalendar[PeriodEnd],""))</f>
        <v/>
      </c>
      <c r="I646" s="24" t="e" cm="1" vm="1">
        <f t="array" aca="1" ref="I646" ca="1">Table18[Employer Name]</f>
        <v>#VALUE!</v>
      </c>
      <c r="J646" s="3" cm="1">
        <f t="array" ref="J64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46" s="25" t="str">
        <f>_xlfn.XLOOKUP(tblPayrollMaster[[#This Row],[Employee Position]],tblPositionandPayRate[Employee Position],tblPositionandPayRate[Overtime], " ")</f>
        <v xml:space="preserve"> </v>
      </c>
      <c r="L646" s="25">
        <f>_xlfn.XLOOKUP(tblPayrollMaster[[#This Row],[Employee Position]],tblPositionandPayRate[Employee Position],tblPositionandPayRate[Allowance 1],0)*tblPayrollMaster[[#This Row],[Pay Factor]]</f>
        <v>0</v>
      </c>
      <c r="M646" s="25">
        <f>_xlfn.XLOOKUP(tblPayrollMaster[[#This Row],[Employee Position]],tblPositionandPayRate[Employee Position],tblPositionandPayRate[Allowance 2],0)*tblPayrollMaster[[#This Row],[Pay Factor]]</f>
        <v>0</v>
      </c>
      <c r="N646" s="25">
        <f>_xlfn.XLOOKUP(tblPayrollMaster[[#This Row],[Employee Position]],tblPositionandPayRate[Employee Position],tblPositionandPayRate[Allowance 3],0)*tblPayrollMaster[[#This Row],[Pay Factor]]</f>
        <v>0</v>
      </c>
      <c r="O646" s="25">
        <f>_xlfn.XLOOKUP(tblPayrollMaster[[#This Row],[Employee Position]],tblPositionandPayRate[Employee Position],tblPositionandPayRate[Allowance 4],0)*tblPayrollMaster[[#This Row],[Pay Factor]]</f>
        <v>0</v>
      </c>
      <c r="P646" s="25">
        <f>_xlfn.XLOOKUP(tblPayrollMaster[[#This Row],[Employee Position]],tblPositionandPayRate[Employee Position],tblPositionandPayRate[Allowance 5],0)*tblPayrollMaster[[#This Row],[Pay Factor]]</f>
        <v>0</v>
      </c>
      <c r="Q646" s="25">
        <f>SUM(tblPayrollMaster[[#This Row],[Basic Pay]:[Allowance 5]])</f>
        <v>0</v>
      </c>
      <c r="R64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46" s="51" cm="1">
        <f t="array" ref="S6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46" s="3" cm="1">
        <f t="array" ref="T6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46" s="25">
        <f>_xlfn.LET(
_xlpm.tos, _xlfn.XLOOKUP(tblPayrollMaster[[#This Row],[Employee ID]], tblEmployee[Employee ID], tblEmployee[Type of Service], ""),
IF(_xlpm.tos="Contract of Service", 8.25, 0)
)</f>
        <v>0</v>
      </c>
      <c r="V646" s="25">
        <f>tblPayrollMaster[[#This Row],[Basic Earnings]]-tblPayrollMaster[[#This Row],[Tax]]-tblPayrollMaster[[#This Row],[NIS - Employee]]-tblPayrollMaster[[#This Row],[Health Surcharge]]</f>
        <v>0</v>
      </c>
      <c r="W646" s="25">
        <f>tblPayrollMaster[[#This Row],[Net Pay]]</f>
        <v>0</v>
      </c>
      <c r="X646" s="25"/>
    </row>
    <row r="647" spans="1:24" x14ac:dyDescent="0.25">
      <c r="A647" s="24"/>
      <c r="B647" s="24" t="str">
        <f>_xlfn.XLOOKUP(tblPayrollMaster[[#This Row],[Employee ID]],tblEmployee[Employee ID],tblEmployee[Employee Name],"")</f>
        <v/>
      </c>
      <c r="C647" s="24" t="str">
        <f>_xlfn.XLOOKUP(tblPayrollMaster[[#This Row],[Employee ID]],tblEmployee[Employee ID],tblEmployee[Employee Position],"")</f>
        <v/>
      </c>
      <c r="D647" s="24" t="str">
        <f>_xlfn.XLOOKUP(tblPayrollMaster[[#This Row],[Employee ID]], tblEmployee[Employee ID], tblEmployee[Pay Status], "Pay")</f>
        <v>Pay</v>
      </c>
      <c r="E647" s="24" t="str">
        <f>_xlfn.XLOOKUP(tblPayrollMaster[[#This Row],[Employee ID]], tblEmployee[Employee ID], tblEmployee[Payable Flag], "Y")</f>
        <v>Y</v>
      </c>
      <c r="F647" s="45">
        <f>IF(tblPayrollMaster[[#This Row],[Payable Flag]]="N",0,_xlfn.XLOOKUP(tblPayrollMaster[[#This Row],[Employee ID]],tblEmployee[Employee ID],tblEmployee[Pay Factor],1))</f>
        <v>1</v>
      </c>
      <c r="G647" s="26" t="str" cm="1">
        <f t="array" ref="G647">IF(tblPayrollMaster[[#This Row],[Employee ID]]="","",_xlfn.XLOOKUP(selPayPeriodID,tblPayCalendar[PayPeriodID],tblPayCalendar[PeriodStart],""))</f>
        <v/>
      </c>
      <c r="H647" s="26" t="str" cm="1">
        <f t="array" ref="H647">IF(tblPayrollMaster[[#This Row],[Employee ID]]="","",_xlfn.XLOOKUP(selPayPeriodID,tblPayCalendar[PayPeriodID],tblPayCalendar[PeriodEnd],""))</f>
        <v/>
      </c>
      <c r="I647" s="24" t="e" cm="1" vm="1">
        <f t="array" aca="1" ref="I647" ca="1">Table18[Employer Name]</f>
        <v>#VALUE!</v>
      </c>
      <c r="J647" s="3" cm="1">
        <f t="array" ref="J64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47" s="25" t="str">
        <f>_xlfn.XLOOKUP(tblPayrollMaster[[#This Row],[Employee Position]],tblPositionandPayRate[Employee Position],tblPositionandPayRate[Overtime], " ")</f>
        <v xml:space="preserve"> </v>
      </c>
      <c r="L647" s="25">
        <f>_xlfn.XLOOKUP(tblPayrollMaster[[#This Row],[Employee Position]],tblPositionandPayRate[Employee Position],tblPositionandPayRate[Allowance 1],0)*tblPayrollMaster[[#This Row],[Pay Factor]]</f>
        <v>0</v>
      </c>
      <c r="M647" s="25">
        <f>_xlfn.XLOOKUP(tblPayrollMaster[[#This Row],[Employee Position]],tblPositionandPayRate[Employee Position],tblPositionandPayRate[Allowance 2],0)*tblPayrollMaster[[#This Row],[Pay Factor]]</f>
        <v>0</v>
      </c>
      <c r="N647" s="25">
        <f>_xlfn.XLOOKUP(tblPayrollMaster[[#This Row],[Employee Position]],tblPositionandPayRate[Employee Position],tblPositionandPayRate[Allowance 3],0)*tblPayrollMaster[[#This Row],[Pay Factor]]</f>
        <v>0</v>
      </c>
      <c r="O647" s="25">
        <f>_xlfn.XLOOKUP(tblPayrollMaster[[#This Row],[Employee Position]],tblPositionandPayRate[Employee Position],tblPositionandPayRate[Allowance 4],0)*tblPayrollMaster[[#This Row],[Pay Factor]]</f>
        <v>0</v>
      </c>
      <c r="P647" s="25">
        <f>_xlfn.XLOOKUP(tblPayrollMaster[[#This Row],[Employee Position]],tblPositionandPayRate[Employee Position],tblPositionandPayRate[Allowance 5],0)*tblPayrollMaster[[#This Row],[Pay Factor]]</f>
        <v>0</v>
      </c>
      <c r="Q647" s="25">
        <f>SUM(tblPayrollMaster[[#This Row],[Basic Pay]:[Allowance 5]])</f>
        <v>0</v>
      </c>
      <c r="R64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47" s="51" cm="1">
        <f t="array" ref="S6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47" s="3" cm="1">
        <f t="array" ref="T6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47" s="25">
        <f>_xlfn.LET(
_xlpm.tos, _xlfn.XLOOKUP(tblPayrollMaster[[#This Row],[Employee ID]], tblEmployee[Employee ID], tblEmployee[Type of Service], ""),
IF(_xlpm.tos="Contract of Service", 8.25, 0)
)</f>
        <v>0</v>
      </c>
      <c r="V647" s="25">
        <f>tblPayrollMaster[[#This Row],[Basic Earnings]]-tblPayrollMaster[[#This Row],[Tax]]-tblPayrollMaster[[#This Row],[NIS - Employee]]-tblPayrollMaster[[#This Row],[Health Surcharge]]</f>
        <v>0</v>
      </c>
      <c r="W647" s="25">
        <f>tblPayrollMaster[[#This Row],[Net Pay]]</f>
        <v>0</v>
      </c>
      <c r="X647" s="25"/>
    </row>
    <row r="648" spans="1:24" x14ac:dyDescent="0.25">
      <c r="A648" s="24"/>
      <c r="B648" s="24" t="str">
        <f>_xlfn.XLOOKUP(tblPayrollMaster[[#This Row],[Employee ID]],tblEmployee[Employee ID],tblEmployee[Employee Name],"")</f>
        <v/>
      </c>
      <c r="C648" s="24" t="str">
        <f>_xlfn.XLOOKUP(tblPayrollMaster[[#This Row],[Employee ID]],tblEmployee[Employee ID],tblEmployee[Employee Position],"")</f>
        <v/>
      </c>
      <c r="D648" s="24" t="str">
        <f>_xlfn.XLOOKUP(tblPayrollMaster[[#This Row],[Employee ID]], tblEmployee[Employee ID], tblEmployee[Pay Status], "Pay")</f>
        <v>Pay</v>
      </c>
      <c r="E648" s="24" t="str">
        <f>_xlfn.XLOOKUP(tblPayrollMaster[[#This Row],[Employee ID]], tblEmployee[Employee ID], tblEmployee[Payable Flag], "Y")</f>
        <v>Y</v>
      </c>
      <c r="F648" s="45">
        <f>IF(tblPayrollMaster[[#This Row],[Payable Flag]]="N",0,_xlfn.XLOOKUP(tblPayrollMaster[[#This Row],[Employee ID]],tblEmployee[Employee ID],tblEmployee[Pay Factor],1))</f>
        <v>1</v>
      </c>
      <c r="G648" s="26" t="str" cm="1">
        <f t="array" ref="G648">IF(tblPayrollMaster[[#This Row],[Employee ID]]="","",_xlfn.XLOOKUP(selPayPeriodID,tblPayCalendar[PayPeriodID],tblPayCalendar[PeriodStart],""))</f>
        <v/>
      </c>
      <c r="H648" s="26" t="str" cm="1">
        <f t="array" ref="H648">IF(tblPayrollMaster[[#This Row],[Employee ID]]="","",_xlfn.XLOOKUP(selPayPeriodID,tblPayCalendar[PayPeriodID],tblPayCalendar[PeriodEnd],""))</f>
        <v/>
      </c>
      <c r="I648" s="24" t="e" cm="1" vm="1">
        <f t="array" aca="1" ref="I648" ca="1">Table18[Employer Name]</f>
        <v>#VALUE!</v>
      </c>
      <c r="J648" s="3" cm="1">
        <f t="array" ref="J64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48" s="25" t="str">
        <f>_xlfn.XLOOKUP(tblPayrollMaster[[#This Row],[Employee Position]],tblPositionandPayRate[Employee Position],tblPositionandPayRate[Overtime], " ")</f>
        <v xml:space="preserve"> </v>
      </c>
      <c r="L648" s="25">
        <f>_xlfn.XLOOKUP(tblPayrollMaster[[#This Row],[Employee Position]],tblPositionandPayRate[Employee Position],tblPositionandPayRate[Allowance 1],0)*tblPayrollMaster[[#This Row],[Pay Factor]]</f>
        <v>0</v>
      </c>
      <c r="M648" s="25">
        <f>_xlfn.XLOOKUP(tblPayrollMaster[[#This Row],[Employee Position]],tblPositionandPayRate[Employee Position],tblPositionandPayRate[Allowance 2],0)*tblPayrollMaster[[#This Row],[Pay Factor]]</f>
        <v>0</v>
      </c>
      <c r="N648" s="25">
        <f>_xlfn.XLOOKUP(tblPayrollMaster[[#This Row],[Employee Position]],tblPositionandPayRate[Employee Position],tblPositionandPayRate[Allowance 3],0)*tblPayrollMaster[[#This Row],[Pay Factor]]</f>
        <v>0</v>
      </c>
      <c r="O648" s="25">
        <f>_xlfn.XLOOKUP(tblPayrollMaster[[#This Row],[Employee Position]],tblPositionandPayRate[Employee Position],tblPositionandPayRate[Allowance 4],0)*tblPayrollMaster[[#This Row],[Pay Factor]]</f>
        <v>0</v>
      </c>
      <c r="P648" s="25">
        <f>_xlfn.XLOOKUP(tblPayrollMaster[[#This Row],[Employee Position]],tblPositionandPayRate[Employee Position],tblPositionandPayRate[Allowance 5],0)*tblPayrollMaster[[#This Row],[Pay Factor]]</f>
        <v>0</v>
      </c>
      <c r="Q648" s="25">
        <f>SUM(tblPayrollMaster[[#This Row],[Basic Pay]:[Allowance 5]])</f>
        <v>0</v>
      </c>
      <c r="R64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48" s="51" cm="1">
        <f t="array" ref="S6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48" s="3" cm="1">
        <f t="array" ref="T6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48" s="25">
        <f>_xlfn.LET(
_xlpm.tos, _xlfn.XLOOKUP(tblPayrollMaster[[#This Row],[Employee ID]], tblEmployee[Employee ID], tblEmployee[Type of Service], ""),
IF(_xlpm.tos="Contract of Service", 8.25, 0)
)</f>
        <v>0</v>
      </c>
      <c r="V648" s="25">
        <f>tblPayrollMaster[[#This Row],[Basic Earnings]]-tblPayrollMaster[[#This Row],[Tax]]-tblPayrollMaster[[#This Row],[NIS - Employee]]-tblPayrollMaster[[#This Row],[Health Surcharge]]</f>
        <v>0</v>
      </c>
      <c r="W648" s="25">
        <f>tblPayrollMaster[[#This Row],[Net Pay]]</f>
        <v>0</v>
      </c>
      <c r="X648" s="25"/>
    </row>
    <row r="649" spans="1:24" x14ac:dyDescent="0.25">
      <c r="A649" s="24"/>
      <c r="B649" s="24" t="str">
        <f>_xlfn.XLOOKUP(tblPayrollMaster[[#This Row],[Employee ID]],tblEmployee[Employee ID],tblEmployee[Employee Name],"")</f>
        <v/>
      </c>
      <c r="C649" s="24" t="str">
        <f>_xlfn.XLOOKUP(tblPayrollMaster[[#This Row],[Employee ID]],tblEmployee[Employee ID],tblEmployee[Employee Position],"")</f>
        <v/>
      </c>
      <c r="D649" s="24" t="str">
        <f>_xlfn.XLOOKUP(tblPayrollMaster[[#This Row],[Employee ID]], tblEmployee[Employee ID], tblEmployee[Pay Status], "Pay")</f>
        <v>Pay</v>
      </c>
      <c r="E649" s="24" t="str">
        <f>_xlfn.XLOOKUP(tblPayrollMaster[[#This Row],[Employee ID]], tblEmployee[Employee ID], tblEmployee[Payable Flag], "Y")</f>
        <v>Y</v>
      </c>
      <c r="F649" s="45">
        <f>IF(tblPayrollMaster[[#This Row],[Payable Flag]]="N",0,_xlfn.XLOOKUP(tblPayrollMaster[[#This Row],[Employee ID]],tblEmployee[Employee ID],tblEmployee[Pay Factor],1))</f>
        <v>1</v>
      </c>
      <c r="G649" s="26" t="str" cm="1">
        <f t="array" ref="G649">IF(tblPayrollMaster[[#This Row],[Employee ID]]="","",_xlfn.XLOOKUP(selPayPeriodID,tblPayCalendar[PayPeriodID],tblPayCalendar[PeriodStart],""))</f>
        <v/>
      </c>
      <c r="H649" s="26" t="str" cm="1">
        <f t="array" ref="H649">IF(tblPayrollMaster[[#This Row],[Employee ID]]="","",_xlfn.XLOOKUP(selPayPeriodID,tblPayCalendar[PayPeriodID],tblPayCalendar[PeriodEnd],""))</f>
        <v/>
      </c>
      <c r="I649" s="24" t="e" cm="1" vm="1">
        <f t="array" aca="1" ref="I649" ca="1">Table18[Employer Name]</f>
        <v>#VALUE!</v>
      </c>
      <c r="J649" s="3" cm="1">
        <f t="array" ref="J64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49" s="25" t="str">
        <f>_xlfn.XLOOKUP(tblPayrollMaster[[#This Row],[Employee Position]],tblPositionandPayRate[Employee Position],tblPositionandPayRate[Overtime], " ")</f>
        <v xml:space="preserve"> </v>
      </c>
      <c r="L649" s="25">
        <f>_xlfn.XLOOKUP(tblPayrollMaster[[#This Row],[Employee Position]],tblPositionandPayRate[Employee Position],tblPositionandPayRate[Allowance 1],0)*tblPayrollMaster[[#This Row],[Pay Factor]]</f>
        <v>0</v>
      </c>
      <c r="M649" s="25">
        <f>_xlfn.XLOOKUP(tblPayrollMaster[[#This Row],[Employee Position]],tblPositionandPayRate[Employee Position],tblPositionandPayRate[Allowance 2],0)*tblPayrollMaster[[#This Row],[Pay Factor]]</f>
        <v>0</v>
      </c>
      <c r="N649" s="25">
        <f>_xlfn.XLOOKUP(tblPayrollMaster[[#This Row],[Employee Position]],tblPositionandPayRate[Employee Position],tblPositionandPayRate[Allowance 3],0)*tblPayrollMaster[[#This Row],[Pay Factor]]</f>
        <v>0</v>
      </c>
      <c r="O649" s="25">
        <f>_xlfn.XLOOKUP(tblPayrollMaster[[#This Row],[Employee Position]],tblPositionandPayRate[Employee Position],tblPositionandPayRate[Allowance 4],0)*tblPayrollMaster[[#This Row],[Pay Factor]]</f>
        <v>0</v>
      </c>
      <c r="P649" s="25">
        <f>_xlfn.XLOOKUP(tblPayrollMaster[[#This Row],[Employee Position]],tblPositionandPayRate[Employee Position],tblPositionandPayRate[Allowance 5],0)*tblPayrollMaster[[#This Row],[Pay Factor]]</f>
        <v>0</v>
      </c>
      <c r="Q649" s="25">
        <f>SUM(tblPayrollMaster[[#This Row],[Basic Pay]:[Allowance 5]])</f>
        <v>0</v>
      </c>
      <c r="R64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49" s="51" cm="1">
        <f t="array" ref="S6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49" s="3" cm="1">
        <f t="array" ref="T6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49" s="25">
        <f>_xlfn.LET(
_xlpm.tos, _xlfn.XLOOKUP(tblPayrollMaster[[#This Row],[Employee ID]], tblEmployee[Employee ID], tblEmployee[Type of Service], ""),
IF(_xlpm.tos="Contract of Service", 8.25, 0)
)</f>
        <v>0</v>
      </c>
      <c r="V649" s="25">
        <f>tblPayrollMaster[[#This Row],[Basic Earnings]]-tblPayrollMaster[[#This Row],[Tax]]-tblPayrollMaster[[#This Row],[NIS - Employee]]-tblPayrollMaster[[#This Row],[Health Surcharge]]</f>
        <v>0</v>
      </c>
      <c r="W649" s="25">
        <f>tblPayrollMaster[[#This Row],[Net Pay]]</f>
        <v>0</v>
      </c>
      <c r="X649" s="25"/>
    </row>
    <row r="650" spans="1:24" x14ac:dyDescent="0.25">
      <c r="A650" s="24"/>
      <c r="B650" s="24" t="str">
        <f>_xlfn.XLOOKUP(tblPayrollMaster[[#This Row],[Employee ID]],tblEmployee[Employee ID],tblEmployee[Employee Name],"")</f>
        <v/>
      </c>
      <c r="C650" s="24" t="str">
        <f>_xlfn.XLOOKUP(tblPayrollMaster[[#This Row],[Employee ID]],tblEmployee[Employee ID],tblEmployee[Employee Position],"")</f>
        <v/>
      </c>
      <c r="D650" s="24" t="str">
        <f>_xlfn.XLOOKUP(tblPayrollMaster[[#This Row],[Employee ID]], tblEmployee[Employee ID], tblEmployee[Pay Status], "Pay")</f>
        <v>Pay</v>
      </c>
      <c r="E650" s="24" t="str">
        <f>_xlfn.XLOOKUP(tblPayrollMaster[[#This Row],[Employee ID]], tblEmployee[Employee ID], tblEmployee[Payable Flag], "Y")</f>
        <v>Y</v>
      </c>
      <c r="F650" s="45">
        <f>IF(tblPayrollMaster[[#This Row],[Payable Flag]]="N",0,_xlfn.XLOOKUP(tblPayrollMaster[[#This Row],[Employee ID]],tblEmployee[Employee ID],tblEmployee[Pay Factor],1))</f>
        <v>1</v>
      </c>
      <c r="G650" s="26" t="str" cm="1">
        <f t="array" ref="G650">IF(tblPayrollMaster[[#This Row],[Employee ID]]="","",_xlfn.XLOOKUP(selPayPeriodID,tblPayCalendar[PayPeriodID],tblPayCalendar[PeriodStart],""))</f>
        <v/>
      </c>
      <c r="H650" s="26" t="str" cm="1">
        <f t="array" ref="H650">IF(tblPayrollMaster[[#This Row],[Employee ID]]="","",_xlfn.XLOOKUP(selPayPeriodID,tblPayCalendar[PayPeriodID],tblPayCalendar[PeriodEnd],""))</f>
        <v/>
      </c>
      <c r="I650" s="24" t="e" cm="1" vm="1">
        <f t="array" aca="1" ref="I650" ca="1">Table18[Employer Name]</f>
        <v>#VALUE!</v>
      </c>
      <c r="J650" s="3" cm="1">
        <f t="array" ref="J65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50" s="25" t="str">
        <f>_xlfn.XLOOKUP(tblPayrollMaster[[#This Row],[Employee Position]],tblPositionandPayRate[Employee Position],tblPositionandPayRate[Overtime], " ")</f>
        <v xml:space="preserve"> </v>
      </c>
      <c r="L650" s="25">
        <f>_xlfn.XLOOKUP(tblPayrollMaster[[#This Row],[Employee Position]],tblPositionandPayRate[Employee Position],tblPositionandPayRate[Allowance 1],0)*tblPayrollMaster[[#This Row],[Pay Factor]]</f>
        <v>0</v>
      </c>
      <c r="M650" s="25">
        <f>_xlfn.XLOOKUP(tblPayrollMaster[[#This Row],[Employee Position]],tblPositionandPayRate[Employee Position],tblPositionandPayRate[Allowance 2],0)*tblPayrollMaster[[#This Row],[Pay Factor]]</f>
        <v>0</v>
      </c>
      <c r="N650" s="25">
        <f>_xlfn.XLOOKUP(tblPayrollMaster[[#This Row],[Employee Position]],tblPositionandPayRate[Employee Position],tblPositionandPayRate[Allowance 3],0)*tblPayrollMaster[[#This Row],[Pay Factor]]</f>
        <v>0</v>
      </c>
      <c r="O650" s="25">
        <f>_xlfn.XLOOKUP(tblPayrollMaster[[#This Row],[Employee Position]],tblPositionandPayRate[Employee Position],tblPositionandPayRate[Allowance 4],0)*tblPayrollMaster[[#This Row],[Pay Factor]]</f>
        <v>0</v>
      </c>
      <c r="P650" s="25">
        <f>_xlfn.XLOOKUP(tblPayrollMaster[[#This Row],[Employee Position]],tblPositionandPayRate[Employee Position],tblPositionandPayRate[Allowance 5],0)*tblPayrollMaster[[#This Row],[Pay Factor]]</f>
        <v>0</v>
      </c>
      <c r="Q650" s="25">
        <f>SUM(tblPayrollMaster[[#This Row],[Basic Pay]:[Allowance 5]])</f>
        <v>0</v>
      </c>
      <c r="R65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50" s="51" cm="1">
        <f t="array" ref="S6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50" s="3" cm="1">
        <f t="array" ref="T6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50" s="25">
        <f>_xlfn.LET(
_xlpm.tos, _xlfn.XLOOKUP(tblPayrollMaster[[#This Row],[Employee ID]], tblEmployee[Employee ID], tblEmployee[Type of Service], ""),
IF(_xlpm.tos="Contract of Service", 8.25, 0)
)</f>
        <v>0</v>
      </c>
      <c r="V650" s="25">
        <f>tblPayrollMaster[[#This Row],[Basic Earnings]]-tblPayrollMaster[[#This Row],[Tax]]-tblPayrollMaster[[#This Row],[NIS - Employee]]-tblPayrollMaster[[#This Row],[Health Surcharge]]</f>
        <v>0</v>
      </c>
      <c r="W650" s="25">
        <f>tblPayrollMaster[[#This Row],[Net Pay]]</f>
        <v>0</v>
      </c>
      <c r="X650" s="25"/>
    </row>
    <row r="651" spans="1:24" x14ac:dyDescent="0.25">
      <c r="A651" s="24"/>
      <c r="B651" s="24" t="str">
        <f>_xlfn.XLOOKUP(tblPayrollMaster[[#This Row],[Employee ID]],tblEmployee[Employee ID],tblEmployee[Employee Name],"")</f>
        <v/>
      </c>
      <c r="C651" s="24" t="str">
        <f>_xlfn.XLOOKUP(tblPayrollMaster[[#This Row],[Employee ID]],tblEmployee[Employee ID],tblEmployee[Employee Position],"")</f>
        <v/>
      </c>
      <c r="D651" s="24" t="str">
        <f>_xlfn.XLOOKUP(tblPayrollMaster[[#This Row],[Employee ID]], tblEmployee[Employee ID], tblEmployee[Pay Status], "Pay")</f>
        <v>Pay</v>
      </c>
      <c r="E651" s="24" t="str">
        <f>_xlfn.XLOOKUP(tblPayrollMaster[[#This Row],[Employee ID]], tblEmployee[Employee ID], tblEmployee[Payable Flag], "Y")</f>
        <v>Y</v>
      </c>
      <c r="F651" s="45">
        <f>IF(tblPayrollMaster[[#This Row],[Payable Flag]]="N",0,_xlfn.XLOOKUP(tblPayrollMaster[[#This Row],[Employee ID]],tblEmployee[Employee ID],tblEmployee[Pay Factor],1))</f>
        <v>1</v>
      </c>
      <c r="G651" s="26" t="str" cm="1">
        <f t="array" ref="G651">IF(tblPayrollMaster[[#This Row],[Employee ID]]="","",_xlfn.XLOOKUP(selPayPeriodID,tblPayCalendar[PayPeriodID],tblPayCalendar[PeriodStart],""))</f>
        <v/>
      </c>
      <c r="H651" s="26" t="str" cm="1">
        <f t="array" ref="H651">IF(tblPayrollMaster[[#This Row],[Employee ID]]="","",_xlfn.XLOOKUP(selPayPeriodID,tblPayCalendar[PayPeriodID],tblPayCalendar[PeriodEnd],""))</f>
        <v/>
      </c>
      <c r="I651" s="24" t="e" cm="1" vm="1">
        <f t="array" aca="1" ref="I651" ca="1">Table18[Employer Name]</f>
        <v>#VALUE!</v>
      </c>
      <c r="J651" s="3" cm="1">
        <f t="array" ref="J65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51" s="25" t="str">
        <f>_xlfn.XLOOKUP(tblPayrollMaster[[#This Row],[Employee Position]],tblPositionandPayRate[Employee Position],tblPositionandPayRate[Overtime], " ")</f>
        <v xml:space="preserve"> </v>
      </c>
      <c r="L651" s="25">
        <f>_xlfn.XLOOKUP(tblPayrollMaster[[#This Row],[Employee Position]],tblPositionandPayRate[Employee Position],tblPositionandPayRate[Allowance 1],0)*tblPayrollMaster[[#This Row],[Pay Factor]]</f>
        <v>0</v>
      </c>
      <c r="M651" s="25">
        <f>_xlfn.XLOOKUP(tblPayrollMaster[[#This Row],[Employee Position]],tblPositionandPayRate[Employee Position],tblPositionandPayRate[Allowance 2],0)*tblPayrollMaster[[#This Row],[Pay Factor]]</f>
        <v>0</v>
      </c>
      <c r="N651" s="25">
        <f>_xlfn.XLOOKUP(tblPayrollMaster[[#This Row],[Employee Position]],tblPositionandPayRate[Employee Position],tblPositionandPayRate[Allowance 3],0)*tblPayrollMaster[[#This Row],[Pay Factor]]</f>
        <v>0</v>
      </c>
      <c r="O651" s="25">
        <f>_xlfn.XLOOKUP(tblPayrollMaster[[#This Row],[Employee Position]],tblPositionandPayRate[Employee Position],tblPositionandPayRate[Allowance 4],0)*tblPayrollMaster[[#This Row],[Pay Factor]]</f>
        <v>0</v>
      </c>
      <c r="P651" s="25">
        <f>_xlfn.XLOOKUP(tblPayrollMaster[[#This Row],[Employee Position]],tblPositionandPayRate[Employee Position],tblPositionandPayRate[Allowance 5],0)*tblPayrollMaster[[#This Row],[Pay Factor]]</f>
        <v>0</v>
      </c>
      <c r="Q651" s="25">
        <f>SUM(tblPayrollMaster[[#This Row],[Basic Pay]:[Allowance 5]])</f>
        <v>0</v>
      </c>
      <c r="R65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51" s="51" cm="1">
        <f t="array" ref="S6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51" s="3" cm="1">
        <f t="array" ref="T6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51" s="25">
        <f>_xlfn.LET(
_xlpm.tos, _xlfn.XLOOKUP(tblPayrollMaster[[#This Row],[Employee ID]], tblEmployee[Employee ID], tblEmployee[Type of Service], ""),
IF(_xlpm.tos="Contract of Service", 8.25, 0)
)</f>
        <v>0</v>
      </c>
      <c r="V651" s="25">
        <f>tblPayrollMaster[[#This Row],[Basic Earnings]]-tblPayrollMaster[[#This Row],[Tax]]-tblPayrollMaster[[#This Row],[NIS - Employee]]-tblPayrollMaster[[#This Row],[Health Surcharge]]</f>
        <v>0</v>
      </c>
      <c r="W651" s="25">
        <f>tblPayrollMaster[[#This Row],[Net Pay]]</f>
        <v>0</v>
      </c>
      <c r="X651" s="25"/>
    </row>
    <row r="652" spans="1:24" x14ac:dyDescent="0.25">
      <c r="A652" s="24"/>
      <c r="B652" s="24" t="str">
        <f>_xlfn.XLOOKUP(tblPayrollMaster[[#This Row],[Employee ID]],tblEmployee[Employee ID],tblEmployee[Employee Name],"")</f>
        <v/>
      </c>
      <c r="C652" s="24" t="str">
        <f>_xlfn.XLOOKUP(tblPayrollMaster[[#This Row],[Employee ID]],tblEmployee[Employee ID],tblEmployee[Employee Position],"")</f>
        <v/>
      </c>
      <c r="D652" s="24" t="str">
        <f>_xlfn.XLOOKUP(tblPayrollMaster[[#This Row],[Employee ID]], tblEmployee[Employee ID], tblEmployee[Pay Status], "Pay")</f>
        <v>Pay</v>
      </c>
      <c r="E652" s="24" t="str">
        <f>_xlfn.XLOOKUP(tblPayrollMaster[[#This Row],[Employee ID]], tblEmployee[Employee ID], tblEmployee[Payable Flag], "Y")</f>
        <v>Y</v>
      </c>
      <c r="F652" s="45">
        <f>IF(tblPayrollMaster[[#This Row],[Payable Flag]]="N",0,_xlfn.XLOOKUP(tblPayrollMaster[[#This Row],[Employee ID]],tblEmployee[Employee ID],tblEmployee[Pay Factor],1))</f>
        <v>1</v>
      </c>
      <c r="G652" s="26" t="str" cm="1">
        <f t="array" ref="G652">IF(tblPayrollMaster[[#This Row],[Employee ID]]="","",_xlfn.XLOOKUP(selPayPeriodID,tblPayCalendar[PayPeriodID],tblPayCalendar[PeriodStart],""))</f>
        <v/>
      </c>
      <c r="H652" s="26" t="str" cm="1">
        <f t="array" ref="H652">IF(tblPayrollMaster[[#This Row],[Employee ID]]="","",_xlfn.XLOOKUP(selPayPeriodID,tblPayCalendar[PayPeriodID],tblPayCalendar[PeriodEnd],""))</f>
        <v/>
      </c>
      <c r="I652" s="24" t="e" cm="1" vm="1">
        <f t="array" aca="1" ref="I652" ca="1">Table18[Employer Name]</f>
        <v>#VALUE!</v>
      </c>
      <c r="J652" s="3" cm="1">
        <f t="array" ref="J65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52" s="25" t="str">
        <f>_xlfn.XLOOKUP(tblPayrollMaster[[#This Row],[Employee Position]],tblPositionandPayRate[Employee Position],tblPositionandPayRate[Overtime], " ")</f>
        <v xml:space="preserve"> </v>
      </c>
      <c r="L652" s="25">
        <f>_xlfn.XLOOKUP(tblPayrollMaster[[#This Row],[Employee Position]],tblPositionandPayRate[Employee Position],tblPositionandPayRate[Allowance 1],0)*tblPayrollMaster[[#This Row],[Pay Factor]]</f>
        <v>0</v>
      </c>
      <c r="M652" s="25">
        <f>_xlfn.XLOOKUP(tblPayrollMaster[[#This Row],[Employee Position]],tblPositionandPayRate[Employee Position],tblPositionandPayRate[Allowance 2],0)*tblPayrollMaster[[#This Row],[Pay Factor]]</f>
        <v>0</v>
      </c>
      <c r="N652" s="25">
        <f>_xlfn.XLOOKUP(tblPayrollMaster[[#This Row],[Employee Position]],tblPositionandPayRate[Employee Position],tblPositionandPayRate[Allowance 3],0)*tblPayrollMaster[[#This Row],[Pay Factor]]</f>
        <v>0</v>
      </c>
      <c r="O652" s="25">
        <f>_xlfn.XLOOKUP(tblPayrollMaster[[#This Row],[Employee Position]],tblPositionandPayRate[Employee Position],tblPositionandPayRate[Allowance 4],0)*tblPayrollMaster[[#This Row],[Pay Factor]]</f>
        <v>0</v>
      </c>
      <c r="P652" s="25">
        <f>_xlfn.XLOOKUP(tblPayrollMaster[[#This Row],[Employee Position]],tblPositionandPayRate[Employee Position],tblPositionandPayRate[Allowance 5],0)*tblPayrollMaster[[#This Row],[Pay Factor]]</f>
        <v>0</v>
      </c>
      <c r="Q652" s="25">
        <f>SUM(tblPayrollMaster[[#This Row],[Basic Pay]:[Allowance 5]])</f>
        <v>0</v>
      </c>
      <c r="R65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52" s="51" cm="1">
        <f t="array" ref="S6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52" s="3" cm="1">
        <f t="array" ref="T6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52" s="25">
        <f>_xlfn.LET(
_xlpm.tos, _xlfn.XLOOKUP(tblPayrollMaster[[#This Row],[Employee ID]], tblEmployee[Employee ID], tblEmployee[Type of Service], ""),
IF(_xlpm.tos="Contract of Service", 8.25, 0)
)</f>
        <v>0</v>
      </c>
      <c r="V652" s="25">
        <f>tblPayrollMaster[[#This Row],[Basic Earnings]]-tblPayrollMaster[[#This Row],[Tax]]-tblPayrollMaster[[#This Row],[NIS - Employee]]-tblPayrollMaster[[#This Row],[Health Surcharge]]</f>
        <v>0</v>
      </c>
      <c r="W652" s="25">
        <f>tblPayrollMaster[[#This Row],[Net Pay]]</f>
        <v>0</v>
      </c>
      <c r="X652" s="25"/>
    </row>
    <row r="653" spans="1:24" x14ac:dyDescent="0.25">
      <c r="A653" s="24"/>
      <c r="B653" s="24" t="str">
        <f>_xlfn.XLOOKUP(tblPayrollMaster[[#This Row],[Employee ID]],tblEmployee[Employee ID],tblEmployee[Employee Name],"")</f>
        <v/>
      </c>
      <c r="C653" s="24" t="str">
        <f>_xlfn.XLOOKUP(tblPayrollMaster[[#This Row],[Employee ID]],tblEmployee[Employee ID],tblEmployee[Employee Position],"")</f>
        <v/>
      </c>
      <c r="D653" s="24" t="str">
        <f>_xlfn.XLOOKUP(tblPayrollMaster[[#This Row],[Employee ID]], tblEmployee[Employee ID], tblEmployee[Pay Status], "Pay")</f>
        <v>Pay</v>
      </c>
      <c r="E653" s="24" t="str">
        <f>_xlfn.XLOOKUP(tblPayrollMaster[[#This Row],[Employee ID]], tblEmployee[Employee ID], tblEmployee[Payable Flag], "Y")</f>
        <v>Y</v>
      </c>
      <c r="F653" s="45">
        <f>IF(tblPayrollMaster[[#This Row],[Payable Flag]]="N",0,_xlfn.XLOOKUP(tblPayrollMaster[[#This Row],[Employee ID]],tblEmployee[Employee ID],tblEmployee[Pay Factor],1))</f>
        <v>1</v>
      </c>
      <c r="G653" s="26" t="str" cm="1">
        <f t="array" ref="G653">IF(tblPayrollMaster[[#This Row],[Employee ID]]="","",_xlfn.XLOOKUP(selPayPeriodID,tblPayCalendar[PayPeriodID],tblPayCalendar[PeriodStart],""))</f>
        <v/>
      </c>
      <c r="H653" s="26" t="str" cm="1">
        <f t="array" ref="H653">IF(tblPayrollMaster[[#This Row],[Employee ID]]="","",_xlfn.XLOOKUP(selPayPeriodID,tblPayCalendar[PayPeriodID],tblPayCalendar[PeriodEnd],""))</f>
        <v/>
      </c>
      <c r="I653" s="24" t="e" cm="1" vm="1">
        <f t="array" aca="1" ref="I653" ca="1">Table18[Employer Name]</f>
        <v>#VALUE!</v>
      </c>
      <c r="J653" s="3" cm="1">
        <f t="array" ref="J65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53" s="25" t="str">
        <f>_xlfn.XLOOKUP(tblPayrollMaster[[#This Row],[Employee Position]],tblPositionandPayRate[Employee Position],tblPositionandPayRate[Overtime], " ")</f>
        <v xml:space="preserve"> </v>
      </c>
      <c r="L653" s="25">
        <f>_xlfn.XLOOKUP(tblPayrollMaster[[#This Row],[Employee Position]],tblPositionandPayRate[Employee Position],tblPositionandPayRate[Allowance 1],0)*tblPayrollMaster[[#This Row],[Pay Factor]]</f>
        <v>0</v>
      </c>
      <c r="M653" s="25">
        <f>_xlfn.XLOOKUP(tblPayrollMaster[[#This Row],[Employee Position]],tblPositionandPayRate[Employee Position],tblPositionandPayRate[Allowance 2],0)*tblPayrollMaster[[#This Row],[Pay Factor]]</f>
        <v>0</v>
      </c>
      <c r="N653" s="25">
        <f>_xlfn.XLOOKUP(tblPayrollMaster[[#This Row],[Employee Position]],tblPositionandPayRate[Employee Position],tblPositionandPayRate[Allowance 3],0)*tblPayrollMaster[[#This Row],[Pay Factor]]</f>
        <v>0</v>
      </c>
      <c r="O653" s="25">
        <f>_xlfn.XLOOKUP(tblPayrollMaster[[#This Row],[Employee Position]],tblPositionandPayRate[Employee Position],tblPositionandPayRate[Allowance 4],0)*tblPayrollMaster[[#This Row],[Pay Factor]]</f>
        <v>0</v>
      </c>
      <c r="P653" s="25">
        <f>_xlfn.XLOOKUP(tblPayrollMaster[[#This Row],[Employee Position]],tblPositionandPayRate[Employee Position],tblPositionandPayRate[Allowance 5],0)*tblPayrollMaster[[#This Row],[Pay Factor]]</f>
        <v>0</v>
      </c>
      <c r="Q653" s="25">
        <f>SUM(tblPayrollMaster[[#This Row],[Basic Pay]:[Allowance 5]])</f>
        <v>0</v>
      </c>
      <c r="R65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53" s="51" cm="1">
        <f t="array" ref="S6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53" s="3" cm="1">
        <f t="array" ref="T6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53" s="25">
        <f>_xlfn.LET(
_xlpm.tos, _xlfn.XLOOKUP(tblPayrollMaster[[#This Row],[Employee ID]], tblEmployee[Employee ID], tblEmployee[Type of Service], ""),
IF(_xlpm.tos="Contract of Service", 8.25, 0)
)</f>
        <v>0</v>
      </c>
      <c r="V653" s="25">
        <f>tblPayrollMaster[[#This Row],[Basic Earnings]]-tblPayrollMaster[[#This Row],[Tax]]-tblPayrollMaster[[#This Row],[NIS - Employee]]-tblPayrollMaster[[#This Row],[Health Surcharge]]</f>
        <v>0</v>
      </c>
      <c r="W653" s="25">
        <f>tblPayrollMaster[[#This Row],[Net Pay]]</f>
        <v>0</v>
      </c>
      <c r="X653" s="25"/>
    </row>
    <row r="654" spans="1:24" x14ac:dyDescent="0.25">
      <c r="A654" s="24"/>
      <c r="B654" s="24" t="str">
        <f>_xlfn.XLOOKUP(tblPayrollMaster[[#This Row],[Employee ID]],tblEmployee[Employee ID],tblEmployee[Employee Name],"")</f>
        <v/>
      </c>
      <c r="C654" s="24" t="str">
        <f>_xlfn.XLOOKUP(tblPayrollMaster[[#This Row],[Employee ID]],tblEmployee[Employee ID],tblEmployee[Employee Position],"")</f>
        <v/>
      </c>
      <c r="D654" s="24" t="str">
        <f>_xlfn.XLOOKUP(tblPayrollMaster[[#This Row],[Employee ID]], tblEmployee[Employee ID], tblEmployee[Pay Status], "Pay")</f>
        <v>Pay</v>
      </c>
      <c r="E654" s="24" t="str">
        <f>_xlfn.XLOOKUP(tblPayrollMaster[[#This Row],[Employee ID]], tblEmployee[Employee ID], tblEmployee[Payable Flag], "Y")</f>
        <v>Y</v>
      </c>
      <c r="F654" s="45">
        <f>IF(tblPayrollMaster[[#This Row],[Payable Flag]]="N",0,_xlfn.XLOOKUP(tblPayrollMaster[[#This Row],[Employee ID]],tblEmployee[Employee ID],tblEmployee[Pay Factor],1))</f>
        <v>1</v>
      </c>
      <c r="G654" s="26" t="str" cm="1">
        <f t="array" ref="G654">IF(tblPayrollMaster[[#This Row],[Employee ID]]="","",_xlfn.XLOOKUP(selPayPeriodID,tblPayCalendar[PayPeriodID],tblPayCalendar[PeriodStart],""))</f>
        <v/>
      </c>
      <c r="H654" s="26" t="str" cm="1">
        <f t="array" ref="H654">IF(tblPayrollMaster[[#This Row],[Employee ID]]="","",_xlfn.XLOOKUP(selPayPeriodID,tblPayCalendar[PayPeriodID],tblPayCalendar[PeriodEnd],""))</f>
        <v/>
      </c>
      <c r="I654" s="24" t="e" cm="1" vm="1">
        <f t="array" aca="1" ref="I654" ca="1">Table18[Employer Name]</f>
        <v>#VALUE!</v>
      </c>
      <c r="J654" s="3" cm="1">
        <f t="array" ref="J65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54" s="25" t="str">
        <f>_xlfn.XLOOKUP(tblPayrollMaster[[#This Row],[Employee Position]],tblPositionandPayRate[Employee Position],tblPositionandPayRate[Overtime], " ")</f>
        <v xml:space="preserve"> </v>
      </c>
      <c r="L654" s="25">
        <f>_xlfn.XLOOKUP(tblPayrollMaster[[#This Row],[Employee Position]],tblPositionandPayRate[Employee Position],tblPositionandPayRate[Allowance 1],0)*tblPayrollMaster[[#This Row],[Pay Factor]]</f>
        <v>0</v>
      </c>
      <c r="M654" s="25">
        <f>_xlfn.XLOOKUP(tblPayrollMaster[[#This Row],[Employee Position]],tblPositionandPayRate[Employee Position],tblPositionandPayRate[Allowance 2],0)*tblPayrollMaster[[#This Row],[Pay Factor]]</f>
        <v>0</v>
      </c>
      <c r="N654" s="25">
        <f>_xlfn.XLOOKUP(tblPayrollMaster[[#This Row],[Employee Position]],tblPositionandPayRate[Employee Position],tblPositionandPayRate[Allowance 3],0)*tblPayrollMaster[[#This Row],[Pay Factor]]</f>
        <v>0</v>
      </c>
      <c r="O654" s="25">
        <f>_xlfn.XLOOKUP(tblPayrollMaster[[#This Row],[Employee Position]],tblPositionandPayRate[Employee Position],tblPositionandPayRate[Allowance 4],0)*tblPayrollMaster[[#This Row],[Pay Factor]]</f>
        <v>0</v>
      </c>
      <c r="P654" s="25">
        <f>_xlfn.XLOOKUP(tblPayrollMaster[[#This Row],[Employee Position]],tblPositionandPayRate[Employee Position],tblPositionandPayRate[Allowance 5],0)*tblPayrollMaster[[#This Row],[Pay Factor]]</f>
        <v>0</v>
      </c>
      <c r="Q654" s="25">
        <f>SUM(tblPayrollMaster[[#This Row],[Basic Pay]:[Allowance 5]])</f>
        <v>0</v>
      </c>
      <c r="R65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54" s="51" cm="1">
        <f t="array" ref="S6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54" s="3" cm="1">
        <f t="array" ref="T6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54" s="25">
        <f>_xlfn.LET(
_xlpm.tos, _xlfn.XLOOKUP(tblPayrollMaster[[#This Row],[Employee ID]], tblEmployee[Employee ID], tblEmployee[Type of Service], ""),
IF(_xlpm.tos="Contract of Service", 8.25, 0)
)</f>
        <v>0</v>
      </c>
      <c r="V654" s="25">
        <f>tblPayrollMaster[[#This Row],[Basic Earnings]]-tblPayrollMaster[[#This Row],[Tax]]-tblPayrollMaster[[#This Row],[NIS - Employee]]-tblPayrollMaster[[#This Row],[Health Surcharge]]</f>
        <v>0</v>
      </c>
      <c r="W654" s="25">
        <f>tblPayrollMaster[[#This Row],[Net Pay]]</f>
        <v>0</v>
      </c>
      <c r="X654" s="25"/>
    </row>
    <row r="655" spans="1:24" x14ac:dyDescent="0.25">
      <c r="A655" s="24"/>
      <c r="B655" s="24" t="str">
        <f>_xlfn.XLOOKUP(tblPayrollMaster[[#This Row],[Employee ID]],tblEmployee[Employee ID],tblEmployee[Employee Name],"")</f>
        <v/>
      </c>
      <c r="C655" s="24" t="str">
        <f>_xlfn.XLOOKUP(tblPayrollMaster[[#This Row],[Employee ID]],tblEmployee[Employee ID],tblEmployee[Employee Position],"")</f>
        <v/>
      </c>
      <c r="D655" s="24" t="str">
        <f>_xlfn.XLOOKUP(tblPayrollMaster[[#This Row],[Employee ID]], tblEmployee[Employee ID], tblEmployee[Pay Status], "Pay")</f>
        <v>Pay</v>
      </c>
      <c r="E655" s="24" t="str">
        <f>_xlfn.XLOOKUP(tblPayrollMaster[[#This Row],[Employee ID]], tblEmployee[Employee ID], tblEmployee[Payable Flag], "Y")</f>
        <v>Y</v>
      </c>
      <c r="F655" s="45">
        <f>IF(tblPayrollMaster[[#This Row],[Payable Flag]]="N",0,_xlfn.XLOOKUP(tblPayrollMaster[[#This Row],[Employee ID]],tblEmployee[Employee ID],tblEmployee[Pay Factor],1))</f>
        <v>1</v>
      </c>
      <c r="G655" s="26" t="str" cm="1">
        <f t="array" ref="G655">IF(tblPayrollMaster[[#This Row],[Employee ID]]="","",_xlfn.XLOOKUP(selPayPeriodID,tblPayCalendar[PayPeriodID],tblPayCalendar[PeriodStart],""))</f>
        <v/>
      </c>
      <c r="H655" s="26" t="str" cm="1">
        <f t="array" ref="H655">IF(tblPayrollMaster[[#This Row],[Employee ID]]="","",_xlfn.XLOOKUP(selPayPeriodID,tblPayCalendar[PayPeriodID],tblPayCalendar[PeriodEnd],""))</f>
        <v/>
      </c>
      <c r="I655" s="24" t="e" cm="1" vm="1">
        <f t="array" aca="1" ref="I655" ca="1">Table18[Employer Name]</f>
        <v>#VALUE!</v>
      </c>
      <c r="J655" s="3" cm="1">
        <f t="array" ref="J65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55" s="25" t="str">
        <f>_xlfn.XLOOKUP(tblPayrollMaster[[#This Row],[Employee Position]],tblPositionandPayRate[Employee Position],tblPositionandPayRate[Overtime], " ")</f>
        <v xml:space="preserve"> </v>
      </c>
      <c r="L655" s="25">
        <f>_xlfn.XLOOKUP(tblPayrollMaster[[#This Row],[Employee Position]],tblPositionandPayRate[Employee Position],tblPositionandPayRate[Allowance 1],0)*tblPayrollMaster[[#This Row],[Pay Factor]]</f>
        <v>0</v>
      </c>
      <c r="M655" s="25">
        <f>_xlfn.XLOOKUP(tblPayrollMaster[[#This Row],[Employee Position]],tblPositionandPayRate[Employee Position],tblPositionandPayRate[Allowance 2],0)*tblPayrollMaster[[#This Row],[Pay Factor]]</f>
        <v>0</v>
      </c>
      <c r="N655" s="25">
        <f>_xlfn.XLOOKUP(tblPayrollMaster[[#This Row],[Employee Position]],tblPositionandPayRate[Employee Position],tblPositionandPayRate[Allowance 3],0)*tblPayrollMaster[[#This Row],[Pay Factor]]</f>
        <v>0</v>
      </c>
      <c r="O655" s="25">
        <f>_xlfn.XLOOKUP(tblPayrollMaster[[#This Row],[Employee Position]],tblPositionandPayRate[Employee Position],tblPositionandPayRate[Allowance 4],0)*tblPayrollMaster[[#This Row],[Pay Factor]]</f>
        <v>0</v>
      </c>
      <c r="P655" s="25">
        <f>_xlfn.XLOOKUP(tblPayrollMaster[[#This Row],[Employee Position]],tblPositionandPayRate[Employee Position],tblPositionandPayRate[Allowance 5],0)*tblPayrollMaster[[#This Row],[Pay Factor]]</f>
        <v>0</v>
      </c>
      <c r="Q655" s="25">
        <f>SUM(tblPayrollMaster[[#This Row],[Basic Pay]:[Allowance 5]])</f>
        <v>0</v>
      </c>
      <c r="R65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55" s="51" cm="1">
        <f t="array" ref="S6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55" s="3" cm="1">
        <f t="array" ref="T6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55" s="25">
        <f>_xlfn.LET(
_xlpm.tos, _xlfn.XLOOKUP(tblPayrollMaster[[#This Row],[Employee ID]], tblEmployee[Employee ID], tblEmployee[Type of Service], ""),
IF(_xlpm.tos="Contract of Service", 8.25, 0)
)</f>
        <v>0</v>
      </c>
      <c r="V655" s="25">
        <f>tblPayrollMaster[[#This Row],[Basic Earnings]]-tblPayrollMaster[[#This Row],[Tax]]-tblPayrollMaster[[#This Row],[NIS - Employee]]-tblPayrollMaster[[#This Row],[Health Surcharge]]</f>
        <v>0</v>
      </c>
      <c r="W655" s="25">
        <f>tblPayrollMaster[[#This Row],[Net Pay]]</f>
        <v>0</v>
      </c>
      <c r="X655" s="25"/>
    </row>
    <row r="656" spans="1:24" x14ac:dyDescent="0.25">
      <c r="A656" s="24"/>
      <c r="B656" s="24" t="str">
        <f>_xlfn.XLOOKUP(tblPayrollMaster[[#This Row],[Employee ID]],tblEmployee[Employee ID],tblEmployee[Employee Name],"")</f>
        <v/>
      </c>
      <c r="C656" s="24" t="str">
        <f>_xlfn.XLOOKUP(tblPayrollMaster[[#This Row],[Employee ID]],tblEmployee[Employee ID],tblEmployee[Employee Position],"")</f>
        <v/>
      </c>
      <c r="D656" s="24" t="str">
        <f>_xlfn.XLOOKUP(tblPayrollMaster[[#This Row],[Employee ID]], tblEmployee[Employee ID], tblEmployee[Pay Status], "Pay")</f>
        <v>Pay</v>
      </c>
      <c r="E656" s="24" t="str">
        <f>_xlfn.XLOOKUP(tblPayrollMaster[[#This Row],[Employee ID]], tblEmployee[Employee ID], tblEmployee[Payable Flag], "Y")</f>
        <v>Y</v>
      </c>
      <c r="F656" s="45">
        <f>IF(tblPayrollMaster[[#This Row],[Payable Flag]]="N",0,_xlfn.XLOOKUP(tblPayrollMaster[[#This Row],[Employee ID]],tblEmployee[Employee ID],tblEmployee[Pay Factor],1))</f>
        <v>1</v>
      </c>
      <c r="G656" s="26" t="str" cm="1">
        <f t="array" ref="G656">IF(tblPayrollMaster[[#This Row],[Employee ID]]="","",_xlfn.XLOOKUP(selPayPeriodID,tblPayCalendar[PayPeriodID],tblPayCalendar[PeriodStart],""))</f>
        <v/>
      </c>
      <c r="H656" s="26" t="str" cm="1">
        <f t="array" ref="H656">IF(tblPayrollMaster[[#This Row],[Employee ID]]="","",_xlfn.XLOOKUP(selPayPeriodID,tblPayCalendar[PayPeriodID],tblPayCalendar[PeriodEnd],""))</f>
        <v/>
      </c>
      <c r="I656" s="24" t="e" cm="1" vm="1">
        <f t="array" aca="1" ref="I656" ca="1">Table18[Employer Name]</f>
        <v>#VALUE!</v>
      </c>
      <c r="J656" s="3" cm="1">
        <f t="array" ref="J65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56" s="25" t="str">
        <f>_xlfn.XLOOKUP(tblPayrollMaster[[#This Row],[Employee Position]],tblPositionandPayRate[Employee Position],tblPositionandPayRate[Overtime], " ")</f>
        <v xml:space="preserve"> </v>
      </c>
      <c r="L656" s="25">
        <f>_xlfn.XLOOKUP(tblPayrollMaster[[#This Row],[Employee Position]],tblPositionandPayRate[Employee Position],tblPositionandPayRate[Allowance 1],0)*tblPayrollMaster[[#This Row],[Pay Factor]]</f>
        <v>0</v>
      </c>
      <c r="M656" s="25">
        <f>_xlfn.XLOOKUP(tblPayrollMaster[[#This Row],[Employee Position]],tblPositionandPayRate[Employee Position],tblPositionandPayRate[Allowance 2],0)*tblPayrollMaster[[#This Row],[Pay Factor]]</f>
        <v>0</v>
      </c>
      <c r="N656" s="25">
        <f>_xlfn.XLOOKUP(tblPayrollMaster[[#This Row],[Employee Position]],tblPositionandPayRate[Employee Position],tblPositionandPayRate[Allowance 3],0)*tblPayrollMaster[[#This Row],[Pay Factor]]</f>
        <v>0</v>
      </c>
      <c r="O656" s="25">
        <f>_xlfn.XLOOKUP(tblPayrollMaster[[#This Row],[Employee Position]],tblPositionandPayRate[Employee Position],tblPositionandPayRate[Allowance 4],0)*tblPayrollMaster[[#This Row],[Pay Factor]]</f>
        <v>0</v>
      </c>
      <c r="P656" s="25">
        <f>_xlfn.XLOOKUP(tblPayrollMaster[[#This Row],[Employee Position]],tblPositionandPayRate[Employee Position],tblPositionandPayRate[Allowance 5],0)*tblPayrollMaster[[#This Row],[Pay Factor]]</f>
        <v>0</v>
      </c>
      <c r="Q656" s="25">
        <f>SUM(tblPayrollMaster[[#This Row],[Basic Pay]:[Allowance 5]])</f>
        <v>0</v>
      </c>
      <c r="R65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56" s="51" cm="1">
        <f t="array" ref="S6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56" s="3" cm="1">
        <f t="array" ref="T6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56" s="25">
        <f>_xlfn.LET(
_xlpm.tos, _xlfn.XLOOKUP(tblPayrollMaster[[#This Row],[Employee ID]], tblEmployee[Employee ID], tblEmployee[Type of Service], ""),
IF(_xlpm.tos="Contract of Service", 8.25, 0)
)</f>
        <v>0</v>
      </c>
      <c r="V656" s="25">
        <f>tblPayrollMaster[[#This Row],[Basic Earnings]]-tblPayrollMaster[[#This Row],[Tax]]-tblPayrollMaster[[#This Row],[NIS - Employee]]-tblPayrollMaster[[#This Row],[Health Surcharge]]</f>
        <v>0</v>
      </c>
      <c r="W656" s="25">
        <f>tblPayrollMaster[[#This Row],[Net Pay]]</f>
        <v>0</v>
      </c>
      <c r="X656" s="25"/>
    </row>
    <row r="657" spans="1:24" x14ac:dyDescent="0.25">
      <c r="A657" s="24"/>
      <c r="B657" s="24" t="str">
        <f>_xlfn.XLOOKUP(tblPayrollMaster[[#This Row],[Employee ID]],tblEmployee[Employee ID],tblEmployee[Employee Name],"")</f>
        <v/>
      </c>
      <c r="C657" s="24" t="str">
        <f>_xlfn.XLOOKUP(tblPayrollMaster[[#This Row],[Employee ID]],tblEmployee[Employee ID],tblEmployee[Employee Position],"")</f>
        <v/>
      </c>
      <c r="D657" s="24" t="str">
        <f>_xlfn.XLOOKUP(tblPayrollMaster[[#This Row],[Employee ID]], tblEmployee[Employee ID], tblEmployee[Pay Status], "Pay")</f>
        <v>Pay</v>
      </c>
      <c r="E657" s="24" t="str">
        <f>_xlfn.XLOOKUP(tblPayrollMaster[[#This Row],[Employee ID]], tblEmployee[Employee ID], tblEmployee[Payable Flag], "Y")</f>
        <v>Y</v>
      </c>
      <c r="F657" s="45">
        <f>IF(tblPayrollMaster[[#This Row],[Payable Flag]]="N",0,_xlfn.XLOOKUP(tblPayrollMaster[[#This Row],[Employee ID]],tblEmployee[Employee ID],tblEmployee[Pay Factor],1))</f>
        <v>1</v>
      </c>
      <c r="G657" s="26" t="str" cm="1">
        <f t="array" ref="G657">IF(tblPayrollMaster[[#This Row],[Employee ID]]="","",_xlfn.XLOOKUP(selPayPeriodID,tblPayCalendar[PayPeriodID],tblPayCalendar[PeriodStart],""))</f>
        <v/>
      </c>
      <c r="H657" s="26" t="str" cm="1">
        <f t="array" ref="H657">IF(tblPayrollMaster[[#This Row],[Employee ID]]="","",_xlfn.XLOOKUP(selPayPeriodID,tblPayCalendar[PayPeriodID],tblPayCalendar[PeriodEnd],""))</f>
        <v/>
      </c>
      <c r="I657" s="24" t="e" cm="1" vm="1">
        <f t="array" aca="1" ref="I657" ca="1">Table18[Employer Name]</f>
        <v>#VALUE!</v>
      </c>
      <c r="J657" s="3" cm="1">
        <f t="array" ref="J65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57" s="25" t="str">
        <f>_xlfn.XLOOKUP(tblPayrollMaster[[#This Row],[Employee Position]],tblPositionandPayRate[Employee Position],tblPositionandPayRate[Overtime], " ")</f>
        <v xml:space="preserve"> </v>
      </c>
      <c r="L657" s="25">
        <f>_xlfn.XLOOKUP(tblPayrollMaster[[#This Row],[Employee Position]],tblPositionandPayRate[Employee Position],tblPositionandPayRate[Allowance 1],0)*tblPayrollMaster[[#This Row],[Pay Factor]]</f>
        <v>0</v>
      </c>
      <c r="M657" s="25">
        <f>_xlfn.XLOOKUP(tblPayrollMaster[[#This Row],[Employee Position]],tblPositionandPayRate[Employee Position],tblPositionandPayRate[Allowance 2],0)*tblPayrollMaster[[#This Row],[Pay Factor]]</f>
        <v>0</v>
      </c>
      <c r="N657" s="25">
        <f>_xlfn.XLOOKUP(tblPayrollMaster[[#This Row],[Employee Position]],tblPositionandPayRate[Employee Position],tblPositionandPayRate[Allowance 3],0)*tblPayrollMaster[[#This Row],[Pay Factor]]</f>
        <v>0</v>
      </c>
      <c r="O657" s="25">
        <f>_xlfn.XLOOKUP(tblPayrollMaster[[#This Row],[Employee Position]],tblPositionandPayRate[Employee Position],tblPositionandPayRate[Allowance 4],0)*tblPayrollMaster[[#This Row],[Pay Factor]]</f>
        <v>0</v>
      </c>
      <c r="P657" s="25">
        <f>_xlfn.XLOOKUP(tblPayrollMaster[[#This Row],[Employee Position]],tblPositionandPayRate[Employee Position],tblPositionandPayRate[Allowance 5],0)*tblPayrollMaster[[#This Row],[Pay Factor]]</f>
        <v>0</v>
      </c>
      <c r="Q657" s="25">
        <f>SUM(tblPayrollMaster[[#This Row],[Basic Pay]:[Allowance 5]])</f>
        <v>0</v>
      </c>
      <c r="R65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57" s="51" cm="1">
        <f t="array" ref="S6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57" s="3" cm="1">
        <f t="array" ref="T6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57" s="25">
        <f>_xlfn.LET(
_xlpm.tos, _xlfn.XLOOKUP(tblPayrollMaster[[#This Row],[Employee ID]], tblEmployee[Employee ID], tblEmployee[Type of Service], ""),
IF(_xlpm.tos="Contract of Service", 8.25, 0)
)</f>
        <v>0</v>
      </c>
      <c r="V657" s="25">
        <f>tblPayrollMaster[[#This Row],[Basic Earnings]]-tblPayrollMaster[[#This Row],[Tax]]-tblPayrollMaster[[#This Row],[NIS - Employee]]-tblPayrollMaster[[#This Row],[Health Surcharge]]</f>
        <v>0</v>
      </c>
      <c r="W657" s="25">
        <f>tblPayrollMaster[[#This Row],[Net Pay]]</f>
        <v>0</v>
      </c>
      <c r="X657" s="25"/>
    </row>
    <row r="658" spans="1:24" x14ac:dyDescent="0.25">
      <c r="A658" s="24"/>
      <c r="B658" s="24" t="str">
        <f>_xlfn.XLOOKUP(tblPayrollMaster[[#This Row],[Employee ID]],tblEmployee[Employee ID],tblEmployee[Employee Name],"")</f>
        <v/>
      </c>
      <c r="C658" s="24" t="str">
        <f>_xlfn.XLOOKUP(tblPayrollMaster[[#This Row],[Employee ID]],tblEmployee[Employee ID],tblEmployee[Employee Position],"")</f>
        <v/>
      </c>
      <c r="D658" s="24" t="str">
        <f>_xlfn.XLOOKUP(tblPayrollMaster[[#This Row],[Employee ID]], tblEmployee[Employee ID], tblEmployee[Pay Status], "Pay")</f>
        <v>Pay</v>
      </c>
      <c r="E658" s="24" t="str">
        <f>_xlfn.XLOOKUP(tblPayrollMaster[[#This Row],[Employee ID]], tblEmployee[Employee ID], tblEmployee[Payable Flag], "Y")</f>
        <v>Y</v>
      </c>
      <c r="F658" s="45">
        <f>IF(tblPayrollMaster[[#This Row],[Payable Flag]]="N",0,_xlfn.XLOOKUP(tblPayrollMaster[[#This Row],[Employee ID]],tblEmployee[Employee ID],tblEmployee[Pay Factor],1))</f>
        <v>1</v>
      </c>
      <c r="G658" s="26" t="str" cm="1">
        <f t="array" ref="G658">IF(tblPayrollMaster[[#This Row],[Employee ID]]="","",_xlfn.XLOOKUP(selPayPeriodID,tblPayCalendar[PayPeriodID],tblPayCalendar[PeriodStart],""))</f>
        <v/>
      </c>
      <c r="H658" s="26" t="str" cm="1">
        <f t="array" ref="H658">IF(tblPayrollMaster[[#This Row],[Employee ID]]="","",_xlfn.XLOOKUP(selPayPeriodID,tblPayCalendar[PayPeriodID],tblPayCalendar[PeriodEnd],""))</f>
        <v/>
      </c>
      <c r="I658" s="24" t="e" cm="1" vm="1">
        <f t="array" aca="1" ref="I658" ca="1">Table18[Employer Name]</f>
        <v>#VALUE!</v>
      </c>
      <c r="J658" s="3" cm="1">
        <f t="array" ref="J65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58" s="25" t="str">
        <f>_xlfn.XLOOKUP(tblPayrollMaster[[#This Row],[Employee Position]],tblPositionandPayRate[Employee Position],tblPositionandPayRate[Overtime], " ")</f>
        <v xml:space="preserve"> </v>
      </c>
      <c r="L658" s="25">
        <f>_xlfn.XLOOKUP(tblPayrollMaster[[#This Row],[Employee Position]],tblPositionandPayRate[Employee Position],tblPositionandPayRate[Allowance 1],0)*tblPayrollMaster[[#This Row],[Pay Factor]]</f>
        <v>0</v>
      </c>
      <c r="M658" s="25">
        <f>_xlfn.XLOOKUP(tblPayrollMaster[[#This Row],[Employee Position]],tblPositionandPayRate[Employee Position],tblPositionandPayRate[Allowance 2],0)*tblPayrollMaster[[#This Row],[Pay Factor]]</f>
        <v>0</v>
      </c>
      <c r="N658" s="25">
        <f>_xlfn.XLOOKUP(tblPayrollMaster[[#This Row],[Employee Position]],tblPositionandPayRate[Employee Position],tblPositionandPayRate[Allowance 3],0)*tblPayrollMaster[[#This Row],[Pay Factor]]</f>
        <v>0</v>
      </c>
      <c r="O658" s="25">
        <f>_xlfn.XLOOKUP(tblPayrollMaster[[#This Row],[Employee Position]],tblPositionandPayRate[Employee Position],tblPositionandPayRate[Allowance 4],0)*tblPayrollMaster[[#This Row],[Pay Factor]]</f>
        <v>0</v>
      </c>
      <c r="P658" s="25">
        <f>_xlfn.XLOOKUP(tblPayrollMaster[[#This Row],[Employee Position]],tblPositionandPayRate[Employee Position],tblPositionandPayRate[Allowance 5],0)*tblPayrollMaster[[#This Row],[Pay Factor]]</f>
        <v>0</v>
      </c>
      <c r="Q658" s="25">
        <f>SUM(tblPayrollMaster[[#This Row],[Basic Pay]:[Allowance 5]])</f>
        <v>0</v>
      </c>
      <c r="R65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58" s="51" cm="1">
        <f t="array" ref="S6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58" s="3" cm="1">
        <f t="array" ref="T6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58" s="25">
        <f>_xlfn.LET(
_xlpm.tos, _xlfn.XLOOKUP(tblPayrollMaster[[#This Row],[Employee ID]], tblEmployee[Employee ID], tblEmployee[Type of Service], ""),
IF(_xlpm.tos="Contract of Service", 8.25, 0)
)</f>
        <v>0</v>
      </c>
      <c r="V658" s="25">
        <f>tblPayrollMaster[[#This Row],[Basic Earnings]]-tblPayrollMaster[[#This Row],[Tax]]-tblPayrollMaster[[#This Row],[NIS - Employee]]-tblPayrollMaster[[#This Row],[Health Surcharge]]</f>
        <v>0</v>
      </c>
      <c r="W658" s="25">
        <f>tblPayrollMaster[[#This Row],[Net Pay]]</f>
        <v>0</v>
      </c>
      <c r="X658" s="25"/>
    </row>
    <row r="659" spans="1:24" x14ac:dyDescent="0.25">
      <c r="A659" s="24"/>
      <c r="B659" s="24" t="str">
        <f>_xlfn.XLOOKUP(tblPayrollMaster[[#This Row],[Employee ID]],tblEmployee[Employee ID],tblEmployee[Employee Name],"")</f>
        <v/>
      </c>
      <c r="C659" s="24" t="str">
        <f>_xlfn.XLOOKUP(tblPayrollMaster[[#This Row],[Employee ID]],tblEmployee[Employee ID],tblEmployee[Employee Position],"")</f>
        <v/>
      </c>
      <c r="D659" s="24" t="str">
        <f>_xlfn.XLOOKUP(tblPayrollMaster[[#This Row],[Employee ID]], tblEmployee[Employee ID], tblEmployee[Pay Status], "Pay")</f>
        <v>Pay</v>
      </c>
      <c r="E659" s="24" t="str">
        <f>_xlfn.XLOOKUP(tblPayrollMaster[[#This Row],[Employee ID]], tblEmployee[Employee ID], tblEmployee[Payable Flag], "Y")</f>
        <v>Y</v>
      </c>
      <c r="F659" s="45">
        <f>IF(tblPayrollMaster[[#This Row],[Payable Flag]]="N",0,_xlfn.XLOOKUP(tblPayrollMaster[[#This Row],[Employee ID]],tblEmployee[Employee ID],tblEmployee[Pay Factor],1))</f>
        <v>1</v>
      </c>
      <c r="G659" s="26" t="str" cm="1">
        <f t="array" ref="G659">IF(tblPayrollMaster[[#This Row],[Employee ID]]="","",_xlfn.XLOOKUP(selPayPeriodID,tblPayCalendar[PayPeriodID],tblPayCalendar[PeriodStart],""))</f>
        <v/>
      </c>
      <c r="H659" s="26" t="str" cm="1">
        <f t="array" ref="H659">IF(tblPayrollMaster[[#This Row],[Employee ID]]="","",_xlfn.XLOOKUP(selPayPeriodID,tblPayCalendar[PayPeriodID],tblPayCalendar[PeriodEnd],""))</f>
        <v/>
      </c>
      <c r="I659" s="24" t="e" cm="1" vm="1">
        <f t="array" aca="1" ref="I659" ca="1">Table18[Employer Name]</f>
        <v>#VALUE!</v>
      </c>
      <c r="J659" s="3" cm="1">
        <f t="array" ref="J65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59" s="25" t="str">
        <f>_xlfn.XLOOKUP(tblPayrollMaster[[#This Row],[Employee Position]],tblPositionandPayRate[Employee Position],tblPositionandPayRate[Overtime], " ")</f>
        <v xml:space="preserve"> </v>
      </c>
      <c r="L659" s="25">
        <f>_xlfn.XLOOKUP(tblPayrollMaster[[#This Row],[Employee Position]],tblPositionandPayRate[Employee Position],tblPositionandPayRate[Allowance 1],0)*tblPayrollMaster[[#This Row],[Pay Factor]]</f>
        <v>0</v>
      </c>
      <c r="M659" s="25">
        <f>_xlfn.XLOOKUP(tblPayrollMaster[[#This Row],[Employee Position]],tblPositionandPayRate[Employee Position],tblPositionandPayRate[Allowance 2],0)*tblPayrollMaster[[#This Row],[Pay Factor]]</f>
        <v>0</v>
      </c>
      <c r="N659" s="25">
        <f>_xlfn.XLOOKUP(tblPayrollMaster[[#This Row],[Employee Position]],tblPositionandPayRate[Employee Position],tblPositionandPayRate[Allowance 3],0)*tblPayrollMaster[[#This Row],[Pay Factor]]</f>
        <v>0</v>
      </c>
      <c r="O659" s="25">
        <f>_xlfn.XLOOKUP(tblPayrollMaster[[#This Row],[Employee Position]],tblPositionandPayRate[Employee Position],tblPositionandPayRate[Allowance 4],0)*tblPayrollMaster[[#This Row],[Pay Factor]]</f>
        <v>0</v>
      </c>
      <c r="P659" s="25">
        <f>_xlfn.XLOOKUP(tblPayrollMaster[[#This Row],[Employee Position]],tblPositionandPayRate[Employee Position],tblPositionandPayRate[Allowance 5],0)*tblPayrollMaster[[#This Row],[Pay Factor]]</f>
        <v>0</v>
      </c>
      <c r="Q659" s="25">
        <f>SUM(tblPayrollMaster[[#This Row],[Basic Pay]:[Allowance 5]])</f>
        <v>0</v>
      </c>
      <c r="R65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59" s="51" cm="1">
        <f t="array" ref="S6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59" s="3" cm="1">
        <f t="array" ref="T6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59" s="25">
        <f>_xlfn.LET(
_xlpm.tos, _xlfn.XLOOKUP(tblPayrollMaster[[#This Row],[Employee ID]], tblEmployee[Employee ID], tblEmployee[Type of Service], ""),
IF(_xlpm.tos="Contract of Service", 8.25, 0)
)</f>
        <v>0</v>
      </c>
      <c r="V659" s="25">
        <f>tblPayrollMaster[[#This Row],[Basic Earnings]]-tblPayrollMaster[[#This Row],[Tax]]-tblPayrollMaster[[#This Row],[NIS - Employee]]-tblPayrollMaster[[#This Row],[Health Surcharge]]</f>
        <v>0</v>
      </c>
      <c r="W659" s="25">
        <f>tblPayrollMaster[[#This Row],[Net Pay]]</f>
        <v>0</v>
      </c>
      <c r="X659" s="25"/>
    </row>
    <row r="660" spans="1:24" x14ac:dyDescent="0.25">
      <c r="A660" s="24"/>
      <c r="B660" s="24" t="str">
        <f>_xlfn.XLOOKUP(tblPayrollMaster[[#This Row],[Employee ID]],tblEmployee[Employee ID],tblEmployee[Employee Name],"")</f>
        <v/>
      </c>
      <c r="C660" s="24" t="str">
        <f>_xlfn.XLOOKUP(tblPayrollMaster[[#This Row],[Employee ID]],tblEmployee[Employee ID],tblEmployee[Employee Position],"")</f>
        <v/>
      </c>
      <c r="D660" s="24" t="str">
        <f>_xlfn.XLOOKUP(tblPayrollMaster[[#This Row],[Employee ID]], tblEmployee[Employee ID], tblEmployee[Pay Status], "Pay")</f>
        <v>Pay</v>
      </c>
      <c r="E660" s="24" t="str">
        <f>_xlfn.XLOOKUP(tblPayrollMaster[[#This Row],[Employee ID]], tblEmployee[Employee ID], tblEmployee[Payable Flag], "Y")</f>
        <v>Y</v>
      </c>
      <c r="F660" s="45">
        <f>IF(tblPayrollMaster[[#This Row],[Payable Flag]]="N",0,_xlfn.XLOOKUP(tblPayrollMaster[[#This Row],[Employee ID]],tblEmployee[Employee ID],tblEmployee[Pay Factor],1))</f>
        <v>1</v>
      </c>
      <c r="G660" s="26" t="str" cm="1">
        <f t="array" ref="G660">IF(tblPayrollMaster[[#This Row],[Employee ID]]="","",_xlfn.XLOOKUP(selPayPeriodID,tblPayCalendar[PayPeriodID],tblPayCalendar[PeriodStart],""))</f>
        <v/>
      </c>
      <c r="H660" s="26" t="str" cm="1">
        <f t="array" ref="H660">IF(tblPayrollMaster[[#This Row],[Employee ID]]="","",_xlfn.XLOOKUP(selPayPeriodID,tblPayCalendar[PayPeriodID],tblPayCalendar[PeriodEnd],""))</f>
        <v/>
      </c>
      <c r="I660" s="24" t="e" cm="1" vm="1">
        <f t="array" aca="1" ref="I660" ca="1">Table18[Employer Name]</f>
        <v>#VALUE!</v>
      </c>
      <c r="J660" s="3" cm="1">
        <f t="array" ref="J66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60" s="25" t="str">
        <f>_xlfn.XLOOKUP(tblPayrollMaster[[#This Row],[Employee Position]],tblPositionandPayRate[Employee Position],tblPositionandPayRate[Overtime], " ")</f>
        <v xml:space="preserve"> </v>
      </c>
      <c r="L660" s="25">
        <f>_xlfn.XLOOKUP(tblPayrollMaster[[#This Row],[Employee Position]],tblPositionandPayRate[Employee Position],tblPositionandPayRate[Allowance 1],0)*tblPayrollMaster[[#This Row],[Pay Factor]]</f>
        <v>0</v>
      </c>
      <c r="M660" s="25">
        <f>_xlfn.XLOOKUP(tblPayrollMaster[[#This Row],[Employee Position]],tblPositionandPayRate[Employee Position],tblPositionandPayRate[Allowance 2],0)*tblPayrollMaster[[#This Row],[Pay Factor]]</f>
        <v>0</v>
      </c>
      <c r="N660" s="25">
        <f>_xlfn.XLOOKUP(tblPayrollMaster[[#This Row],[Employee Position]],tblPositionandPayRate[Employee Position],tblPositionandPayRate[Allowance 3],0)*tblPayrollMaster[[#This Row],[Pay Factor]]</f>
        <v>0</v>
      </c>
      <c r="O660" s="25">
        <f>_xlfn.XLOOKUP(tblPayrollMaster[[#This Row],[Employee Position]],tblPositionandPayRate[Employee Position],tblPositionandPayRate[Allowance 4],0)*tblPayrollMaster[[#This Row],[Pay Factor]]</f>
        <v>0</v>
      </c>
      <c r="P660" s="25">
        <f>_xlfn.XLOOKUP(tblPayrollMaster[[#This Row],[Employee Position]],tblPositionandPayRate[Employee Position],tblPositionandPayRate[Allowance 5],0)*tblPayrollMaster[[#This Row],[Pay Factor]]</f>
        <v>0</v>
      </c>
      <c r="Q660" s="25">
        <f>SUM(tblPayrollMaster[[#This Row],[Basic Pay]:[Allowance 5]])</f>
        <v>0</v>
      </c>
      <c r="R66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60" s="51" cm="1">
        <f t="array" ref="S6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60" s="3" cm="1">
        <f t="array" ref="T6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60" s="25">
        <f>_xlfn.LET(
_xlpm.tos, _xlfn.XLOOKUP(tblPayrollMaster[[#This Row],[Employee ID]], tblEmployee[Employee ID], tblEmployee[Type of Service], ""),
IF(_xlpm.tos="Contract of Service", 8.25, 0)
)</f>
        <v>0</v>
      </c>
      <c r="V660" s="25">
        <f>tblPayrollMaster[[#This Row],[Basic Earnings]]-tblPayrollMaster[[#This Row],[Tax]]-tblPayrollMaster[[#This Row],[NIS - Employee]]-tblPayrollMaster[[#This Row],[Health Surcharge]]</f>
        <v>0</v>
      </c>
      <c r="W660" s="25">
        <f>tblPayrollMaster[[#This Row],[Net Pay]]</f>
        <v>0</v>
      </c>
      <c r="X660" s="25"/>
    </row>
    <row r="661" spans="1:24" x14ac:dyDescent="0.25">
      <c r="A661" s="24"/>
      <c r="B661" s="24" t="str">
        <f>_xlfn.XLOOKUP(tblPayrollMaster[[#This Row],[Employee ID]],tblEmployee[Employee ID],tblEmployee[Employee Name],"")</f>
        <v/>
      </c>
      <c r="C661" s="24" t="str">
        <f>_xlfn.XLOOKUP(tblPayrollMaster[[#This Row],[Employee ID]],tblEmployee[Employee ID],tblEmployee[Employee Position],"")</f>
        <v/>
      </c>
      <c r="D661" s="24" t="str">
        <f>_xlfn.XLOOKUP(tblPayrollMaster[[#This Row],[Employee ID]], tblEmployee[Employee ID], tblEmployee[Pay Status], "Pay")</f>
        <v>Pay</v>
      </c>
      <c r="E661" s="24" t="str">
        <f>_xlfn.XLOOKUP(tblPayrollMaster[[#This Row],[Employee ID]], tblEmployee[Employee ID], tblEmployee[Payable Flag], "Y")</f>
        <v>Y</v>
      </c>
      <c r="F661" s="45">
        <f>IF(tblPayrollMaster[[#This Row],[Payable Flag]]="N",0,_xlfn.XLOOKUP(tblPayrollMaster[[#This Row],[Employee ID]],tblEmployee[Employee ID],tblEmployee[Pay Factor],1))</f>
        <v>1</v>
      </c>
      <c r="G661" s="26" t="str" cm="1">
        <f t="array" ref="G661">IF(tblPayrollMaster[[#This Row],[Employee ID]]="","",_xlfn.XLOOKUP(selPayPeriodID,tblPayCalendar[PayPeriodID],tblPayCalendar[PeriodStart],""))</f>
        <v/>
      </c>
      <c r="H661" s="26" t="str" cm="1">
        <f t="array" ref="H661">IF(tblPayrollMaster[[#This Row],[Employee ID]]="","",_xlfn.XLOOKUP(selPayPeriodID,tblPayCalendar[PayPeriodID],tblPayCalendar[PeriodEnd],""))</f>
        <v/>
      </c>
      <c r="I661" s="24" t="e" cm="1" vm="1">
        <f t="array" aca="1" ref="I661" ca="1">Table18[Employer Name]</f>
        <v>#VALUE!</v>
      </c>
      <c r="J661" s="3" cm="1">
        <f t="array" ref="J66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61" s="25" t="str">
        <f>_xlfn.XLOOKUP(tblPayrollMaster[[#This Row],[Employee Position]],tblPositionandPayRate[Employee Position],tblPositionandPayRate[Overtime], " ")</f>
        <v xml:space="preserve"> </v>
      </c>
      <c r="L661" s="25">
        <f>_xlfn.XLOOKUP(tblPayrollMaster[[#This Row],[Employee Position]],tblPositionandPayRate[Employee Position],tblPositionandPayRate[Allowance 1],0)*tblPayrollMaster[[#This Row],[Pay Factor]]</f>
        <v>0</v>
      </c>
      <c r="M661" s="25">
        <f>_xlfn.XLOOKUP(tblPayrollMaster[[#This Row],[Employee Position]],tblPositionandPayRate[Employee Position],tblPositionandPayRate[Allowance 2],0)*tblPayrollMaster[[#This Row],[Pay Factor]]</f>
        <v>0</v>
      </c>
      <c r="N661" s="25">
        <f>_xlfn.XLOOKUP(tblPayrollMaster[[#This Row],[Employee Position]],tblPositionandPayRate[Employee Position],tblPositionandPayRate[Allowance 3],0)*tblPayrollMaster[[#This Row],[Pay Factor]]</f>
        <v>0</v>
      </c>
      <c r="O661" s="25">
        <f>_xlfn.XLOOKUP(tblPayrollMaster[[#This Row],[Employee Position]],tblPositionandPayRate[Employee Position],tblPositionandPayRate[Allowance 4],0)*tblPayrollMaster[[#This Row],[Pay Factor]]</f>
        <v>0</v>
      </c>
      <c r="P661" s="25">
        <f>_xlfn.XLOOKUP(tblPayrollMaster[[#This Row],[Employee Position]],tblPositionandPayRate[Employee Position],tblPositionandPayRate[Allowance 5],0)*tblPayrollMaster[[#This Row],[Pay Factor]]</f>
        <v>0</v>
      </c>
      <c r="Q661" s="25">
        <f>SUM(tblPayrollMaster[[#This Row],[Basic Pay]:[Allowance 5]])</f>
        <v>0</v>
      </c>
      <c r="R66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61" s="51" cm="1">
        <f t="array" ref="S6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61" s="3" cm="1">
        <f t="array" ref="T6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61" s="25">
        <f>_xlfn.LET(
_xlpm.tos, _xlfn.XLOOKUP(tblPayrollMaster[[#This Row],[Employee ID]], tblEmployee[Employee ID], tblEmployee[Type of Service], ""),
IF(_xlpm.tos="Contract of Service", 8.25, 0)
)</f>
        <v>0</v>
      </c>
      <c r="V661" s="25">
        <f>tblPayrollMaster[[#This Row],[Basic Earnings]]-tblPayrollMaster[[#This Row],[Tax]]-tblPayrollMaster[[#This Row],[NIS - Employee]]-tblPayrollMaster[[#This Row],[Health Surcharge]]</f>
        <v>0</v>
      </c>
      <c r="W661" s="25">
        <f>tblPayrollMaster[[#This Row],[Net Pay]]</f>
        <v>0</v>
      </c>
      <c r="X661" s="25"/>
    </row>
    <row r="662" spans="1:24" x14ac:dyDescent="0.25">
      <c r="A662" s="24"/>
      <c r="B662" s="24" t="str">
        <f>_xlfn.XLOOKUP(tblPayrollMaster[[#This Row],[Employee ID]],tblEmployee[Employee ID],tblEmployee[Employee Name],"")</f>
        <v/>
      </c>
      <c r="C662" s="24" t="str">
        <f>_xlfn.XLOOKUP(tblPayrollMaster[[#This Row],[Employee ID]],tblEmployee[Employee ID],tblEmployee[Employee Position],"")</f>
        <v/>
      </c>
      <c r="D662" s="24" t="str">
        <f>_xlfn.XLOOKUP(tblPayrollMaster[[#This Row],[Employee ID]], tblEmployee[Employee ID], tblEmployee[Pay Status], "Pay")</f>
        <v>Pay</v>
      </c>
      <c r="E662" s="24" t="str">
        <f>_xlfn.XLOOKUP(tblPayrollMaster[[#This Row],[Employee ID]], tblEmployee[Employee ID], tblEmployee[Payable Flag], "Y")</f>
        <v>Y</v>
      </c>
      <c r="F662" s="45">
        <f>IF(tblPayrollMaster[[#This Row],[Payable Flag]]="N",0,_xlfn.XLOOKUP(tblPayrollMaster[[#This Row],[Employee ID]],tblEmployee[Employee ID],tblEmployee[Pay Factor],1))</f>
        <v>1</v>
      </c>
      <c r="G662" s="26" t="str" cm="1">
        <f t="array" ref="G662">IF(tblPayrollMaster[[#This Row],[Employee ID]]="","",_xlfn.XLOOKUP(selPayPeriodID,tblPayCalendar[PayPeriodID],tblPayCalendar[PeriodStart],""))</f>
        <v/>
      </c>
      <c r="H662" s="26" t="str" cm="1">
        <f t="array" ref="H662">IF(tblPayrollMaster[[#This Row],[Employee ID]]="","",_xlfn.XLOOKUP(selPayPeriodID,tblPayCalendar[PayPeriodID],tblPayCalendar[PeriodEnd],""))</f>
        <v/>
      </c>
      <c r="I662" s="24" t="e" cm="1" vm="1">
        <f t="array" aca="1" ref="I662" ca="1">Table18[Employer Name]</f>
        <v>#VALUE!</v>
      </c>
      <c r="J662" s="3" cm="1">
        <f t="array" ref="J66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62" s="25" t="str">
        <f>_xlfn.XLOOKUP(tblPayrollMaster[[#This Row],[Employee Position]],tblPositionandPayRate[Employee Position],tblPositionandPayRate[Overtime], " ")</f>
        <v xml:space="preserve"> </v>
      </c>
      <c r="L662" s="25">
        <f>_xlfn.XLOOKUP(tblPayrollMaster[[#This Row],[Employee Position]],tblPositionandPayRate[Employee Position],tblPositionandPayRate[Allowance 1],0)*tblPayrollMaster[[#This Row],[Pay Factor]]</f>
        <v>0</v>
      </c>
      <c r="M662" s="25">
        <f>_xlfn.XLOOKUP(tblPayrollMaster[[#This Row],[Employee Position]],tblPositionandPayRate[Employee Position],tblPositionandPayRate[Allowance 2],0)*tblPayrollMaster[[#This Row],[Pay Factor]]</f>
        <v>0</v>
      </c>
      <c r="N662" s="25">
        <f>_xlfn.XLOOKUP(tblPayrollMaster[[#This Row],[Employee Position]],tblPositionandPayRate[Employee Position],tblPositionandPayRate[Allowance 3],0)*tblPayrollMaster[[#This Row],[Pay Factor]]</f>
        <v>0</v>
      </c>
      <c r="O662" s="25">
        <f>_xlfn.XLOOKUP(tblPayrollMaster[[#This Row],[Employee Position]],tblPositionandPayRate[Employee Position],tblPositionandPayRate[Allowance 4],0)*tblPayrollMaster[[#This Row],[Pay Factor]]</f>
        <v>0</v>
      </c>
      <c r="P662" s="25">
        <f>_xlfn.XLOOKUP(tblPayrollMaster[[#This Row],[Employee Position]],tblPositionandPayRate[Employee Position],tblPositionandPayRate[Allowance 5],0)*tblPayrollMaster[[#This Row],[Pay Factor]]</f>
        <v>0</v>
      </c>
      <c r="Q662" s="25">
        <f>SUM(tblPayrollMaster[[#This Row],[Basic Pay]:[Allowance 5]])</f>
        <v>0</v>
      </c>
      <c r="R66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62" s="51" cm="1">
        <f t="array" ref="S6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62" s="3" cm="1">
        <f t="array" ref="T6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62" s="25">
        <f>_xlfn.LET(
_xlpm.tos, _xlfn.XLOOKUP(tblPayrollMaster[[#This Row],[Employee ID]], tblEmployee[Employee ID], tblEmployee[Type of Service], ""),
IF(_xlpm.tos="Contract of Service", 8.25, 0)
)</f>
        <v>0</v>
      </c>
      <c r="V662" s="25">
        <f>tblPayrollMaster[[#This Row],[Basic Earnings]]-tblPayrollMaster[[#This Row],[Tax]]-tblPayrollMaster[[#This Row],[NIS - Employee]]-tblPayrollMaster[[#This Row],[Health Surcharge]]</f>
        <v>0</v>
      </c>
      <c r="W662" s="25">
        <f>tblPayrollMaster[[#This Row],[Net Pay]]</f>
        <v>0</v>
      </c>
      <c r="X662" s="25"/>
    </row>
    <row r="663" spans="1:24" x14ac:dyDescent="0.25">
      <c r="A663" s="24"/>
      <c r="B663" s="24" t="str">
        <f>_xlfn.XLOOKUP(tblPayrollMaster[[#This Row],[Employee ID]],tblEmployee[Employee ID],tblEmployee[Employee Name],"")</f>
        <v/>
      </c>
      <c r="C663" s="24" t="str">
        <f>_xlfn.XLOOKUP(tblPayrollMaster[[#This Row],[Employee ID]],tblEmployee[Employee ID],tblEmployee[Employee Position],"")</f>
        <v/>
      </c>
      <c r="D663" s="24" t="str">
        <f>_xlfn.XLOOKUP(tblPayrollMaster[[#This Row],[Employee ID]], tblEmployee[Employee ID], tblEmployee[Pay Status], "Pay")</f>
        <v>Pay</v>
      </c>
      <c r="E663" s="24" t="str">
        <f>_xlfn.XLOOKUP(tblPayrollMaster[[#This Row],[Employee ID]], tblEmployee[Employee ID], tblEmployee[Payable Flag], "Y")</f>
        <v>Y</v>
      </c>
      <c r="F663" s="45">
        <f>IF(tblPayrollMaster[[#This Row],[Payable Flag]]="N",0,_xlfn.XLOOKUP(tblPayrollMaster[[#This Row],[Employee ID]],tblEmployee[Employee ID],tblEmployee[Pay Factor],1))</f>
        <v>1</v>
      </c>
      <c r="G663" s="26" t="str" cm="1">
        <f t="array" ref="G663">IF(tblPayrollMaster[[#This Row],[Employee ID]]="","",_xlfn.XLOOKUP(selPayPeriodID,tblPayCalendar[PayPeriodID],tblPayCalendar[PeriodStart],""))</f>
        <v/>
      </c>
      <c r="H663" s="26" t="str" cm="1">
        <f t="array" ref="H663">IF(tblPayrollMaster[[#This Row],[Employee ID]]="","",_xlfn.XLOOKUP(selPayPeriodID,tblPayCalendar[PayPeriodID],tblPayCalendar[PeriodEnd],""))</f>
        <v/>
      </c>
      <c r="I663" s="24" t="e" cm="1" vm="1">
        <f t="array" aca="1" ref="I663" ca="1">Table18[Employer Name]</f>
        <v>#VALUE!</v>
      </c>
      <c r="J663" s="3" cm="1">
        <f t="array" ref="J66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63" s="25" t="str">
        <f>_xlfn.XLOOKUP(tblPayrollMaster[[#This Row],[Employee Position]],tblPositionandPayRate[Employee Position],tblPositionandPayRate[Overtime], " ")</f>
        <v xml:space="preserve"> </v>
      </c>
      <c r="L663" s="25">
        <f>_xlfn.XLOOKUP(tblPayrollMaster[[#This Row],[Employee Position]],tblPositionandPayRate[Employee Position],tblPositionandPayRate[Allowance 1],0)*tblPayrollMaster[[#This Row],[Pay Factor]]</f>
        <v>0</v>
      </c>
      <c r="M663" s="25">
        <f>_xlfn.XLOOKUP(tblPayrollMaster[[#This Row],[Employee Position]],tblPositionandPayRate[Employee Position],tblPositionandPayRate[Allowance 2],0)*tblPayrollMaster[[#This Row],[Pay Factor]]</f>
        <v>0</v>
      </c>
      <c r="N663" s="25">
        <f>_xlfn.XLOOKUP(tblPayrollMaster[[#This Row],[Employee Position]],tblPositionandPayRate[Employee Position],tblPositionandPayRate[Allowance 3],0)*tblPayrollMaster[[#This Row],[Pay Factor]]</f>
        <v>0</v>
      </c>
      <c r="O663" s="25">
        <f>_xlfn.XLOOKUP(tblPayrollMaster[[#This Row],[Employee Position]],tblPositionandPayRate[Employee Position],tblPositionandPayRate[Allowance 4],0)*tblPayrollMaster[[#This Row],[Pay Factor]]</f>
        <v>0</v>
      </c>
      <c r="P663" s="25">
        <f>_xlfn.XLOOKUP(tblPayrollMaster[[#This Row],[Employee Position]],tblPositionandPayRate[Employee Position],tblPositionandPayRate[Allowance 5],0)*tblPayrollMaster[[#This Row],[Pay Factor]]</f>
        <v>0</v>
      </c>
      <c r="Q663" s="25">
        <f>SUM(tblPayrollMaster[[#This Row],[Basic Pay]:[Allowance 5]])</f>
        <v>0</v>
      </c>
      <c r="R66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63" s="51" cm="1">
        <f t="array" ref="S6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63" s="3" cm="1">
        <f t="array" ref="T6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63" s="25">
        <f>_xlfn.LET(
_xlpm.tos, _xlfn.XLOOKUP(tblPayrollMaster[[#This Row],[Employee ID]], tblEmployee[Employee ID], tblEmployee[Type of Service], ""),
IF(_xlpm.tos="Contract of Service", 8.25, 0)
)</f>
        <v>0</v>
      </c>
      <c r="V663" s="25">
        <f>tblPayrollMaster[[#This Row],[Basic Earnings]]-tblPayrollMaster[[#This Row],[Tax]]-tblPayrollMaster[[#This Row],[NIS - Employee]]-tblPayrollMaster[[#This Row],[Health Surcharge]]</f>
        <v>0</v>
      </c>
      <c r="W663" s="25">
        <f>tblPayrollMaster[[#This Row],[Net Pay]]</f>
        <v>0</v>
      </c>
      <c r="X663" s="25"/>
    </row>
    <row r="664" spans="1:24" x14ac:dyDescent="0.25">
      <c r="A664" s="24"/>
      <c r="B664" s="24" t="str">
        <f>_xlfn.XLOOKUP(tblPayrollMaster[[#This Row],[Employee ID]],tblEmployee[Employee ID],tblEmployee[Employee Name],"")</f>
        <v/>
      </c>
      <c r="C664" s="24" t="str">
        <f>_xlfn.XLOOKUP(tblPayrollMaster[[#This Row],[Employee ID]],tblEmployee[Employee ID],tblEmployee[Employee Position],"")</f>
        <v/>
      </c>
      <c r="D664" s="24" t="str">
        <f>_xlfn.XLOOKUP(tblPayrollMaster[[#This Row],[Employee ID]], tblEmployee[Employee ID], tblEmployee[Pay Status], "Pay")</f>
        <v>Pay</v>
      </c>
      <c r="E664" s="24" t="str">
        <f>_xlfn.XLOOKUP(tblPayrollMaster[[#This Row],[Employee ID]], tblEmployee[Employee ID], tblEmployee[Payable Flag], "Y")</f>
        <v>Y</v>
      </c>
      <c r="F664" s="45">
        <f>IF(tblPayrollMaster[[#This Row],[Payable Flag]]="N",0,_xlfn.XLOOKUP(tblPayrollMaster[[#This Row],[Employee ID]],tblEmployee[Employee ID],tblEmployee[Pay Factor],1))</f>
        <v>1</v>
      </c>
      <c r="G664" s="26" t="str" cm="1">
        <f t="array" ref="G664">IF(tblPayrollMaster[[#This Row],[Employee ID]]="","",_xlfn.XLOOKUP(selPayPeriodID,tblPayCalendar[PayPeriodID],tblPayCalendar[PeriodStart],""))</f>
        <v/>
      </c>
      <c r="H664" s="26" t="str" cm="1">
        <f t="array" ref="H664">IF(tblPayrollMaster[[#This Row],[Employee ID]]="","",_xlfn.XLOOKUP(selPayPeriodID,tblPayCalendar[PayPeriodID],tblPayCalendar[PeriodEnd],""))</f>
        <v/>
      </c>
      <c r="I664" s="24" t="e" cm="1" vm="1">
        <f t="array" aca="1" ref="I664" ca="1">Table18[Employer Name]</f>
        <v>#VALUE!</v>
      </c>
      <c r="J664" s="3" cm="1">
        <f t="array" ref="J66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64" s="25" t="str">
        <f>_xlfn.XLOOKUP(tblPayrollMaster[[#This Row],[Employee Position]],tblPositionandPayRate[Employee Position],tblPositionandPayRate[Overtime], " ")</f>
        <v xml:space="preserve"> </v>
      </c>
      <c r="L664" s="25">
        <f>_xlfn.XLOOKUP(tblPayrollMaster[[#This Row],[Employee Position]],tblPositionandPayRate[Employee Position],tblPositionandPayRate[Allowance 1],0)*tblPayrollMaster[[#This Row],[Pay Factor]]</f>
        <v>0</v>
      </c>
      <c r="M664" s="25">
        <f>_xlfn.XLOOKUP(tblPayrollMaster[[#This Row],[Employee Position]],tblPositionandPayRate[Employee Position],tblPositionandPayRate[Allowance 2],0)*tblPayrollMaster[[#This Row],[Pay Factor]]</f>
        <v>0</v>
      </c>
      <c r="N664" s="25">
        <f>_xlfn.XLOOKUP(tblPayrollMaster[[#This Row],[Employee Position]],tblPositionandPayRate[Employee Position],tblPositionandPayRate[Allowance 3],0)*tblPayrollMaster[[#This Row],[Pay Factor]]</f>
        <v>0</v>
      </c>
      <c r="O664" s="25">
        <f>_xlfn.XLOOKUP(tblPayrollMaster[[#This Row],[Employee Position]],tblPositionandPayRate[Employee Position],tblPositionandPayRate[Allowance 4],0)*tblPayrollMaster[[#This Row],[Pay Factor]]</f>
        <v>0</v>
      </c>
      <c r="P664" s="25">
        <f>_xlfn.XLOOKUP(tblPayrollMaster[[#This Row],[Employee Position]],tblPositionandPayRate[Employee Position],tblPositionandPayRate[Allowance 5],0)*tblPayrollMaster[[#This Row],[Pay Factor]]</f>
        <v>0</v>
      </c>
      <c r="Q664" s="25">
        <f>SUM(tblPayrollMaster[[#This Row],[Basic Pay]:[Allowance 5]])</f>
        <v>0</v>
      </c>
      <c r="R66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64" s="51" cm="1">
        <f t="array" ref="S6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64" s="3" cm="1">
        <f t="array" ref="T6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64" s="25">
        <f>_xlfn.LET(
_xlpm.tos, _xlfn.XLOOKUP(tblPayrollMaster[[#This Row],[Employee ID]], tblEmployee[Employee ID], tblEmployee[Type of Service], ""),
IF(_xlpm.tos="Contract of Service", 8.25, 0)
)</f>
        <v>0</v>
      </c>
      <c r="V664" s="25">
        <f>tblPayrollMaster[[#This Row],[Basic Earnings]]-tblPayrollMaster[[#This Row],[Tax]]-tblPayrollMaster[[#This Row],[NIS - Employee]]-tblPayrollMaster[[#This Row],[Health Surcharge]]</f>
        <v>0</v>
      </c>
      <c r="W664" s="25">
        <f>tblPayrollMaster[[#This Row],[Net Pay]]</f>
        <v>0</v>
      </c>
      <c r="X664" s="25"/>
    </row>
    <row r="665" spans="1:24" x14ac:dyDescent="0.25">
      <c r="A665" s="24"/>
      <c r="B665" s="24" t="str">
        <f>_xlfn.XLOOKUP(tblPayrollMaster[[#This Row],[Employee ID]],tblEmployee[Employee ID],tblEmployee[Employee Name],"")</f>
        <v/>
      </c>
      <c r="C665" s="24" t="str">
        <f>_xlfn.XLOOKUP(tblPayrollMaster[[#This Row],[Employee ID]],tblEmployee[Employee ID],tblEmployee[Employee Position],"")</f>
        <v/>
      </c>
      <c r="D665" s="24" t="str">
        <f>_xlfn.XLOOKUP(tblPayrollMaster[[#This Row],[Employee ID]], tblEmployee[Employee ID], tblEmployee[Pay Status], "Pay")</f>
        <v>Pay</v>
      </c>
      <c r="E665" s="24" t="str">
        <f>_xlfn.XLOOKUP(tblPayrollMaster[[#This Row],[Employee ID]], tblEmployee[Employee ID], tblEmployee[Payable Flag], "Y")</f>
        <v>Y</v>
      </c>
      <c r="F665" s="45">
        <f>IF(tblPayrollMaster[[#This Row],[Payable Flag]]="N",0,_xlfn.XLOOKUP(tblPayrollMaster[[#This Row],[Employee ID]],tblEmployee[Employee ID],tblEmployee[Pay Factor],1))</f>
        <v>1</v>
      </c>
      <c r="G665" s="26" t="str" cm="1">
        <f t="array" ref="G665">IF(tblPayrollMaster[[#This Row],[Employee ID]]="","",_xlfn.XLOOKUP(selPayPeriodID,tblPayCalendar[PayPeriodID],tblPayCalendar[PeriodStart],""))</f>
        <v/>
      </c>
      <c r="H665" s="26" t="str" cm="1">
        <f t="array" ref="H665">IF(tblPayrollMaster[[#This Row],[Employee ID]]="","",_xlfn.XLOOKUP(selPayPeriodID,tblPayCalendar[PayPeriodID],tblPayCalendar[PeriodEnd],""))</f>
        <v/>
      </c>
      <c r="I665" s="24" t="e" cm="1" vm="1">
        <f t="array" aca="1" ref="I665" ca="1">Table18[Employer Name]</f>
        <v>#VALUE!</v>
      </c>
      <c r="J665" s="3" cm="1">
        <f t="array" ref="J66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65" s="25" t="str">
        <f>_xlfn.XLOOKUP(tblPayrollMaster[[#This Row],[Employee Position]],tblPositionandPayRate[Employee Position],tblPositionandPayRate[Overtime], " ")</f>
        <v xml:space="preserve"> </v>
      </c>
      <c r="L665" s="25">
        <f>_xlfn.XLOOKUP(tblPayrollMaster[[#This Row],[Employee Position]],tblPositionandPayRate[Employee Position],tblPositionandPayRate[Allowance 1],0)*tblPayrollMaster[[#This Row],[Pay Factor]]</f>
        <v>0</v>
      </c>
      <c r="M665" s="25">
        <f>_xlfn.XLOOKUP(tblPayrollMaster[[#This Row],[Employee Position]],tblPositionandPayRate[Employee Position],tblPositionandPayRate[Allowance 2],0)*tblPayrollMaster[[#This Row],[Pay Factor]]</f>
        <v>0</v>
      </c>
      <c r="N665" s="25">
        <f>_xlfn.XLOOKUP(tblPayrollMaster[[#This Row],[Employee Position]],tblPositionandPayRate[Employee Position],tblPositionandPayRate[Allowance 3],0)*tblPayrollMaster[[#This Row],[Pay Factor]]</f>
        <v>0</v>
      </c>
      <c r="O665" s="25">
        <f>_xlfn.XLOOKUP(tblPayrollMaster[[#This Row],[Employee Position]],tblPositionandPayRate[Employee Position],tblPositionandPayRate[Allowance 4],0)*tblPayrollMaster[[#This Row],[Pay Factor]]</f>
        <v>0</v>
      </c>
      <c r="P665" s="25">
        <f>_xlfn.XLOOKUP(tblPayrollMaster[[#This Row],[Employee Position]],tblPositionandPayRate[Employee Position],tblPositionandPayRate[Allowance 5],0)*tblPayrollMaster[[#This Row],[Pay Factor]]</f>
        <v>0</v>
      </c>
      <c r="Q665" s="25">
        <f>SUM(tblPayrollMaster[[#This Row],[Basic Pay]:[Allowance 5]])</f>
        <v>0</v>
      </c>
      <c r="R66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65" s="51" cm="1">
        <f t="array" ref="S6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65" s="3" cm="1">
        <f t="array" ref="T6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65" s="25">
        <f>_xlfn.LET(
_xlpm.tos, _xlfn.XLOOKUP(tblPayrollMaster[[#This Row],[Employee ID]], tblEmployee[Employee ID], tblEmployee[Type of Service], ""),
IF(_xlpm.tos="Contract of Service", 8.25, 0)
)</f>
        <v>0</v>
      </c>
      <c r="V665" s="25">
        <f>tblPayrollMaster[[#This Row],[Basic Earnings]]-tblPayrollMaster[[#This Row],[Tax]]-tblPayrollMaster[[#This Row],[NIS - Employee]]-tblPayrollMaster[[#This Row],[Health Surcharge]]</f>
        <v>0</v>
      </c>
      <c r="W665" s="25">
        <f>tblPayrollMaster[[#This Row],[Net Pay]]</f>
        <v>0</v>
      </c>
      <c r="X665" s="25"/>
    </row>
    <row r="666" spans="1:24" x14ac:dyDescent="0.25">
      <c r="A666" s="24"/>
      <c r="B666" s="24" t="str">
        <f>_xlfn.XLOOKUP(tblPayrollMaster[[#This Row],[Employee ID]],tblEmployee[Employee ID],tblEmployee[Employee Name],"")</f>
        <v/>
      </c>
      <c r="C666" s="24" t="str">
        <f>_xlfn.XLOOKUP(tblPayrollMaster[[#This Row],[Employee ID]],tblEmployee[Employee ID],tblEmployee[Employee Position],"")</f>
        <v/>
      </c>
      <c r="D666" s="24" t="str">
        <f>_xlfn.XLOOKUP(tblPayrollMaster[[#This Row],[Employee ID]], tblEmployee[Employee ID], tblEmployee[Pay Status], "Pay")</f>
        <v>Pay</v>
      </c>
      <c r="E666" s="24" t="str">
        <f>_xlfn.XLOOKUP(tblPayrollMaster[[#This Row],[Employee ID]], tblEmployee[Employee ID], tblEmployee[Payable Flag], "Y")</f>
        <v>Y</v>
      </c>
      <c r="F666" s="45">
        <f>IF(tblPayrollMaster[[#This Row],[Payable Flag]]="N",0,_xlfn.XLOOKUP(tblPayrollMaster[[#This Row],[Employee ID]],tblEmployee[Employee ID],tblEmployee[Pay Factor],1))</f>
        <v>1</v>
      </c>
      <c r="G666" s="26" t="str" cm="1">
        <f t="array" ref="G666">IF(tblPayrollMaster[[#This Row],[Employee ID]]="","",_xlfn.XLOOKUP(selPayPeriodID,tblPayCalendar[PayPeriodID],tblPayCalendar[PeriodStart],""))</f>
        <v/>
      </c>
      <c r="H666" s="26" t="str" cm="1">
        <f t="array" ref="H666">IF(tblPayrollMaster[[#This Row],[Employee ID]]="","",_xlfn.XLOOKUP(selPayPeriodID,tblPayCalendar[PayPeriodID],tblPayCalendar[PeriodEnd],""))</f>
        <v/>
      </c>
      <c r="I666" s="24" t="e" cm="1" vm="1">
        <f t="array" aca="1" ref="I666" ca="1">Table18[Employer Name]</f>
        <v>#VALUE!</v>
      </c>
      <c r="J666" s="3" cm="1">
        <f t="array" ref="J66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66" s="25" t="str">
        <f>_xlfn.XLOOKUP(tblPayrollMaster[[#This Row],[Employee Position]],tblPositionandPayRate[Employee Position],tblPositionandPayRate[Overtime], " ")</f>
        <v xml:space="preserve"> </v>
      </c>
      <c r="L666" s="25">
        <f>_xlfn.XLOOKUP(tblPayrollMaster[[#This Row],[Employee Position]],tblPositionandPayRate[Employee Position],tblPositionandPayRate[Allowance 1],0)*tblPayrollMaster[[#This Row],[Pay Factor]]</f>
        <v>0</v>
      </c>
      <c r="M666" s="25">
        <f>_xlfn.XLOOKUP(tblPayrollMaster[[#This Row],[Employee Position]],tblPositionandPayRate[Employee Position],tblPositionandPayRate[Allowance 2],0)*tblPayrollMaster[[#This Row],[Pay Factor]]</f>
        <v>0</v>
      </c>
      <c r="N666" s="25">
        <f>_xlfn.XLOOKUP(tblPayrollMaster[[#This Row],[Employee Position]],tblPositionandPayRate[Employee Position],tblPositionandPayRate[Allowance 3],0)*tblPayrollMaster[[#This Row],[Pay Factor]]</f>
        <v>0</v>
      </c>
      <c r="O666" s="25">
        <f>_xlfn.XLOOKUP(tblPayrollMaster[[#This Row],[Employee Position]],tblPositionandPayRate[Employee Position],tblPositionandPayRate[Allowance 4],0)*tblPayrollMaster[[#This Row],[Pay Factor]]</f>
        <v>0</v>
      </c>
      <c r="P666" s="25">
        <f>_xlfn.XLOOKUP(tblPayrollMaster[[#This Row],[Employee Position]],tblPositionandPayRate[Employee Position],tblPositionandPayRate[Allowance 5],0)*tblPayrollMaster[[#This Row],[Pay Factor]]</f>
        <v>0</v>
      </c>
      <c r="Q666" s="25">
        <f>SUM(tblPayrollMaster[[#This Row],[Basic Pay]:[Allowance 5]])</f>
        <v>0</v>
      </c>
      <c r="R66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66" s="51" cm="1">
        <f t="array" ref="S6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66" s="3" cm="1">
        <f t="array" ref="T6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66" s="25">
        <f>_xlfn.LET(
_xlpm.tos, _xlfn.XLOOKUP(tblPayrollMaster[[#This Row],[Employee ID]], tblEmployee[Employee ID], tblEmployee[Type of Service], ""),
IF(_xlpm.tos="Contract of Service", 8.25, 0)
)</f>
        <v>0</v>
      </c>
      <c r="V666" s="25">
        <f>tblPayrollMaster[[#This Row],[Basic Earnings]]-tblPayrollMaster[[#This Row],[Tax]]-tblPayrollMaster[[#This Row],[NIS - Employee]]-tblPayrollMaster[[#This Row],[Health Surcharge]]</f>
        <v>0</v>
      </c>
      <c r="W666" s="25">
        <f>tblPayrollMaster[[#This Row],[Net Pay]]</f>
        <v>0</v>
      </c>
      <c r="X666" s="25"/>
    </row>
    <row r="667" spans="1:24" x14ac:dyDescent="0.25">
      <c r="A667" s="24"/>
      <c r="B667" s="24" t="str">
        <f>_xlfn.XLOOKUP(tblPayrollMaster[[#This Row],[Employee ID]],tblEmployee[Employee ID],tblEmployee[Employee Name],"")</f>
        <v/>
      </c>
      <c r="C667" s="24" t="str">
        <f>_xlfn.XLOOKUP(tblPayrollMaster[[#This Row],[Employee ID]],tblEmployee[Employee ID],tblEmployee[Employee Position],"")</f>
        <v/>
      </c>
      <c r="D667" s="24" t="str">
        <f>_xlfn.XLOOKUP(tblPayrollMaster[[#This Row],[Employee ID]], tblEmployee[Employee ID], tblEmployee[Pay Status], "Pay")</f>
        <v>Pay</v>
      </c>
      <c r="E667" s="24" t="str">
        <f>_xlfn.XLOOKUP(tblPayrollMaster[[#This Row],[Employee ID]], tblEmployee[Employee ID], tblEmployee[Payable Flag], "Y")</f>
        <v>Y</v>
      </c>
      <c r="F667" s="45">
        <f>IF(tblPayrollMaster[[#This Row],[Payable Flag]]="N",0,_xlfn.XLOOKUP(tblPayrollMaster[[#This Row],[Employee ID]],tblEmployee[Employee ID],tblEmployee[Pay Factor],1))</f>
        <v>1</v>
      </c>
      <c r="G667" s="26" t="str" cm="1">
        <f t="array" ref="G667">IF(tblPayrollMaster[[#This Row],[Employee ID]]="","",_xlfn.XLOOKUP(selPayPeriodID,tblPayCalendar[PayPeriodID],tblPayCalendar[PeriodStart],""))</f>
        <v/>
      </c>
      <c r="H667" s="26" t="str" cm="1">
        <f t="array" ref="H667">IF(tblPayrollMaster[[#This Row],[Employee ID]]="","",_xlfn.XLOOKUP(selPayPeriodID,tblPayCalendar[PayPeriodID],tblPayCalendar[PeriodEnd],""))</f>
        <v/>
      </c>
      <c r="I667" s="24" t="e" cm="1" vm="1">
        <f t="array" aca="1" ref="I667" ca="1">Table18[Employer Name]</f>
        <v>#VALUE!</v>
      </c>
      <c r="J667" s="3" cm="1">
        <f t="array" ref="J66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67" s="25" t="str">
        <f>_xlfn.XLOOKUP(tblPayrollMaster[[#This Row],[Employee Position]],tblPositionandPayRate[Employee Position],tblPositionandPayRate[Overtime], " ")</f>
        <v xml:space="preserve"> </v>
      </c>
      <c r="L667" s="25">
        <f>_xlfn.XLOOKUP(tblPayrollMaster[[#This Row],[Employee Position]],tblPositionandPayRate[Employee Position],tblPositionandPayRate[Allowance 1],0)*tblPayrollMaster[[#This Row],[Pay Factor]]</f>
        <v>0</v>
      </c>
      <c r="M667" s="25">
        <f>_xlfn.XLOOKUP(tblPayrollMaster[[#This Row],[Employee Position]],tblPositionandPayRate[Employee Position],tblPositionandPayRate[Allowance 2],0)*tblPayrollMaster[[#This Row],[Pay Factor]]</f>
        <v>0</v>
      </c>
      <c r="N667" s="25">
        <f>_xlfn.XLOOKUP(tblPayrollMaster[[#This Row],[Employee Position]],tblPositionandPayRate[Employee Position],tblPositionandPayRate[Allowance 3],0)*tblPayrollMaster[[#This Row],[Pay Factor]]</f>
        <v>0</v>
      </c>
      <c r="O667" s="25">
        <f>_xlfn.XLOOKUP(tblPayrollMaster[[#This Row],[Employee Position]],tblPositionandPayRate[Employee Position],tblPositionandPayRate[Allowance 4],0)*tblPayrollMaster[[#This Row],[Pay Factor]]</f>
        <v>0</v>
      </c>
      <c r="P667" s="25">
        <f>_xlfn.XLOOKUP(tblPayrollMaster[[#This Row],[Employee Position]],tblPositionandPayRate[Employee Position],tblPositionandPayRate[Allowance 5],0)*tblPayrollMaster[[#This Row],[Pay Factor]]</f>
        <v>0</v>
      </c>
      <c r="Q667" s="25">
        <f>SUM(tblPayrollMaster[[#This Row],[Basic Pay]:[Allowance 5]])</f>
        <v>0</v>
      </c>
      <c r="R66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67" s="51" cm="1">
        <f t="array" ref="S6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67" s="3" cm="1">
        <f t="array" ref="T6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67" s="25">
        <f>_xlfn.LET(
_xlpm.tos, _xlfn.XLOOKUP(tblPayrollMaster[[#This Row],[Employee ID]], tblEmployee[Employee ID], tblEmployee[Type of Service], ""),
IF(_xlpm.tos="Contract of Service", 8.25, 0)
)</f>
        <v>0</v>
      </c>
      <c r="V667" s="25">
        <f>tblPayrollMaster[[#This Row],[Basic Earnings]]-tblPayrollMaster[[#This Row],[Tax]]-tblPayrollMaster[[#This Row],[NIS - Employee]]-tblPayrollMaster[[#This Row],[Health Surcharge]]</f>
        <v>0</v>
      </c>
      <c r="W667" s="25">
        <f>tblPayrollMaster[[#This Row],[Net Pay]]</f>
        <v>0</v>
      </c>
      <c r="X667" s="25"/>
    </row>
    <row r="668" spans="1:24" x14ac:dyDescent="0.25">
      <c r="A668" s="24"/>
      <c r="B668" s="24" t="str">
        <f>_xlfn.XLOOKUP(tblPayrollMaster[[#This Row],[Employee ID]],tblEmployee[Employee ID],tblEmployee[Employee Name],"")</f>
        <v/>
      </c>
      <c r="C668" s="24" t="str">
        <f>_xlfn.XLOOKUP(tblPayrollMaster[[#This Row],[Employee ID]],tblEmployee[Employee ID],tblEmployee[Employee Position],"")</f>
        <v/>
      </c>
      <c r="D668" s="24" t="str">
        <f>_xlfn.XLOOKUP(tblPayrollMaster[[#This Row],[Employee ID]], tblEmployee[Employee ID], tblEmployee[Pay Status], "Pay")</f>
        <v>Pay</v>
      </c>
      <c r="E668" s="24" t="str">
        <f>_xlfn.XLOOKUP(tblPayrollMaster[[#This Row],[Employee ID]], tblEmployee[Employee ID], tblEmployee[Payable Flag], "Y")</f>
        <v>Y</v>
      </c>
      <c r="F668" s="45">
        <f>IF(tblPayrollMaster[[#This Row],[Payable Flag]]="N",0,_xlfn.XLOOKUP(tblPayrollMaster[[#This Row],[Employee ID]],tblEmployee[Employee ID],tblEmployee[Pay Factor],1))</f>
        <v>1</v>
      </c>
      <c r="G668" s="26" t="str" cm="1">
        <f t="array" ref="G668">IF(tblPayrollMaster[[#This Row],[Employee ID]]="","",_xlfn.XLOOKUP(selPayPeriodID,tblPayCalendar[PayPeriodID],tblPayCalendar[PeriodStart],""))</f>
        <v/>
      </c>
      <c r="H668" s="26" t="str" cm="1">
        <f t="array" ref="H668">IF(tblPayrollMaster[[#This Row],[Employee ID]]="","",_xlfn.XLOOKUP(selPayPeriodID,tblPayCalendar[PayPeriodID],tblPayCalendar[PeriodEnd],""))</f>
        <v/>
      </c>
      <c r="I668" s="24" t="e" cm="1" vm="1">
        <f t="array" aca="1" ref="I668" ca="1">Table18[Employer Name]</f>
        <v>#VALUE!</v>
      </c>
      <c r="J668" s="3" cm="1">
        <f t="array" ref="J66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68" s="25" t="str">
        <f>_xlfn.XLOOKUP(tblPayrollMaster[[#This Row],[Employee Position]],tblPositionandPayRate[Employee Position],tblPositionandPayRate[Overtime], " ")</f>
        <v xml:space="preserve"> </v>
      </c>
      <c r="L668" s="25">
        <f>_xlfn.XLOOKUP(tblPayrollMaster[[#This Row],[Employee Position]],tblPositionandPayRate[Employee Position],tblPositionandPayRate[Allowance 1],0)*tblPayrollMaster[[#This Row],[Pay Factor]]</f>
        <v>0</v>
      </c>
      <c r="M668" s="25">
        <f>_xlfn.XLOOKUP(tblPayrollMaster[[#This Row],[Employee Position]],tblPositionandPayRate[Employee Position],tblPositionandPayRate[Allowance 2],0)*tblPayrollMaster[[#This Row],[Pay Factor]]</f>
        <v>0</v>
      </c>
      <c r="N668" s="25">
        <f>_xlfn.XLOOKUP(tblPayrollMaster[[#This Row],[Employee Position]],tblPositionandPayRate[Employee Position],tblPositionandPayRate[Allowance 3],0)*tblPayrollMaster[[#This Row],[Pay Factor]]</f>
        <v>0</v>
      </c>
      <c r="O668" s="25">
        <f>_xlfn.XLOOKUP(tblPayrollMaster[[#This Row],[Employee Position]],tblPositionandPayRate[Employee Position],tblPositionandPayRate[Allowance 4],0)*tblPayrollMaster[[#This Row],[Pay Factor]]</f>
        <v>0</v>
      </c>
      <c r="P668" s="25">
        <f>_xlfn.XLOOKUP(tblPayrollMaster[[#This Row],[Employee Position]],tblPositionandPayRate[Employee Position],tblPositionandPayRate[Allowance 5],0)*tblPayrollMaster[[#This Row],[Pay Factor]]</f>
        <v>0</v>
      </c>
      <c r="Q668" s="25">
        <f>SUM(tblPayrollMaster[[#This Row],[Basic Pay]:[Allowance 5]])</f>
        <v>0</v>
      </c>
      <c r="R66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68" s="51" cm="1">
        <f t="array" ref="S6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68" s="3" cm="1">
        <f t="array" ref="T6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68" s="25">
        <f>_xlfn.LET(
_xlpm.tos, _xlfn.XLOOKUP(tblPayrollMaster[[#This Row],[Employee ID]], tblEmployee[Employee ID], tblEmployee[Type of Service], ""),
IF(_xlpm.tos="Contract of Service", 8.25, 0)
)</f>
        <v>0</v>
      </c>
      <c r="V668" s="25">
        <f>tblPayrollMaster[[#This Row],[Basic Earnings]]-tblPayrollMaster[[#This Row],[Tax]]-tblPayrollMaster[[#This Row],[NIS - Employee]]-tblPayrollMaster[[#This Row],[Health Surcharge]]</f>
        <v>0</v>
      </c>
      <c r="W668" s="25">
        <f>tblPayrollMaster[[#This Row],[Net Pay]]</f>
        <v>0</v>
      </c>
      <c r="X668" s="25"/>
    </row>
    <row r="669" spans="1:24" x14ac:dyDescent="0.25">
      <c r="A669" s="24"/>
      <c r="B669" s="24" t="str">
        <f>_xlfn.XLOOKUP(tblPayrollMaster[[#This Row],[Employee ID]],tblEmployee[Employee ID],tblEmployee[Employee Name],"")</f>
        <v/>
      </c>
      <c r="C669" s="24" t="str">
        <f>_xlfn.XLOOKUP(tblPayrollMaster[[#This Row],[Employee ID]],tblEmployee[Employee ID],tblEmployee[Employee Position],"")</f>
        <v/>
      </c>
      <c r="D669" s="24" t="str">
        <f>_xlfn.XLOOKUP(tblPayrollMaster[[#This Row],[Employee ID]], tblEmployee[Employee ID], tblEmployee[Pay Status], "Pay")</f>
        <v>Pay</v>
      </c>
      <c r="E669" s="24" t="str">
        <f>_xlfn.XLOOKUP(tblPayrollMaster[[#This Row],[Employee ID]], tblEmployee[Employee ID], tblEmployee[Payable Flag], "Y")</f>
        <v>Y</v>
      </c>
      <c r="F669" s="45">
        <f>IF(tblPayrollMaster[[#This Row],[Payable Flag]]="N",0,_xlfn.XLOOKUP(tblPayrollMaster[[#This Row],[Employee ID]],tblEmployee[Employee ID],tblEmployee[Pay Factor],1))</f>
        <v>1</v>
      </c>
      <c r="G669" s="26" t="str" cm="1">
        <f t="array" ref="G669">IF(tblPayrollMaster[[#This Row],[Employee ID]]="","",_xlfn.XLOOKUP(selPayPeriodID,tblPayCalendar[PayPeriodID],tblPayCalendar[PeriodStart],""))</f>
        <v/>
      </c>
      <c r="H669" s="26" t="str" cm="1">
        <f t="array" ref="H669">IF(tblPayrollMaster[[#This Row],[Employee ID]]="","",_xlfn.XLOOKUP(selPayPeriodID,tblPayCalendar[PayPeriodID],tblPayCalendar[PeriodEnd],""))</f>
        <v/>
      </c>
      <c r="I669" s="24" t="e" cm="1" vm="1">
        <f t="array" aca="1" ref="I669" ca="1">Table18[Employer Name]</f>
        <v>#VALUE!</v>
      </c>
      <c r="J669" s="3" cm="1">
        <f t="array" ref="J66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69" s="25" t="str">
        <f>_xlfn.XLOOKUP(tblPayrollMaster[[#This Row],[Employee Position]],tblPositionandPayRate[Employee Position],tblPositionandPayRate[Overtime], " ")</f>
        <v xml:space="preserve"> </v>
      </c>
      <c r="L669" s="25">
        <f>_xlfn.XLOOKUP(tblPayrollMaster[[#This Row],[Employee Position]],tblPositionandPayRate[Employee Position],tblPositionandPayRate[Allowance 1],0)*tblPayrollMaster[[#This Row],[Pay Factor]]</f>
        <v>0</v>
      </c>
      <c r="M669" s="25">
        <f>_xlfn.XLOOKUP(tblPayrollMaster[[#This Row],[Employee Position]],tblPositionandPayRate[Employee Position],tblPositionandPayRate[Allowance 2],0)*tblPayrollMaster[[#This Row],[Pay Factor]]</f>
        <v>0</v>
      </c>
      <c r="N669" s="25">
        <f>_xlfn.XLOOKUP(tblPayrollMaster[[#This Row],[Employee Position]],tblPositionandPayRate[Employee Position],tblPositionandPayRate[Allowance 3],0)*tblPayrollMaster[[#This Row],[Pay Factor]]</f>
        <v>0</v>
      </c>
      <c r="O669" s="25">
        <f>_xlfn.XLOOKUP(tblPayrollMaster[[#This Row],[Employee Position]],tblPositionandPayRate[Employee Position],tblPositionandPayRate[Allowance 4],0)*tblPayrollMaster[[#This Row],[Pay Factor]]</f>
        <v>0</v>
      </c>
      <c r="P669" s="25">
        <f>_xlfn.XLOOKUP(tblPayrollMaster[[#This Row],[Employee Position]],tblPositionandPayRate[Employee Position],tblPositionandPayRate[Allowance 5],0)*tblPayrollMaster[[#This Row],[Pay Factor]]</f>
        <v>0</v>
      </c>
      <c r="Q669" s="25">
        <f>SUM(tblPayrollMaster[[#This Row],[Basic Pay]:[Allowance 5]])</f>
        <v>0</v>
      </c>
      <c r="R66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69" s="51" cm="1">
        <f t="array" ref="S6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69" s="3" cm="1">
        <f t="array" ref="T6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69" s="25">
        <f>_xlfn.LET(
_xlpm.tos, _xlfn.XLOOKUP(tblPayrollMaster[[#This Row],[Employee ID]], tblEmployee[Employee ID], tblEmployee[Type of Service], ""),
IF(_xlpm.tos="Contract of Service", 8.25, 0)
)</f>
        <v>0</v>
      </c>
      <c r="V669" s="25">
        <f>tblPayrollMaster[[#This Row],[Basic Earnings]]-tblPayrollMaster[[#This Row],[Tax]]-tblPayrollMaster[[#This Row],[NIS - Employee]]-tblPayrollMaster[[#This Row],[Health Surcharge]]</f>
        <v>0</v>
      </c>
      <c r="W669" s="25">
        <f>tblPayrollMaster[[#This Row],[Net Pay]]</f>
        <v>0</v>
      </c>
      <c r="X669" s="25"/>
    </row>
    <row r="670" spans="1:24" x14ac:dyDescent="0.25">
      <c r="A670" s="24"/>
      <c r="B670" s="24" t="str">
        <f>_xlfn.XLOOKUP(tblPayrollMaster[[#This Row],[Employee ID]],tblEmployee[Employee ID],tblEmployee[Employee Name],"")</f>
        <v/>
      </c>
      <c r="C670" s="24" t="str">
        <f>_xlfn.XLOOKUP(tblPayrollMaster[[#This Row],[Employee ID]],tblEmployee[Employee ID],tblEmployee[Employee Position],"")</f>
        <v/>
      </c>
      <c r="D670" s="24" t="str">
        <f>_xlfn.XLOOKUP(tblPayrollMaster[[#This Row],[Employee ID]], tblEmployee[Employee ID], tblEmployee[Pay Status], "Pay")</f>
        <v>Pay</v>
      </c>
      <c r="E670" s="24" t="str">
        <f>_xlfn.XLOOKUP(tblPayrollMaster[[#This Row],[Employee ID]], tblEmployee[Employee ID], tblEmployee[Payable Flag], "Y")</f>
        <v>Y</v>
      </c>
      <c r="F670" s="45">
        <f>IF(tblPayrollMaster[[#This Row],[Payable Flag]]="N",0,_xlfn.XLOOKUP(tblPayrollMaster[[#This Row],[Employee ID]],tblEmployee[Employee ID],tblEmployee[Pay Factor],1))</f>
        <v>1</v>
      </c>
      <c r="G670" s="26" t="str" cm="1">
        <f t="array" ref="G670">IF(tblPayrollMaster[[#This Row],[Employee ID]]="","",_xlfn.XLOOKUP(selPayPeriodID,tblPayCalendar[PayPeriodID],tblPayCalendar[PeriodStart],""))</f>
        <v/>
      </c>
      <c r="H670" s="26" t="str" cm="1">
        <f t="array" ref="H670">IF(tblPayrollMaster[[#This Row],[Employee ID]]="","",_xlfn.XLOOKUP(selPayPeriodID,tblPayCalendar[PayPeriodID],tblPayCalendar[PeriodEnd],""))</f>
        <v/>
      </c>
      <c r="I670" s="24" t="e" cm="1" vm="1">
        <f t="array" aca="1" ref="I670" ca="1">Table18[Employer Name]</f>
        <v>#VALUE!</v>
      </c>
      <c r="J670" s="3" cm="1">
        <f t="array" ref="J67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70" s="25" t="str">
        <f>_xlfn.XLOOKUP(tblPayrollMaster[[#This Row],[Employee Position]],tblPositionandPayRate[Employee Position],tblPositionandPayRate[Overtime], " ")</f>
        <v xml:space="preserve"> </v>
      </c>
      <c r="L670" s="25">
        <f>_xlfn.XLOOKUP(tblPayrollMaster[[#This Row],[Employee Position]],tblPositionandPayRate[Employee Position],tblPositionandPayRate[Allowance 1],0)*tblPayrollMaster[[#This Row],[Pay Factor]]</f>
        <v>0</v>
      </c>
      <c r="M670" s="25">
        <f>_xlfn.XLOOKUP(tblPayrollMaster[[#This Row],[Employee Position]],tblPositionandPayRate[Employee Position],tblPositionandPayRate[Allowance 2],0)*tblPayrollMaster[[#This Row],[Pay Factor]]</f>
        <v>0</v>
      </c>
      <c r="N670" s="25">
        <f>_xlfn.XLOOKUP(tblPayrollMaster[[#This Row],[Employee Position]],tblPositionandPayRate[Employee Position],tblPositionandPayRate[Allowance 3],0)*tblPayrollMaster[[#This Row],[Pay Factor]]</f>
        <v>0</v>
      </c>
      <c r="O670" s="25">
        <f>_xlfn.XLOOKUP(tblPayrollMaster[[#This Row],[Employee Position]],tblPositionandPayRate[Employee Position],tblPositionandPayRate[Allowance 4],0)*tblPayrollMaster[[#This Row],[Pay Factor]]</f>
        <v>0</v>
      </c>
      <c r="P670" s="25">
        <f>_xlfn.XLOOKUP(tblPayrollMaster[[#This Row],[Employee Position]],tblPositionandPayRate[Employee Position],tblPositionandPayRate[Allowance 5],0)*tblPayrollMaster[[#This Row],[Pay Factor]]</f>
        <v>0</v>
      </c>
      <c r="Q670" s="25">
        <f>SUM(tblPayrollMaster[[#This Row],[Basic Pay]:[Allowance 5]])</f>
        <v>0</v>
      </c>
      <c r="R67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70" s="51" cm="1">
        <f t="array" ref="S6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70" s="3" cm="1">
        <f t="array" ref="T6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70" s="25">
        <f>_xlfn.LET(
_xlpm.tos, _xlfn.XLOOKUP(tblPayrollMaster[[#This Row],[Employee ID]], tblEmployee[Employee ID], tblEmployee[Type of Service], ""),
IF(_xlpm.tos="Contract of Service", 8.25, 0)
)</f>
        <v>0</v>
      </c>
      <c r="V670" s="25">
        <f>tblPayrollMaster[[#This Row],[Basic Earnings]]-tblPayrollMaster[[#This Row],[Tax]]-tblPayrollMaster[[#This Row],[NIS - Employee]]-tblPayrollMaster[[#This Row],[Health Surcharge]]</f>
        <v>0</v>
      </c>
      <c r="W670" s="25">
        <f>tblPayrollMaster[[#This Row],[Net Pay]]</f>
        <v>0</v>
      </c>
      <c r="X670" s="25"/>
    </row>
    <row r="671" spans="1:24" x14ac:dyDescent="0.25">
      <c r="A671" s="24"/>
      <c r="B671" s="24" t="str">
        <f>_xlfn.XLOOKUP(tblPayrollMaster[[#This Row],[Employee ID]],tblEmployee[Employee ID],tblEmployee[Employee Name],"")</f>
        <v/>
      </c>
      <c r="C671" s="24" t="str">
        <f>_xlfn.XLOOKUP(tblPayrollMaster[[#This Row],[Employee ID]],tblEmployee[Employee ID],tblEmployee[Employee Position],"")</f>
        <v/>
      </c>
      <c r="D671" s="24" t="str">
        <f>_xlfn.XLOOKUP(tblPayrollMaster[[#This Row],[Employee ID]], tblEmployee[Employee ID], tblEmployee[Pay Status], "Pay")</f>
        <v>Pay</v>
      </c>
      <c r="E671" s="24" t="str">
        <f>_xlfn.XLOOKUP(tblPayrollMaster[[#This Row],[Employee ID]], tblEmployee[Employee ID], tblEmployee[Payable Flag], "Y")</f>
        <v>Y</v>
      </c>
      <c r="F671" s="45">
        <f>IF(tblPayrollMaster[[#This Row],[Payable Flag]]="N",0,_xlfn.XLOOKUP(tblPayrollMaster[[#This Row],[Employee ID]],tblEmployee[Employee ID],tblEmployee[Pay Factor],1))</f>
        <v>1</v>
      </c>
      <c r="G671" s="26" t="str" cm="1">
        <f t="array" ref="G671">IF(tblPayrollMaster[[#This Row],[Employee ID]]="","",_xlfn.XLOOKUP(selPayPeriodID,tblPayCalendar[PayPeriodID],tblPayCalendar[PeriodStart],""))</f>
        <v/>
      </c>
      <c r="H671" s="26" t="str" cm="1">
        <f t="array" ref="H671">IF(tblPayrollMaster[[#This Row],[Employee ID]]="","",_xlfn.XLOOKUP(selPayPeriodID,tblPayCalendar[PayPeriodID],tblPayCalendar[PeriodEnd],""))</f>
        <v/>
      </c>
      <c r="I671" s="24" t="e" cm="1" vm="1">
        <f t="array" aca="1" ref="I671" ca="1">Table18[Employer Name]</f>
        <v>#VALUE!</v>
      </c>
      <c r="J671" s="3" cm="1">
        <f t="array" ref="J67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71" s="25" t="str">
        <f>_xlfn.XLOOKUP(tblPayrollMaster[[#This Row],[Employee Position]],tblPositionandPayRate[Employee Position],tblPositionandPayRate[Overtime], " ")</f>
        <v xml:space="preserve"> </v>
      </c>
      <c r="L671" s="25">
        <f>_xlfn.XLOOKUP(tblPayrollMaster[[#This Row],[Employee Position]],tblPositionandPayRate[Employee Position],tblPositionandPayRate[Allowance 1],0)*tblPayrollMaster[[#This Row],[Pay Factor]]</f>
        <v>0</v>
      </c>
      <c r="M671" s="25">
        <f>_xlfn.XLOOKUP(tblPayrollMaster[[#This Row],[Employee Position]],tblPositionandPayRate[Employee Position],tblPositionandPayRate[Allowance 2],0)*tblPayrollMaster[[#This Row],[Pay Factor]]</f>
        <v>0</v>
      </c>
      <c r="N671" s="25">
        <f>_xlfn.XLOOKUP(tblPayrollMaster[[#This Row],[Employee Position]],tblPositionandPayRate[Employee Position],tblPositionandPayRate[Allowance 3],0)*tblPayrollMaster[[#This Row],[Pay Factor]]</f>
        <v>0</v>
      </c>
      <c r="O671" s="25">
        <f>_xlfn.XLOOKUP(tblPayrollMaster[[#This Row],[Employee Position]],tblPositionandPayRate[Employee Position],tblPositionandPayRate[Allowance 4],0)*tblPayrollMaster[[#This Row],[Pay Factor]]</f>
        <v>0</v>
      </c>
      <c r="P671" s="25">
        <f>_xlfn.XLOOKUP(tblPayrollMaster[[#This Row],[Employee Position]],tblPositionandPayRate[Employee Position],tblPositionandPayRate[Allowance 5],0)*tblPayrollMaster[[#This Row],[Pay Factor]]</f>
        <v>0</v>
      </c>
      <c r="Q671" s="25">
        <f>SUM(tblPayrollMaster[[#This Row],[Basic Pay]:[Allowance 5]])</f>
        <v>0</v>
      </c>
      <c r="R67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71" s="51" cm="1">
        <f t="array" ref="S6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71" s="3" cm="1">
        <f t="array" ref="T6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71" s="25">
        <f>_xlfn.LET(
_xlpm.tos, _xlfn.XLOOKUP(tblPayrollMaster[[#This Row],[Employee ID]], tblEmployee[Employee ID], tblEmployee[Type of Service], ""),
IF(_xlpm.tos="Contract of Service", 8.25, 0)
)</f>
        <v>0</v>
      </c>
      <c r="V671" s="25">
        <f>tblPayrollMaster[[#This Row],[Basic Earnings]]-tblPayrollMaster[[#This Row],[Tax]]-tblPayrollMaster[[#This Row],[NIS - Employee]]-tblPayrollMaster[[#This Row],[Health Surcharge]]</f>
        <v>0</v>
      </c>
      <c r="W671" s="25">
        <f>tblPayrollMaster[[#This Row],[Net Pay]]</f>
        <v>0</v>
      </c>
      <c r="X671" s="25"/>
    </row>
    <row r="672" spans="1:24" x14ac:dyDescent="0.25">
      <c r="A672" s="24"/>
      <c r="B672" s="24" t="str">
        <f>_xlfn.XLOOKUP(tblPayrollMaster[[#This Row],[Employee ID]],tblEmployee[Employee ID],tblEmployee[Employee Name],"")</f>
        <v/>
      </c>
      <c r="C672" s="24" t="str">
        <f>_xlfn.XLOOKUP(tblPayrollMaster[[#This Row],[Employee ID]],tblEmployee[Employee ID],tblEmployee[Employee Position],"")</f>
        <v/>
      </c>
      <c r="D672" s="24" t="str">
        <f>_xlfn.XLOOKUP(tblPayrollMaster[[#This Row],[Employee ID]], tblEmployee[Employee ID], tblEmployee[Pay Status], "Pay")</f>
        <v>Pay</v>
      </c>
      <c r="E672" s="24" t="str">
        <f>_xlfn.XLOOKUP(tblPayrollMaster[[#This Row],[Employee ID]], tblEmployee[Employee ID], tblEmployee[Payable Flag], "Y")</f>
        <v>Y</v>
      </c>
      <c r="F672" s="45">
        <f>IF(tblPayrollMaster[[#This Row],[Payable Flag]]="N",0,_xlfn.XLOOKUP(tblPayrollMaster[[#This Row],[Employee ID]],tblEmployee[Employee ID],tblEmployee[Pay Factor],1))</f>
        <v>1</v>
      </c>
      <c r="G672" s="26" t="str" cm="1">
        <f t="array" ref="G672">IF(tblPayrollMaster[[#This Row],[Employee ID]]="","",_xlfn.XLOOKUP(selPayPeriodID,tblPayCalendar[PayPeriodID],tblPayCalendar[PeriodStart],""))</f>
        <v/>
      </c>
      <c r="H672" s="26" t="str" cm="1">
        <f t="array" ref="H672">IF(tblPayrollMaster[[#This Row],[Employee ID]]="","",_xlfn.XLOOKUP(selPayPeriodID,tblPayCalendar[PayPeriodID],tblPayCalendar[PeriodEnd],""))</f>
        <v/>
      </c>
      <c r="I672" s="24" t="e" cm="1" vm="1">
        <f t="array" aca="1" ref="I672" ca="1">Table18[Employer Name]</f>
        <v>#VALUE!</v>
      </c>
      <c r="J672" s="3" cm="1">
        <f t="array" ref="J67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72" s="25" t="str">
        <f>_xlfn.XLOOKUP(tblPayrollMaster[[#This Row],[Employee Position]],tblPositionandPayRate[Employee Position],tblPositionandPayRate[Overtime], " ")</f>
        <v xml:space="preserve"> </v>
      </c>
      <c r="L672" s="25">
        <f>_xlfn.XLOOKUP(tblPayrollMaster[[#This Row],[Employee Position]],tblPositionandPayRate[Employee Position],tblPositionandPayRate[Allowance 1],0)*tblPayrollMaster[[#This Row],[Pay Factor]]</f>
        <v>0</v>
      </c>
      <c r="M672" s="25">
        <f>_xlfn.XLOOKUP(tblPayrollMaster[[#This Row],[Employee Position]],tblPositionandPayRate[Employee Position],tblPositionandPayRate[Allowance 2],0)*tblPayrollMaster[[#This Row],[Pay Factor]]</f>
        <v>0</v>
      </c>
      <c r="N672" s="25">
        <f>_xlfn.XLOOKUP(tblPayrollMaster[[#This Row],[Employee Position]],tblPositionandPayRate[Employee Position],tblPositionandPayRate[Allowance 3],0)*tblPayrollMaster[[#This Row],[Pay Factor]]</f>
        <v>0</v>
      </c>
      <c r="O672" s="25">
        <f>_xlfn.XLOOKUP(tblPayrollMaster[[#This Row],[Employee Position]],tblPositionandPayRate[Employee Position],tblPositionandPayRate[Allowance 4],0)*tblPayrollMaster[[#This Row],[Pay Factor]]</f>
        <v>0</v>
      </c>
      <c r="P672" s="25">
        <f>_xlfn.XLOOKUP(tblPayrollMaster[[#This Row],[Employee Position]],tblPositionandPayRate[Employee Position],tblPositionandPayRate[Allowance 5],0)*tblPayrollMaster[[#This Row],[Pay Factor]]</f>
        <v>0</v>
      </c>
      <c r="Q672" s="25">
        <f>SUM(tblPayrollMaster[[#This Row],[Basic Pay]:[Allowance 5]])</f>
        <v>0</v>
      </c>
      <c r="R67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72" s="51" cm="1">
        <f t="array" ref="S6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72" s="3" cm="1">
        <f t="array" ref="T6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72" s="25">
        <f>_xlfn.LET(
_xlpm.tos, _xlfn.XLOOKUP(tblPayrollMaster[[#This Row],[Employee ID]], tblEmployee[Employee ID], tblEmployee[Type of Service], ""),
IF(_xlpm.tos="Contract of Service", 8.25, 0)
)</f>
        <v>0</v>
      </c>
      <c r="V672" s="25">
        <f>tblPayrollMaster[[#This Row],[Basic Earnings]]-tblPayrollMaster[[#This Row],[Tax]]-tblPayrollMaster[[#This Row],[NIS - Employee]]-tblPayrollMaster[[#This Row],[Health Surcharge]]</f>
        <v>0</v>
      </c>
      <c r="W672" s="25">
        <f>tblPayrollMaster[[#This Row],[Net Pay]]</f>
        <v>0</v>
      </c>
      <c r="X672" s="25"/>
    </row>
    <row r="673" spans="1:24" x14ac:dyDescent="0.25">
      <c r="A673" s="24"/>
      <c r="B673" s="24" t="str">
        <f>_xlfn.XLOOKUP(tblPayrollMaster[[#This Row],[Employee ID]],tblEmployee[Employee ID],tblEmployee[Employee Name],"")</f>
        <v/>
      </c>
      <c r="C673" s="24" t="str">
        <f>_xlfn.XLOOKUP(tblPayrollMaster[[#This Row],[Employee ID]],tblEmployee[Employee ID],tblEmployee[Employee Position],"")</f>
        <v/>
      </c>
      <c r="D673" s="24" t="str">
        <f>_xlfn.XLOOKUP(tblPayrollMaster[[#This Row],[Employee ID]], tblEmployee[Employee ID], tblEmployee[Pay Status], "Pay")</f>
        <v>Pay</v>
      </c>
      <c r="E673" s="24" t="str">
        <f>_xlfn.XLOOKUP(tblPayrollMaster[[#This Row],[Employee ID]], tblEmployee[Employee ID], tblEmployee[Payable Flag], "Y")</f>
        <v>Y</v>
      </c>
      <c r="F673" s="45">
        <f>IF(tblPayrollMaster[[#This Row],[Payable Flag]]="N",0,_xlfn.XLOOKUP(tblPayrollMaster[[#This Row],[Employee ID]],tblEmployee[Employee ID],tblEmployee[Pay Factor],1))</f>
        <v>1</v>
      </c>
      <c r="G673" s="26" t="str" cm="1">
        <f t="array" ref="G673">IF(tblPayrollMaster[[#This Row],[Employee ID]]="","",_xlfn.XLOOKUP(selPayPeriodID,tblPayCalendar[PayPeriodID],tblPayCalendar[PeriodStart],""))</f>
        <v/>
      </c>
      <c r="H673" s="26" t="str" cm="1">
        <f t="array" ref="H673">IF(tblPayrollMaster[[#This Row],[Employee ID]]="","",_xlfn.XLOOKUP(selPayPeriodID,tblPayCalendar[PayPeriodID],tblPayCalendar[PeriodEnd],""))</f>
        <v/>
      </c>
      <c r="I673" s="24" t="e" cm="1" vm="1">
        <f t="array" aca="1" ref="I673" ca="1">Table18[Employer Name]</f>
        <v>#VALUE!</v>
      </c>
      <c r="J673" s="3" cm="1">
        <f t="array" ref="J67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73" s="25" t="str">
        <f>_xlfn.XLOOKUP(tblPayrollMaster[[#This Row],[Employee Position]],tblPositionandPayRate[Employee Position],tblPositionandPayRate[Overtime], " ")</f>
        <v xml:space="preserve"> </v>
      </c>
      <c r="L673" s="25">
        <f>_xlfn.XLOOKUP(tblPayrollMaster[[#This Row],[Employee Position]],tblPositionandPayRate[Employee Position],tblPositionandPayRate[Allowance 1],0)*tblPayrollMaster[[#This Row],[Pay Factor]]</f>
        <v>0</v>
      </c>
      <c r="M673" s="25">
        <f>_xlfn.XLOOKUP(tblPayrollMaster[[#This Row],[Employee Position]],tblPositionandPayRate[Employee Position],tblPositionandPayRate[Allowance 2],0)*tblPayrollMaster[[#This Row],[Pay Factor]]</f>
        <v>0</v>
      </c>
      <c r="N673" s="25">
        <f>_xlfn.XLOOKUP(tblPayrollMaster[[#This Row],[Employee Position]],tblPositionandPayRate[Employee Position],tblPositionandPayRate[Allowance 3],0)*tblPayrollMaster[[#This Row],[Pay Factor]]</f>
        <v>0</v>
      </c>
      <c r="O673" s="25">
        <f>_xlfn.XLOOKUP(tblPayrollMaster[[#This Row],[Employee Position]],tblPositionandPayRate[Employee Position],tblPositionandPayRate[Allowance 4],0)*tblPayrollMaster[[#This Row],[Pay Factor]]</f>
        <v>0</v>
      </c>
      <c r="P673" s="25">
        <f>_xlfn.XLOOKUP(tblPayrollMaster[[#This Row],[Employee Position]],tblPositionandPayRate[Employee Position],tblPositionandPayRate[Allowance 5],0)*tblPayrollMaster[[#This Row],[Pay Factor]]</f>
        <v>0</v>
      </c>
      <c r="Q673" s="25">
        <f>SUM(tblPayrollMaster[[#This Row],[Basic Pay]:[Allowance 5]])</f>
        <v>0</v>
      </c>
      <c r="R67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73" s="51" cm="1">
        <f t="array" ref="S6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73" s="3" cm="1">
        <f t="array" ref="T6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73" s="25">
        <f>_xlfn.LET(
_xlpm.tos, _xlfn.XLOOKUP(tblPayrollMaster[[#This Row],[Employee ID]], tblEmployee[Employee ID], tblEmployee[Type of Service], ""),
IF(_xlpm.tos="Contract of Service", 8.25, 0)
)</f>
        <v>0</v>
      </c>
      <c r="V673" s="25">
        <f>tblPayrollMaster[[#This Row],[Basic Earnings]]-tblPayrollMaster[[#This Row],[Tax]]-tblPayrollMaster[[#This Row],[NIS - Employee]]-tblPayrollMaster[[#This Row],[Health Surcharge]]</f>
        <v>0</v>
      </c>
      <c r="W673" s="25">
        <f>tblPayrollMaster[[#This Row],[Net Pay]]</f>
        <v>0</v>
      </c>
      <c r="X673" s="25"/>
    </row>
    <row r="674" spans="1:24" x14ac:dyDescent="0.25">
      <c r="A674" s="24"/>
      <c r="B674" s="24" t="str">
        <f>_xlfn.XLOOKUP(tblPayrollMaster[[#This Row],[Employee ID]],tblEmployee[Employee ID],tblEmployee[Employee Name],"")</f>
        <v/>
      </c>
      <c r="C674" s="24" t="str">
        <f>_xlfn.XLOOKUP(tblPayrollMaster[[#This Row],[Employee ID]],tblEmployee[Employee ID],tblEmployee[Employee Position],"")</f>
        <v/>
      </c>
      <c r="D674" s="24" t="str">
        <f>_xlfn.XLOOKUP(tblPayrollMaster[[#This Row],[Employee ID]], tblEmployee[Employee ID], tblEmployee[Pay Status], "Pay")</f>
        <v>Pay</v>
      </c>
      <c r="E674" s="24" t="str">
        <f>_xlfn.XLOOKUP(tblPayrollMaster[[#This Row],[Employee ID]], tblEmployee[Employee ID], tblEmployee[Payable Flag], "Y")</f>
        <v>Y</v>
      </c>
      <c r="F674" s="45">
        <f>IF(tblPayrollMaster[[#This Row],[Payable Flag]]="N",0,_xlfn.XLOOKUP(tblPayrollMaster[[#This Row],[Employee ID]],tblEmployee[Employee ID],tblEmployee[Pay Factor],1))</f>
        <v>1</v>
      </c>
      <c r="G674" s="26" t="str" cm="1">
        <f t="array" ref="G674">IF(tblPayrollMaster[[#This Row],[Employee ID]]="","",_xlfn.XLOOKUP(selPayPeriodID,tblPayCalendar[PayPeriodID],tblPayCalendar[PeriodStart],""))</f>
        <v/>
      </c>
      <c r="H674" s="26" t="str" cm="1">
        <f t="array" ref="H674">IF(tblPayrollMaster[[#This Row],[Employee ID]]="","",_xlfn.XLOOKUP(selPayPeriodID,tblPayCalendar[PayPeriodID],tblPayCalendar[PeriodEnd],""))</f>
        <v/>
      </c>
      <c r="I674" s="24" t="e" cm="1" vm="1">
        <f t="array" aca="1" ref="I674" ca="1">Table18[Employer Name]</f>
        <v>#VALUE!</v>
      </c>
      <c r="J674" s="3" cm="1">
        <f t="array" ref="J67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74" s="25" t="str">
        <f>_xlfn.XLOOKUP(tblPayrollMaster[[#This Row],[Employee Position]],tblPositionandPayRate[Employee Position],tblPositionandPayRate[Overtime], " ")</f>
        <v xml:space="preserve"> </v>
      </c>
      <c r="L674" s="25">
        <f>_xlfn.XLOOKUP(tblPayrollMaster[[#This Row],[Employee Position]],tblPositionandPayRate[Employee Position],tblPositionandPayRate[Allowance 1],0)*tblPayrollMaster[[#This Row],[Pay Factor]]</f>
        <v>0</v>
      </c>
      <c r="M674" s="25">
        <f>_xlfn.XLOOKUP(tblPayrollMaster[[#This Row],[Employee Position]],tblPositionandPayRate[Employee Position],tblPositionandPayRate[Allowance 2],0)*tblPayrollMaster[[#This Row],[Pay Factor]]</f>
        <v>0</v>
      </c>
      <c r="N674" s="25">
        <f>_xlfn.XLOOKUP(tblPayrollMaster[[#This Row],[Employee Position]],tblPositionandPayRate[Employee Position],tblPositionandPayRate[Allowance 3],0)*tblPayrollMaster[[#This Row],[Pay Factor]]</f>
        <v>0</v>
      </c>
      <c r="O674" s="25">
        <f>_xlfn.XLOOKUP(tblPayrollMaster[[#This Row],[Employee Position]],tblPositionandPayRate[Employee Position],tblPositionandPayRate[Allowance 4],0)*tblPayrollMaster[[#This Row],[Pay Factor]]</f>
        <v>0</v>
      </c>
      <c r="P674" s="25">
        <f>_xlfn.XLOOKUP(tblPayrollMaster[[#This Row],[Employee Position]],tblPositionandPayRate[Employee Position],tblPositionandPayRate[Allowance 5],0)*tblPayrollMaster[[#This Row],[Pay Factor]]</f>
        <v>0</v>
      </c>
      <c r="Q674" s="25">
        <f>SUM(tblPayrollMaster[[#This Row],[Basic Pay]:[Allowance 5]])</f>
        <v>0</v>
      </c>
      <c r="R67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74" s="51" cm="1">
        <f t="array" ref="S6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74" s="3" cm="1">
        <f t="array" ref="T6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74" s="25">
        <f>_xlfn.LET(
_xlpm.tos, _xlfn.XLOOKUP(tblPayrollMaster[[#This Row],[Employee ID]], tblEmployee[Employee ID], tblEmployee[Type of Service], ""),
IF(_xlpm.tos="Contract of Service", 8.25, 0)
)</f>
        <v>0</v>
      </c>
      <c r="V674" s="25">
        <f>tblPayrollMaster[[#This Row],[Basic Earnings]]-tblPayrollMaster[[#This Row],[Tax]]-tblPayrollMaster[[#This Row],[NIS - Employee]]-tblPayrollMaster[[#This Row],[Health Surcharge]]</f>
        <v>0</v>
      </c>
      <c r="W674" s="25">
        <f>tblPayrollMaster[[#This Row],[Net Pay]]</f>
        <v>0</v>
      </c>
      <c r="X674" s="25"/>
    </row>
    <row r="675" spans="1:24" x14ac:dyDescent="0.25">
      <c r="A675" s="24"/>
      <c r="B675" s="24" t="str">
        <f>_xlfn.XLOOKUP(tblPayrollMaster[[#This Row],[Employee ID]],tblEmployee[Employee ID],tblEmployee[Employee Name],"")</f>
        <v/>
      </c>
      <c r="C675" s="24" t="str">
        <f>_xlfn.XLOOKUP(tblPayrollMaster[[#This Row],[Employee ID]],tblEmployee[Employee ID],tblEmployee[Employee Position],"")</f>
        <v/>
      </c>
      <c r="D675" s="24" t="str">
        <f>_xlfn.XLOOKUP(tblPayrollMaster[[#This Row],[Employee ID]], tblEmployee[Employee ID], tblEmployee[Pay Status], "Pay")</f>
        <v>Pay</v>
      </c>
      <c r="E675" s="24" t="str">
        <f>_xlfn.XLOOKUP(tblPayrollMaster[[#This Row],[Employee ID]], tblEmployee[Employee ID], tblEmployee[Payable Flag], "Y")</f>
        <v>Y</v>
      </c>
      <c r="F675" s="45">
        <f>IF(tblPayrollMaster[[#This Row],[Payable Flag]]="N",0,_xlfn.XLOOKUP(tblPayrollMaster[[#This Row],[Employee ID]],tblEmployee[Employee ID],tblEmployee[Pay Factor],1))</f>
        <v>1</v>
      </c>
      <c r="G675" s="26" t="str" cm="1">
        <f t="array" ref="G675">IF(tblPayrollMaster[[#This Row],[Employee ID]]="","",_xlfn.XLOOKUP(selPayPeriodID,tblPayCalendar[PayPeriodID],tblPayCalendar[PeriodStart],""))</f>
        <v/>
      </c>
      <c r="H675" s="26" t="str" cm="1">
        <f t="array" ref="H675">IF(tblPayrollMaster[[#This Row],[Employee ID]]="","",_xlfn.XLOOKUP(selPayPeriodID,tblPayCalendar[PayPeriodID],tblPayCalendar[PeriodEnd],""))</f>
        <v/>
      </c>
      <c r="I675" s="24" t="e" cm="1" vm="1">
        <f t="array" aca="1" ref="I675" ca="1">Table18[Employer Name]</f>
        <v>#VALUE!</v>
      </c>
      <c r="J675" s="3" cm="1">
        <f t="array" ref="J67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75" s="25" t="str">
        <f>_xlfn.XLOOKUP(tblPayrollMaster[[#This Row],[Employee Position]],tblPositionandPayRate[Employee Position],tblPositionandPayRate[Overtime], " ")</f>
        <v xml:space="preserve"> </v>
      </c>
      <c r="L675" s="25">
        <f>_xlfn.XLOOKUP(tblPayrollMaster[[#This Row],[Employee Position]],tblPositionandPayRate[Employee Position],tblPositionandPayRate[Allowance 1],0)*tblPayrollMaster[[#This Row],[Pay Factor]]</f>
        <v>0</v>
      </c>
      <c r="M675" s="25">
        <f>_xlfn.XLOOKUP(tblPayrollMaster[[#This Row],[Employee Position]],tblPositionandPayRate[Employee Position],tblPositionandPayRate[Allowance 2],0)*tblPayrollMaster[[#This Row],[Pay Factor]]</f>
        <v>0</v>
      </c>
      <c r="N675" s="25">
        <f>_xlfn.XLOOKUP(tblPayrollMaster[[#This Row],[Employee Position]],tblPositionandPayRate[Employee Position],tblPositionandPayRate[Allowance 3],0)*tblPayrollMaster[[#This Row],[Pay Factor]]</f>
        <v>0</v>
      </c>
      <c r="O675" s="25">
        <f>_xlfn.XLOOKUP(tblPayrollMaster[[#This Row],[Employee Position]],tblPositionandPayRate[Employee Position],tblPositionandPayRate[Allowance 4],0)*tblPayrollMaster[[#This Row],[Pay Factor]]</f>
        <v>0</v>
      </c>
      <c r="P675" s="25">
        <f>_xlfn.XLOOKUP(tblPayrollMaster[[#This Row],[Employee Position]],tblPositionandPayRate[Employee Position],tblPositionandPayRate[Allowance 5],0)*tblPayrollMaster[[#This Row],[Pay Factor]]</f>
        <v>0</v>
      </c>
      <c r="Q675" s="25">
        <f>SUM(tblPayrollMaster[[#This Row],[Basic Pay]:[Allowance 5]])</f>
        <v>0</v>
      </c>
      <c r="R67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75" s="51" cm="1">
        <f t="array" ref="S6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75" s="3" cm="1">
        <f t="array" ref="T6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75" s="25">
        <f>_xlfn.LET(
_xlpm.tos, _xlfn.XLOOKUP(tblPayrollMaster[[#This Row],[Employee ID]], tblEmployee[Employee ID], tblEmployee[Type of Service], ""),
IF(_xlpm.tos="Contract of Service", 8.25, 0)
)</f>
        <v>0</v>
      </c>
      <c r="V675" s="25">
        <f>tblPayrollMaster[[#This Row],[Basic Earnings]]-tblPayrollMaster[[#This Row],[Tax]]-tblPayrollMaster[[#This Row],[NIS - Employee]]-tblPayrollMaster[[#This Row],[Health Surcharge]]</f>
        <v>0</v>
      </c>
      <c r="W675" s="25">
        <f>tblPayrollMaster[[#This Row],[Net Pay]]</f>
        <v>0</v>
      </c>
      <c r="X675" s="25"/>
    </row>
    <row r="676" spans="1:24" x14ac:dyDescent="0.25">
      <c r="A676" s="24"/>
      <c r="B676" s="24" t="str">
        <f>_xlfn.XLOOKUP(tblPayrollMaster[[#This Row],[Employee ID]],tblEmployee[Employee ID],tblEmployee[Employee Name],"")</f>
        <v/>
      </c>
      <c r="C676" s="24" t="str">
        <f>_xlfn.XLOOKUP(tblPayrollMaster[[#This Row],[Employee ID]],tblEmployee[Employee ID],tblEmployee[Employee Position],"")</f>
        <v/>
      </c>
      <c r="D676" s="24" t="str">
        <f>_xlfn.XLOOKUP(tblPayrollMaster[[#This Row],[Employee ID]], tblEmployee[Employee ID], tblEmployee[Pay Status], "Pay")</f>
        <v>Pay</v>
      </c>
      <c r="E676" s="24" t="str">
        <f>_xlfn.XLOOKUP(tblPayrollMaster[[#This Row],[Employee ID]], tblEmployee[Employee ID], tblEmployee[Payable Flag], "Y")</f>
        <v>Y</v>
      </c>
      <c r="F676" s="45">
        <f>IF(tblPayrollMaster[[#This Row],[Payable Flag]]="N",0,_xlfn.XLOOKUP(tblPayrollMaster[[#This Row],[Employee ID]],tblEmployee[Employee ID],tblEmployee[Pay Factor],1))</f>
        <v>1</v>
      </c>
      <c r="G676" s="26" t="str" cm="1">
        <f t="array" ref="G676">IF(tblPayrollMaster[[#This Row],[Employee ID]]="","",_xlfn.XLOOKUP(selPayPeriodID,tblPayCalendar[PayPeriodID],tblPayCalendar[PeriodStart],""))</f>
        <v/>
      </c>
      <c r="H676" s="26" t="str" cm="1">
        <f t="array" ref="H676">IF(tblPayrollMaster[[#This Row],[Employee ID]]="","",_xlfn.XLOOKUP(selPayPeriodID,tblPayCalendar[PayPeriodID],tblPayCalendar[PeriodEnd],""))</f>
        <v/>
      </c>
      <c r="I676" s="24" t="e" cm="1" vm="1">
        <f t="array" aca="1" ref="I676" ca="1">Table18[Employer Name]</f>
        <v>#VALUE!</v>
      </c>
      <c r="J676" s="3" cm="1">
        <f t="array" ref="J67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76" s="25" t="str">
        <f>_xlfn.XLOOKUP(tblPayrollMaster[[#This Row],[Employee Position]],tblPositionandPayRate[Employee Position],tblPositionandPayRate[Overtime], " ")</f>
        <v xml:space="preserve"> </v>
      </c>
      <c r="L676" s="25">
        <f>_xlfn.XLOOKUP(tblPayrollMaster[[#This Row],[Employee Position]],tblPositionandPayRate[Employee Position],tblPositionandPayRate[Allowance 1],0)*tblPayrollMaster[[#This Row],[Pay Factor]]</f>
        <v>0</v>
      </c>
      <c r="M676" s="25">
        <f>_xlfn.XLOOKUP(tblPayrollMaster[[#This Row],[Employee Position]],tblPositionandPayRate[Employee Position],tblPositionandPayRate[Allowance 2],0)*tblPayrollMaster[[#This Row],[Pay Factor]]</f>
        <v>0</v>
      </c>
      <c r="N676" s="25">
        <f>_xlfn.XLOOKUP(tblPayrollMaster[[#This Row],[Employee Position]],tblPositionandPayRate[Employee Position],tblPositionandPayRate[Allowance 3],0)*tblPayrollMaster[[#This Row],[Pay Factor]]</f>
        <v>0</v>
      </c>
      <c r="O676" s="25">
        <f>_xlfn.XLOOKUP(tblPayrollMaster[[#This Row],[Employee Position]],tblPositionandPayRate[Employee Position],tblPositionandPayRate[Allowance 4],0)*tblPayrollMaster[[#This Row],[Pay Factor]]</f>
        <v>0</v>
      </c>
      <c r="P676" s="25">
        <f>_xlfn.XLOOKUP(tblPayrollMaster[[#This Row],[Employee Position]],tblPositionandPayRate[Employee Position],tblPositionandPayRate[Allowance 5],0)*tblPayrollMaster[[#This Row],[Pay Factor]]</f>
        <v>0</v>
      </c>
      <c r="Q676" s="25">
        <f>SUM(tblPayrollMaster[[#This Row],[Basic Pay]:[Allowance 5]])</f>
        <v>0</v>
      </c>
      <c r="R67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76" s="51" cm="1">
        <f t="array" ref="S6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76" s="3" cm="1">
        <f t="array" ref="T6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76" s="25">
        <f>_xlfn.LET(
_xlpm.tos, _xlfn.XLOOKUP(tblPayrollMaster[[#This Row],[Employee ID]], tblEmployee[Employee ID], tblEmployee[Type of Service], ""),
IF(_xlpm.tos="Contract of Service", 8.25, 0)
)</f>
        <v>0</v>
      </c>
      <c r="V676" s="25">
        <f>tblPayrollMaster[[#This Row],[Basic Earnings]]-tblPayrollMaster[[#This Row],[Tax]]-tblPayrollMaster[[#This Row],[NIS - Employee]]-tblPayrollMaster[[#This Row],[Health Surcharge]]</f>
        <v>0</v>
      </c>
      <c r="W676" s="25">
        <f>tblPayrollMaster[[#This Row],[Net Pay]]</f>
        <v>0</v>
      </c>
      <c r="X676" s="25"/>
    </row>
    <row r="677" spans="1:24" x14ac:dyDescent="0.25">
      <c r="A677" s="24"/>
      <c r="B677" s="24" t="str">
        <f>_xlfn.XLOOKUP(tblPayrollMaster[[#This Row],[Employee ID]],tblEmployee[Employee ID],tblEmployee[Employee Name],"")</f>
        <v/>
      </c>
      <c r="C677" s="24" t="str">
        <f>_xlfn.XLOOKUP(tblPayrollMaster[[#This Row],[Employee ID]],tblEmployee[Employee ID],tblEmployee[Employee Position],"")</f>
        <v/>
      </c>
      <c r="D677" s="24" t="str">
        <f>_xlfn.XLOOKUP(tblPayrollMaster[[#This Row],[Employee ID]], tblEmployee[Employee ID], tblEmployee[Pay Status], "Pay")</f>
        <v>Pay</v>
      </c>
      <c r="E677" s="24" t="str">
        <f>_xlfn.XLOOKUP(tblPayrollMaster[[#This Row],[Employee ID]], tblEmployee[Employee ID], tblEmployee[Payable Flag], "Y")</f>
        <v>Y</v>
      </c>
      <c r="F677" s="45">
        <f>IF(tblPayrollMaster[[#This Row],[Payable Flag]]="N",0,_xlfn.XLOOKUP(tblPayrollMaster[[#This Row],[Employee ID]],tblEmployee[Employee ID],tblEmployee[Pay Factor],1))</f>
        <v>1</v>
      </c>
      <c r="G677" s="26" t="str" cm="1">
        <f t="array" ref="G677">IF(tblPayrollMaster[[#This Row],[Employee ID]]="","",_xlfn.XLOOKUP(selPayPeriodID,tblPayCalendar[PayPeriodID],tblPayCalendar[PeriodStart],""))</f>
        <v/>
      </c>
      <c r="H677" s="26" t="str" cm="1">
        <f t="array" ref="H677">IF(tblPayrollMaster[[#This Row],[Employee ID]]="","",_xlfn.XLOOKUP(selPayPeriodID,tblPayCalendar[PayPeriodID],tblPayCalendar[PeriodEnd],""))</f>
        <v/>
      </c>
      <c r="I677" s="24" t="e" cm="1" vm="1">
        <f t="array" aca="1" ref="I677" ca="1">Table18[Employer Name]</f>
        <v>#VALUE!</v>
      </c>
      <c r="J677" s="3" cm="1">
        <f t="array" ref="J67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77" s="25" t="str">
        <f>_xlfn.XLOOKUP(tblPayrollMaster[[#This Row],[Employee Position]],tblPositionandPayRate[Employee Position],tblPositionandPayRate[Overtime], " ")</f>
        <v xml:space="preserve"> </v>
      </c>
      <c r="L677" s="25">
        <f>_xlfn.XLOOKUP(tblPayrollMaster[[#This Row],[Employee Position]],tblPositionandPayRate[Employee Position],tblPositionandPayRate[Allowance 1],0)*tblPayrollMaster[[#This Row],[Pay Factor]]</f>
        <v>0</v>
      </c>
      <c r="M677" s="25">
        <f>_xlfn.XLOOKUP(tblPayrollMaster[[#This Row],[Employee Position]],tblPositionandPayRate[Employee Position],tblPositionandPayRate[Allowance 2],0)*tblPayrollMaster[[#This Row],[Pay Factor]]</f>
        <v>0</v>
      </c>
      <c r="N677" s="25">
        <f>_xlfn.XLOOKUP(tblPayrollMaster[[#This Row],[Employee Position]],tblPositionandPayRate[Employee Position],tblPositionandPayRate[Allowance 3],0)*tblPayrollMaster[[#This Row],[Pay Factor]]</f>
        <v>0</v>
      </c>
      <c r="O677" s="25">
        <f>_xlfn.XLOOKUP(tblPayrollMaster[[#This Row],[Employee Position]],tblPositionandPayRate[Employee Position],tblPositionandPayRate[Allowance 4],0)*tblPayrollMaster[[#This Row],[Pay Factor]]</f>
        <v>0</v>
      </c>
      <c r="P677" s="25">
        <f>_xlfn.XLOOKUP(tblPayrollMaster[[#This Row],[Employee Position]],tblPositionandPayRate[Employee Position],tblPositionandPayRate[Allowance 5],0)*tblPayrollMaster[[#This Row],[Pay Factor]]</f>
        <v>0</v>
      </c>
      <c r="Q677" s="25">
        <f>SUM(tblPayrollMaster[[#This Row],[Basic Pay]:[Allowance 5]])</f>
        <v>0</v>
      </c>
      <c r="R67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77" s="51" cm="1">
        <f t="array" ref="S6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77" s="3" cm="1">
        <f t="array" ref="T6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77" s="25">
        <f>_xlfn.LET(
_xlpm.tos, _xlfn.XLOOKUP(tblPayrollMaster[[#This Row],[Employee ID]], tblEmployee[Employee ID], tblEmployee[Type of Service], ""),
IF(_xlpm.tos="Contract of Service", 8.25, 0)
)</f>
        <v>0</v>
      </c>
      <c r="V677" s="25">
        <f>tblPayrollMaster[[#This Row],[Basic Earnings]]-tblPayrollMaster[[#This Row],[Tax]]-tblPayrollMaster[[#This Row],[NIS - Employee]]-tblPayrollMaster[[#This Row],[Health Surcharge]]</f>
        <v>0</v>
      </c>
      <c r="W677" s="25">
        <f>tblPayrollMaster[[#This Row],[Net Pay]]</f>
        <v>0</v>
      </c>
      <c r="X677" s="25"/>
    </row>
    <row r="678" spans="1:24" x14ac:dyDescent="0.25">
      <c r="A678" s="24"/>
      <c r="B678" s="24" t="str">
        <f>_xlfn.XLOOKUP(tblPayrollMaster[[#This Row],[Employee ID]],tblEmployee[Employee ID],tblEmployee[Employee Name],"")</f>
        <v/>
      </c>
      <c r="C678" s="24" t="str">
        <f>_xlfn.XLOOKUP(tblPayrollMaster[[#This Row],[Employee ID]],tblEmployee[Employee ID],tblEmployee[Employee Position],"")</f>
        <v/>
      </c>
      <c r="D678" s="24" t="str">
        <f>_xlfn.XLOOKUP(tblPayrollMaster[[#This Row],[Employee ID]], tblEmployee[Employee ID], tblEmployee[Pay Status], "Pay")</f>
        <v>Pay</v>
      </c>
      <c r="E678" s="24" t="str">
        <f>_xlfn.XLOOKUP(tblPayrollMaster[[#This Row],[Employee ID]], tblEmployee[Employee ID], tblEmployee[Payable Flag], "Y")</f>
        <v>Y</v>
      </c>
      <c r="F678" s="45">
        <f>IF(tblPayrollMaster[[#This Row],[Payable Flag]]="N",0,_xlfn.XLOOKUP(tblPayrollMaster[[#This Row],[Employee ID]],tblEmployee[Employee ID],tblEmployee[Pay Factor],1))</f>
        <v>1</v>
      </c>
      <c r="G678" s="26" t="str" cm="1">
        <f t="array" ref="G678">IF(tblPayrollMaster[[#This Row],[Employee ID]]="","",_xlfn.XLOOKUP(selPayPeriodID,tblPayCalendar[PayPeriodID],tblPayCalendar[PeriodStart],""))</f>
        <v/>
      </c>
      <c r="H678" s="26" t="str" cm="1">
        <f t="array" ref="H678">IF(tblPayrollMaster[[#This Row],[Employee ID]]="","",_xlfn.XLOOKUP(selPayPeriodID,tblPayCalendar[PayPeriodID],tblPayCalendar[PeriodEnd],""))</f>
        <v/>
      </c>
      <c r="I678" s="24" t="e" cm="1" vm="1">
        <f t="array" aca="1" ref="I678" ca="1">Table18[Employer Name]</f>
        <v>#VALUE!</v>
      </c>
      <c r="J678" s="3" cm="1">
        <f t="array" ref="J67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78" s="25" t="str">
        <f>_xlfn.XLOOKUP(tblPayrollMaster[[#This Row],[Employee Position]],tblPositionandPayRate[Employee Position],tblPositionandPayRate[Overtime], " ")</f>
        <v xml:space="preserve"> </v>
      </c>
      <c r="L678" s="25">
        <f>_xlfn.XLOOKUP(tblPayrollMaster[[#This Row],[Employee Position]],tblPositionandPayRate[Employee Position],tblPositionandPayRate[Allowance 1],0)*tblPayrollMaster[[#This Row],[Pay Factor]]</f>
        <v>0</v>
      </c>
      <c r="M678" s="25">
        <f>_xlfn.XLOOKUP(tblPayrollMaster[[#This Row],[Employee Position]],tblPositionandPayRate[Employee Position],tblPositionandPayRate[Allowance 2],0)*tblPayrollMaster[[#This Row],[Pay Factor]]</f>
        <v>0</v>
      </c>
      <c r="N678" s="25">
        <f>_xlfn.XLOOKUP(tblPayrollMaster[[#This Row],[Employee Position]],tblPositionandPayRate[Employee Position],tblPositionandPayRate[Allowance 3],0)*tblPayrollMaster[[#This Row],[Pay Factor]]</f>
        <v>0</v>
      </c>
      <c r="O678" s="25">
        <f>_xlfn.XLOOKUP(tblPayrollMaster[[#This Row],[Employee Position]],tblPositionandPayRate[Employee Position],tblPositionandPayRate[Allowance 4],0)*tblPayrollMaster[[#This Row],[Pay Factor]]</f>
        <v>0</v>
      </c>
      <c r="P678" s="25">
        <f>_xlfn.XLOOKUP(tblPayrollMaster[[#This Row],[Employee Position]],tblPositionandPayRate[Employee Position],tblPositionandPayRate[Allowance 5],0)*tblPayrollMaster[[#This Row],[Pay Factor]]</f>
        <v>0</v>
      </c>
      <c r="Q678" s="25">
        <f>SUM(tblPayrollMaster[[#This Row],[Basic Pay]:[Allowance 5]])</f>
        <v>0</v>
      </c>
      <c r="R67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78" s="51" cm="1">
        <f t="array" ref="S6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78" s="3" cm="1">
        <f t="array" ref="T6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78" s="25">
        <f>_xlfn.LET(
_xlpm.tos, _xlfn.XLOOKUP(tblPayrollMaster[[#This Row],[Employee ID]], tblEmployee[Employee ID], tblEmployee[Type of Service], ""),
IF(_xlpm.tos="Contract of Service", 8.25, 0)
)</f>
        <v>0</v>
      </c>
      <c r="V678" s="25">
        <f>tblPayrollMaster[[#This Row],[Basic Earnings]]-tblPayrollMaster[[#This Row],[Tax]]-tblPayrollMaster[[#This Row],[NIS - Employee]]-tblPayrollMaster[[#This Row],[Health Surcharge]]</f>
        <v>0</v>
      </c>
      <c r="W678" s="25">
        <f>tblPayrollMaster[[#This Row],[Net Pay]]</f>
        <v>0</v>
      </c>
      <c r="X678" s="25"/>
    </row>
    <row r="679" spans="1:24" x14ac:dyDescent="0.25">
      <c r="A679" s="24"/>
      <c r="B679" s="24" t="str">
        <f>_xlfn.XLOOKUP(tblPayrollMaster[[#This Row],[Employee ID]],tblEmployee[Employee ID],tblEmployee[Employee Name],"")</f>
        <v/>
      </c>
      <c r="C679" s="24" t="str">
        <f>_xlfn.XLOOKUP(tblPayrollMaster[[#This Row],[Employee ID]],tblEmployee[Employee ID],tblEmployee[Employee Position],"")</f>
        <v/>
      </c>
      <c r="D679" s="24" t="str">
        <f>_xlfn.XLOOKUP(tblPayrollMaster[[#This Row],[Employee ID]], tblEmployee[Employee ID], tblEmployee[Pay Status], "Pay")</f>
        <v>Pay</v>
      </c>
      <c r="E679" s="24" t="str">
        <f>_xlfn.XLOOKUP(tblPayrollMaster[[#This Row],[Employee ID]], tblEmployee[Employee ID], tblEmployee[Payable Flag], "Y")</f>
        <v>Y</v>
      </c>
      <c r="F679" s="45">
        <f>IF(tblPayrollMaster[[#This Row],[Payable Flag]]="N",0,_xlfn.XLOOKUP(tblPayrollMaster[[#This Row],[Employee ID]],tblEmployee[Employee ID],tblEmployee[Pay Factor],1))</f>
        <v>1</v>
      </c>
      <c r="G679" s="26" t="str" cm="1">
        <f t="array" ref="G679">IF(tblPayrollMaster[[#This Row],[Employee ID]]="","",_xlfn.XLOOKUP(selPayPeriodID,tblPayCalendar[PayPeriodID],tblPayCalendar[PeriodStart],""))</f>
        <v/>
      </c>
      <c r="H679" s="26" t="str" cm="1">
        <f t="array" ref="H679">IF(tblPayrollMaster[[#This Row],[Employee ID]]="","",_xlfn.XLOOKUP(selPayPeriodID,tblPayCalendar[PayPeriodID],tblPayCalendar[PeriodEnd],""))</f>
        <v/>
      </c>
      <c r="I679" s="24" t="e" cm="1" vm="1">
        <f t="array" aca="1" ref="I679" ca="1">Table18[Employer Name]</f>
        <v>#VALUE!</v>
      </c>
      <c r="J679" s="3" cm="1">
        <f t="array" ref="J67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79" s="25" t="str">
        <f>_xlfn.XLOOKUP(tblPayrollMaster[[#This Row],[Employee Position]],tblPositionandPayRate[Employee Position],tblPositionandPayRate[Overtime], " ")</f>
        <v xml:space="preserve"> </v>
      </c>
      <c r="L679" s="25">
        <f>_xlfn.XLOOKUP(tblPayrollMaster[[#This Row],[Employee Position]],tblPositionandPayRate[Employee Position],tblPositionandPayRate[Allowance 1],0)*tblPayrollMaster[[#This Row],[Pay Factor]]</f>
        <v>0</v>
      </c>
      <c r="M679" s="25">
        <f>_xlfn.XLOOKUP(tblPayrollMaster[[#This Row],[Employee Position]],tblPositionandPayRate[Employee Position],tblPositionandPayRate[Allowance 2],0)*tblPayrollMaster[[#This Row],[Pay Factor]]</f>
        <v>0</v>
      </c>
      <c r="N679" s="25">
        <f>_xlfn.XLOOKUP(tblPayrollMaster[[#This Row],[Employee Position]],tblPositionandPayRate[Employee Position],tblPositionandPayRate[Allowance 3],0)*tblPayrollMaster[[#This Row],[Pay Factor]]</f>
        <v>0</v>
      </c>
      <c r="O679" s="25">
        <f>_xlfn.XLOOKUP(tblPayrollMaster[[#This Row],[Employee Position]],tblPositionandPayRate[Employee Position],tblPositionandPayRate[Allowance 4],0)*tblPayrollMaster[[#This Row],[Pay Factor]]</f>
        <v>0</v>
      </c>
      <c r="P679" s="25">
        <f>_xlfn.XLOOKUP(tblPayrollMaster[[#This Row],[Employee Position]],tblPositionandPayRate[Employee Position],tblPositionandPayRate[Allowance 5],0)*tblPayrollMaster[[#This Row],[Pay Factor]]</f>
        <v>0</v>
      </c>
      <c r="Q679" s="25">
        <f>SUM(tblPayrollMaster[[#This Row],[Basic Pay]:[Allowance 5]])</f>
        <v>0</v>
      </c>
      <c r="R67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79" s="51" cm="1">
        <f t="array" ref="S6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79" s="3" cm="1">
        <f t="array" ref="T6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79" s="25">
        <f>_xlfn.LET(
_xlpm.tos, _xlfn.XLOOKUP(tblPayrollMaster[[#This Row],[Employee ID]], tblEmployee[Employee ID], tblEmployee[Type of Service], ""),
IF(_xlpm.tos="Contract of Service", 8.25, 0)
)</f>
        <v>0</v>
      </c>
      <c r="V679" s="25">
        <f>tblPayrollMaster[[#This Row],[Basic Earnings]]-tblPayrollMaster[[#This Row],[Tax]]-tblPayrollMaster[[#This Row],[NIS - Employee]]-tblPayrollMaster[[#This Row],[Health Surcharge]]</f>
        <v>0</v>
      </c>
      <c r="W679" s="25">
        <f>tblPayrollMaster[[#This Row],[Net Pay]]</f>
        <v>0</v>
      </c>
      <c r="X679" s="25"/>
    </row>
    <row r="680" spans="1:24" x14ac:dyDescent="0.25">
      <c r="A680" s="24"/>
      <c r="B680" s="24" t="str">
        <f>_xlfn.XLOOKUP(tblPayrollMaster[[#This Row],[Employee ID]],tblEmployee[Employee ID],tblEmployee[Employee Name],"")</f>
        <v/>
      </c>
      <c r="C680" s="24" t="str">
        <f>_xlfn.XLOOKUP(tblPayrollMaster[[#This Row],[Employee ID]],tblEmployee[Employee ID],tblEmployee[Employee Position],"")</f>
        <v/>
      </c>
      <c r="D680" s="24" t="str">
        <f>_xlfn.XLOOKUP(tblPayrollMaster[[#This Row],[Employee ID]], tblEmployee[Employee ID], tblEmployee[Pay Status], "Pay")</f>
        <v>Pay</v>
      </c>
      <c r="E680" s="24" t="str">
        <f>_xlfn.XLOOKUP(tblPayrollMaster[[#This Row],[Employee ID]], tblEmployee[Employee ID], tblEmployee[Payable Flag], "Y")</f>
        <v>Y</v>
      </c>
      <c r="F680" s="45">
        <f>IF(tblPayrollMaster[[#This Row],[Payable Flag]]="N",0,_xlfn.XLOOKUP(tblPayrollMaster[[#This Row],[Employee ID]],tblEmployee[Employee ID],tblEmployee[Pay Factor],1))</f>
        <v>1</v>
      </c>
      <c r="G680" s="26" t="str" cm="1">
        <f t="array" ref="G680">IF(tblPayrollMaster[[#This Row],[Employee ID]]="","",_xlfn.XLOOKUP(selPayPeriodID,tblPayCalendar[PayPeriodID],tblPayCalendar[PeriodStart],""))</f>
        <v/>
      </c>
      <c r="H680" s="26" t="str" cm="1">
        <f t="array" ref="H680">IF(tblPayrollMaster[[#This Row],[Employee ID]]="","",_xlfn.XLOOKUP(selPayPeriodID,tblPayCalendar[PayPeriodID],tblPayCalendar[PeriodEnd],""))</f>
        <v/>
      </c>
      <c r="I680" s="24" t="e" cm="1" vm="1">
        <f t="array" aca="1" ref="I680" ca="1">Table18[Employer Name]</f>
        <v>#VALUE!</v>
      </c>
      <c r="J680" s="3" cm="1">
        <f t="array" ref="J68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80" s="25" t="str">
        <f>_xlfn.XLOOKUP(tblPayrollMaster[[#This Row],[Employee Position]],tblPositionandPayRate[Employee Position],tblPositionandPayRate[Overtime], " ")</f>
        <v xml:space="preserve"> </v>
      </c>
      <c r="L680" s="25">
        <f>_xlfn.XLOOKUP(tblPayrollMaster[[#This Row],[Employee Position]],tblPositionandPayRate[Employee Position],tblPositionandPayRate[Allowance 1],0)*tblPayrollMaster[[#This Row],[Pay Factor]]</f>
        <v>0</v>
      </c>
      <c r="M680" s="25">
        <f>_xlfn.XLOOKUP(tblPayrollMaster[[#This Row],[Employee Position]],tblPositionandPayRate[Employee Position],tblPositionandPayRate[Allowance 2],0)*tblPayrollMaster[[#This Row],[Pay Factor]]</f>
        <v>0</v>
      </c>
      <c r="N680" s="25">
        <f>_xlfn.XLOOKUP(tblPayrollMaster[[#This Row],[Employee Position]],tblPositionandPayRate[Employee Position],tblPositionandPayRate[Allowance 3],0)*tblPayrollMaster[[#This Row],[Pay Factor]]</f>
        <v>0</v>
      </c>
      <c r="O680" s="25">
        <f>_xlfn.XLOOKUP(tblPayrollMaster[[#This Row],[Employee Position]],tblPositionandPayRate[Employee Position],tblPositionandPayRate[Allowance 4],0)*tblPayrollMaster[[#This Row],[Pay Factor]]</f>
        <v>0</v>
      </c>
      <c r="P680" s="25">
        <f>_xlfn.XLOOKUP(tblPayrollMaster[[#This Row],[Employee Position]],tblPositionandPayRate[Employee Position],tblPositionandPayRate[Allowance 5],0)*tblPayrollMaster[[#This Row],[Pay Factor]]</f>
        <v>0</v>
      </c>
      <c r="Q680" s="25">
        <f>SUM(tblPayrollMaster[[#This Row],[Basic Pay]:[Allowance 5]])</f>
        <v>0</v>
      </c>
      <c r="R68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80" s="51" cm="1">
        <f t="array" ref="S6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80" s="3" cm="1">
        <f t="array" ref="T6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80" s="25">
        <f>_xlfn.LET(
_xlpm.tos, _xlfn.XLOOKUP(tblPayrollMaster[[#This Row],[Employee ID]], tblEmployee[Employee ID], tblEmployee[Type of Service], ""),
IF(_xlpm.tos="Contract of Service", 8.25, 0)
)</f>
        <v>0</v>
      </c>
      <c r="V680" s="25">
        <f>tblPayrollMaster[[#This Row],[Basic Earnings]]-tblPayrollMaster[[#This Row],[Tax]]-tblPayrollMaster[[#This Row],[NIS - Employee]]-tblPayrollMaster[[#This Row],[Health Surcharge]]</f>
        <v>0</v>
      </c>
      <c r="W680" s="25">
        <f>tblPayrollMaster[[#This Row],[Net Pay]]</f>
        <v>0</v>
      </c>
      <c r="X680" s="25"/>
    </row>
    <row r="681" spans="1:24" x14ac:dyDescent="0.25">
      <c r="A681" s="24"/>
      <c r="B681" s="24" t="str">
        <f>_xlfn.XLOOKUP(tblPayrollMaster[[#This Row],[Employee ID]],tblEmployee[Employee ID],tblEmployee[Employee Name],"")</f>
        <v/>
      </c>
      <c r="C681" s="24" t="str">
        <f>_xlfn.XLOOKUP(tblPayrollMaster[[#This Row],[Employee ID]],tblEmployee[Employee ID],tblEmployee[Employee Position],"")</f>
        <v/>
      </c>
      <c r="D681" s="24" t="str">
        <f>_xlfn.XLOOKUP(tblPayrollMaster[[#This Row],[Employee ID]], tblEmployee[Employee ID], tblEmployee[Pay Status], "Pay")</f>
        <v>Pay</v>
      </c>
      <c r="E681" s="24" t="str">
        <f>_xlfn.XLOOKUP(tblPayrollMaster[[#This Row],[Employee ID]], tblEmployee[Employee ID], tblEmployee[Payable Flag], "Y")</f>
        <v>Y</v>
      </c>
      <c r="F681" s="45">
        <f>IF(tblPayrollMaster[[#This Row],[Payable Flag]]="N",0,_xlfn.XLOOKUP(tblPayrollMaster[[#This Row],[Employee ID]],tblEmployee[Employee ID],tblEmployee[Pay Factor],1))</f>
        <v>1</v>
      </c>
      <c r="G681" s="26" t="str" cm="1">
        <f t="array" ref="G681">IF(tblPayrollMaster[[#This Row],[Employee ID]]="","",_xlfn.XLOOKUP(selPayPeriodID,tblPayCalendar[PayPeriodID],tblPayCalendar[PeriodStart],""))</f>
        <v/>
      </c>
      <c r="H681" s="26" t="str" cm="1">
        <f t="array" ref="H681">IF(tblPayrollMaster[[#This Row],[Employee ID]]="","",_xlfn.XLOOKUP(selPayPeriodID,tblPayCalendar[PayPeriodID],tblPayCalendar[PeriodEnd],""))</f>
        <v/>
      </c>
      <c r="I681" s="24" t="e" cm="1" vm="1">
        <f t="array" aca="1" ref="I681" ca="1">Table18[Employer Name]</f>
        <v>#VALUE!</v>
      </c>
      <c r="J681" s="3" cm="1">
        <f t="array" ref="J68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81" s="25" t="str">
        <f>_xlfn.XLOOKUP(tblPayrollMaster[[#This Row],[Employee Position]],tblPositionandPayRate[Employee Position],tblPositionandPayRate[Overtime], " ")</f>
        <v xml:space="preserve"> </v>
      </c>
      <c r="L681" s="25">
        <f>_xlfn.XLOOKUP(tblPayrollMaster[[#This Row],[Employee Position]],tblPositionandPayRate[Employee Position],tblPositionandPayRate[Allowance 1],0)*tblPayrollMaster[[#This Row],[Pay Factor]]</f>
        <v>0</v>
      </c>
      <c r="M681" s="25">
        <f>_xlfn.XLOOKUP(tblPayrollMaster[[#This Row],[Employee Position]],tblPositionandPayRate[Employee Position],tblPositionandPayRate[Allowance 2],0)*tblPayrollMaster[[#This Row],[Pay Factor]]</f>
        <v>0</v>
      </c>
      <c r="N681" s="25">
        <f>_xlfn.XLOOKUP(tblPayrollMaster[[#This Row],[Employee Position]],tblPositionandPayRate[Employee Position],tblPositionandPayRate[Allowance 3],0)*tblPayrollMaster[[#This Row],[Pay Factor]]</f>
        <v>0</v>
      </c>
      <c r="O681" s="25">
        <f>_xlfn.XLOOKUP(tblPayrollMaster[[#This Row],[Employee Position]],tblPositionandPayRate[Employee Position],tblPositionandPayRate[Allowance 4],0)*tblPayrollMaster[[#This Row],[Pay Factor]]</f>
        <v>0</v>
      </c>
      <c r="P681" s="25">
        <f>_xlfn.XLOOKUP(tblPayrollMaster[[#This Row],[Employee Position]],tblPositionandPayRate[Employee Position],tblPositionandPayRate[Allowance 5],0)*tblPayrollMaster[[#This Row],[Pay Factor]]</f>
        <v>0</v>
      </c>
      <c r="Q681" s="25">
        <f>SUM(tblPayrollMaster[[#This Row],[Basic Pay]:[Allowance 5]])</f>
        <v>0</v>
      </c>
      <c r="R68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81" s="51" cm="1">
        <f t="array" ref="S6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81" s="3" cm="1">
        <f t="array" ref="T6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81" s="25">
        <f>_xlfn.LET(
_xlpm.tos, _xlfn.XLOOKUP(tblPayrollMaster[[#This Row],[Employee ID]], tblEmployee[Employee ID], tblEmployee[Type of Service], ""),
IF(_xlpm.tos="Contract of Service", 8.25, 0)
)</f>
        <v>0</v>
      </c>
      <c r="V681" s="25">
        <f>tblPayrollMaster[[#This Row],[Basic Earnings]]-tblPayrollMaster[[#This Row],[Tax]]-tblPayrollMaster[[#This Row],[NIS - Employee]]-tblPayrollMaster[[#This Row],[Health Surcharge]]</f>
        <v>0</v>
      </c>
      <c r="W681" s="25">
        <f>tblPayrollMaster[[#This Row],[Net Pay]]</f>
        <v>0</v>
      </c>
      <c r="X681" s="25"/>
    </row>
    <row r="682" spans="1:24" x14ac:dyDescent="0.25">
      <c r="A682" s="24"/>
      <c r="B682" s="24" t="str">
        <f>_xlfn.XLOOKUP(tblPayrollMaster[[#This Row],[Employee ID]],tblEmployee[Employee ID],tblEmployee[Employee Name],"")</f>
        <v/>
      </c>
      <c r="C682" s="24" t="str">
        <f>_xlfn.XLOOKUP(tblPayrollMaster[[#This Row],[Employee ID]],tblEmployee[Employee ID],tblEmployee[Employee Position],"")</f>
        <v/>
      </c>
      <c r="D682" s="24" t="str">
        <f>_xlfn.XLOOKUP(tblPayrollMaster[[#This Row],[Employee ID]], tblEmployee[Employee ID], tblEmployee[Pay Status], "Pay")</f>
        <v>Pay</v>
      </c>
      <c r="E682" s="24" t="str">
        <f>_xlfn.XLOOKUP(tblPayrollMaster[[#This Row],[Employee ID]], tblEmployee[Employee ID], tblEmployee[Payable Flag], "Y")</f>
        <v>Y</v>
      </c>
      <c r="F682" s="45">
        <f>IF(tblPayrollMaster[[#This Row],[Payable Flag]]="N",0,_xlfn.XLOOKUP(tblPayrollMaster[[#This Row],[Employee ID]],tblEmployee[Employee ID],tblEmployee[Pay Factor],1))</f>
        <v>1</v>
      </c>
      <c r="G682" s="26" t="str" cm="1">
        <f t="array" ref="G682">IF(tblPayrollMaster[[#This Row],[Employee ID]]="","",_xlfn.XLOOKUP(selPayPeriodID,tblPayCalendar[PayPeriodID],tblPayCalendar[PeriodStart],""))</f>
        <v/>
      </c>
      <c r="H682" s="26" t="str" cm="1">
        <f t="array" ref="H682">IF(tblPayrollMaster[[#This Row],[Employee ID]]="","",_xlfn.XLOOKUP(selPayPeriodID,tblPayCalendar[PayPeriodID],tblPayCalendar[PeriodEnd],""))</f>
        <v/>
      </c>
      <c r="I682" s="24" t="e" cm="1" vm="1">
        <f t="array" aca="1" ref="I682" ca="1">Table18[Employer Name]</f>
        <v>#VALUE!</v>
      </c>
      <c r="J682" s="3" cm="1">
        <f t="array" ref="J68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82" s="25" t="str">
        <f>_xlfn.XLOOKUP(tblPayrollMaster[[#This Row],[Employee Position]],tblPositionandPayRate[Employee Position],tblPositionandPayRate[Overtime], " ")</f>
        <v xml:space="preserve"> </v>
      </c>
      <c r="L682" s="25">
        <f>_xlfn.XLOOKUP(tblPayrollMaster[[#This Row],[Employee Position]],tblPositionandPayRate[Employee Position],tblPositionandPayRate[Allowance 1],0)*tblPayrollMaster[[#This Row],[Pay Factor]]</f>
        <v>0</v>
      </c>
      <c r="M682" s="25">
        <f>_xlfn.XLOOKUP(tblPayrollMaster[[#This Row],[Employee Position]],tblPositionandPayRate[Employee Position],tblPositionandPayRate[Allowance 2],0)*tblPayrollMaster[[#This Row],[Pay Factor]]</f>
        <v>0</v>
      </c>
      <c r="N682" s="25">
        <f>_xlfn.XLOOKUP(tblPayrollMaster[[#This Row],[Employee Position]],tblPositionandPayRate[Employee Position],tblPositionandPayRate[Allowance 3],0)*tblPayrollMaster[[#This Row],[Pay Factor]]</f>
        <v>0</v>
      </c>
      <c r="O682" s="25">
        <f>_xlfn.XLOOKUP(tblPayrollMaster[[#This Row],[Employee Position]],tblPositionandPayRate[Employee Position],tblPositionandPayRate[Allowance 4],0)*tblPayrollMaster[[#This Row],[Pay Factor]]</f>
        <v>0</v>
      </c>
      <c r="P682" s="25">
        <f>_xlfn.XLOOKUP(tblPayrollMaster[[#This Row],[Employee Position]],tblPositionandPayRate[Employee Position],tblPositionandPayRate[Allowance 5],0)*tblPayrollMaster[[#This Row],[Pay Factor]]</f>
        <v>0</v>
      </c>
      <c r="Q682" s="25">
        <f>SUM(tblPayrollMaster[[#This Row],[Basic Pay]:[Allowance 5]])</f>
        <v>0</v>
      </c>
      <c r="R68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82" s="51" cm="1">
        <f t="array" ref="S6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82" s="3" cm="1">
        <f t="array" ref="T6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82" s="25">
        <f>_xlfn.LET(
_xlpm.tos, _xlfn.XLOOKUP(tblPayrollMaster[[#This Row],[Employee ID]], tblEmployee[Employee ID], tblEmployee[Type of Service], ""),
IF(_xlpm.tos="Contract of Service", 8.25, 0)
)</f>
        <v>0</v>
      </c>
      <c r="V682" s="25">
        <f>tblPayrollMaster[[#This Row],[Basic Earnings]]-tblPayrollMaster[[#This Row],[Tax]]-tblPayrollMaster[[#This Row],[NIS - Employee]]-tblPayrollMaster[[#This Row],[Health Surcharge]]</f>
        <v>0</v>
      </c>
      <c r="W682" s="25">
        <f>tblPayrollMaster[[#This Row],[Net Pay]]</f>
        <v>0</v>
      </c>
      <c r="X682" s="25"/>
    </row>
    <row r="683" spans="1:24" x14ac:dyDescent="0.25">
      <c r="A683" s="24"/>
      <c r="B683" s="24" t="str">
        <f>_xlfn.XLOOKUP(tblPayrollMaster[[#This Row],[Employee ID]],tblEmployee[Employee ID],tblEmployee[Employee Name],"")</f>
        <v/>
      </c>
      <c r="C683" s="24" t="str">
        <f>_xlfn.XLOOKUP(tblPayrollMaster[[#This Row],[Employee ID]],tblEmployee[Employee ID],tblEmployee[Employee Position],"")</f>
        <v/>
      </c>
      <c r="D683" s="24" t="str">
        <f>_xlfn.XLOOKUP(tblPayrollMaster[[#This Row],[Employee ID]], tblEmployee[Employee ID], tblEmployee[Pay Status], "Pay")</f>
        <v>Pay</v>
      </c>
      <c r="E683" s="24" t="str">
        <f>_xlfn.XLOOKUP(tblPayrollMaster[[#This Row],[Employee ID]], tblEmployee[Employee ID], tblEmployee[Payable Flag], "Y")</f>
        <v>Y</v>
      </c>
      <c r="F683" s="45">
        <f>IF(tblPayrollMaster[[#This Row],[Payable Flag]]="N",0,_xlfn.XLOOKUP(tblPayrollMaster[[#This Row],[Employee ID]],tblEmployee[Employee ID],tblEmployee[Pay Factor],1))</f>
        <v>1</v>
      </c>
      <c r="G683" s="26" t="str" cm="1">
        <f t="array" ref="G683">IF(tblPayrollMaster[[#This Row],[Employee ID]]="","",_xlfn.XLOOKUP(selPayPeriodID,tblPayCalendar[PayPeriodID],tblPayCalendar[PeriodStart],""))</f>
        <v/>
      </c>
      <c r="H683" s="26" t="str" cm="1">
        <f t="array" ref="H683">IF(tblPayrollMaster[[#This Row],[Employee ID]]="","",_xlfn.XLOOKUP(selPayPeriodID,tblPayCalendar[PayPeriodID],tblPayCalendar[PeriodEnd],""))</f>
        <v/>
      </c>
      <c r="I683" s="24" t="e" cm="1" vm="1">
        <f t="array" aca="1" ref="I683" ca="1">Table18[Employer Name]</f>
        <v>#VALUE!</v>
      </c>
      <c r="J683" s="3" cm="1">
        <f t="array" ref="J68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83" s="25" t="str">
        <f>_xlfn.XLOOKUP(tblPayrollMaster[[#This Row],[Employee Position]],tblPositionandPayRate[Employee Position],tblPositionandPayRate[Overtime], " ")</f>
        <v xml:space="preserve"> </v>
      </c>
      <c r="L683" s="25">
        <f>_xlfn.XLOOKUP(tblPayrollMaster[[#This Row],[Employee Position]],tblPositionandPayRate[Employee Position],tblPositionandPayRate[Allowance 1],0)*tblPayrollMaster[[#This Row],[Pay Factor]]</f>
        <v>0</v>
      </c>
      <c r="M683" s="25">
        <f>_xlfn.XLOOKUP(tblPayrollMaster[[#This Row],[Employee Position]],tblPositionandPayRate[Employee Position],tblPositionandPayRate[Allowance 2],0)*tblPayrollMaster[[#This Row],[Pay Factor]]</f>
        <v>0</v>
      </c>
      <c r="N683" s="25">
        <f>_xlfn.XLOOKUP(tblPayrollMaster[[#This Row],[Employee Position]],tblPositionandPayRate[Employee Position],tblPositionandPayRate[Allowance 3],0)*tblPayrollMaster[[#This Row],[Pay Factor]]</f>
        <v>0</v>
      </c>
      <c r="O683" s="25">
        <f>_xlfn.XLOOKUP(tblPayrollMaster[[#This Row],[Employee Position]],tblPositionandPayRate[Employee Position],tblPositionandPayRate[Allowance 4],0)*tblPayrollMaster[[#This Row],[Pay Factor]]</f>
        <v>0</v>
      </c>
      <c r="P683" s="25">
        <f>_xlfn.XLOOKUP(tblPayrollMaster[[#This Row],[Employee Position]],tblPositionandPayRate[Employee Position],tblPositionandPayRate[Allowance 5],0)*tblPayrollMaster[[#This Row],[Pay Factor]]</f>
        <v>0</v>
      </c>
      <c r="Q683" s="25">
        <f>SUM(tblPayrollMaster[[#This Row],[Basic Pay]:[Allowance 5]])</f>
        <v>0</v>
      </c>
      <c r="R68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83" s="51" cm="1">
        <f t="array" ref="S6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83" s="3" cm="1">
        <f t="array" ref="T6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83" s="25">
        <f>_xlfn.LET(
_xlpm.tos, _xlfn.XLOOKUP(tblPayrollMaster[[#This Row],[Employee ID]], tblEmployee[Employee ID], tblEmployee[Type of Service], ""),
IF(_xlpm.tos="Contract of Service", 8.25, 0)
)</f>
        <v>0</v>
      </c>
      <c r="V683" s="25">
        <f>tblPayrollMaster[[#This Row],[Basic Earnings]]-tblPayrollMaster[[#This Row],[Tax]]-tblPayrollMaster[[#This Row],[NIS - Employee]]-tblPayrollMaster[[#This Row],[Health Surcharge]]</f>
        <v>0</v>
      </c>
      <c r="W683" s="25">
        <f>tblPayrollMaster[[#This Row],[Net Pay]]</f>
        <v>0</v>
      </c>
      <c r="X683" s="25"/>
    </row>
    <row r="684" spans="1:24" x14ac:dyDescent="0.25">
      <c r="A684" s="24"/>
      <c r="B684" s="24" t="str">
        <f>_xlfn.XLOOKUP(tblPayrollMaster[[#This Row],[Employee ID]],tblEmployee[Employee ID],tblEmployee[Employee Name],"")</f>
        <v/>
      </c>
      <c r="C684" s="24" t="str">
        <f>_xlfn.XLOOKUP(tblPayrollMaster[[#This Row],[Employee ID]],tblEmployee[Employee ID],tblEmployee[Employee Position],"")</f>
        <v/>
      </c>
      <c r="D684" s="24" t="str">
        <f>_xlfn.XLOOKUP(tblPayrollMaster[[#This Row],[Employee ID]], tblEmployee[Employee ID], tblEmployee[Pay Status], "Pay")</f>
        <v>Pay</v>
      </c>
      <c r="E684" s="24" t="str">
        <f>_xlfn.XLOOKUP(tblPayrollMaster[[#This Row],[Employee ID]], tblEmployee[Employee ID], tblEmployee[Payable Flag], "Y")</f>
        <v>Y</v>
      </c>
      <c r="F684" s="45">
        <f>IF(tblPayrollMaster[[#This Row],[Payable Flag]]="N",0,_xlfn.XLOOKUP(tblPayrollMaster[[#This Row],[Employee ID]],tblEmployee[Employee ID],tblEmployee[Pay Factor],1))</f>
        <v>1</v>
      </c>
      <c r="G684" s="26" t="str" cm="1">
        <f t="array" ref="G684">IF(tblPayrollMaster[[#This Row],[Employee ID]]="","",_xlfn.XLOOKUP(selPayPeriodID,tblPayCalendar[PayPeriodID],tblPayCalendar[PeriodStart],""))</f>
        <v/>
      </c>
      <c r="H684" s="26" t="str" cm="1">
        <f t="array" ref="H684">IF(tblPayrollMaster[[#This Row],[Employee ID]]="","",_xlfn.XLOOKUP(selPayPeriodID,tblPayCalendar[PayPeriodID],tblPayCalendar[PeriodEnd],""))</f>
        <v/>
      </c>
      <c r="I684" s="24" t="e" cm="1" vm="1">
        <f t="array" aca="1" ref="I684" ca="1">Table18[Employer Name]</f>
        <v>#VALUE!</v>
      </c>
      <c r="J684" s="3" cm="1">
        <f t="array" ref="J68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84" s="25" t="str">
        <f>_xlfn.XLOOKUP(tblPayrollMaster[[#This Row],[Employee Position]],tblPositionandPayRate[Employee Position],tblPositionandPayRate[Overtime], " ")</f>
        <v xml:space="preserve"> </v>
      </c>
      <c r="L684" s="25">
        <f>_xlfn.XLOOKUP(tblPayrollMaster[[#This Row],[Employee Position]],tblPositionandPayRate[Employee Position],tblPositionandPayRate[Allowance 1],0)*tblPayrollMaster[[#This Row],[Pay Factor]]</f>
        <v>0</v>
      </c>
      <c r="M684" s="25">
        <f>_xlfn.XLOOKUP(tblPayrollMaster[[#This Row],[Employee Position]],tblPositionandPayRate[Employee Position],tblPositionandPayRate[Allowance 2],0)*tblPayrollMaster[[#This Row],[Pay Factor]]</f>
        <v>0</v>
      </c>
      <c r="N684" s="25">
        <f>_xlfn.XLOOKUP(tblPayrollMaster[[#This Row],[Employee Position]],tblPositionandPayRate[Employee Position],tblPositionandPayRate[Allowance 3],0)*tblPayrollMaster[[#This Row],[Pay Factor]]</f>
        <v>0</v>
      </c>
      <c r="O684" s="25">
        <f>_xlfn.XLOOKUP(tblPayrollMaster[[#This Row],[Employee Position]],tblPositionandPayRate[Employee Position],tblPositionandPayRate[Allowance 4],0)*tblPayrollMaster[[#This Row],[Pay Factor]]</f>
        <v>0</v>
      </c>
      <c r="P684" s="25">
        <f>_xlfn.XLOOKUP(tblPayrollMaster[[#This Row],[Employee Position]],tblPositionandPayRate[Employee Position],tblPositionandPayRate[Allowance 5],0)*tblPayrollMaster[[#This Row],[Pay Factor]]</f>
        <v>0</v>
      </c>
      <c r="Q684" s="25">
        <f>SUM(tblPayrollMaster[[#This Row],[Basic Pay]:[Allowance 5]])</f>
        <v>0</v>
      </c>
      <c r="R68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84" s="51" cm="1">
        <f t="array" ref="S6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84" s="3" cm="1">
        <f t="array" ref="T6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84" s="25">
        <f>_xlfn.LET(
_xlpm.tos, _xlfn.XLOOKUP(tblPayrollMaster[[#This Row],[Employee ID]], tblEmployee[Employee ID], tblEmployee[Type of Service], ""),
IF(_xlpm.tos="Contract of Service", 8.25, 0)
)</f>
        <v>0</v>
      </c>
      <c r="V684" s="25">
        <f>tblPayrollMaster[[#This Row],[Basic Earnings]]-tblPayrollMaster[[#This Row],[Tax]]-tblPayrollMaster[[#This Row],[NIS - Employee]]-tblPayrollMaster[[#This Row],[Health Surcharge]]</f>
        <v>0</v>
      </c>
      <c r="W684" s="25">
        <f>tblPayrollMaster[[#This Row],[Net Pay]]</f>
        <v>0</v>
      </c>
      <c r="X684" s="25"/>
    </row>
    <row r="685" spans="1:24" x14ac:dyDescent="0.25">
      <c r="A685" s="24"/>
      <c r="B685" s="24" t="str">
        <f>_xlfn.XLOOKUP(tblPayrollMaster[[#This Row],[Employee ID]],tblEmployee[Employee ID],tblEmployee[Employee Name],"")</f>
        <v/>
      </c>
      <c r="C685" s="24" t="str">
        <f>_xlfn.XLOOKUP(tblPayrollMaster[[#This Row],[Employee ID]],tblEmployee[Employee ID],tblEmployee[Employee Position],"")</f>
        <v/>
      </c>
      <c r="D685" s="24" t="str">
        <f>_xlfn.XLOOKUP(tblPayrollMaster[[#This Row],[Employee ID]], tblEmployee[Employee ID], tblEmployee[Pay Status], "Pay")</f>
        <v>Pay</v>
      </c>
      <c r="E685" s="24" t="str">
        <f>_xlfn.XLOOKUP(tblPayrollMaster[[#This Row],[Employee ID]], tblEmployee[Employee ID], tblEmployee[Payable Flag], "Y")</f>
        <v>Y</v>
      </c>
      <c r="F685" s="45">
        <f>IF(tblPayrollMaster[[#This Row],[Payable Flag]]="N",0,_xlfn.XLOOKUP(tblPayrollMaster[[#This Row],[Employee ID]],tblEmployee[Employee ID],tblEmployee[Pay Factor],1))</f>
        <v>1</v>
      </c>
      <c r="G685" s="26" t="str" cm="1">
        <f t="array" ref="G685">IF(tblPayrollMaster[[#This Row],[Employee ID]]="","",_xlfn.XLOOKUP(selPayPeriodID,tblPayCalendar[PayPeriodID],tblPayCalendar[PeriodStart],""))</f>
        <v/>
      </c>
      <c r="H685" s="26" t="str" cm="1">
        <f t="array" ref="H685">IF(tblPayrollMaster[[#This Row],[Employee ID]]="","",_xlfn.XLOOKUP(selPayPeriodID,tblPayCalendar[PayPeriodID],tblPayCalendar[PeriodEnd],""))</f>
        <v/>
      </c>
      <c r="I685" s="24" t="e" cm="1" vm="1">
        <f t="array" aca="1" ref="I685" ca="1">Table18[Employer Name]</f>
        <v>#VALUE!</v>
      </c>
      <c r="J685" s="3" cm="1">
        <f t="array" ref="J68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85" s="25" t="str">
        <f>_xlfn.XLOOKUP(tblPayrollMaster[[#This Row],[Employee Position]],tblPositionandPayRate[Employee Position],tblPositionandPayRate[Overtime], " ")</f>
        <v xml:space="preserve"> </v>
      </c>
      <c r="L685" s="25">
        <f>_xlfn.XLOOKUP(tblPayrollMaster[[#This Row],[Employee Position]],tblPositionandPayRate[Employee Position],tblPositionandPayRate[Allowance 1],0)*tblPayrollMaster[[#This Row],[Pay Factor]]</f>
        <v>0</v>
      </c>
      <c r="M685" s="25">
        <f>_xlfn.XLOOKUP(tblPayrollMaster[[#This Row],[Employee Position]],tblPositionandPayRate[Employee Position],tblPositionandPayRate[Allowance 2],0)*tblPayrollMaster[[#This Row],[Pay Factor]]</f>
        <v>0</v>
      </c>
      <c r="N685" s="25">
        <f>_xlfn.XLOOKUP(tblPayrollMaster[[#This Row],[Employee Position]],tblPositionandPayRate[Employee Position],tblPositionandPayRate[Allowance 3],0)*tblPayrollMaster[[#This Row],[Pay Factor]]</f>
        <v>0</v>
      </c>
      <c r="O685" s="25">
        <f>_xlfn.XLOOKUP(tblPayrollMaster[[#This Row],[Employee Position]],tblPositionandPayRate[Employee Position],tblPositionandPayRate[Allowance 4],0)*tblPayrollMaster[[#This Row],[Pay Factor]]</f>
        <v>0</v>
      </c>
      <c r="P685" s="25">
        <f>_xlfn.XLOOKUP(tblPayrollMaster[[#This Row],[Employee Position]],tblPositionandPayRate[Employee Position],tblPositionandPayRate[Allowance 5],0)*tblPayrollMaster[[#This Row],[Pay Factor]]</f>
        <v>0</v>
      </c>
      <c r="Q685" s="25">
        <f>SUM(tblPayrollMaster[[#This Row],[Basic Pay]:[Allowance 5]])</f>
        <v>0</v>
      </c>
      <c r="R68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85" s="51" cm="1">
        <f t="array" ref="S6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85" s="3" cm="1">
        <f t="array" ref="T6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85" s="25">
        <f>_xlfn.LET(
_xlpm.tos, _xlfn.XLOOKUP(tblPayrollMaster[[#This Row],[Employee ID]], tblEmployee[Employee ID], tblEmployee[Type of Service], ""),
IF(_xlpm.tos="Contract of Service", 8.25, 0)
)</f>
        <v>0</v>
      </c>
      <c r="V685" s="25">
        <f>tblPayrollMaster[[#This Row],[Basic Earnings]]-tblPayrollMaster[[#This Row],[Tax]]-tblPayrollMaster[[#This Row],[NIS - Employee]]-tblPayrollMaster[[#This Row],[Health Surcharge]]</f>
        <v>0</v>
      </c>
      <c r="W685" s="25">
        <f>tblPayrollMaster[[#This Row],[Net Pay]]</f>
        <v>0</v>
      </c>
      <c r="X685" s="25"/>
    </row>
    <row r="686" spans="1:24" x14ac:dyDescent="0.25">
      <c r="A686" s="24"/>
      <c r="B686" s="24" t="str">
        <f>_xlfn.XLOOKUP(tblPayrollMaster[[#This Row],[Employee ID]],tblEmployee[Employee ID],tblEmployee[Employee Name],"")</f>
        <v/>
      </c>
      <c r="C686" s="24" t="str">
        <f>_xlfn.XLOOKUP(tblPayrollMaster[[#This Row],[Employee ID]],tblEmployee[Employee ID],tblEmployee[Employee Position],"")</f>
        <v/>
      </c>
      <c r="D686" s="24" t="str">
        <f>_xlfn.XLOOKUP(tblPayrollMaster[[#This Row],[Employee ID]], tblEmployee[Employee ID], tblEmployee[Pay Status], "Pay")</f>
        <v>Pay</v>
      </c>
      <c r="E686" s="24" t="str">
        <f>_xlfn.XLOOKUP(tblPayrollMaster[[#This Row],[Employee ID]], tblEmployee[Employee ID], tblEmployee[Payable Flag], "Y")</f>
        <v>Y</v>
      </c>
      <c r="F686" s="45">
        <f>IF(tblPayrollMaster[[#This Row],[Payable Flag]]="N",0,_xlfn.XLOOKUP(tblPayrollMaster[[#This Row],[Employee ID]],tblEmployee[Employee ID],tblEmployee[Pay Factor],1))</f>
        <v>1</v>
      </c>
      <c r="G686" s="26" t="str" cm="1">
        <f t="array" ref="G686">IF(tblPayrollMaster[[#This Row],[Employee ID]]="","",_xlfn.XLOOKUP(selPayPeriodID,tblPayCalendar[PayPeriodID],tblPayCalendar[PeriodStart],""))</f>
        <v/>
      </c>
      <c r="H686" s="26" t="str" cm="1">
        <f t="array" ref="H686">IF(tblPayrollMaster[[#This Row],[Employee ID]]="","",_xlfn.XLOOKUP(selPayPeriodID,tblPayCalendar[PayPeriodID],tblPayCalendar[PeriodEnd],""))</f>
        <v/>
      </c>
      <c r="I686" s="24" t="e" cm="1" vm="1">
        <f t="array" aca="1" ref="I686" ca="1">Table18[Employer Name]</f>
        <v>#VALUE!</v>
      </c>
      <c r="J686" s="3" cm="1">
        <f t="array" ref="J68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86" s="25" t="str">
        <f>_xlfn.XLOOKUP(tblPayrollMaster[[#This Row],[Employee Position]],tblPositionandPayRate[Employee Position],tblPositionandPayRate[Overtime], " ")</f>
        <v xml:space="preserve"> </v>
      </c>
      <c r="L686" s="25">
        <f>_xlfn.XLOOKUP(tblPayrollMaster[[#This Row],[Employee Position]],tblPositionandPayRate[Employee Position],tblPositionandPayRate[Allowance 1],0)*tblPayrollMaster[[#This Row],[Pay Factor]]</f>
        <v>0</v>
      </c>
      <c r="M686" s="25">
        <f>_xlfn.XLOOKUP(tblPayrollMaster[[#This Row],[Employee Position]],tblPositionandPayRate[Employee Position],tblPositionandPayRate[Allowance 2],0)*tblPayrollMaster[[#This Row],[Pay Factor]]</f>
        <v>0</v>
      </c>
      <c r="N686" s="25">
        <f>_xlfn.XLOOKUP(tblPayrollMaster[[#This Row],[Employee Position]],tblPositionandPayRate[Employee Position],tblPositionandPayRate[Allowance 3],0)*tblPayrollMaster[[#This Row],[Pay Factor]]</f>
        <v>0</v>
      </c>
      <c r="O686" s="25">
        <f>_xlfn.XLOOKUP(tblPayrollMaster[[#This Row],[Employee Position]],tblPositionandPayRate[Employee Position],tblPositionandPayRate[Allowance 4],0)*tblPayrollMaster[[#This Row],[Pay Factor]]</f>
        <v>0</v>
      </c>
      <c r="P686" s="25">
        <f>_xlfn.XLOOKUP(tblPayrollMaster[[#This Row],[Employee Position]],tblPositionandPayRate[Employee Position],tblPositionandPayRate[Allowance 5],0)*tblPayrollMaster[[#This Row],[Pay Factor]]</f>
        <v>0</v>
      </c>
      <c r="Q686" s="25">
        <f>SUM(tblPayrollMaster[[#This Row],[Basic Pay]:[Allowance 5]])</f>
        <v>0</v>
      </c>
      <c r="R68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86" s="51" cm="1">
        <f t="array" ref="S6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86" s="3" cm="1">
        <f t="array" ref="T6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86" s="25">
        <f>_xlfn.LET(
_xlpm.tos, _xlfn.XLOOKUP(tblPayrollMaster[[#This Row],[Employee ID]], tblEmployee[Employee ID], tblEmployee[Type of Service], ""),
IF(_xlpm.tos="Contract of Service", 8.25, 0)
)</f>
        <v>0</v>
      </c>
      <c r="V686" s="25">
        <f>tblPayrollMaster[[#This Row],[Basic Earnings]]-tblPayrollMaster[[#This Row],[Tax]]-tblPayrollMaster[[#This Row],[NIS - Employee]]-tblPayrollMaster[[#This Row],[Health Surcharge]]</f>
        <v>0</v>
      </c>
      <c r="W686" s="25">
        <f>tblPayrollMaster[[#This Row],[Net Pay]]</f>
        <v>0</v>
      </c>
      <c r="X686" s="25"/>
    </row>
    <row r="687" spans="1:24" x14ac:dyDescent="0.25">
      <c r="A687" s="24"/>
      <c r="B687" s="24" t="str">
        <f>_xlfn.XLOOKUP(tblPayrollMaster[[#This Row],[Employee ID]],tblEmployee[Employee ID],tblEmployee[Employee Name],"")</f>
        <v/>
      </c>
      <c r="C687" s="24" t="str">
        <f>_xlfn.XLOOKUP(tblPayrollMaster[[#This Row],[Employee ID]],tblEmployee[Employee ID],tblEmployee[Employee Position],"")</f>
        <v/>
      </c>
      <c r="D687" s="24" t="str">
        <f>_xlfn.XLOOKUP(tblPayrollMaster[[#This Row],[Employee ID]], tblEmployee[Employee ID], tblEmployee[Pay Status], "Pay")</f>
        <v>Pay</v>
      </c>
      <c r="E687" s="24" t="str">
        <f>_xlfn.XLOOKUP(tblPayrollMaster[[#This Row],[Employee ID]], tblEmployee[Employee ID], tblEmployee[Payable Flag], "Y")</f>
        <v>Y</v>
      </c>
      <c r="F687" s="45">
        <f>IF(tblPayrollMaster[[#This Row],[Payable Flag]]="N",0,_xlfn.XLOOKUP(tblPayrollMaster[[#This Row],[Employee ID]],tblEmployee[Employee ID],tblEmployee[Pay Factor],1))</f>
        <v>1</v>
      </c>
      <c r="G687" s="26" t="str" cm="1">
        <f t="array" ref="G687">IF(tblPayrollMaster[[#This Row],[Employee ID]]="","",_xlfn.XLOOKUP(selPayPeriodID,tblPayCalendar[PayPeriodID],tblPayCalendar[PeriodStart],""))</f>
        <v/>
      </c>
      <c r="H687" s="26" t="str" cm="1">
        <f t="array" ref="H687">IF(tblPayrollMaster[[#This Row],[Employee ID]]="","",_xlfn.XLOOKUP(selPayPeriodID,tblPayCalendar[PayPeriodID],tblPayCalendar[PeriodEnd],""))</f>
        <v/>
      </c>
      <c r="I687" s="24" t="e" cm="1" vm="1">
        <f t="array" aca="1" ref="I687" ca="1">Table18[Employer Name]</f>
        <v>#VALUE!</v>
      </c>
      <c r="J687" s="3" cm="1">
        <f t="array" ref="J68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87" s="25" t="str">
        <f>_xlfn.XLOOKUP(tblPayrollMaster[[#This Row],[Employee Position]],tblPositionandPayRate[Employee Position],tblPositionandPayRate[Overtime], " ")</f>
        <v xml:space="preserve"> </v>
      </c>
      <c r="L687" s="25">
        <f>_xlfn.XLOOKUP(tblPayrollMaster[[#This Row],[Employee Position]],tblPositionandPayRate[Employee Position],tblPositionandPayRate[Allowance 1],0)*tblPayrollMaster[[#This Row],[Pay Factor]]</f>
        <v>0</v>
      </c>
      <c r="M687" s="25">
        <f>_xlfn.XLOOKUP(tblPayrollMaster[[#This Row],[Employee Position]],tblPositionandPayRate[Employee Position],tblPositionandPayRate[Allowance 2],0)*tblPayrollMaster[[#This Row],[Pay Factor]]</f>
        <v>0</v>
      </c>
      <c r="N687" s="25">
        <f>_xlfn.XLOOKUP(tblPayrollMaster[[#This Row],[Employee Position]],tblPositionandPayRate[Employee Position],tblPositionandPayRate[Allowance 3],0)*tblPayrollMaster[[#This Row],[Pay Factor]]</f>
        <v>0</v>
      </c>
      <c r="O687" s="25">
        <f>_xlfn.XLOOKUP(tblPayrollMaster[[#This Row],[Employee Position]],tblPositionandPayRate[Employee Position],tblPositionandPayRate[Allowance 4],0)*tblPayrollMaster[[#This Row],[Pay Factor]]</f>
        <v>0</v>
      </c>
      <c r="P687" s="25">
        <f>_xlfn.XLOOKUP(tblPayrollMaster[[#This Row],[Employee Position]],tblPositionandPayRate[Employee Position],tblPositionandPayRate[Allowance 5],0)*tblPayrollMaster[[#This Row],[Pay Factor]]</f>
        <v>0</v>
      </c>
      <c r="Q687" s="25">
        <f>SUM(tblPayrollMaster[[#This Row],[Basic Pay]:[Allowance 5]])</f>
        <v>0</v>
      </c>
      <c r="R68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87" s="51" cm="1">
        <f t="array" ref="S6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87" s="3" cm="1">
        <f t="array" ref="T6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87" s="25">
        <f>_xlfn.LET(
_xlpm.tos, _xlfn.XLOOKUP(tblPayrollMaster[[#This Row],[Employee ID]], tblEmployee[Employee ID], tblEmployee[Type of Service], ""),
IF(_xlpm.tos="Contract of Service", 8.25, 0)
)</f>
        <v>0</v>
      </c>
      <c r="V687" s="25">
        <f>tblPayrollMaster[[#This Row],[Basic Earnings]]-tblPayrollMaster[[#This Row],[Tax]]-tblPayrollMaster[[#This Row],[NIS - Employee]]-tblPayrollMaster[[#This Row],[Health Surcharge]]</f>
        <v>0</v>
      </c>
      <c r="W687" s="25">
        <f>tblPayrollMaster[[#This Row],[Net Pay]]</f>
        <v>0</v>
      </c>
      <c r="X687" s="25"/>
    </row>
    <row r="688" spans="1:24" x14ac:dyDescent="0.25">
      <c r="A688" s="24"/>
      <c r="B688" s="24" t="str">
        <f>_xlfn.XLOOKUP(tblPayrollMaster[[#This Row],[Employee ID]],tblEmployee[Employee ID],tblEmployee[Employee Name],"")</f>
        <v/>
      </c>
      <c r="C688" s="24" t="str">
        <f>_xlfn.XLOOKUP(tblPayrollMaster[[#This Row],[Employee ID]],tblEmployee[Employee ID],tblEmployee[Employee Position],"")</f>
        <v/>
      </c>
      <c r="D688" s="24" t="str">
        <f>_xlfn.XLOOKUP(tblPayrollMaster[[#This Row],[Employee ID]], tblEmployee[Employee ID], tblEmployee[Pay Status], "Pay")</f>
        <v>Pay</v>
      </c>
      <c r="E688" s="24" t="str">
        <f>_xlfn.XLOOKUP(tblPayrollMaster[[#This Row],[Employee ID]], tblEmployee[Employee ID], tblEmployee[Payable Flag], "Y")</f>
        <v>Y</v>
      </c>
      <c r="F688" s="45">
        <f>IF(tblPayrollMaster[[#This Row],[Payable Flag]]="N",0,_xlfn.XLOOKUP(tblPayrollMaster[[#This Row],[Employee ID]],tblEmployee[Employee ID],tblEmployee[Pay Factor],1))</f>
        <v>1</v>
      </c>
      <c r="G688" s="26" t="str" cm="1">
        <f t="array" ref="G688">IF(tblPayrollMaster[[#This Row],[Employee ID]]="","",_xlfn.XLOOKUP(selPayPeriodID,tblPayCalendar[PayPeriodID],tblPayCalendar[PeriodStart],""))</f>
        <v/>
      </c>
      <c r="H688" s="26" t="str" cm="1">
        <f t="array" ref="H688">IF(tblPayrollMaster[[#This Row],[Employee ID]]="","",_xlfn.XLOOKUP(selPayPeriodID,tblPayCalendar[PayPeriodID],tblPayCalendar[PeriodEnd],""))</f>
        <v/>
      </c>
      <c r="I688" s="24" t="e" cm="1" vm="1">
        <f t="array" aca="1" ref="I688" ca="1">Table18[Employer Name]</f>
        <v>#VALUE!</v>
      </c>
      <c r="J688" s="3" cm="1">
        <f t="array" ref="J68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88" s="25" t="str">
        <f>_xlfn.XLOOKUP(tblPayrollMaster[[#This Row],[Employee Position]],tblPositionandPayRate[Employee Position],tblPositionandPayRate[Overtime], " ")</f>
        <v xml:space="preserve"> </v>
      </c>
      <c r="L688" s="25">
        <f>_xlfn.XLOOKUP(tblPayrollMaster[[#This Row],[Employee Position]],tblPositionandPayRate[Employee Position],tblPositionandPayRate[Allowance 1],0)*tblPayrollMaster[[#This Row],[Pay Factor]]</f>
        <v>0</v>
      </c>
      <c r="M688" s="25">
        <f>_xlfn.XLOOKUP(tblPayrollMaster[[#This Row],[Employee Position]],tblPositionandPayRate[Employee Position],tblPositionandPayRate[Allowance 2],0)*tblPayrollMaster[[#This Row],[Pay Factor]]</f>
        <v>0</v>
      </c>
      <c r="N688" s="25">
        <f>_xlfn.XLOOKUP(tblPayrollMaster[[#This Row],[Employee Position]],tblPositionandPayRate[Employee Position],tblPositionandPayRate[Allowance 3],0)*tblPayrollMaster[[#This Row],[Pay Factor]]</f>
        <v>0</v>
      </c>
      <c r="O688" s="25">
        <f>_xlfn.XLOOKUP(tblPayrollMaster[[#This Row],[Employee Position]],tblPositionandPayRate[Employee Position],tblPositionandPayRate[Allowance 4],0)*tblPayrollMaster[[#This Row],[Pay Factor]]</f>
        <v>0</v>
      </c>
      <c r="P688" s="25">
        <f>_xlfn.XLOOKUP(tblPayrollMaster[[#This Row],[Employee Position]],tblPositionandPayRate[Employee Position],tblPositionandPayRate[Allowance 5],0)*tblPayrollMaster[[#This Row],[Pay Factor]]</f>
        <v>0</v>
      </c>
      <c r="Q688" s="25">
        <f>SUM(tblPayrollMaster[[#This Row],[Basic Pay]:[Allowance 5]])</f>
        <v>0</v>
      </c>
      <c r="R68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88" s="51" cm="1">
        <f t="array" ref="S6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88" s="3" cm="1">
        <f t="array" ref="T6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88" s="25">
        <f>_xlfn.LET(
_xlpm.tos, _xlfn.XLOOKUP(tblPayrollMaster[[#This Row],[Employee ID]], tblEmployee[Employee ID], tblEmployee[Type of Service], ""),
IF(_xlpm.tos="Contract of Service", 8.25, 0)
)</f>
        <v>0</v>
      </c>
      <c r="V688" s="25">
        <f>tblPayrollMaster[[#This Row],[Basic Earnings]]-tblPayrollMaster[[#This Row],[Tax]]-tblPayrollMaster[[#This Row],[NIS - Employee]]-tblPayrollMaster[[#This Row],[Health Surcharge]]</f>
        <v>0</v>
      </c>
      <c r="W688" s="25">
        <f>tblPayrollMaster[[#This Row],[Net Pay]]</f>
        <v>0</v>
      </c>
      <c r="X688" s="25"/>
    </row>
    <row r="689" spans="1:24" x14ac:dyDescent="0.25">
      <c r="A689" s="24"/>
      <c r="B689" s="24" t="str">
        <f>_xlfn.XLOOKUP(tblPayrollMaster[[#This Row],[Employee ID]],tblEmployee[Employee ID],tblEmployee[Employee Name],"")</f>
        <v/>
      </c>
      <c r="C689" s="24" t="str">
        <f>_xlfn.XLOOKUP(tblPayrollMaster[[#This Row],[Employee ID]],tblEmployee[Employee ID],tblEmployee[Employee Position],"")</f>
        <v/>
      </c>
      <c r="D689" s="24" t="str">
        <f>_xlfn.XLOOKUP(tblPayrollMaster[[#This Row],[Employee ID]], tblEmployee[Employee ID], tblEmployee[Pay Status], "Pay")</f>
        <v>Pay</v>
      </c>
      <c r="E689" s="24" t="str">
        <f>_xlfn.XLOOKUP(tblPayrollMaster[[#This Row],[Employee ID]], tblEmployee[Employee ID], tblEmployee[Payable Flag], "Y")</f>
        <v>Y</v>
      </c>
      <c r="F689" s="45">
        <f>IF(tblPayrollMaster[[#This Row],[Payable Flag]]="N",0,_xlfn.XLOOKUP(tblPayrollMaster[[#This Row],[Employee ID]],tblEmployee[Employee ID],tblEmployee[Pay Factor],1))</f>
        <v>1</v>
      </c>
      <c r="G689" s="26" t="str" cm="1">
        <f t="array" ref="G689">IF(tblPayrollMaster[[#This Row],[Employee ID]]="","",_xlfn.XLOOKUP(selPayPeriodID,tblPayCalendar[PayPeriodID],tblPayCalendar[PeriodStart],""))</f>
        <v/>
      </c>
      <c r="H689" s="26" t="str" cm="1">
        <f t="array" ref="H689">IF(tblPayrollMaster[[#This Row],[Employee ID]]="","",_xlfn.XLOOKUP(selPayPeriodID,tblPayCalendar[PayPeriodID],tblPayCalendar[PeriodEnd],""))</f>
        <v/>
      </c>
      <c r="I689" s="24" t="e" cm="1" vm="1">
        <f t="array" aca="1" ref="I689" ca="1">Table18[Employer Name]</f>
        <v>#VALUE!</v>
      </c>
      <c r="J689" s="3" cm="1">
        <f t="array" ref="J68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89" s="25" t="str">
        <f>_xlfn.XLOOKUP(tblPayrollMaster[[#This Row],[Employee Position]],tblPositionandPayRate[Employee Position],tblPositionandPayRate[Overtime], " ")</f>
        <v xml:space="preserve"> </v>
      </c>
      <c r="L689" s="25">
        <f>_xlfn.XLOOKUP(tblPayrollMaster[[#This Row],[Employee Position]],tblPositionandPayRate[Employee Position],tblPositionandPayRate[Allowance 1],0)*tblPayrollMaster[[#This Row],[Pay Factor]]</f>
        <v>0</v>
      </c>
      <c r="M689" s="25">
        <f>_xlfn.XLOOKUP(tblPayrollMaster[[#This Row],[Employee Position]],tblPositionandPayRate[Employee Position],tblPositionandPayRate[Allowance 2],0)*tblPayrollMaster[[#This Row],[Pay Factor]]</f>
        <v>0</v>
      </c>
      <c r="N689" s="25">
        <f>_xlfn.XLOOKUP(tblPayrollMaster[[#This Row],[Employee Position]],tblPositionandPayRate[Employee Position],tblPositionandPayRate[Allowance 3],0)*tblPayrollMaster[[#This Row],[Pay Factor]]</f>
        <v>0</v>
      </c>
      <c r="O689" s="25">
        <f>_xlfn.XLOOKUP(tblPayrollMaster[[#This Row],[Employee Position]],tblPositionandPayRate[Employee Position],tblPositionandPayRate[Allowance 4],0)*tblPayrollMaster[[#This Row],[Pay Factor]]</f>
        <v>0</v>
      </c>
      <c r="P689" s="25">
        <f>_xlfn.XLOOKUP(tblPayrollMaster[[#This Row],[Employee Position]],tblPositionandPayRate[Employee Position],tblPositionandPayRate[Allowance 5],0)*tblPayrollMaster[[#This Row],[Pay Factor]]</f>
        <v>0</v>
      </c>
      <c r="Q689" s="25">
        <f>SUM(tblPayrollMaster[[#This Row],[Basic Pay]:[Allowance 5]])</f>
        <v>0</v>
      </c>
      <c r="R68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89" s="51" cm="1">
        <f t="array" ref="S6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89" s="3" cm="1">
        <f t="array" ref="T6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89" s="25">
        <f>_xlfn.LET(
_xlpm.tos, _xlfn.XLOOKUP(tblPayrollMaster[[#This Row],[Employee ID]], tblEmployee[Employee ID], tblEmployee[Type of Service], ""),
IF(_xlpm.tos="Contract of Service", 8.25, 0)
)</f>
        <v>0</v>
      </c>
      <c r="V689" s="25">
        <f>tblPayrollMaster[[#This Row],[Basic Earnings]]-tblPayrollMaster[[#This Row],[Tax]]-tblPayrollMaster[[#This Row],[NIS - Employee]]-tblPayrollMaster[[#This Row],[Health Surcharge]]</f>
        <v>0</v>
      </c>
      <c r="W689" s="25">
        <f>tblPayrollMaster[[#This Row],[Net Pay]]</f>
        <v>0</v>
      </c>
      <c r="X689" s="25"/>
    </row>
    <row r="690" spans="1:24" x14ac:dyDescent="0.25">
      <c r="A690" s="24"/>
      <c r="B690" s="24" t="str">
        <f>_xlfn.XLOOKUP(tblPayrollMaster[[#This Row],[Employee ID]],tblEmployee[Employee ID],tblEmployee[Employee Name],"")</f>
        <v/>
      </c>
      <c r="C690" s="24" t="str">
        <f>_xlfn.XLOOKUP(tblPayrollMaster[[#This Row],[Employee ID]],tblEmployee[Employee ID],tblEmployee[Employee Position],"")</f>
        <v/>
      </c>
      <c r="D690" s="24" t="str">
        <f>_xlfn.XLOOKUP(tblPayrollMaster[[#This Row],[Employee ID]], tblEmployee[Employee ID], tblEmployee[Pay Status], "Pay")</f>
        <v>Pay</v>
      </c>
      <c r="E690" s="24" t="str">
        <f>_xlfn.XLOOKUP(tblPayrollMaster[[#This Row],[Employee ID]], tblEmployee[Employee ID], tblEmployee[Payable Flag], "Y")</f>
        <v>Y</v>
      </c>
      <c r="F690" s="45">
        <f>IF(tblPayrollMaster[[#This Row],[Payable Flag]]="N",0,_xlfn.XLOOKUP(tblPayrollMaster[[#This Row],[Employee ID]],tblEmployee[Employee ID],tblEmployee[Pay Factor],1))</f>
        <v>1</v>
      </c>
      <c r="G690" s="26" t="str" cm="1">
        <f t="array" ref="G690">IF(tblPayrollMaster[[#This Row],[Employee ID]]="","",_xlfn.XLOOKUP(selPayPeriodID,tblPayCalendar[PayPeriodID],tblPayCalendar[PeriodStart],""))</f>
        <v/>
      </c>
      <c r="H690" s="26" t="str" cm="1">
        <f t="array" ref="H690">IF(tblPayrollMaster[[#This Row],[Employee ID]]="","",_xlfn.XLOOKUP(selPayPeriodID,tblPayCalendar[PayPeriodID],tblPayCalendar[PeriodEnd],""))</f>
        <v/>
      </c>
      <c r="I690" s="24" t="e" cm="1" vm="1">
        <f t="array" aca="1" ref="I690" ca="1">Table18[Employer Name]</f>
        <v>#VALUE!</v>
      </c>
      <c r="J690" s="3" cm="1">
        <f t="array" ref="J69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90" s="25" t="str">
        <f>_xlfn.XLOOKUP(tblPayrollMaster[[#This Row],[Employee Position]],tblPositionandPayRate[Employee Position],tblPositionandPayRate[Overtime], " ")</f>
        <v xml:space="preserve"> </v>
      </c>
      <c r="L690" s="25">
        <f>_xlfn.XLOOKUP(tblPayrollMaster[[#This Row],[Employee Position]],tblPositionandPayRate[Employee Position],tblPositionandPayRate[Allowance 1],0)*tblPayrollMaster[[#This Row],[Pay Factor]]</f>
        <v>0</v>
      </c>
      <c r="M690" s="25">
        <f>_xlfn.XLOOKUP(tblPayrollMaster[[#This Row],[Employee Position]],tblPositionandPayRate[Employee Position],tblPositionandPayRate[Allowance 2],0)*tblPayrollMaster[[#This Row],[Pay Factor]]</f>
        <v>0</v>
      </c>
      <c r="N690" s="25">
        <f>_xlfn.XLOOKUP(tblPayrollMaster[[#This Row],[Employee Position]],tblPositionandPayRate[Employee Position],tblPositionandPayRate[Allowance 3],0)*tblPayrollMaster[[#This Row],[Pay Factor]]</f>
        <v>0</v>
      </c>
      <c r="O690" s="25">
        <f>_xlfn.XLOOKUP(tblPayrollMaster[[#This Row],[Employee Position]],tblPositionandPayRate[Employee Position],tblPositionandPayRate[Allowance 4],0)*tblPayrollMaster[[#This Row],[Pay Factor]]</f>
        <v>0</v>
      </c>
      <c r="P690" s="25">
        <f>_xlfn.XLOOKUP(tblPayrollMaster[[#This Row],[Employee Position]],tblPositionandPayRate[Employee Position],tblPositionandPayRate[Allowance 5],0)*tblPayrollMaster[[#This Row],[Pay Factor]]</f>
        <v>0</v>
      </c>
      <c r="Q690" s="25">
        <f>SUM(tblPayrollMaster[[#This Row],[Basic Pay]:[Allowance 5]])</f>
        <v>0</v>
      </c>
      <c r="R69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90" s="51" cm="1">
        <f t="array" ref="S6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90" s="3" cm="1">
        <f t="array" ref="T6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90" s="25">
        <f>_xlfn.LET(
_xlpm.tos, _xlfn.XLOOKUP(tblPayrollMaster[[#This Row],[Employee ID]], tblEmployee[Employee ID], tblEmployee[Type of Service], ""),
IF(_xlpm.tos="Contract of Service", 8.25, 0)
)</f>
        <v>0</v>
      </c>
      <c r="V690" s="25">
        <f>tblPayrollMaster[[#This Row],[Basic Earnings]]-tblPayrollMaster[[#This Row],[Tax]]-tblPayrollMaster[[#This Row],[NIS - Employee]]-tblPayrollMaster[[#This Row],[Health Surcharge]]</f>
        <v>0</v>
      </c>
      <c r="W690" s="25">
        <f>tblPayrollMaster[[#This Row],[Net Pay]]</f>
        <v>0</v>
      </c>
      <c r="X690" s="25"/>
    </row>
    <row r="691" spans="1:24" x14ac:dyDescent="0.25">
      <c r="A691" s="24"/>
      <c r="B691" s="24" t="str">
        <f>_xlfn.XLOOKUP(tblPayrollMaster[[#This Row],[Employee ID]],tblEmployee[Employee ID],tblEmployee[Employee Name],"")</f>
        <v/>
      </c>
      <c r="C691" s="24" t="str">
        <f>_xlfn.XLOOKUP(tblPayrollMaster[[#This Row],[Employee ID]],tblEmployee[Employee ID],tblEmployee[Employee Position],"")</f>
        <v/>
      </c>
      <c r="D691" s="24" t="str">
        <f>_xlfn.XLOOKUP(tblPayrollMaster[[#This Row],[Employee ID]], tblEmployee[Employee ID], tblEmployee[Pay Status], "Pay")</f>
        <v>Pay</v>
      </c>
      <c r="E691" s="24" t="str">
        <f>_xlfn.XLOOKUP(tblPayrollMaster[[#This Row],[Employee ID]], tblEmployee[Employee ID], tblEmployee[Payable Flag], "Y")</f>
        <v>Y</v>
      </c>
      <c r="F691" s="45">
        <f>IF(tblPayrollMaster[[#This Row],[Payable Flag]]="N",0,_xlfn.XLOOKUP(tblPayrollMaster[[#This Row],[Employee ID]],tblEmployee[Employee ID],tblEmployee[Pay Factor],1))</f>
        <v>1</v>
      </c>
      <c r="G691" s="26" t="str" cm="1">
        <f t="array" ref="G691">IF(tblPayrollMaster[[#This Row],[Employee ID]]="","",_xlfn.XLOOKUP(selPayPeriodID,tblPayCalendar[PayPeriodID],tblPayCalendar[PeriodStart],""))</f>
        <v/>
      </c>
      <c r="H691" s="26" t="str" cm="1">
        <f t="array" ref="H691">IF(tblPayrollMaster[[#This Row],[Employee ID]]="","",_xlfn.XLOOKUP(selPayPeriodID,tblPayCalendar[PayPeriodID],tblPayCalendar[PeriodEnd],""))</f>
        <v/>
      </c>
      <c r="I691" s="24" t="e" cm="1" vm="1">
        <f t="array" aca="1" ref="I691" ca="1">Table18[Employer Name]</f>
        <v>#VALUE!</v>
      </c>
      <c r="J691" s="3" cm="1">
        <f t="array" ref="J69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91" s="25" t="str">
        <f>_xlfn.XLOOKUP(tblPayrollMaster[[#This Row],[Employee Position]],tblPositionandPayRate[Employee Position],tblPositionandPayRate[Overtime], " ")</f>
        <v xml:space="preserve"> </v>
      </c>
      <c r="L691" s="25">
        <f>_xlfn.XLOOKUP(tblPayrollMaster[[#This Row],[Employee Position]],tblPositionandPayRate[Employee Position],tblPositionandPayRate[Allowance 1],0)*tblPayrollMaster[[#This Row],[Pay Factor]]</f>
        <v>0</v>
      </c>
      <c r="M691" s="25">
        <f>_xlfn.XLOOKUP(tblPayrollMaster[[#This Row],[Employee Position]],tblPositionandPayRate[Employee Position],tblPositionandPayRate[Allowance 2],0)*tblPayrollMaster[[#This Row],[Pay Factor]]</f>
        <v>0</v>
      </c>
      <c r="N691" s="25">
        <f>_xlfn.XLOOKUP(tblPayrollMaster[[#This Row],[Employee Position]],tblPositionandPayRate[Employee Position],tblPositionandPayRate[Allowance 3],0)*tblPayrollMaster[[#This Row],[Pay Factor]]</f>
        <v>0</v>
      </c>
      <c r="O691" s="25">
        <f>_xlfn.XLOOKUP(tblPayrollMaster[[#This Row],[Employee Position]],tblPositionandPayRate[Employee Position],tblPositionandPayRate[Allowance 4],0)*tblPayrollMaster[[#This Row],[Pay Factor]]</f>
        <v>0</v>
      </c>
      <c r="P691" s="25">
        <f>_xlfn.XLOOKUP(tblPayrollMaster[[#This Row],[Employee Position]],tblPositionandPayRate[Employee Position],tblPositionandPayRate[Allowance 5],0)*tblPayrollMaster[[#This Row],[Pay Factor]]</f>
        <v>0</v>
      </c>
      <c r="Q691" s="25">
        <f>SUM(tblPayrollMaster[[#This Row],[Basic Pay]:[Allowance 5]])</f>
        <v>0</v>
      </c>
      <c r="R69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91" s="51" cm="1">
        <f t="array" ref="S6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91" s="3" cm="1">
        <f t="array" ref="T6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91" s="25">
        <f>_xlfn.LET(
_xlpm.tos, _xlfn.XLOOKUP(tblPayrollMaster[[#This Row],[Employee ID]], tblEmployee[Employee ID], tblEmployee[Type of Service], ""),
IF(_xlpm.tos="Contract of Service", 8.25, 0)
)</f>
        <v>0</v>
      </c>
      <c r="V691" s="25">
        <f>tblPayrollMaster[[#This Row],[Basic Earnings]]-tblPayrollMaster[[#This Row],[Tax]]-tblPayrollMaster[[#This Row],[NIS - Employee]]-tblPayrollMaster[[#This Row],[Health Surcharge]]</f>
        <v>0</v>
      </c>
      <c r="W691" s="25">
        <f>tblPayrollMaster[[#This Row],[Net Pay]]</f>
        <v>0</v>
      </c>
      <c r="X691" s="25"/>
    </row>
    <row r="692" spans="1:24" x14ac:dyDescent="0.25">
      <c r="A692" s="24"/>
      <c r="B692" s="24" t="str">
        <f>_xlfn.XLOOKUP(tblPayrollMaster[[#This Row],[Employee ID]],tblEmployee[Employee ID],tblEmployee[Employee Name],"")</f>
        <v/>
      </c>
      <c r="C692" s="24" t="str">
        <f>_xlfn.XLOOKUP(tblPayrollMaster[[#This Row],[Employee ID]],tblEmployee[Employee ID],tblEmployee[Employee Position],"")</f>
        <v/>
      </c>
      <c r="D692" s="24" t="str">
        <f>_xlfn.XLOOKUP(tblPayrollMaster[[#This Row],[Employee ID]], tblEmployee[Employee ID], tblEmployee[Pay Status], "Pay")</f>
        <v>Pay</v>
      </c>
      <c r="E692" s="24" t="str">
        <f>_xlfn.XLOOKUP(tblPayrollMaster[[#This Row],[Employee ID]], tblEmployee[Employee ID], tblEmployee[Payable Flag], "Y")</f>
        <v>Y</v>
      </c>
      <c r="F692" s="45">
        <f>IF(tblPayrollMaster[[#This Row],[Payable Flag]]="N",0,_xlfn.XLOOKUP(tblPayrollMaster[[#This Row],[Employee ID]],tblEmployee[Employee ID],tblEmployee[Pay Factor],1))</f>
        <v>1</v>
      </c>
      <c r="G692" s="26" t="str" cm="1">
        <f t="array" ref="G692">IF(tblPayrollMaster[[#This Row],[Employee ID]]="","",_xlfn.XLOOKUP(selPayPeriodID,tblPayCalendar[PayPeriodID],tblPayCalendar[PeriodStart],""))</f>
        <v/>
      </c>
      <c r="H692" s="26" t="str" cm="1">
        <f t="array" ref="H692">IF(tblPayrollMaster[[#This Row],[Employee ID]]="","",_xlfn.XLOOKUP(selPayPeriodID,tblPayCalendar[PayPeriodID],tblPayCalendar[PeriodEnd],""))</f>
        <v/>
      </c>
      <c r="I692" s="24" t="e" cm="1" vm="1">
        <f t="array" aca="1" ref="I692" ca="1">Table18[Employer Name]</f>
        <v>#VALUE!</v>
      </c>
      <c r="J692" s="3" cm="1">
        <f t="array" ref="J69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92" s="25" t="str">
        <f>_xlfn.XLOOKUP(tblPayrollMaster[[#This Row],[Employee Position]],tblPositionandPayRate[Employee Position],tblPositionandPayRate[Overtime], " ")</f>
        <v xml:space="preserve"> </v>
      </c>
      <c r="L692" s="25">
        <f>_xlfn.XLOOKUP(tblPayrollMaster[[#This Row],[Employee Position]],tblPositionandPayRate[Employee Position],tblPositionandPayRate[Allowance 1],0)*tblPayrollMaster[[#This Row],[Pay Factor]]</f>
        <v>0</v>
      </c>
      <c r="M692" s="25">
        <f>_xlfn.XLOOKUP(tblPayrollMaster[[#This Row],[Employee Position]],tblPositionandPayRate[Employee Position],tblPositionandPayRate[Allowance 2],0)*tblPayrollMaster[[#This Row],[Pay Factor]]</f>
        <v>0</v>
      </c>
      <c r="N692" s="25">
        <f>_xlfn.XLOOKUP(tblPayrollMaster[[#This Row],[Employee Position]],tblPositionandPayRate[Employee Position],tblPositionandPayRate[Allowance 3],0)*tblPayrollMaster[[#This Row],[Pay Factor]]</f>
        <v>0</v>
      </c>
      <c r="O692" s="25">
        <f>_xlfn.XLOOKUP(tblPayrollMaster[[#This Row],[Employee Position]],tblPositionandPayRate[Employee Position],tblPositionandPayRate[Allowance 4],0)*tblPayrollMaster[[#This Row],[Pay Factor]]</f>
        <v>0</v>
      </c>
      <c r="P692" s="25">
        <f>_xlfn.XLOOKUP(tblPayrollMaster[[#This Row],[Employee Position]],tblPositionandPayRate[Employee Position],tblPositionandPayRate[Allowance 5],0)*tblPayrollMaster[[#This Row],[Pay Factor]]</f>
        <v>0</v>
      </c>
      <c r="Q692" s="25">
        <f>SUM(tblPayrollMaster[[#This Row],[Basic Pay]:[Allowance 5]])</f>
        <v>0</v>
      </c>
      <c r="R69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92" s="51" cm="1">
        <f t="array" ref="S6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92" s="3" cm="1">
        <f t="array" ref="T6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92" s="25">
        <f>_xlfn.LET(
_xlpm.tos, _xlfn.XLOOKUP(tblPayrollMaster[[#This Row],[Employee ID]], tblEmployee[Employee ID], tblEmployee[Type of Service], ""),
IF(_xlpm.tos="Contract of Service", 8.25, 0)
)</f>
        <v>0</v>
      </c>
      <c r="V692" s="25">
        <f>tblPayrollMaster[[#This Row],[Basic Earnings]]-tblPayrollMaster[[#This Row],[Tax]]-tblPayrollMaster[[#This Row],[NIS - Employee]]-tblPayrollMaster[[#This Row],[Health Surcharge]]</f>
        <v>0</v>
      </c>
      <c r="W692" s="25">
        <f>tblPayrollMaster[[#This Row],[Net Pay]]</f>
        <v>0</v>
      </c>
      <c r="X692" s="25"/>
    </row>
    <row r="693" spans="1:24" x14ac:dyDescent="0.25">
      <c r="A693" s="24"/>
      <c r="B693" s="24" t="str">
        <f>_xlfn.XLOOKUP(tblPayrollMaster[[#This Row],[Employee ID]],tblEmployee[Employee ID],tblEmployee[Employee Name],"")</f>
        <v/>
      </c>
      <c r="C693" s="24" t="str">
        <f>_xlfn.XLOOKUP(tblPayrollMaster[[#This Row],[Employee ID]],tblEmployee[Employee ID],tblEmployee[Employee Position],"")</f>
        <v/>
      </c>
      <c r="D693" s="24" t="str">
        <f>_xlfn.XLOOKUP(tblPayrollMaster[[#This Row],[Employee ID]], tblEmployee[Employee ID], tblEmployee[Pay Status], "Pay")</f>
        <v>Pay</v>
      </c>
      <c r="E693" s="24" t="str">
        <f>_xlfn.XLOOKUP(tblPayrollMaster[[#This Row],[Employee ID]], tblEmployee[Employee ID], tblEmployee[Payable Flag], "Y")</f>
        <v>Y</v>
      </c>
      <c r="F693" s="45">
        <f>IF(tblPayrollMaster[[#This Row],[Payable Flag]]="N",0,_xlfn.XLOOKUP(tblPayrollMaster[[#This Row],[Employee ID]],tblEmployee[Employee ID],tblEmployee[Pay Factor],1))</f>
        <v>1</v>
      </c>
      <c r="G693" s="26" t="str" cm="1">
        <f t="array" ref="G693">IF(tblPayrollMaster[[#This Row],[Employee ID]]="","",_xlfn.XLOOKUP(selPayPeriodID,tblPayCalendar[PayPeriodID],tblPayCalendar[PeriodStart],""))</f>
        <v/>
      </c>
      <c r="H693" s="26" t="str" cm="1">
        <f t="array" ref="H693">IF(tblPayrollMaster[[#This Row],[Employee ID]]="","",_xlfn.XLOOKUP(selPayPeriodID,tblPayCalendar[PayPeriodID],tblPayCalendar[PeriodEnd],""))</f>
        <v/>
      </c>
      <c r="I693" s="24" t="e" cm="1" vm="1">
        <f t="array" aca="1" ref="I693" ca="1">Table18[Employer Name]</f>
        <v>#VALUE!</v>
      </c>
      <c r="J693" s="3" cm="1">
        <f t="array" ref="J69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93" s="25" t="str">
        <f>_xlfn.XLOOKUP(tblPayrollMaster[[#This Row],[Employee Position]],tblPositionandPayRate[Employee Position],tblPositionandPayRate[Overtime], " ")</f>
        <v xml:space="preserve"> </v>
      </c>
      <c r="L693" s="25">
        <f>_xlfn.XLOOKUP(tblPayrollMaster[[#This Row],[Employee Position]],tblPositionandPayRate[Employee Position],tblPositionandPayRate[Allowance 1],0)*tblPayrollMaster[[#This Row],[Pay Factor]]</f>
        <v>0</v>
      </c>
      <c r="M693" s="25">
        <f>_xlfn.XLOOKUP(tblPayrollMaster[[#This Row],[Employee Position]],tblPositionandPayRate[Employee Position],tblPositionandPayRate[Allowance 2],0)*tblPayrollMaster[[#This Row],[Pay Factor]]</f>
        <v>0</v>
      </c>
      <c r="N693" s="25">
        <f>_xlfn.XLOOKUP(tblPayrollMaster[[#This Row],[Employee Position]],tblPositionandPayRate[Employee Position],tblPositionandPayRate[Allowance 3],0)*tblPayrollMaster[[#This Row],[Pay Factor]]</f>
        <v>0</v>
      </c>
      <c r="O693" s="25">
        <f>_xlfn.XLOOKUP(tblPayrollMaster[[#This Row],[Employee Position]],tblPositionandPayRate[Employee Position],tblPositionandPayRate[Allowance 4],0)*tblPayrollMaster[[#This Row],[Pay Factor]]</f>
        <v>0</v>
      </c>
      <c r="P693" s="25">
        <f>_xlfn.XLOOKUP(tblPayrollMaster[[#This Row],[Employee Position]],tblPositionandPayRate[Employee Position],tblPositionandPayRate[Allowance 5],0)*tblPayrollMaster[[#This Row],[Pay Factor]]</f>
        <v>0</v>
      </c>
      <c r="Q693" s="25">
        <f>SUM(tblPayrollMaster[[#This Row],[Basic Pay]:[Allowance 5]])</f>
        <v>0</v>
      </c>
      <c r="R69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93" s="51" cm="1">
        <f t="array" ref="S6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93" s="3" cm="1">
        <f t="array" ref="T6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93" s="25">
        <f>_xlfn.LET(
_xlpm.tos, _xlfn.XLOOKUP(tblPayrollMaster[[#This Row],[Employee ID]], tblEmployee[Employee ID], tblEmployee[Type of Service], ""),
IF(_xlpm.tos="Contract of Service", 8.25, 0)
)</f>
        <v>0</v>
      </c>
      <c r="V693" s="25">
        <f>tblPayrollMaster[[#This Row],[Basic Earnings]]-tblPayrollMaster[[#This Row],[Tax]]-tblPayrollMaster[[#This Row],[NIS - Employee]]-tblPayrollMaster[[#This Row],[Health Surcharge]]</f>
        <v>0</v>
      </c>
      <c r="W693" s="25">
        <f>tblPayrollMaster[[#This Row],[Net Pay]]</f>
        <v>0</v>
      </c>
      <c r="X693" s="25"/>
    </row>
    <row r="694" spans="1:24" x14ac:dyDescent="0.25">
      <c r="A694" s="24"/>
      <c r="B694" s="24" t="str">
        <f>_xlfn.XLOOKUP(tblPayrollMaster[[#This Row],[Employee ID]],tblEmployee[Employee ID],tblEmployee[Employee Name],"")</f>
        <v/>
      </c>
      <c r="C694" s="24" t="str">
        <f>_xlfn.XLOOKUP(tblPayrollMaster[[#This Row],[Employee ID]],tblEmployee[Employee ID],tblEmployee[Employee Position],"")</f>
        <v/>
      </c>
      <c r="D694" s="24" t="str">
        <f>_xlfn.XLOOKUP(tblPayrollMaster[[#This Row],[Employee ID]], tblEmployee[Employee ID], tblEmployee[Pay Status], "Pay")</f>
        <v>Pay</v>
      </c>
      <c r="E694" s="24" t="str">
        <f>_xlfn.XLOOKUP(tblPayrollMaster[[#This Row],[Employee ID]], tblEmployee[Employee ID], tblEmployee[Payable Flag], "Y")</f>
        <v>Y</v>
      </c>
      <c r="F694" s="45">
        <f>IF(tblPayrollMaster[[#This Row],[Payable Flag]]="N",0,_xlfn.XLOOKUP(tblPayrollMaster[[#This Row],[Employee ID]],tblEmployee[Employee ID],tblEmployee[Pay Factor],1))</f>
        <v>1</v>
      </c>
      <c r="G694" s="26" t="str" cm="1">
        <f t="array" ref="G694">IF(tblPayrollMaster[[#This Row],[Employee ID]]="","",_xlfn.XLOOKUP(selPayPeriodID,tblPayCalendar[PayPeriodID],tblPayCalendar[PeriodStart],""))</f>
        <v/>
      </c>
      <c r="H694" s="26" t="str" cm="1">
        <f t="array" ref="H694">IF(tblPayrollMaster[[#This Row],[Employee ID]]="","",_xlfn.XLOOKUP(selPayPeriodID,tblPayCalendar[PayPeriodID],tblPayCalendar[PeriodEnd],""))</f>
        <v/>
      </c>
      <c r="I694" s="24" t="e" cm="1" vm="1">
        <f t="array" aca="1" ref="I694" ca="1">Table18[Employer Name]</f>
        <v>#VALUE!</v>
      </c>
      <c r="J694" s="3" cm="1">
        <f t="array" ref="J69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94" s="25" t="str">
        <f>_xlfn.XLOOKUP(tblPayrollMaster[[#This Row],[Employee Position]],tblPositionandPayRate[Employee Position],tblPositionandPayRate[Overtime], " ")</f>
        <v xml:space="preserve"> </v>
      </c>
      <c r="L694" s="25">
        <f>_xlfn.XLOOKUP(tblPayrollMaster[[#This Row],[Employee Position]],tblPositionandPayRate[Employee Position],tblPositionandPayRate[Allowance 1],0)*tblPayrollMaster[[#This Row],[Pay Factor]]</f>
        <v>0</v>
      </c>
      <c r="M694" s="25">
        <f>_xlfn.XLOOKUP(tblPayrollMaster[[#This Row],[Employee Position]],tblPositionandPayRate[Employee Position],tblPositionandPayRate[Allowance 2],0)*tblPayrollMaster[[#This Row],[Pay Factor]]</f>
        <v>0</v>
      </c>
      <c r="N694" s="25">
        <f>_xlfn.XLOOKUP(tblPayrollMaster[[#This Row],[Employee Position]],tblPositionandPayRate[Employee Position],tblPositionandPayRate[Allowance 3],0)*tblPayrollMaster[[#This Row],[Pay Factor]]</f>
        <v>0</v>
      </c>
      <c r="O694" s="25">
        <f>_xlfn.XLOOKUP(tblPayrollMaster[[#This Row],[Employee Position]],tblPositionandPayRate[Employee Position],tblPositionandPayRate[Allowance 4],0)*tblPayrollMaster[[#This Row],[Pay Factor]]</f>
        <v>0</v>
      </c>
      <c r="P694" s="25">
        <f>_xlfn.XLOOKUP(tblPayrollMaster[[#This Row],[Employee Position]],tblPositionandPayRate[Employee Position],tblPositionandPayRate[Allowance 5],0)*tblPayrollMaster[[#This Row],[Pay Factor]]</f>
        <v>0</v>
      </c>
      <c r="Q694" s="25">
        <f>SUM(tblPayrollMaster[[#This Row],[Basic Pay]:[Allowance 5]])</f>
        <v>0</v>
      </c>
      <c r="R69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94" s="51" cm="1">
        <f t="array" ref="S6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94" s="3" cm="1">
        <f t="array" ref="T6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94" s="25">
        <f>_xlfn.LET(
_xlpm.tos, _xlfn.XLOOKUP(tblPayrollMaster[[#This Row],[Employee ID]], tblEmployee[Employee ID], tblEmployee[Type of Service], ""),
IF(_xlpm.tos="Contract of Service", 8.25, 0)
)</f>
        <v>0</v>
      </c>
      <c r="V694" s="25">
        <f>tblPayrollMaster[[#This Row],[Basic Earnings]]-tblPayrollMaster[[#This Row],[Tax]]-tblPayrollMaster[[#This Row],[NIS - Employee]]-tblPayrollMaster[[#This Row],[Health Surcharge]]</f>
        <v>0</v>
      </c>
      <c r="W694" s="25">
        <f>tblPayrollMaster[[#This Row],[Net Pay]]</f>
        <v>0</v>
      </c>
      <c r="X694" s="25"/>
    </row>
    <row r="695" spans="1:24" x14ac:dyDescent="0.25">
      <c r="A695" s="24"/>
      <c r="B695" s="24" t="str">
        <f>_xlfn.XLOOKUP(tblPayrollMaster[[#This Row],[Employee ID]],tblEmployee[Employee ID],tblEmployee[Employee Name],"")</f>
        <v/>
      </c>
      <c r="C695" s="24" t="str">
        <f>_xlfn.XLOOKUP(tblPayrollMaster[[#This Row],[Employee ID]],tblEmployee[Employee ID],tblEmployee[Employee Position],"")</f>
        <v/>
      </c>
      <c r="D695" s="24" t="str">
        <f>_xlfn.XLOOKUP(tblPayrollMaster[[#This Row],[Employee ID]], tblEmployee[Employee ID], tblEmployee[Pay Status], "Pay")</f>
        <v>Pay</v>
      </c>
      <c r="E695" s="24" t="str">
        <f>_xlfn.XLOOKUP(tblPayrollMaster[[#This Row],[Employee ID]], tblEmployee[Employee ID], tblEmployee[Payable Flag], "Y")</f>
        <v>Y</v>
      </c>
      <c r="F695" s="45">
        <f>IF(tblPayrollMaster[[#This Row],[Payable Flag]]="N",0,_xlfn.XLOOKUP(tblPayrollMaster[[#This Row],[Employee ID]],tblEmployee[Employee ID],tblEmployee[Pay Factor],1))</f>
        <v>1</v>
      </c>
      <c r="G695" s="26" t="str" cm="1">
        <f t="array" ref="G695">IF(tblPayrollMaster[[#This Row],[Employee ID]]="","",_xlfn.XLOOKUP(selPayPeriodID,tblPayCalendar[PayPeriodID],tblPayCalendar[PeriodStart],""))</f>
        <v/>
      </c>
      <c r="H695" s="26" t="str" cm="1">
        <f t="array" ref="H695">IF(tblPayrollMaster[[#This Row],[Employee ID]]="","",_xlfn.XLOOKUP(selPayPeriodID,tblPayCalendar[PayPeriodID],tblPayCalendar[PeriodEnd],""))</f>
        <v/>
      </c>
      <c r="I695" s="24" t="e" cm="1" vm="1">
        <f t="array" aca="1" ref="I695" ca="1">Table18[Employer Name]</f>
        <v>#VALUE!</v>
      </c>
      <c r="J695" s="3" cm="1">
        <f t="array" ref="J69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95" s="25" t="str">
        <f>_xlfn.XLOOKUP(tblPayrollMaster[[#This Row],[Employee Position]],tblPositionandPayRate[Employee Position],tblPositionandPayRate[Overtime], " ")</f>
        <v xml:space="preserve"> </v>
      </c>
      <c r="L695" s="25">
        <f>_xlfn.XLOOKUP(tblPayrollMaster[[#This Row],[Employee Position]],tblPositionandPayRate[Employee Position],tblPositionandPayRate[Allowance 1],0)*tblPayrollMaster[[#This Row],[Pay Factor]]</f>
        <v>0</v>
      </c>
      <c r="M695" s="25">
        <f>_xlfn.XLOOKUP(tblPayrollMaster[[#This Row],[Employee Position]],tblPositionandPayRate[Employee Position],tblPositionandPayRate[Allowance 2],0)*tblPayrollMaster[[#This Row],[Pay Factor]]</f>
        <v>0</v>
      </c>
      <c r="N695" s="25">
        <f>_xlfn.XLOOKUP(tblPayrollMaster[[#This Row],[Employee Position]],tblPositionandPayRate[Employee Position],tblPositionandPayRate[Allowance 3],0)*tblPayrollMaster[[#This Row],[Pay Factor]]</f>
        <v>0</v>
      </c>
      <c r="O695" s="25">
        <f>_xlfn.XLOOKUP(tblPayrollMaster[[#This Row],[Employee Position]],tblPositionandPayRate[Employee Position],tblPositionandPayRate[Allowance 4],0)*tblPayrollMaster[[#This Row],[Pay Factor]]</f>
        <v>0</v>
      </c>
      <c r="P695" s="25">
        <f>_xlfn.XLOOKUP(tblPayrollMaster[[#This Row],[Employee Position]],tblPositionandPayRate[Employee Position],tblPositionandPayRate[Allowance 5],0)*tblPayrollMaster[[#This Row],[Pay Factor]]</f>
        <v>0</v>
      </c>
      <c r="Q695" s="25">
        <f>SUM(tblPayrollMaster[[#This Row],[Basic Pay]:[Allowance 5]])</f>
        <v>0</v>
      </c>
      <c r="R69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95" s="51" cm="1">
        <f t="array" ref="S6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95" s="3" cm="1">
        <f t="array" ref="T6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95" s="25">
        <f>_xlfn.LET(
_xlpm.tos, _xlfn.XLOOKUP(tblPayrollMaster[[#This Row],[Employee ID]], tblEmployee[Employee ID], tblEmployee[Type of Service], ""),
IF(_xlpm.tos="Contract of Service", 8.25, 0)
)</f>
        <v>0</v>
      </c>
      <c r="V695" s="25">
        <f>tblPayrollMaster[[#This Row],[Basic Earnings]]-tblPayrollMaster[[#This Row],[Tax]]-tblPayrollMaster[[#This Row],[NIS - Employee]]-tblPayrollMaster[[#This Row],[Health Surcharge]]</f>
        <v>0</v>
      </c>
      <c r="W695" s="25">
        <f>tblPayrollMaster[[#This Row],[Net Pay]]</f>
        <v>0</v>
      </c>
      <c r="X695" s="25"/>
    </row>
    <row r="696" spans="1:24" x14ac:dyDescent="0.25">
      <c r="A696" s="24"/>
      <c r="B696" s="24" t="str">
        <f>_xlfn.XLOOKUP(tblPayrollMaster[[#This Row],[Employee ID]],tblEmployee[Employee ID],tblEmployee[Employee Name],"")</f>
        <v/>
      </c>
      <c r="C696" s="24" t="str">
        <f>_xlfn.XLOOKUP(tblPayrollMaster[[#This Row],[Employee ID]],tblEmployee[Employee ID],tblEmployee[Employee Position],"")</f>
        <v/>
      </c>
      <c r="D696" s="24" t="str">
        <f>_xlfn.XLOOKUP(tblPayrollMaster[[#This Row],[Employee ID]], tblEmployee[Employee ID], tblEmployee[Pay Status], "Pay")</f>
        <v>Pay</v>
      </c>
      <c r="E696" s="24" t="str">
        <f>_xlfn.XLOOKUP(tblPayrollMaster[[#This Row],[Employee ID]], tblEmployee[Employee ID], tblEmployee[Payable Flag], "Y")</f>
        <v>Y</v>
      </c>
      <c r="F696" s="45">
        <f>IF(tblPayrollMaster[[#This Row],[Payable Flag]]="N",0,_xlfn.XLOOKUP(tblPayrollMaster[[#This Row],[Employee ID]],tblEmployee[Employee ID],tblEmployee[Pay Factor],1))</f>
        <v>1</v>
      </c>
      <c r="G696" s="26" t="str" cm="1">
        <f t="array" ref="G696">IF(tblPayrollMaster[[#This Row],[Employee ID]]="","",_xlfn.XLOOKUP(selPayPeriodID,tblPayCalendar[PayPeriodID],tblPayCalendar[PeriodStart],""))</f>
        <v/>
      </c>
      <c r="H696" s="26" t="str" cm="1">
        <f t="array" ref="H696">IF(tblPayrollMaster[[#This Row],[Employee ID]]="","",_xlfn.XLOOKUP(selPayPeriodID,tblPayCalendar[PayPeriodID],tblPayCalendar[PeriodEnd],""))</f>
        <v/>
      </c>
      <c r="I696" s="24" t="e" cm="1" vm="1">
        <f t="array" aca="1" ref="I696" ca="1">Table18[Employer Name]</f>
        <v>#VALUE!</v>
      </c>
      <c r="J696" s="3" cm="1">
        <f t="array" ref="J69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96" s="25" t="str">
        <f>_xlfn.XLOOKUP(tblPayrollMaster[[#This Row],[Employee Position]],tblPositionandPayRate[Employee Position],tblPositionandPayRate[Overtime], " ")</f>
        <v xml:space="preserve"> </v>
      </c>
      <c r="L696" s="25">
        <f>_xlfn.XLOOKUP(tblPayrollMaster[[#This Row],[Employee Position]],tblPositionandPayRate[Employee Position],tblPositionandPayRate[Allowance 1],0)*tblPayrollMaster[[#This Row],[Pay Factor]]</f>
        <v>0</v>
      </c>
      <c r="M696" s="25">
        <f>_xlfn.XLOOKUP(tblPayrollMaster[[#This Row],[Employee Position]],tblPositionandPayRate[Employee Position],tblPositionandPayRate[Allowance 2],0)*tblPayrollMaster[[#This Row],[Pay Factor]]</f>
        <v>0</v>
      </c>
      <c r="N696" s="25">
        <f>_xlfn.XLOOKUP(tblPayrollMaster[[#This Row],[Employee Position]],tblPositionandPayRate[Employee Position],tblPositionandPayRate[Allowance 3],0)*tblPayrollMaster[[#This Row],[Pay Factor]]</f>
        <v>0</v>
      </c>
      <c r="O696" s="25">
        <f>_xlfn.XLOOKUP(tblPayrollMaster[[#This Row],[Employee Position]],tblPositionandPayRate[Employee Position],tblPositionandPayRate[Allowance 4],0)*tblPayrollMaster[[#This Row],[Pay Factor]]</f>
        <v>0</v>
      </c>
      <c r="P696" s="25">
        <f>_xlfn.XLOOKUP(tblPayrollMaster[[#This Row],[Employee Position]],tblPositionandPayRate[Employee Position],tblPositionandPayRate[Allowance 5],0)*tblPayrollMaster[[#This Row],[Pay Factor]]</f>
        <v>0</v>
      </c>
      <c r="Q696" s="25">
        <f>SUM(tblPayrollMaster[[#This Row],[Basic Pay]:[Allowance 5]])</f>
        <v>0</v>
      </c>
      <c r="R69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96" s="51" cm="1">
        <f t="array" ref="S6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96" s="3" cm="1">
        <f t="array" ref="T6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96" s="25">
        <f>_xlfn.LET(
_xlpm.tos, _xlfn.XLOOKUP(tblPayrollMaster[[#This Row],[Employee ID]], tblEmployee[Employee ID], tblEmployee[Type of Service], ""),
IF(_xlpm.tos="Contract of Service", 8.25, 0)
)</f>
        <v>0</v>
      </c>
      <c r="V696" s="25">
        <f>tblPayrollMaster[[#This Row],[Basic Earnings]]-tblPayrollMaster[[#This Row],[Tax]]-tblPayrollMaster[[#This Row],[NIS - Employee]]-tblPayrollMaster[[#This Row],[Health Surcharge]]</f>
        <v>0</v>
      </c>
      <c r="W696" s="25">
        <f>tblPayrollMaster[[#This Row],[Net Pay]]</f>
        <v>0</v>
      </c>
      <c r="X696" s="25"/>
    </row>
    <row r="697" spans="1:24" x14ac:dyDescent="0.25">
      <c r="A697" s="24"/>
      <c r="B697" s="24" t="str">
        <f>_xlfn.XLOOKUP(tblPayrollMaster[[#This Row],[Employee ID]],tblEmployee[Employee ID],tblEmployee[Employee Name],"")</f>
        <v/>
      </c>
      <c r="C697" s="24" t="str">
        <f>_xlfn.XLOOKUP(tblPayrollMaster[[#This Row],[Employee ID]],tblEmployee[Employee ID],tblEmployee[Employee Position],"")</f>
        <v/>
      </c>
      <c r="D697" s="24" t="str">
        <f>_xlfn.XLOOKUP(tblPayrollMaster[[#This Row],[Employee ID]], tblEmployee[Employee ID], tblEmployee[Pay Status], "Pay")</f>
        <v>Pay</v>
      </c>
      <c r="E697" s="24" t="str">
        <f>_xlfn.XLOOKUP(tblPayrollMaster[[#This Row],[Employee ID]], tblEmployee[Employee ID], tblEmployee[Payable Flag], "Y")</f>
        <v>Y</v>
      </c>
      <c r="F697" s="45">
        <f>IF(tblPayrollMaster[[#This Row],[Payable Flag]]="N",0,_xlfn.XLOOKUP(tblPayrollMaster[[#This Row],[Employee ID]],tblEmployee[Employee ID],tblEmployee[Pay Factor],1))</f>
        <v>1</v>
      </c>
      <c r="G697" s="26" t="str" cm="1">
        <f t="array" ref="G697">IF(tblPayrollMaster[[#This Row],[Employee ID]]="","",_xlfn.XLOOKUP(selPayPeriodID,tblPayCalendar[PayPeriodID],tblPayCalendar[PeriodStart],""))</f>
        <v/>
      </c>
      <c r="H697" s="26" t="str" cm="1">
        <f t="array" ref="H697">IF(tblPayrollMaster[[#This Row],[Employee ID]]="","",_xlfn.XLOOKUP(selPayPeriodID,tblPayCalendar[PayPeriodID],tblPayCalendar[PeriodEnd],""))</f>
        <v/>
      </c>
      <c r="I697" s="24" t="e" cm="1" vm="1">
        <f t="array" aca="1" ref="I697" ca="1">Table18[Employer Name]</f>
        <v>#VALUE!</v>
      </c>
      <c r="J697" s="3" cm="1">
        <f t="array" ref="J69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97" s="25" t="str">
        <f>_xlfn.XLOOKUP(tblPayrollMaster[[#This Row],[Employee Position]],tblPositionandPayRate[Employee Position],tblPositionandPayRate[Overtime], " ")</f>
        <v xml:space="preserve"> </v>
      </c>
      <c r="L697" s="25">
        <f>_xlfn.XLOOKUP(tblPayrollMaster[[#This Row],[Employee Position]],tblPositionandPayRate[Employee Position],tblPositionandPayRate[Allowance 1],0)*tblPayrollMaster[[#This Row],[Pay Factor]]</f>
        <v>0</v>
      </c>
      <c r="M697" s="25">
        <f>_xlfn.XLOOKUP(tblPayrollMaster[[#This Row],[Employee Position]],tblPositionandPayRate[Employee Position],tblPositionandPayRate[Allowance 2],0)*tblPayrollMaster[[#This Row],[Pay Factor]]</f>
        <v>0</v>
      </c>
      <c r="N697" s="25">
        <f>_xlfn.XLOOKUP(tblPayrollMaster[[#This Row],[Employee Position]],tblPositionandPayRate[Employee Position],tblPositionandPayRate[Allowance 3],0)*tblPayrollMaster[[#This Row],[Pay Factor]]</f>
        <v>0</v>
      </c>
      <c r="O697" s="25">
        <f>_xlfn.XLOOKUP(tblPayrollMaster[[#This Row],[Employee Position]],tblPositionandPayRate[Employee Position],tblPositionandPayRate[Allowance 4],0)*tblPayrollMaster[[#This Row],[Pay Factor]]</f>
        <v>0</v>
      </c>
      <c r="P697" s="25">
        <f>_xlfn.XLOOKUP(tblPayrollMaster[[#This Row],[Employee Position]],tblPositionandPayRate[Employee Position],tblPositionandPayRate[Allowance 5],0)*tblPayrollMaster[[#This Row],[Pay Factor]]</f>
        <v>0</v>
      </c>
      <c r="Q697" s="25">
        <f>SUM(tblPayrollMaster[[#This Row],[Basic Pay]:[Allowance 5]])</f>
        <v>0</v>
      </c>
      <c r="R69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97" s="51" cm="1">
        <f t="array" ref="S6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97" s="3" cm="1">
        <f t="array" ref="T6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97" s="25">
        <f>_xlfn.LET(
_xlpm.tos, _xlfn.XLOOKUP(tblPayrollMaster[[#This Row],[Employee ID]], tblEmployee[Employee ID], tblEmployee[Type of Service], ""),
IF(_xlpm.tos="Contract of Service", 8.25, 0)
)</f>
        <v>0</v>
      </c>
      <c r="V697" s="25">
        <f>tblPayrollMaster[[#This Row],[Basic Earnings]]-tblPayrollMaster[[#This Row],[Tax]]-tblPayrollMaster[[#This Row],[NIS - Employee]]-tblPayrollMaster[[#This Row],[Health Surcharge]]</f>
        <v>0</v>
      </c>
      <c r="W697" s="25">
        <f>tblPayrollMaster[[#This Row],[Net Pay]]</f>
        <v>0</v>
      </c>
      <c r="X697" s="25"/>
    </row>
    <row r="698" spans="1:24" x14ac:dyDescent="0.25">
      <c r="A698" s="24"/>
      <c r="B698" s="24" t="str">
        <f>_xlfn.XLOOKUP(tblPayrollMaster[[#This Row],[Employee ID]],tblEmployee[Employee ID],tblEmployee[Employee Name],"")</f>
        <v/>
      </c>
      <c r="C698" s="24" t="str">
        <f>_xlfn.XLOOKUP(tblPayrollMaster[[#This Row],[Employee ID]],tblEmployee[Employee ID],tblEmployee[Employee Position],"")</f>
        <v/>
      </c>
      <c r="D698" s="24" t="str">
        <f>_xlfn.XLOOKUP(tblPayrollMaster[[#This Row],[Employee ID]], tblEmployee[Employee ID], tblEmployee[Pay Status], "Pay")</f>
        <v>Pay</v>
      </c>
      <c r="E698" s="24" t="str">
        <f>_xlfn.XLOOKUP(tblPayrollMaster[[#This Row],[Employee ID]], tblEmployee[Employee ID], tblEmployee[Payable Flag], "Y")</f>
        <v>Y</v>
      </c>
      <c r="F698" s="45">
        <f>IF(tblPayrollMaster[[#This Row],[Payable Flag]]="N",0,_xlfn.XLOOKUP(tblPayrollMaster[[#This Row],[Employee ID]],tblEmployee[Employee ID],tblEmployee[Pay Factor],1))</f>
        <v>1</v>
      </c>
      <c r="G698" s="26" t="str" cm="1">
        <f t="array" ref="G698">IF(tblPayrollMaster[[#This Row],[Employee ID]]="","",_xlfn.XLOOKUP(selPayPeriodID,tblPayCalendar[PayPeriodID],tblPayCalendar[PeriodStart],""))</f>
        <v/>
      </c>
      <c r="H698" s="26" t="str" cm="1">
        <f t="array" ref="H698">IF(tblPayrollMaster[[#This Row],[Employee ID]]="","",_xlfn.XLOOKUP(selPayPeriodID,tblPayCalendar[PayPeriodID],tblPayCalendar[PeriodEnd],""))</f>
        <v/>
      </c>
      <c r="I698" s="24" t="e" cm="1" vm="1">
        <f t="array" aca="1" ref="I698" ca="1">Table18[Employer Name]</f>
        <v>#VALUE!</v>
      </c>
      <c r="J698" s="3" cm="1">
        <f t="array" ref="J69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98" s="25" t="str">
        <f>_xlfn.XLOOKUP(tblPayrollMaster[[#This Row],[Employee Position]],tblPositionandPayRate[Employee Position],tblPositionandPayRate[Overtime], " ")</f>
        <v xml:space="preserve"> </v>
      </c>
      <c r="L698" s="25">
        <f>_xlfn.XLOOKUP(tblPayrollMaster[[#This Row],[Employee Position]],tblPositionandPayRate[Employee Position],tblPositionandPayRate[Allowance 1],0)*tblPayrollMaster[[#This Row],[Pay Factor]]</f>
        <v>0</v>
      </c>
      <c r="M698" s="25">
        <f>_xlfn.XLOOKUP(tblPayrollMaster[[#This Row],[Employee Position]],tblPositionandPayRate[Employee Position],tblPositionandPayRate[Allowance 2],0)*tblPayrollMaster[[#This Row],[Pay Factor]]</f>
        <v>0</v>
      </c>
      <c r="N698" s="25">
        <f>_xlfn.XLOOKUP(tblPayrollMaster[[#This Row],[Employee Position]],tblPositionandPayRate[Employee Position],tblPositionandPayRate[Allowance 3],0)*tblPayrollMaster[[#This Row],[Pay Factor]]</f>
        <v>0</v>
      </c>
      <c r="O698" s="25">
        <f>_xlfn.XLOOKUP(tblPayrollMaster[[#This Row],[Employee Position]],tblPositionandPayRate[Employee Position],tblPositionandPayRate[Allowance 4],0)*tblPayrollMaster[[#This Row],[Pay Factor]]</f>
        <v>0</v>
      </c>
      <c r="P698" s="25">
        <f>_xlfn.XLOOKUP(tblPayrollMaster[[#This Row],[Employee Position]],tblPositionandPayRate[Employee Position],tblPositionandPayRate[Allowance 5],0)*tblPayrollMaster[[#This Row],[Pay Factor]]</f>
        <v>0</v>
      </c>
      <c r="Q698" s="25">
        <f>SUM(tblPayrollMaster[[#This Row],[Basic Pay]:[Allowance 5]])</f>
        <v>0</v>
      </c>
      <c r="R69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98" s="51" cm="1">
        <f t="array" ref="S6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98" s="3" cm="1">
        <f t="array" ref="T6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98" s="25">
        <f>_xlfn.LET(
_xlpm.tos, _xlfn.XLOOKUP(tblPayrollMaster[[#This Row],[Employee ID]], tblEmployee[Employee ID], tblEmployee[Type of Service], ""),
IF(_xlpm.tos="Contract of Service", 8.25, 0)
)</f>
        <v>0</v>
      </c>
      <c r="V698" s="25">
        <f>tblPayrollMaster[[#This Row],[Basic Earnings]]-tblPayrollMaster[[#This Row],[Tax]]-tblPayrollMaster[[#This Row],[NIS - Employee]]-tblPayrollMaster[[#This Row],[Health Surcharge]]</f>
        <v>0</v>
      </c>
      <c r="W698" s="25">
        <f>tblPayrollMaster[[#This Row],[Net Pay]]</f>
        <v>0</v>
      </c>
      <c r="X698" s="25"/>
    </row>
    <row r="699" spans="1:24" x14ac:dyDescent="0.25">
      <c r="A699" s="24"/>
      <c r="B699" s="24" t="str">
        <f>_xlfn.XLOOKUP(tblPayrollMaster[[#This Row],[Employee ID]],tblEmployee[Employee ID],tblEmployee[Employee Name],"")</f>
        <v/>
      </c>
      <c r="C699" s="24" t="str">
        <f>_xlfn.XLOOKUP(tblPayrollMaster[[#This Row],[Employee ID]],tblEmployee[Employee ID],tblEmployee[Employee Position],"")</f>
        <v/>
      </c>
      <c r="D699" s="24" t="str">
        <f>_xlfn.XLOOKUP(tblPayrollMaster[[#This Row],[Employee ID]], tblEmployee[Employee ID], tblEmployee[Pay Status], "Pay")</f>
        <v>Pay</v>
      </c>
      <c r="E699" s="24" t="str">
        <f>_xlfn.XLOOKUP(tblPayrollMaster[[#This Row],[Employee ID]], tblEmployee[Employee ID], tblEmployee[Payable Flag], "Y")</f>
        <v>Y</v>
      </c>
      <c r="F699" s="45">
        <f>IF(tblPayrollMaster[[#This Row],[Payable Flag]]="N",0,_xlfn.XLOOKUP(tblPayrollMaster[[#This Row],[Employee ID]],tblEmployee[Employee ID],tblEmployee[Pay Factor],1))</f>
        <v>1</v>
      </c>
      <c r="G699" s="26" t="str" cm="1">
        <f t="array" ref="G699">IF(tblPayrollMaster[[#This Row],[Employee ID]]="","",_xlfn.XLOOKUP(selPayPeriodID,tblPayCalendar[PayPeriodID],tblPayCalendar[PeriodStart],""))</f>
        <v/>
      </c>
      <c r="H699" s="26" t="str" cm="1">
        <f t="array" ref="H699">IF(tblPayrollMaster[[#This Row],[Employee ID]]="","",_xlfn.XLOOKUP(selPayPeriodID,tblPayCalendar[PayPeriodID],tblPayCalendar[PeriodEnd],""))</f>
        <v/>
      </c>
      <c r="I699" s="24" t="e" cm="1" vm="1">
        <f t="array" aca="1" ref="I699" ca="1">Table18[Employer Name]</f>
        <v>#VALUE!</v>
      </c>
      <c r="J699" s="3" cm="1">
        <f t="array" ref="J69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699" s="25" t="str">
        <f>_xlfn.XLOOKUP(tblPayrollMaster[[#This Row],[Employee Position]],tblPositionandPayRate[Employee Position],tblPositionandPayRate[Overtime], " ")</f>
        <v xml:space="preserve"> </v>
      </c>
      <c r="L699" s="25">
        <f>_xlfn.XLOOKUP(tblPayrollMaster[[#This Row],[Employee Position]],tblPositionandPayRate[Employee Position],tblPositionandPayRate[Allowance 1],0)*tblPayrollMaster[[#This Row],[Pay Factor]]</f>
        <v>0</v>
      </c>
      <c r="M699" s="25">
        <f>_xlfn.XLOOKUP(tblPayrollMaster[[#This Row],[Employee Position]],tblPositionandPayRate[Employee Position],tblPositionandPayRate[Allowance 2],0)*tblPayrollMaster[[#This Row],[Pay Factor]]</f>
        <v>0</v>
      </c>
      <c r="N699" s="25">
        <f>_xlfn.XLOOKUP(tblPayrollMaster[[#This Row],[Employee Position]],tblPositionandPayRate[Employee Position],tblPositionandPayRate[Allowance 3],0)*tblPayrollMaster[[#This Row],[Pay Factor]]</f>
        <v>0</v>
      </c>
      <c r="O699" s="25">
        <f>_xlfn.XLOOKUP(tblPayrollMaster[[#This Row],[Employee Position]],tblPositionandPayRate[Employee Position],tblPositionandPayRate[Allowance 4],0)*tblPayrollMaster[[#This Row],[Pay Factor]]</f>
        <v>0</v>
      </c>
      <c r="P699" s="25">
        <f>_xlfn.XLOOKUP(tblPayrollMaster[[#This Row],[Employee Position]],tblPositionandPayRate[Employee Position],tblPositionandPayRate[Allowance 5],0)*tblPayrollMaster[[#This Row],[Pay Factor]]</f>
        <v>0</v>
      </c>
      <c r="Q699" s="25">
        <f>SUM(tblPayrollMaster[[#This Row],[Basic Pay]:[Allowance 5]])</f>
        <v>0</v>
      </c>
      <c r="R69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699" s="51" cm="1">
        <f t="array" ref="S6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699" s="3" cm="1">
        <f t="array" ref="T6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699" s="25">
        <f>_xlfn.LET(
_xlpm.tos, _xlfn.XLOOKUP(tblPayrollMaster[[#This Row],[Employee ID]], tblEmployee[Employee ID], tblEmployee[Type of Service], ""),
IF(_xlpm.tos="Contract of Service", 8.25, 0)
)</f>
        <v>0</v>
      </c>
      <c r="V699" s="25">
        <f>tblPayrollMaster[[#This Row],[Basic Earnings]]-tblPayrollMaster[[#This Row],[Tax]]-tblPayrollMaster[[#This Row],[NIS - Employee]]-tblPayrollMaster[[#This Row],[Health Surcharge]]</f>
        <v>0</v>
      </c>
      <c r="W699" s="25">
        <f>tblPayrollMaster[[#This Row],[Net Pay]]</f>
        <v>0</v>
      </c>
      <c r="X699" s="25"/>
    </row>
    <row r="700" spans="1:24" x14ac:dyDescent="0.25">
      <c r="A700" s="24"/>
      <c r="B700" s="24" t="str">
        <f>_xlfn.XLOOKUP(tblPayrollMaster[[#This Row],[Employee ID]],tblEmployee[Employee ID],tblEmployee[Employee Name],"")</f>
        <v/>
      </c>
      <c r="C700" s="24" t="str">
        <f>_xlfn.XLOOKUP(tblPayrollMaster[[#This Row],[Employee ID]],tblEmployee[Employee ID],tblEmployee[Employee Position],"")</f>
        <v/>
      </c>
      <c r="D700" s="24" t="str">
        <f>_xlfn.XLOOKUP(tblPayrollMaster[[#This Row],[Employee ID]], tblEmployee[Employee ID], tblEmployee[Pay Status], "Pay")</f>
        <v>Pay</v>
      </c>
      <c r="E700" s="24" t="str">
        <f>_xlfn.XLOOKUP(tblPayrollMaster[[#This Row],[Employee ID]], tblEmployee[Employee ID], tblEmployee[Payable Flag], "Y")</f>
        <v>Y</v>
      </c>
      <c r="F700" s="45">
        <f>IF(tblPayrollMaster[[#This Row],[Payable Flag]]="N",0,_xlfn.XLOOKUP(tblPayrollMaster[[#This Row],[Employee ID]],tblEmployee[Employee ID],tblEmployee[Pay Factor],1))</f>
        <v>1</v>
      </c>
      <c r="G700" s="26" t="str" cm="1">
        <f t="array" ref="G700">IF(tblPayrollMaster[[#This Row],[Employee ID]]="","",_xlfn.XLOOKUP(selPayPeriodID,tblPayCalendar[PayPeriodID],tblPayCalendar[PeriodStart],""))</f>
        <v/>
      </c>
      <c r="H700" s="26" t="str" cm="1">
        <f t="array" ref="H700">IF(tblPayrollMaster[[#This Row],[Employee ID]]="","",_xlfn.XLOOKUP(selPayPeriodID,tblPayCalendar[PayPeriodID],tblPayCalendar[PeriodEnd],""))</f>
        <v/>
      </c>
      <c r="I700" s="24" t="e" cm="1" vm="1">
        <f t="array" aca="1" ref="I700" ca="1">Table18[Employer Name]</f>
        <v>#VALUE!</v>
      </c>
      <c r="J700" s="3" cm="1">
        <f t="array" ref="J70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00" s="25" t="str">
        <f>_xlfn.XLOOKUP(tblPayrollMaster[[#This Row],[Employee Position]],tblPositionandPayRate[Employee Position],tblPositionandPayRate[Overtime], " ")</f>
        <v xml:space="preserve"> </v>
      </c>
      <c r="L700" s="25">
        <f>_xlfn.XLOOKUP(tblPayrollMaster[[#This Row],[Employee Position]],tblPositionandPayRate[Employee Position],tblPositionandPayRate[Allowance 1],0)*tblPayrollMaster[[#This Row],[Pay Factor]]</f>
        <v>0</v>
      </c>
      <c r="M700" s="25">
        <f>_xlfn.XLOOKUP(tblPayrollMaster[[#This Row],[Employee Position]],tblPositionandPayRate[Employee Position],tblPositionandPayRate[Allowance 2],0)*tblPayrollMaster[[#This Row],[Pay Factor]]</f>
        <v>0</v>
      </c>
      <c r="N700" s="25">
        <f>_xlfn.XLOOKUP(tblPayrollMaster[[#This Row],[Employee Position]],tblPositionandPayRate[Employee Position],tblPositionandPayRate[Allowance 3],0)*tblPayrollMaster[[#This Row],[Pay Factor]]</f>
        <v>0</v>
      </c>
      <c r="O700" s="25">
        <f>_xlfn.XLOOKUP(tblPayrollMaster[[#This Row],[Employee Position]],tblPositionandPayRate[Employee Position],tblPositionandPayRate[Allowance 4],0)*tblPayrollMaster[[#This Row],[Pay Factor]]</f>
        <v>0</v>
      </c>
      <c r="P700" s="25">
        <f>_xlfn.XLOOKUP(tblPayrollMaster[[#This Row],[Employee Position]],tblPositionandPayRate[Employee Position],tblPositionandPayRate[Allowance 5],0)*tblPayrollMaster[[#This Row],[Pay Factor]]</f>
        <v>0</v>
      </c>
      <c r="Q700" s="25">
        <f>SUM(tblPayrollMaster[[#This Row],[Basic Pay]:[Allowance 5]])</f>
        <v>0</v>
      </c>
      <c r="R70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00" s="51" cm="1">
        <f t="array" ref="S7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00" s="3" cm="1">
        <f t="array" ref="T7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00" s="25">
        <f>_xlfn.LET(
_xlpm.tos, _xlfn.XLOOKUP(tblPayrollMaster[[#This Row],[Employee ID]], tblEmployee[Employee ID], tblEmployee[Type of Service], ""),
IF(_xlpm.tos="Contract of Service", 8.25, 0)
)</f>
        <v>0</v>
      </c>
      <c r="V700" s="25">
        <f>tblPayrollMaster[[#This Row],[Basic Earnings]]-tblPayrollMaster[[#This Row],[Tax]]-tblPayrollMaster[[#This Row],[NIS - Employee]]-tblPayrollMaster[[#This Row],[Health Surcharge]]</f>
        <v>0</v>
      </c>
      <c r="W700" s="25">
        <f>tblPayrollMaster[[#This Row],[Net Pay]]</f>
        <v>0</v>
      </c>
      <c r="X700" s="25"/>
    </row>
    <row r="701" spans="1:24" x14ac:dyDescent="0.25">
      <c r="A701" s="24"/>
      <c r="B701" s="24" t="str">
        <f>_xlfn.XLOOKUP(tblPayrollMaster[[#This Row],[Employee ID]],tblEmployee[Employee ID],tblEmployee[Employee Name],"")</f>
        <v/>
      </c>
      <c r="C701" s="24" t="str">
        <f>_xlfn.XLOOKUP(tblPayrollMaster[[#This Row],[Employee ID]],tblEmployee[Employee ID],tblEmployee[Employee Position],"")</f>
        <v/>
      </c>
      <c r="D701" s="24" t="str">
        <f>_xlfn.XLOOKUP(tblPayrollMaster[[#This Row],[Employee ID]], tblEmployee[Employee ID], tblEmployee[Pay Status], "Pay")</f>
        <v>Pay</v>
      </c>
      <c r="E701" s="24" t="str">
        <f>_xlfn.XLOOKUP(tblPayrollMaster[[#This Row],[Employee ID]], tblEmployee[Employee ID], tblEmployee[Payable Flag], "Y")</f>
        <v>Y</v>
      </c>
      <c r="F701" s="45">
        <f>IF(tblPayrollMaster[[#This Row],[Payable Flag]]="N",0,_xlfn.XLOOKUP(tblPayrollMaster[[#This Row],[Employee ID]],tblEmployee[Employee ID],tblEmployee[Pay Factor],1))</f>
        <v>1</v>
      </c>
      <c r="G701" s="26" t="str" cm="1">
        <f t="array" ref="G701">IF(tblPayrollMaster[[#This Row],[Employee ID]]="","",_xlfn.XLOOKUP(selPayPeriodID,tblPayCalendar[PayPeriodID],tblPayCalendar[PeriodStart],""))</f>
        <v/>
      </c>
      <c r="H701" s="26" t="str" cm="1">
        <f t="array" ref="H701">IF(tblPayrollMaster[[#This Row],[Employee ID]]="","",_xlfn.XLOOKUP(selPayPeriodID,tblPayCalendar[PayPeriodID],tblPayCalendar[PeriodEnd],""))</f>
        <v/>
      </c>
      <c r="I701" s="24" t="e" cm="1" vm="1">
        <f t="array" aca="1" ref="I701" ca="1">Table18[Employer Name]</f>
        <v>#VALUE!</v>
      </c>
      <c r="J701" s="3" cm="1">
        <f t="array" ref="J70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01" s="25" t="str">
        <f>_xlfn.XLOOKUP(tblPayrollMaster[[#This Row],[Employee Position]],tblPositionandPayRate[Employee Position],tblPositionandPayRate[Overtime], " ")</f>
        <v xml:space="preserve"> </v>
      </c>
      <c r="L701" s="25">
        <f>_xlfn.XLOOKUP(tblPayrollMaster[[#This Row],[Employee Position]],tblPositionandPayRate[Employee Position],tblPositionandPayRate[Allowance 1],0)*tblPayrollMaster[[#This Row],[Pay Factor]]</f>
        <v>0</v>
      </c>
      <c r="M701" s="25">
        <f>_xlfn.XLOOKUP(tblPayrollMaster[[#This Row],[Employee Position]],tblPositionandPayRate[Employee Position],tblPositionandPayRate[Allowance 2],0)*tblPayrollMaster[[#This Row],[Pay Factor]]</f>
        <v>0</v>
      </c>
      <c r="N701" s="25">
        <f>_xlfn.XLOOKUP(tblPayrollMaster[[#This Row],[Employee Position]],tblPositionandPayRate[Employee Position],tblPositionandPayRate[Allowance 3],0)*tblPayrollMaster[[#This Row],[Pay Factor]]</f>
        <v>0</v>
      </c>
      <c r="O701" s="25">
        <f>_xlfn.XLOOKUP(tblPayrollMaster[[#This Row],[Employee Position]],tblPositionandPayRate[Employee Position],tblPositionandPayRate[Allowance 4],0)*tblPayrollMaster[[#This Row],[Pay Factor]]</f>
        <v>0</v>
      </c>
      <c r="P701" s="25">
        <f>_xlfn.XLOOKUP(tblPayrollMaster[[#This Row],[Employee Position]],tblPositionandPayRate[Employee Position],tblPositionandPayRate[Allowance 5],0)*tblPayrollMaster[[#This Row],[Pay Factor]]</f>
        <v>0</v>
      </c>
      <c r="Q701" s="25">
        <f>SUM(tblPayrollMaster[[#This Row],[Basic Pay]:[Allowance 5]])</f>
        <v>0</v>
      </c>
      <c r="R70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01" s="51" cm="1">
        <f t="array" ref="S7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01" s="3" cm="1">
        <f t="array" ref="T7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01" s="25">
        <f>_xlfn.LET(
_xlpm.tos, _xlfn.XLOOKUP(tblPayrollMaster[[#This Row],[Employee ID]], tblEmployee[Employee ID], tblEmployee[Type of Service], ""),
IF(_xlpm.tos="Contract of Service", 8.25, 0)
)</f>
        <v>0</v>
      </c>
      <c r="V701" s="25">
        <f>tblPayrollMaster[[#This Row],[Basic Earnings]]-tblPayrollMaster[[#This Row],[Tax]]-tblPayrollMaster[[#This Row],[NIS - Employee]]-tblPayrollMaster[[#This Row],[Health Surcharge]]</f>
        <v>0</v>
      </c>
      <c r="W701" s="25">
        <f>tblPayrollMaster[[#This Row],[Net Pay]]</f>
        <v>0</v>
      </c>
      <c r="X701" s="25"/>
    </row>
    <row r="702" spans="1:24" x14ac:dyDescent="0.25">
      <c r="A702" s="24"/>
      <c r="B702" s="24" t="str">
        <f>_xlfn.XLOOKUP(tblPayrollMaster[[#This Row],[Employee ID]],tblEmployee[Employee ID],tblEmployee[Employee Name],"")</f>
        <v/>
      </c>
      <c r="C702" s="24" t="str">
        <f>_xlfn.XLOOKUP(tblPayrollMaster[[#This Row],[Employee ID]],tblEmployee[Employee ID],tblEmployee[Employee Position],"")</f>
        <v/>
      </c>
      <c r="D702" s="24" t="str">
        <f>_xlfn.XLOOKUP(tblPayrollMaster[[#This Row],[Employee ID]], tblEmployee[Employee ID], tblEmployee[Pay Status], "Pay")</f>
        <v>Pay</v>
      </c>
      <c r="E702" s="24" t="str">
        <f>_xlfn.XLOOKUP(tblPayrollMaster[[#This Row],[Employee ID]], tblEmployee[Employee ID], tblEmployee[Payable Flag], "Y")</f>
        <v>Y</v>
      </c>
      <c r="F702" s="45">
        <f>IF(tblPayrollMaster[[#This Row],[Payable Flag]]="N",0,_xlfn.XLOOKUP(tblPayrollMaster[[#This Row],[Employee ID]],tblEmployee[Employee ID],tblEmployee[Pay Factor],1))</f>
        <v>1</v>
      </c>
      <c r="G702" s="26" t="str" cm="1">
        <f t="array" ref="G702">IF(tblPayrollMaster[[#This Row],[Employee ID]]="","",_xlfn.XLOOKUP(selPayPeriodID,tblPayCalendar[PayPeriodID],tblPayCalendar[PeriodStart],""))</f>
        <v/>
      </c>
      <c r="H702" s="26" t="str" cm="1">
        <f t="array" ref="H702">IF(tblPayrollMaster[[#This Row],[Employee ID]]="","",_xlfn.XLOOKUP(selPayPeriodID,tblPayCalendar[PayPeriodID],tblPayCalendar[PeriodEnd],""))</f>
        <v/>
      </c>
      <c r="I702" s="24" t="e" cm="1" vm="1">
        <f t="array" aca="1" ref="I702" ca="1">Table18[Employer Name]</f>
        <v>#VALUE!</v>
      </c>
      <c r="J702" s="3" cm="1">
        <f t="array" ref="J70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02" s="25" t="str">
        <f>_xlfn.XLOOKUP(tblPayrollMaster[[#This Row],[Employee Position]],tblPositionandPayRate[Employee Position],tblPositionandPayRate[Overtime], " ")</f>
        <v xml:space="preserve"> </v>
      </c>
      <c r="L702" s="25">
        <f>_xlfn.XLOOKUP(tblPayrollMaster[[#This Row],[Employee Position]],tblPositionandPayRate[Employee Position],tblPositionandPayRate[Allowance 1],0)*tblPayrollMaster[[#This Row],[Pay Factor]]</f>
        <v>0</v>
      </c>
      <c r="M702" s="25">
        <f>_xlfn.XLOOKUP(tblPayrollMaster[[#This Row],[Employee Position]],tblPositionandPayRate[Employee Position],tblPositionandPayRate[Allowance 2],0)*tblPayrollMaster[[#This Row],[Pay Factor]]</f>
        <v>0</v>
      </c>
      <c r="N702" s="25">
        <f>_xlfn.XLOOKUP(tblPayrollMaster[[#This Row],[Employee Position]],tblPositionandPayRate[Employee Position],tblPositionandPayRate[Allowance 3],0)*tblPayrollMaster[[#This Row],[Pay Factor]]</f>
        <v>0</v>
      </c>
      <c r="O702" s="25">
        <f>_xlfn.XLOOKUP(tblPayrollMaster[[#This Row],[Employee Position]],tblPositionandPayRate[Employee Position],tblPositionandPayRate[Allowance 4],0)*tblPayrollMaster[[#This Row],[Pay Factor]]</f>
        <v>0</v>
      </c>
      <c r="P702" s="25">
        <f>_xlfn.XLOOKUP(tblPayrollMaster[[#This Row],[Employee Position]],tblPositionandPayRate[Employee Position],tblPositionandPayRate[Allowance 5],0)*tblPayrollMaster[[#This Row],[Pay Factor]]</f>
        <v>0</v>
      </c>
      <c r="Q702" s="25">
        <f>SUM(tblPayrollMaster[[#This Row],[Basic Pay]:[Allowance 5]])</f>
        <v>0</v>
      </c>
      <c r="R70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02" s="51" cm="1">
        <f t="array" ref="S7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02" s="3" cm="1">
        <f t="array" ref="T7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02" s="25">
        <f>_xlfn.LET(
_xlpm.tos, _xlfn.XLOOKUP(tblPayrollMaster[[#This Row],[Employee ID]], tblEmployee[Employee ID], tblEmployee[Type of Service], ""),
IF(_xlpm.tos="Contract of Service", 8.25, 0)
)</f>
        <v>0</v>
      </c>
      <c r="V702" s="25">
        <f>tblPayrollMaster[[#This Row],[Basic Earnings]]-tblPayrollMaster[[#This Row],[Tax]]-tblPayrollMaster[[#This Row],[NIS - Employee]]-tblPayrollMaster[[#This Row],[Health Surcharge]]</f>
        <v>0</v>
      </c>
      <c r="W702" s="25">
        <f>tblPayrollMaster[[#This Row],[Net Pay]]</f>
        <v>0</v>
      </c>
      <c r="X702" s="25"/>
    </row>
    <row r="703" spans="1:24" x14ac:dyDescent="0.25">
      <c r="A703" s="24"/>
      <c r="B703" s="24" t="str">
        <f>_xlfn.XLOOKUP(tblPayrollMaster[[#This Row],[Employee ID]],tblEmployee[Employee ID],tblEmployee[Employee Name],"")</f>
        <v/>
      </c>
      <c r="C703" s="24" t="str">
        <f>_xlfn.XLOOKUP(tblPayrollMaster[[#This Row],[Employee ID]],tblEmployee[Employee ID],tblEmployee[Employee Position],"")</f>
        <v/>
      </c>
      <c r="D703" s="24" t="str">
        <f>_xlfn.XLOOKUP(tblPayrollMaster[[#This Row],[Employee ID]], tblEmployee[Employee ID], tblEmployee[Pay Status], "Pay")</f>
        <v>Pay</v>
      </c>
      <c r="E703" s="24" t="str">
        <f>_xlfn.XLOOKUP(tblPayrollMaster[[#This Row],[Employee ID]], tblEmployee[Employee ID], tblEmployee[Payable Flag], "Y")</f>
        <v>Y</v>
      </c>
      <c r="F703" s="45">
        <f>IF(tblPayrollMaster[[#This Row],[Payable Flag]]="N",0,_xlfn.XLOOKUP(tblPayrollMaster[[#This Row],[Employee ID]],tblEmployee[Employee ID],tblEmployee[Pay Factor],1))</f>
        <v>1</v>
      </c>
      <c r="G703" s="26" t="str" cm="1">
        <f t="array" ref="G703">IF(tblPayrollMaster[[#This Row],[Employee ID]]="","",_xlfn.XLOOKUP(selPayPeriodID,tblPayCalendar[PayPeriodID],tblPayCalendar[PeriodStart],""))</f>
        <v/>
      </c>
      <c r="H703" s="26" t="str" cm="1">
        <f t="array" ref="H703">IF(tblPayrollMaster[[#This Row],[Employee ID]]="","",_xlfn.XLOOKUP(selPayPeriodID,tblPayCalendar[PayPeriodID],tblPayCalendar[PeriodEnd],""))</f>
        <v/>
      </c>
      <c r="I703" s="24" t="e" cm="1" vm="1">
        <f t="array" aca="1" ref="I703" ca="1">Table18[Employer Name]</f>
        <v>#VALUE!</v>
      </c>
      <c r="J703" s="3" cm="1">
        <f t="array" ref="J70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03" s="25" t="str">
        <f>_xlfn.XLOOKUP(tblPayrollMaster[[#This Row],[Employee Position]],tblPositionandPayRate[Employee Position],tblPositionandPayRate[Overtime], " ")</f>
        <v xml:space="preserve"> </v>
      </c>
      <c r="L703" s="25">
        <f>_xlfn.XLOOKUP(tblPayrollMaster[[#This Row],[Employee Position]],tblPositionandPayRate[Employee Position],tblPositionandPayRate[Allowance 1],0)*tblPayrollMaster[[#This Row],[Pay Factor]]</f>
        <v>0</v>
      </c>
      <c r="M703" s="25">
        <f>_xlfn.XLOOKUP(tblPayrollMaster[[#This Row],[Employee Position]],tblPositionandPayRate[Employee Position],tblPositionandPayRate[Allowance 2],0)*tblPayrollMaster[[#This Row],[Pay Factor]]</f>
        <v>0</v>
      </c>
      <c r="N703" s="25">
        <f>_xlfn.XLOOKUP(tblPayrollMaster[[#This Row],[Employee Position]],tblPositionandPayRate[Employee Position],tblPositionandPayRate[Allowance 3],0)*tblPayrollMaster[[#This Row],[Pay Factor]]</f>
        <v>0</v>
      </c>
      <c r="O703" s="25">
        <f>_xlfn.XLOOKUP(tblPayrollMaster[[#This Row],[Employee Position]],tblPositionandPayRate[Employee Position],tblPositionandPayRate[Allowance 4],0)*tblPayrollMaster[[#This Row],[Pay Factor]]</f>
        <v>0</v>
      </c>
      <c r="P703" s="25">
        <f>_xlfn.XLOOKUP(tblPayrollMaster[[#This Row],[Employee Position]],tblPositionandPayRate[Employee Position],tblPositionandPayRate[Allowance 5],0)*tblPayrollMaster[[#This Row],[Pay Factor]]</f>
        <v>0</v>
      </c>
      <c r="Q703" s="25">
        <f>SUM(tblPayrollMaster[[#This Row],[Basic Pay]:[Allowance 5]])</f>
        <v>0</v>
      </c>
      <c r="R70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03" s="51" cm="1">
        <f t="array" ref="S7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03" s="3" cm="1">
        <f t="array" ref="T7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03" s="25">
        <f>_xlfn.LET(
_xlpm.tos, _xlfn.XLOOKUP(tblPayrollMaster[[#This Row],[Employee ID]], tblEmployee[Employee ID], tblEmployee[Type of Service], ""),
IF(_xlpm.tos="Contract of Service", 8.25, 0)
)</f>
        <v>0</v>
      </c>
      <c r="V703" s="25">
        <f>tblPayrollMaster[[#This Row],[Basic Earnings]]-tblPayrollMaster[[#This Row],[Tax]]-tblPayrollMaster[[#This Row],[NIS - Employee]]-tblPayrollMaster[[#This Row],[Health Surcharge]]</f>
        <v>0</v>
      </c>
      <c r="W703" s="25">
        <f>tblPayrollMaster[[#This Row],[Net Pay]]</f>
        <v>0</v>
      </c>
      <c r="X703" s="25"/>
    </row>
    <row r="704" spans="1:24" x14ac:dyDescent="0.25">
      <c r="A704" s="24"/>
      <c r="B704" s="24" t="str">
        <f>_xlfn.XLOOKUP(tblPayrollMaster[[#This Row],[Employee ID]],tblEmployee[Employee ID],tblEmployee[Employee Name],"")</f>
        <v/>
      </c>
      <c r="C704" s="24" t="str">
        <f>_xlfn.XLOOKUP(tblPayrollMaster[[#This Row],[Employee ID]],tblEmployee[Employee ID],tblEmployee[Employee Position],"")</f>
        <v/>
      </c>
      <c r="D704" s="24" t="str">
        <f>_xlfn.XLOOKUP(tblPayrollMaster[[#This Row],[Employee ID]], tblEmployee[Employee ID], tblEmployee[Pay Status], "Pay")</f>
        <v>Pay</v>
      </c>
      <c r="E704" s="24" t="str">
        <f>_xlfn.XLOOKUP(tblPayrollMaster[[#This Row],[Employee ID]], tblEmployee[Employee ID], tblEmployee[Payable Flag], "Y")</f>
        <v>Y</v>
      </c>
      <c r="F704" s="45">
        <f>IF(tblPayrollMaster[[#This Row],[Payable Flag]]="N",0,_xlfn.XLOOKUP(tblPayrollMaster[[#This Row],[Employee ID]],tblEmployee[Employee ID],tblEmployee[Pay Factor],1))</f>
        <v>1</v>
      </c>
      <c r="G704" s="26" t="str" cm="1">
        <f t="array" ref="G704">IF(tblPayrollMaster[[#This Row],[Employee ID]]="","",_xlfn.XLOOKUP(selPayPeriodID,tblPayCalendar[PayPeriodID],tblPayCalendar[PeriodStart],""))</f>
        <v/>
      </c>
      <c r="H704" s="26" t="str" cm="1">
        <f t="array" ref="H704">IF(tblPayrollMaster[[#This Row],[Employee ID]]="","",_xlfn.XLOOKUP(selPayPeriodID,tblPayCalendar[PayPeriodID],tblPayCalendar[PeriodEnd],""))</f>
        <v/>
      </c>
      <c r="I704" s="24" t="e" cm="1" vm="1">
        <f t="array" aca="1" ref="I704" ca="1">Table18[Employer Name]</f>
        <v>#VALUE!</v>
      </c>
      <c r="J704" s="3" cm="1">
        <f t="array" ref="J70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04" s="25" t="str">
        <f>_xlfn.XLOOKUP(tblPayrollMaster[[#This Row],[Employee Position]],tblPositionandPayRate[Employee Position],tblPositionandPayRate[Overtime], " ")</f>
        <v xml:space="preserve"> </v>
      </c>
      <c r="L704" s="25">
        <f>_xlfn.XLOOKUP(tblPayrollMaster[[#This Row],[Employee Position]],tblPositionandPayRate[Employee Position],tblPositionandPayRate[Allowance 1],0)*tblPayrollMaster[[#This Row],[Pay Factor]]</f>
        <v>0</v>
      </c>
      <c r="M704" s="25">
        <f>_xlfn.XLOOKUP(tblPayrollMaster[[#This Row],[Employee Position]],tblPositionandPayRate[Employee Position],tblPositionandPayRate[Allowance 2],0)*tblPayrollMaster[[#This Row],[Pay Factor]]</f>
        <v>0</v>
      </c>
      <c r="N704" s="25">
        <f>_xlfn.XLOOKUP(tblPayrollMaster[[#This Row],[Employee Position]],tblPositionandPayRate[Employee Position],tblPositionandPayRate[Allowance 3],0)*tblPayrollMaster[[#This Row],[Pay Factor]]</f>
        <v>0</v>
      </c>
      <c r="O704" s="25">
        <f>_xlfn.XLOOKUP(tblPayrollMaster[[#This Row],[Employee Position]],tblPositionandPayRate[Employee Position],tblPositionandPayRate[Allowance 4],0)*tblPayrollMaster[[#This Row],[Pay Factor]]</f>
        <v>0</v>
      </c>
      <c r="P704" s="25">
        <f>_xlfn.XLOOKUP(tblPayrollMaster[[#This Row],[Employee Position]],tblPositionandPayRate[Employee Position],tblPositionandPayRate[Allowance 5],0)*tblPayrollMaster[[#This Row],[Pay Factor]]</f>
        <v>0</v>
      </c>
      <c r="Q704" s="25">
        <f>SUM(tblPayrollMaster[[#This Row],[Basic Pay]:[Allowance 5]])</f>
        <v>0</v>
      </c>
      <c r="R70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04" s="51" cm="1">
        <f t="array" ref="S7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04" s="3" cm="1">
        <f t="array" ref="T7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04" s="25">
        <f>_xlfn.LET(
_xlpm.tos, _xlfn.XLOOKUP(tblPayrollMaster[[#This Row],[Employee ID]], tblEmployee[Employee ID], tblEmployee[Type of Service], ""),
IF(_xlpm.tos="Contract of Service", 8.25, 0)
)</f>
        <v>0</v>
      </c>
      <c r="V704" s="25">
        <f>tblPayrollMaster[[#This Row],[Basic Earnings]]-tblPayrollMaster[[#This Row],[Tax]]-tblPayrollMaster[[#This Row],[NIS - Employee]]-tblPayrollMaster[[#This Row],[Health Surcharge]]</f>
        <v>0</v>
      </c>
      <c r="W704" s="25">
        <f>tblPayrollMaster[[#This Row],[Net Pay]]</f>
        <v>0</v>
      </c>
      <c r="X704" s="25"/>
    </row>
    <row r="705" spans="1:24" x14ac:dyDescent="0.25">
      <c r="A705" s="24"/>
      <c r="B705" s="24" t="str">
        <f>_xlfn.XLOOKUP(tblPayrollMaster[[#This Row],[Employee ID]],tblEmployee[Employee ID],tblEmployee[Employee Name],"")</f>
        <v/>
      </c>
      <c r="C705" s="24" t="str">
        <f>_xlfn.XLOOKUP(tblPayrollMaster[[#This Row],[Employee ID]],tblEmployee[Employee ID],tblEmployee[Employee Position],"")</f>
        <v/>
      </c>
      <c r="D705" s="24" t="str">
        <f>_xlfn.XLOOKUP(tblPayrollMaster[[#This Row],[Employee ID]], tblEmployee[Employee ID], tblEmployee[Pay Status], "Pay")</f>
        <v>Pay</v>
      </c>
      <c r="E705" s="24" t="str">
        <f>_xlfn.XLOOKUP(tblPayrollMaster[[#This Row],[Employee ID]], tblEmployee[Employee ID], tblEmployee[Payable Flag], "Y")</f>
        <v>Y</v>
      </c>
      <c r="F705" s="45">
        <f>IF(tblPayrollMaster[[#This Row],[Payable Flag]]="N",0,_xlfn.XLOOKUP(tblPayrollMaster[[#This Row],[Employee ID]],tblEmployee[Employee ID],tblEmployee[Pay Factor],1))</f>
        <v>1</v>
      </c>
      <c r="G705" s="26" t="str" cm="1">
        <f t="array" ref="G705">IF(tblPayrollMaster[[#This Row],[Employee ID]]="","",_xlfn.XLOOKUP(selPayPeriodID,tblPayCalendar[PayPeriodID],tblPayCalendar[PeriodStart],""))</f>
        <v/>
      </c>
      <c r="H705" s="26" t="str" cm="1">
        <f t="array" ref="H705">IF(tblPayrollMaster[[#This Row],[Employee ID]]="","",_xlfn.XLOOKUP(selPayPeriodID,tblPayCalendar[PayPeriodID],tblPayCalendar[PeriodEnd],""))</f>
        <v/>
      </c>
      <c r="I705" s="24" t="e" cm="1" vm="1">
        <f t="array" aca="1" ref="I705" ca="1">Table18[Employer Name]</f>
        <v>#VALUE!</v>
      </c>
      <c r="J705" s="3" cm="1">
        <f t="array" ref="J70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05" s="25" t="str">
        <f>_xlfn.XLOOKUP(tblPayrollMaster[[#This Row],[Employee Position]],tblPositionandPayRate[Employee Position],tblPositionandPayRate[Overtime], " ")</f>
        <v xml:space="preserve"> </v>
      </c>
      <c r="L705" s="25">
        <f>_xlfn.XLOOKUP(tblPayrollMaster[[#This Row],[Employee Position]],tblPositionandPayRate[Employee Position],tblPositionandPayRate[Allowance 1],0)*tblPayrollMaster[[#This Row],[Pay Factor]]</f>
        <v>0</v>
      </c>
      <c r="M705" s="25">
        <f>_xlfn.XLOOKUP(tblPayrollMaster[[#This Row],[Employee Position]],tblPositionandPayRate[Employee Position],tblPositionandPayRate[Allowance 2],0)*tblPayrollMaster[[#This Row],[Pay Factor]]</f>
        <v>0</v>
      </c>
      <c r="N705" s="25">
        <f>_xlfn.XLOOKUP(tblPayrollMaster[[#This Row],[Employee Position]],tblPositionandPayRate[Employee Position],tblPositionandPayRate[Allowance 3],0)*tblPayrollMaster[[#This Row],[Pay Factor]]</f>
        <v>0</v>
      </c>
      <c r="O705" s="25">
        <f>_xlfn.XLOOKUP(tblPayrollMaster[[#This Row],[Employee Position]],tblPositionandPayRate[Employee Position],tblPositionandPayRate[Allowance 4],0)*tblPayrollMaster[[#This Row],[Pay Factor]]</f>
        <v>0</v>
      </c>
      <c r="P705" s="25">
        <f>_xlfn.XLOOKUP(tblPayrollMaster[[#This Row],[Employee Position]],tblPositionandPayRate[Employee Position],tblPositionandPayRate[Allowance 5],0)*tblPayrollMaster[[#This Row],[Pay Factor]]</f>
        <v>0</v>
      </c>
      <c r="Q705" s="25">
        <f>SUM(tblPayrollMaster[[#This Row],[Basic Pay]:[Allowance 5]])</f>
        <v>0</v>
      </c>
      <c r="R70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05" s="51" cm="1">
        <f t="array" ref="S7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05" s="3" cm="1">
        <f t="array" ref="T7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05" s="25">
        <f>_xlfn.LET(
_xlpm.tos, _xlfn.XLOOKUP(tblPayrollMaster[[#This Row],[Employee ID]], tblEmployee[Employee ID], tblEmployee[Type of Service], ""),
IF(_xlpm.tos="Contract of Service", 8.25, 0)
)</f>
        <v>0</v>
      </c>
      <c r="V705" s="25">
        <f>tblPayrollMaster[[#This Row],[Basic Earnings]]-tblPayrollMaster[[#This Row],[Tax]]-tblPayrollMaster[[#This Row],[NIS - Employee]]-tblPayrollMaster[[#This Row],[Health Surcharge]]</f>
        <v>0</v>
      </c>
      <c r="W705" s="25">
        <f>tblPayrollMaster[[#This Row],[Net Pay]]</f>
        <v>0</v>
      </c>
      <c r="X705" s="25"/>
    </row>
    <row r="706" spans="1:24" x14ac:dyDescent="0.25">
      <c r="A706" s="24"/>
      <c r="B706" s="24" t="str">
        <f>_xlfn.XLOOKUP(tblPayrollMaster[[#This Row],[Employee ID]],tblEmployee[Employee ID],tblEmployee[Employee Name],"")</f>
        <v/>
      </c>
      <c r="C706" s="24" t="str">
        <f>_xlfn.XLOOKUP(tblPayrollMaster[[#This Row],[Employee ID]],tblEmployee[Employee ID],tblEmployee[Employee Position],"")</f>
        <v/>
      </c>
      <c r="D706" s="24" t="str">
        <f>_xlfn.XLOOKUP(tblPayrollMaster[[#This Row],[Employee ID]], tblEmployee[Employee ID], tblEmployee[Pay Status], "Pay")</f>
        <v>Pay</v>
      </c>
      <c r="E706" s="24" t="str">
        <f>_xlfn.XLOOKUP(tblPayrollMaster[[#This Row],[Employee ID]], tblEmployee[Employee ID], tblEmployee[Payable Flag], "Y")</f>
        <v>Y</v>
      </c>
      <c r="F706" s="45">
        <f>IF(tblPayrollMaster[[#This Row],[Payable Flag]]="N",0,_xlfn.XLOOKUP(tblPayrollMaster[[#This Row],[Employee ID]],tblEmployee[Employee ID],tblEmployee[Pay Factor],1))</f>
        <v>1</v>
      </c>
      <c r="G706" s="26" t="str" cm="1">
        <f t="array" ref="G706">IF(tblPayrollMaster[[#This Row],[Employee ID]]="","",_xlfn.XLOOKUP(selPayPeriodID,tblPayCalendar[PayPeriodID],tblPayCalendar[PeriodStart],""))</f>
        <v/>
      </c>
      <c r="H706" s="26" t="str" cm="1">
        <f t="array" ref="H706">IF(tblPayrollMaster[[#This Row],[Employee ID]]="","",_xlfn.XLOOKUP(selPayPeriodID,tblPayCalendar[PayPeriodID],tblPayCalendar[PeriodEnd],""))</f>
        <v/>
      </c>
      <c r="I706" s="24" t="e" cm="1" vm="1">
        <f t="array" aca="1" ref="I706" ca="1">Table18[Employer Name]</f>
        <v>#VALUE!</v>
      </c>
      <c r="J706" s="3" cm="1">
        <f t="array" ref="J70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06" s="25" t="str">
        <f>_xlfn.XLOOKUP(tblPayrollMaster[[#This Row],[Employee Position]],tblPositionandPayRate[Employee Position],tblPositionandPayRate[Overtime], " ")</f>
        <v xml:space="preserve"> </v>
      </c>
      <c r="L706" s="25">
        <f>_xlfn.XLOOKUP(tblPayrollMaster[[#This Row],[Employee Position]],tblPositionandPayRate[Employee Position],tblPositionandPayRate[Allowance 1],0)*tblPayrollMaster[[#This Row],[Pay Factor]]</f>
        <v>0</v>
      </c>
      <c r="M706" s="25">
        <f>_xlfn.XLOOKUP(tblPayrollMaster[[#This Row],[Employee Position]],tblPositionandPayRate[Employee Position],tblPositionandPayRate[Allowance 2],0)*tblPayrollMaster[[#This Row],[Pay Factor]]</f>
        <v>0</v>
      </c>
      <c r="N706" s="25">
        <f>_xlfn.XLOOKUP(tblPayrollMaster[[#This Row],[Employee Position]],tblPositionandPayRate[Employee Position],tblPositionandPayRate[Allowance 3],0)*tblPayrollMaster[[#This Row],[Pay Factor]]</f>
        <v>0</v>
      </c>
      <c r="O706" s="25">
        <f>_xlfn.XLOOKUP(tblPayrollMaster[[#This Row],[Employee Position]],tblPositionandPayRate[Employee Position],tblPositionandPayRate[Allowance 4],0)*tblPayrollMaster[[#This Row],[Pay Factor]]</f>
        <v>0</v>
      </c>
      <c r="P706" s="25">
        <f>_xlfn.XLOOKUP(tblPayrollMaster[[#This Row],[Employee Position]],tblPositionandPayRate[Employee Position],tblPositionandPayRate[Allowance 5],0)*tblPayrollMaster[[#This Row],[Pay Factor]]</f>
        <v>0</v>
      </c>
      <c r="Q706" s="25">
        <f>SUM(tblPayrollMaster[[#This Row],[Basic Pay]:[Allowance 5]])</f>
        <v>0</v>
      </c>
      <c r="R70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06" s="51" cm="1">
        <f t="array" ref="S7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06" s="3" cm="1">
        <f t="array" ref="T7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06" s="25">
        <f>_xlfn.LET(
_xlpm.tos, _xlfn.XLOOKUP(tblPayrollMaster[[#This Row],[Employee ID]], tblEmployee[Employee ID], tblEmployee[Type of Service], ""),
IF(_xlpm.tos="Contract of Service", 8.25, 0)
)</f>
        <v>0</v>
      </c>
      <c r="V706" s="25">
        <f>tblPayrollMaster[[#This Row],[Basic Earnings]]-tblPayrollMaster[[#This Row],[Tax]]-tblPayrollMaster[[#This Row],[NIS - Employee]]-tblPayrollMaster[[#This Row],[Health Surcharge]]</f>
        <v>0</v>
      </c>
      <c r="W706" s="25">
        <f>tblPayrollMaster[[#This Row],[Net Pay]]</f>
        <v>0</v>
      </c>
      <c r="X706" s="25"/>
    </row>
    <row r="707" spans="1:24" x14ac:dyDescent="0.25">
      <c r="A707" s="24"/>
      <c r="B707" s="24" t="str">
        <f>_xlfn.XLOOKUP(tblPayrollMaster[[#This Row],[Employee ID]],tblEmployee[Employee ID],tblEmployee[Employee Name],"")</f>
        <v/>
      </c>
      <c r="C707" s="24" t="str">
        <f>_xlfn.XLOOKUP(tblPayrollMaster[[#This Row],[Employee ID]],tblEmployee[Employee ID],tblEmployee[Employee Position],"")</f>
        <v/>
      </c>
      <c r="D707" s="24" t="str">
        <f>_xlfn.XLOOKUP(tblPayrollMaster[[#This Row],[Employee ID]], tblEmployee[Employee ID], tblEmployee[Pay Status], "Pay")</f>
        <v>Pay</v>
      </c>
      <c r="E707" s="24" t="str">
        <f>_xlfn.XLOOKUP(tblPayrollMaster[[#This Row],[Employee ID]], tblEmployee[Employee ID], tblEmployee[Payable Flag], "Y")</f>
        <v>Y</v>
      </c>
      <c r="F707" s="45">
        <f>IF(tblPayrollMaster[[#This Row],[Payable Flag]]="N",0,_xlfn.XLOOKUP(tblPayrollMaster[[#This Row],[Employee ID]],tblEmployee[Employee ID],tblEmployee[Pay Factor],1))</f>
        <v>1</v>
      </c>
      <c r="G707" s="26" t="str" cm="1">
        <f t="array" ref="G707">IF(tblPayrollMaster[[#This Row],[Employee ID]]="","",_xlfn.XLOOKUP(selPayPeriodID,tblPayCalendar[PayPeriodID],tblPayCalendar[PeriodStart],""))</f>
        <v/>
      </c>
      <c r="H707" s="26" t="str" cm="1">
        <f t="array" ref="H707">IF(tblPayrollMaster[[#This Row],[Employee ID]]="","",_xlfn.XLOOKUP(selPayPeriodID,tblPayCalendar[PayPeriodID],tblPayCalendar[PeriodEnd],""))</f>
        <v/>
      </c>
      <c r="I707" s="24" t="e" cm="1" vm="1">
        <f t="array" aca="1" ref="I707" ca="1">Table18[Employer Name]</f>
        <v>#VALUE!</v>
      </c>
      <c r="J707" s="3" cm="1">
        <f t="array" ref="J70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07" s="25" t="str">
        <f>_xlfn.XLOOKUP(tblPayrollMaster[[#This Row],[Employee Position]],tblPositionandPayRate[Employee Position],tblPositionandPayRate[Overtime], " ")</f>
        <v xml:space="preserve"> </v>
      </c>
      <c r="L707" s="25">
        <f>_xlfn.XLOOKUP(tblPayrollMaster[[#This Row],[Employee Position]],tblPositionandPayRate[Employee Position],tblPositionandPayRate[Allowance 1],0)*tblPayrollMaster[[#This Row],[Pay Factor]]</f>
        <v>0</v>
      </c>
      <c r="M707" s="25">
        <f>_xlfn.XLOOKUP(tblPayrollMaster[[#This Row],[Employee Position]],tblPositionandPayRate[Employee Position],tblPositionandPayRate[Allowance 2],0)*tblPayrollMaster[[#This Row],[Pay Factor]]</f>
        <v>0</v>
      </c>
      <c r="N707" s="25">
        <f>_xlfn.XLOOKUP(tblPayrollMaster[[#This Row],[Employee Position]],tblPositionandPayRate[Employee Position],tblPositionandPayRate[Allowance 3],0)*tblPayrollMaster[[#This Row],[Pay Factor]]</f>
        <v>0</v>
      </c>
      <c r="O707" s="25">
        <f>_xlfn.XLOOKUP(tblPayrollMaster[[#This Row],[Employee Position]],tblPositionandPayRate[Employee Position],tblPositionandPayRate[Allowance 4],0)*tblPayrollMaster[[#This Row],[Pay Factor]]</f>
        <v>0</v>
      </c>
      <c r="P707" s="25">
        <f>_xlfn.XLOOKUP(tblPayrollMaster[[#This Row],[Employee Position]],tblPositionandPayRate[Employee Position],tblPositionandPayRate[Allowance 5],0)*tblPayrollMaster[[#This Row],[Pay Factor]]</f>
        <v>0</v>
      </c>
      <c r="Q707" s="25">
        <f>SUM(tblPayrollMaster[[#This Row],[Basic Pay]:[Allowance 5]])</f>
        <v>0</v>
      </c>
      <c r="R70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07" s="51" cm="1">
        <f t="array" ref="S7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07" s="3" cm="1">
        <f t="array" ref="T7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07" s="25">
        <f>_xlfn.LET(
_xlpm.tos, _xlfn.XLOOKUP(tblPayrollMaster[[#This Row],[Employee ID]], tblEmployee[Employee ID], tblEmployee[Type of Service], ""),
IF(_xlpm.tos="Contract of Service", 8.25, 0)
)</f>
        <v>0</v>
      </c>
      <c r="V707" s="25">
        <f>tblPayrollMaster[[#This Row],[Basic Earnings]]-tblPayrollMaster[[#This Row],[Tax]]-tblPayrollMaster[[#This Row],[NIS - Employee]]-tblPayrollMaster[[#This Row],[Health Surcharge]]</f>
        <v>0</v>
      </c>
      <c r="W707" s="25">
        <f>tblPayrollMaster[[#This Row],[Net Pay]]</f>
        <v>0</v>
      </c>
      <c r="X707" s="25"/>
    </row>
    <row r="708" spans="1:24" x14ac:dyDescent="0.25">
      <c r="A708" s="24"/>
      <c r="B708" s="24" t="str">
        <f>_xlfn.XLOOKUP(tblPayrollMaster[[#This Row],[Employee ID]],tblEmployee[Employee ID],tblEmployee[Employee Name],"")</f>
        <v/>
      </c>
      <c r="C708" s="24" t="str">
        <f>_xlfn.XLOOKUP(tblPayrollMaster[[#This Row],[Employee ID]],tblEmployee[Employee ID],tblEmployee[Employee Position],"")</f>
        <v/>
      </c>
      <c r="D708" s="24" t="str">
        <f>_xlfn.XLOOKUP(tblPayrollMaster[[#This Row],[Employee ID]], tblEmployee[Employee ID], tblEmployee[Pay Status], "Pay")</f>
        <v>Pay</v>
      </c>
      <c r="E708" s="24" t="str">
        <f>_xlfn.XLOOKUP(tblPayrollMaster[[#This Row],[Employee ID]], tblEmployee[Employee ID], tblEmployee[Payable Flag], "Y")</f>
        <v>Y</v>
      </c>
      <c r="F708" s="45">
        <f>IF(tblPayrollMaster[[#This Row],[Payable Flag]]="N",0,_xlfn.XLOOKUP(tblPayrollMaster[[#This Row],[Employee ID]],tblEmployee[Employee ID],tblEmployee[Pay Factor],1))</f>
        <v>1</v>
      </c>
      <c r="G708" s="26" t="str" cm="1">
        <f t="array" ref="G708">IF(tblPayrollMaster[[#This Row],[Employee ID]]="","",_xlfn.XLOOKUP(selPayPeriodID,tblPayCalendar[PayPeriodID],tblPayCalendar[PeriodStart],""))</f>
        <v/>
      </c>
      <c r="H708" s="26" t="str" cm="1">
        <f t="array" ref="H708">IF(tblPayrollMaster[[#This Row],[Employee ID]]="","",_xlfn.XLOOKUP(selPayPeriodID,tblPayCalendar[PayPeriodID],tblPayCalendar[PeriodEnd],""))</f>
        <v/>
      </c>
      <c r="I708" s="24" t="e" cm="1" vm="1">
        <f t="array" aca="1" ref="I708" ca="1">Table18[Employer Name]</f>
        <v>#VALUE!</v>
      </c>
      <c r="J708" s="3" cm="1">
        <f t="array" ref="J70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08" s="25" t="str">
        <f>_xlfn.XLOOKUP(tblPayrollMaster[[#This Row],[Employee Position]],tblPositionandPayRate[Employee Position],tblPositionandPayRate[Overtime], " ")</f>
        <v xml:space="preserve"> </v>
      </c>
      <c r="L708" s="25">
        <f>_xlfn.XLOOKUP(tblPayrollMaster[[#This Row],[Employee Position]],tblPositionandPayRate[Employee Position],tblPositionandPayRate[Allowance 1],0)*tblPayrollMaster[[#This Row],[Pay Factor]]</f>
        <v>0</v>
      </c>
      <c r="M708" s="25">
        <f>_xlfn.XLOOKUP(tblPayrollMaster[[#This Row],[Employee Position]],tblPositionandPayRate[Employee Position],tblPositionandPayRate[Allowance 2],0)*tblPayrollMaster[[#This Row],[Pay Factor]]</f>
        <v>0</v>
      </c>
      <c r="N708" s="25">
        <f>_xlfn.XLOOKUP(tblPayrollMaster[[#This Row],[Employee Position]],tblPositionandPayRate[Employee Position],tblPositionandPayRate[Allowance 3],0)*tblPayrollMaster[[#This Row],[Pay Factor]]</f>
        <v>0</v>
      </c>
      <c r="O708" s="25">
        <f>_xlfn.XLOOKUP(tblPayrollMaster[[#This Row],[Employee Position]],tblPositionandPayRate[Employee Position],tblPositionandPayRate[Allowance 4],0)*tblPayrollMaster[[#This Row],[Pay Factor]]</f>
        <v>0</v>
      </c>
      <c r="P708" s="25">
        <f>_xlfn.XLOOKUP(tblPayrollMaster[[#This Row],[Employee Position]],tblPositionandPayRate[Employee Position],tblPositionandPayRate[Allowance 5],0)*tblPayrollMaster[[#This Row],[Pay Factor]]</f>
        <v>0</v>
      </c>
      <c r="Q708" s="25">
        <f>SUM(tblPayrollMaster[[#This Row],[Basic Pay]:[Allowance 5]])</f>
        <v>0</v>
      </c>
      <c r="R70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08" s="51" cm="1">
        <f t="array" ref="S7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08" s="3" cm="1">
        <f t="array" ref="T7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08" s="25">
        <f>_xlfn.LET(
_xlpm.tos, _xlfn.XLOOKUP(tblPayrollMaster[[#This Row],[Employee ID]], tblEmployee[Employee ID], tblEmployee[Type of Service], ""),
IF(_xlpm.tos="Contract of Service", 8.25, 0)
)</f>
        <v>0</v>
      </c>
      <c r="V708" s="25">
        <f>tblPayrollMaster[[#This Row],[Basic Earnings]]-tblPayrollMaster[[#This Row],[Tax]]-tblPayrollMaster[[#This Row],[NIS - Employee]]-tblPayrollMaster[[#This Row],[Health Surcharge]]</f>
        <v>0</v>
      </c>
      <c r="W708" s="25">
        <f>tblPayrollMaster[[#This Row],[Net Pay]]</f>
        <v>0</v>
      </c>
      <c r="X708" s="25"/>
    </row>
    <row r="709" spans="1:24" x14ac:dyDescent="0.25">
      <c r="A709" s="24"/>
      <c r="B709" s="24" t="str">
        <f>_xlfn.XLOOKUP(tblPayrollMaster[[#This Row],[Employee ID]],tblEmployee[Employee ID],tblEmployee[Employee Name],"")</f>
        <v/>
      </c>
      <c r="C709" s="24" t="str">
        <f>_xlfn.XLOOKUP(tblPayrollMaster[[#This Row],[Employee ID]],tblEmployee[Employee ID],tblEmployee[Employee Position],"")</f>
        <v/>
      </c>
      <c r="D709" s="24" t="str">
        <f>_xlfn.XLOOKUP(tblPayrollMaster[[#This Row],[Employee ID]], tblEmployee[Employee ID], tblEmployee[Pay Status], "Pay")</f>
        <v>Pay</v>
      </c>
      <c r="E709" s="24" t="str">
        <f>_xlfn.XLOOKUP(tblPayrollMaster[[#This Row],[Employee ID]], tblEmployee[Employee ID], tblEmployee[Payable Flag], "Y")</f>
        <v>Y</v>
      </c>
      <c r="F709" s="45">
        <f>IF(tblPayrollMaster[[#This Row],[Payable Flag]]="N",0,_xlfn.XLOOKUP(tblPayrollMaster[[#This Row],[Employee ID]],tblEmployee[Employee ID],tblEmployee[Pay Factor],1))</f>
        <v>1</v>
      </c>
      <c r="G709" s="26" t="str" cm="1">
        <f t="array" ref="G709">IF(tblPayrollMaster[[#This Row],[Employee ID]]="","",_xlfn.XLOOKUP(selPayPeriodID,tblPayCalendar[PayPeriodID],tblPayCalendar[PeriodStart],""))</f>
        <v/>
      </c>
      <c r="H709" s="26" t="str" cm="1">
        <f t="array" ref="H709">IF(tblPayrollMaster[[#This Row],[Employee ID]]="","",_xlfn.XLOOKUP(selPayPeriodID,tblPayCalendar[PayPeriodID],tblPayCalendar[PeriodEnd],""))</f>
        <v/>
      </c>
      <c r="I709" s="24" t="e" cm="1" vm="1">
        <f t="array" aca="1" ref="I709" ca="1">Table18[Employer Name]</f>
        <v>#VALUE!</v>
      </c>
      <c r="J709" s="3" cm="1">
        <f t="array" ref="J70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09" s="25" t="str">
        <f>_xlfn.XLOOKUP(tblPayrollMaster[[#This Row],[Employee Position]],tblPositionandPayRate[Employee Position],tblPositionandPayRate[Overtime], " ")</f>
        <v xml:space="preserve"> </v>
      </c>
      <c r="L709" s="25">
        <f>_xlfn.XLOOKUP(tblPayrollMaster[[#This Row],[Employee Position]],tblPositionandPayRate[Employee Position],tblPositionandPayRate[Allowance 1],0)*tblPayrollMaster[[#This Row],[Pay Factor]]</f>
        <v>0</v>
      </c>
      <c r="M709" s="25">
        <f>_xlfn.XLOOKUP(tblPayrollMaster[[#This Row],[Employee Position]],tblPositionandPayRate[Employee Position],tblPositionandPayRate[Allowance 2],0)*tblPayrollMaster[[#This Row],[Pay Factor]]</f>
        <v>0</v>
      </c>
      <c r="N709" s="25">
        <f>_xlfn.XLOOKUP(tblPayrollMaster[[#This Row],[Employee Position]],tblPositionandPayRate[Employee Position],tblPositionandPayRate[Allowance 3],0)*tblPayrollMaster[[#This Row],[Pay Factor]]</f>
        <v>0</v>
      </c>
      <c r="O709" s="25">
        <f>_xlfn.XLOOKUP(tblPayrollMaster[[#This Row],[Employee Position]],tblPositionandPayRate[Employee Position],tblPositionandPayRate[Allowance 4],0)*tblPayrollMaster[[#This Row],[Pay Factor]]</f>
        <v>0</v>
      </c>
      <c r="P709" s="25">
        <f>_xlfn.XLOOKUP(tblPayrollMaster[[#This Row],[Employee Position]],tblPositionandPayRate[Employee Position],tblPositionandPayRate[Allowance 5],0)*tblPayrollMaster[[#This Row],[Pay Factor]]</f>
        <v>0</v>
      </c>
      <c r="Q709" s="25">
        <f>SUM(tblPayrollMaster[[#This Row],[Basic Pay]:[Allowance 5]])</f>
        <v>0</v>
      </c>
      <c r="R70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09" s="51" cm="1">
        <f t="array" ref="S7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09" s="3" cm="1">
        <f t="array" ref="T7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09" s="25">
        <f>_xlfn.LET(
_xlpm.tos, _xlfn.XLOOKUP(tblPayrollMaster[[#This Row],[Employee ID]], tblEmployee[Employee ID], tblEmployee[Type of Service], ""),
IF(_xlpm.tos="Contract of Service", 8.25, 0)
)</f>
        <v>0</v>
      </c>
      <c r="V709" s="25">
        <f>tblPayrollMaster[[#This Row],[Basic Earnings]]-tblPayrollMaster[[#This Row],[Tax]]-tblPayrollMaster[[#This Row],[NIS - Employee]]-tblPayrollMaster[[#This Row],[Health Surcharge]]</f>
        <v>0</v>
      </c>
      <c r="W709" s="25">
        <f>tblPayrollMaster[[#This Row],[Net Pay]]</f>
        <v>0</v>
      </c>
      <c r="X709" s="25"/>
    </row>
    <row r="710" spans="1:24" x14ac:dyDescent="0.25">
      <c r="A710" s="24"/>
      <c r="B710" s="24" t="str">
        <f>_xlfn.XLOOKUP(tblPayrollMaster[[#This Row],[Employee ID]],tblEmployee[Employee ID],tblEmployee[Employee Name],"")</f>
        <v/>
      </c>
      <c r="C710" s="24" t="str">
        <f>_xlfn.XLOOKUP(tblPayrollMaster[[#This Row],[Employee ID]],tblEmployee[Employee ID],tblEmployee[Employee Position],"")</f>
        <v/>
      </c>
      <c r="D710" s="24" t="str">
        <f>_xlfn.XLOOKUP(tblPayrollMaster[[#This Row],[Employee ID]], tblEmployee[Employee ID], tblEmployee[Pay Status], "Pay")</f>
        <v>Pay</v>
      </c>
      <c r="E710" s="24" t="str">
        <f>_xlfn.XLOOKUP(tblPayrollMaster[[#This Row],[Employee ID]], tblEmployee[Employee ID], tblEmployee[Payable Flag], "Y")</f>
        <v>Y</v>
      </c>
      <c r="F710" s="45">
        <f>IF(tblPayrollMaster[[#This Row],[Payable Flag]]="N",0,_xlfn.XLOOKUP(tblPayrollMaster[[#This Row],[Employee ID]],tblEmployee[Employee ID],tblEmployee[Pay Factor],1))</f>
        <v>1</v>
      </c>
      <c r="G710" s="26" t="str" cm="1">
        <f t="array" ref="G710">IF(tblPayrollMaster[[#This Row],[Employee ID]]="","",_xlfn.XLOOKUP(selPayPeriodID,tblPayCalendar[PayPeriodID],tblPayCalendar[PeriodStart],""))</f>
        <v/>
      </c>
      <c r="H710" s="26" t="str" cm="1">
        <f t="array" ref="H710">IF(tblPayrollMaster[[#This Row],[Employee ID]]="","",_xlfn.XLOOKUP(selPayPeriodID,tblPayCalendar[PayPeriodID],tblPayCalendar[PeriodEnd],""))</f>
        <v/>
      </c>
      <c r="I710" s="24" t="e" cm="1" vm="1">
        <f t="array" aca="1" ref="I710" ca="1">Table18[Employer Name]</f>
        <v>#VALUE!</v>
      </c>
      <c r="J710" s="3" cm="1">
        <f t="array" ref="J71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10" s="25" t="str">
        <f>_xlfn.XLOOKUP(tblPayrollMaster[[#This Row],[Employee Position]],tblPositionandPayRate[Employee Position],tblPositionandPayRate[Overtime], " ")</f>
        <v xml:space="preserve"> </v>
      </c>
      <c r="L710" s="25">
        <f>_xlfn.XLOOKUP(tblPayrollMaster[[#This Row],[Employee Position]],tblPositionandPayRate[Employee Position],tblPositionandPayRate[Allowance 1],0)*tblPayrollMaster[[#This Row],[Pay Factor]]</f>
        <v>0</v>
      </c>
      <c r="M710" s="25">
        <f>_xlfn.XLOOKUP(tblPayrollMaster[[#This Row],[Employee Position]],tblPositionandPayRate[Employee Position],tblPositionandPayRate[Allowance 2],0)*tblPayrollMaster[[#This Row],[Pay Factor]]</f>
        <v>0</v>
      </c>
      <c r="N710" s="25">
        <f>_xlfn.XLOOKUP(tblPayrollMaster[[#This Row],[Employee Position]],tblPositionandPayRate[Employee Position],tblPositionandPayRate[Allowance 3],0)*tblPayrollMaster[[#This Row],[Pay Factor]]</f>
        <v>0</v>
      </c>
      <c r="O710" s="25">
        <f>_xlfn.XLOOKUP(tblPayrollMaster[[#This Row],[Employee Position]],tblPositionandPayRate[Employee Position],tblPositionandPayRate[Allowance 4],0)*tblPayrollMaster[[#This Row],[Pay Factor]]</f>
        <v>0</v>
      </c>
      <c r="P710" s="25">
        <f>_xlfn.XLOOKUP(tblPayrollMaster[[#This Row],[Employee Position]],tblPositionandPayRate[Employee Position],tblPositionandPayRate[Allowance 5],0)*tblPayrollMaster[[#This Row],[Pay Factor]]</f>
        <v>0</v>
      </c>
      <c r="Q710" s="25">
        <f>SUM(tblPayrollMaster[[#This Row],[Basic Pay]:[Allowance 5]])</f>
        <v>0</v>
      </c>
      <c r="R71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10" s="51" cm="1">
        <f t="array" ref="S7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10" s="3" cm="1">
        <f t="array" ref="T7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10" s="25">
        <f>_xlfn.LET(
_xlpm.tos, _xlfn.XLOOKUP(tblPayrollMaster[[#This Row],[Employee ID]], tblEmployee[Employee ID], tblEmployee[Type of Service], ""),
IF(_xlpm.tos="Contract of Service", 8.25, 0)
)</f>
        <v>0</v>
      </c>
      <c r="V710" s="25">
        <f>tblPayrollMaster[[#This Row],[Basic Earnings]]-tblPayrollMaster[[#This Row],[Tax]]-tblPayrollMaster[[#This Row],[NIS - Employee]]-tblPayrollMaster[[#This Row],[Health Surcharge]]</f>
        <v>0</v>
      </c>
      <c r="W710" s="25">
        <f>tblPayrollMaster[[#This Row],[Net Pay]]</f>
        <v>0</v>
      </c>
      <c r="X710" s="25"/>
    </row>
    <row r="711" spans="1:24" x14ac:dyDescent="0.25">
      <c r="A711" s="24"/>
      <c r="B711" s="24" t="str">
        <f>_xlfn.XLOOKUP(tblPayrollMaster[[#This Row],[Employee ID]],tblEmployee[Employee ID],tblEmployee[Employee Name],"")</f>
        <v/>
      </c>
      <c r="C711" s="24" t="str">
        <f>_xlfn.XLOOKUP(tblPayrollMaster[[#This Row],[Employee ID]],tblEmployee[Employee ID],tblEmployee[Employee Position],"")</f>
        <v/>
      </c>
      <c r="D711" s="24" t="str">
        <f>_xlfn.XLOOKUP(tblPayrollMaster[[#This Row],[Employee ID]], tblEmployee[Employee ID], tblEmployee[Pay Status], "Pay")</f>
        <v>Pay</v>
      </c>
      <c r="E711" s="24" t="str">
        <f>_xlfn.XLOOKUP(tblPayrollMaster[[#This Row],[Employee ID]], tblEmployee[Employee ID], tblEmployee[Payable Flag], "Y")</f>
        <v>Y</v>
      </c>
      <c r="F711" s="45">
        <f>IF(tblPayrollMaster[[#This Row],[Payable Flag]]="N",0,_xlfn.XLOOKUP(tblPayrollMaster[[#This Row],[Employee ID]],tblEmployee[Employee ID],tblEmployee[Pay Factor],1))</f>
        <v>1</v>
      </c>
      <c r="G711" s="26" t="str" cm="1">
        <f t="array" ref="G711">IF(tblPayrollMaster[[#This Row],[Employee ID]]="","",_xlfn.XLOOKUP(selPayPeriodID,tblPayCalendar[PayPeriodID],tblPayCalendar[PeriodStart],""))</f>
        <v/>
      </c>
      <c r="H711" s="26" t="str" cm="1">
        <f t="array" ref="H711">IF(tblPayrollMaster[[#This Row],[Employee ID]]="","",_xlfn.XLOOKUP(selPayPeriodID,tblPayCalendar[PayPeriodID],tblPayCalendar[PeriodEnd],""))</f>
        <v/>
      </c>
      <c r="I711" s="24" t="e" cm="1" vm="1">
        <f t="array" aca="1" ref="I711" ca="1">Table18[Employer Name]</f>
        <v>#VALUE!</v>
      </c>
      <c r="J711" s="3" cm="1">
        <f t="array" ref="J71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11" s="25" t="str">
        <f>_xlfn.XLOOKUP(tblPayrollMaster[[#This Row],[Employee Position]],tblPositionandPayRate[Employee Position],tblPositionandPayRate[Overtime], " ")</f>
        <v xml:space="preserve"> </v>
      </c>
      <c r="L711" s="25">
        <f>_xlfn.XLOOKUP(tblPayrollMaster[[#This Row],[Employee Position]],tblPositionandPayRate[Employee Position],tblPositionandPayRate[Allowance 1],0)*tblPayrollMaster[[#This Row],[Pay Factor]]</f>
        <v>0</v>
      </c>
      <c r="M711" s="25">
        <f>_xlfn.XLOOKUP(tblPayrollMaster[[#This Row],[Employee Position]],tblPositionandPayRate[Employee Position],tblPositionandPayRate[Allowance 2],0)*tblPayrollMaster[[#This Row],[Pay Factor]]</f>
        <v>0</v>
      </c>
      <c r="N711" s="25">
        <f>_xlfn.XLOOKUP(tblPayrollMaster[[#This Row],[Employee Position]],tblPositionandPayRate[Employee Position],tblPositionandPayRate[Allowance 3],0)*tblPayrollMaster[[#This Row],[Pay Factor]]</f>
        <v>0</v>
      </c>
      <c r="O711" s="25">
        <f>_xlfn.XLOOKUP(tblPayrollMaster[[#This Row],[Employee Position]],tblPositionandPayRate[Employee Position],tblPositionandPayRate[Allowance 4],0)*tblPayrollMaster[[#This Row],[Pay Factor]]</f>
        <v>0</v>
      </c>
      <c r="P711" s="25">
        <f>_xlfn.XLOOKUP(tblPayrollMaster[[#This Row],[Employee Position]],tblPositionandPayRate[Employee Position],tblPositionandPayRate[Allowance 5],0)*tblPayrollMaster[[#This Row],[Pay Factor]]</f>
        <v>0</v>
      </c>
      <c r="Q711" s="25">
        <f>SUM(tblPayrollMaster[[#This Row],[Basic Pay]:[Allowance 5]])</f>
        <v>0</v>
      </c>
      <c r="R71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11" s="51" cm="1">
        <f t="array" ref="S7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11" s="3" cm="1">
        <f t="array" ref="T7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11" s="25">
        <f>_xlfn.LET(
_xlpm.tos, _xlfn.XLOOKUP(tblPayrollMaster[[#This Row],[Employee ID]], tblEmployee[Employee ID], tblEmployee[Type of Service], ""),
IF(_xlpm.tos="Contract of Service", 8.25, 0)
)</f>
        <v>0</v>
      </c>
      <c r="V711" s="25">
        <f>tblPayrollMaster[[#This Row],[Basic Earnings]]-tblPayrollMaster[[#This Row],[Tax]]-tblPayrollMaster[[#This Row],[NIS - Employee]]-tblPayrollMaster[[#This Row],[Health Surcharge]]</f>
        <v>0</v>
      </c>
      <c r="W711" s="25">
        <f>tblPayrollMaster[[#This Row],[Net Pay]]</f>
        <v>0</v>
      </c>
      <c r="X711" s="25"/>
    </row>
    <row r="712" spans="1:24" x14ac:dyDescent="0.25">
      <c r="A712" s="24"/>
      <c r="B712" s="24" t="str">
        <f>_xlfn.XLOOKUP(tblPayrollMaster[[#This Row],[Employee ID]],tblEmployee[Employee ID],tblEmployee[Employee Name],"")</f>
        <v/>
      </c>
      <c r="C712" s="24" t="str">
        <f>_xlfn.XLOOKUP(tblPayrollMaster[[#This Row],[Employee ID]],tblEmployee[Employee ID],tblEmployee[Employee Position],"")</f>
        <v/>
      </c>
      <c r="D712" s="24" t="str">
        <f>_xlfn.XLOOKUP(tblPayrollMaster[[#This Row],[Employee ID]], tblEmployee[Employee ID], tblEmployee[Pay Status], "Pay")</f>
        <v>Pay</v>
      </c>
      <c r="E712" s="24" t="str">
        <f>_xlfn.XLOOKUP(tblPayrollMaster[[#This Row],[Employee ID]], tblEmployee[Employee ID], tblEmployee[Payable Flag], "Y")</f>
        <v>Y</v>
      </c>
      <c r="F712" s="45">
        <f>IF(tblPayrollMaster[[#This Row],[Payable Flag]]="N",0,_xlfn.XLOOKUP(tblPayrollMaster[[#This Row],[Employee ID]],tblEmployee[Employee ID],tblEmployee[Pay Factor],1))</f>
        <v>1</v>
      </c>
      <c r="G712" s="26" t="str" cm="1">
        <f t="array" ref="G712">IF(tblPayrollMaster[[#This Row],[Employee ID]]="","",_xlfn.XLOOKUP(selPayPeriodID,tblPayCalendar[PayPeriodID],tblPayCalendar[PeriodStart],""))</f>
        <v/>
      </c>
      <c r="H712" s="26" t="str" cm="1">
        <f t="array" ref="H712">IF(tblPayrollMaster[[#This Row],[Employee ID]]="","",_xlfn.XLOOKUP(selPayPeriodID,tblPayCalendar[PayPeriodID],tblPayCalendar[PeriodEnd],""))</f>
        <v/>
      </c>
      <c r="I712" s="24" t="e" cm="1" vm="1">
        <f t="array" aca="1" ref="I712" ca="1">Table18[Employer Name]</f>
        <v>#VALUE!</v>
      </c>
      <c r="J712" s="3" cm="1">
        <f t="array" ref="J71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12" s="25" t="str">
        <f>_xlfn.XLOOKUP(tblPayrollMaster[[#This Row],[Employee Position]],tblPositionandPayRate[Employee Position],tblPositionandPayRate[Overtime], " ")</f>
        <v xml:space="preserve"> </v>
      </c>
      <c r="L712" s="25">
        <f>_xlfn.XLOOKUP(tblPayrollMaster[[#This Row],[Employee Position]],tblPositionandPayRate[Employee Position],tblPositionandPayRate[Allowance 1],0)*tblPayrollMaster[[#This Row],[Pay Factor]]</f>
        <v>0</v>
      </c>
      <c r="M712" s="25">
        <f>_xlfn.XLOOKUP(tblPayrollMaster[[#This Row],[Employee Position]],tblPositionandPayRate[Employee Position],tblPositionandPayRate[Allowance 2],0)*tblPayrollMaster[[#This Row],[Pay Factor]]</f>
        <v>0</v>
      </c>
      <c r="N712" s="25">
        <f>_xlfn.XLOOKUP(tblPayrollMaster[[#This Row],[Employee Position]],tblPositionandPayRate[Employee Position],tblPositionandPayRate[Allowance 3],0)*tblPayrollMaster[[#This Row],[Pay Factor]]</f>
        <v>0</v>
      </c>
      <c r="O712" s="25">
        <f>_xlfn.XLOOKUP(tblPayrollMaster[[#This Row],[Employee Position]],tblPositionandPayRate[Employee Position],tblPositionandPayRate[Allowance 4],0)*tblPayrollMaster[[#This Row],[Pay Factor]]</f>
        <v>0</v>
      </c>
      <c r="P712" s="25">
        <f>_xlfn.XLOOKUP(tblPayrollMaster[[#This Row],[Employee Position]],tblPositionandPayRate[Employee Position],tblPositionandPayRate[Allowance 5],0)*tblPayrollMaster[[#This Row],[Pay Factor]]</f>
        <v>0</v>
      </c>
      <c r="Q712" s="25">
        <f>SUM(tblPayrollMaster[[#This Row],[Basic Pay]:[Allowance 5]])</f>
        <v>0</v>
      </c>
      <c r="R71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12" s="51" cm="1">
        <f t="array" ref="S7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12" s="3" cm="1">
        <f t="array" ref="T7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12" s="25">
        <f>_xlfn.LET(
_xlpm.tos, _xlfn.XLOOKUP(tblPayrollMaster[[#This Row],[Employee ID]], tblEmployee[Employee ID], tblEmployee[Type of Service], ""),
IF(_xlpm.tos="Contract of Service", 8.25, 0)
)</f>
        <v>0</v>
      </c>
      <c r="V712" s="25">
        <f>tblPayrollMaster[[#This Row],[Basic Earnings]]-tblPayrollMaster[[#This Row],[Tax]]-tblPayrollMaster[[#This Row],[NIS - Employee]]-tblPayrollMaster[[#This Row],[Health Surcharge]]</f>
        <v>0</v>
      </c>
      <c r="W712" s="25">
        <f>tblPayrollMaster[[#This Row],[Net Pay]]</f>
        <v>0</v>
      </c>
      <c r="X712" s="25"/>
    </row>
    <row r="713" spans="1:24" x14ac:dyDescent="0.25">
      <c r="A713" s="24"/>
      <c r="B713" s="24" t="str">
        <f>_xlfn.XLOOKUP(tblPayrollMaster[[#This Row],[Employee ID]],tblEmployee[Employee ID],tblEmployee[Employee Name],"")</f>
        <v/>
      </c>
      <c r="C713" s="24" t="str">
        <f>_xlfn.XLOOKUP(tblPayrollMaster[[#This Row],[Employee ID]],tblEmployee[Employee ID],tblEmployee[Employee Position],"")</f>
        <v/>
      </c>
      <c r="D713" s="24" t="str">
        <f>_xlfn.XLOOKUP(tblPayrollMaster[[#This Row],[Employee ID]], tblEmployee[Employee ID], tblEmployee[Pay Status], "Pay")</f>
        <v>Pay</v>
      </c>
      <c r="E713" s="24" t="str">
        <f>_xlfn.XLOOKUP(tblPayrollMaster[[#This Row],[Employee ID]], tblEmployee[Employee ID], tblEmployee[Payable Flag], "Y")</f>
        <v>Y</v>
      </c>
      <c r="F713" s="45">
        <f>IF(tblPayrollMaster[[#This Row],[Payable Flag]]="N",0,_xlfn.XLOOKUP(tblPayrollMaster[[#This Row],[Employee ID]],tblEmployee[Employee ID],tblEmployee[Pay Factor],1))</f>
        <v>1</v>
      </c>
      <c r="G713" s="26" t="str" cm="1">
        <f t="array" ref="G713">IF(tblPayrollMaster[[#This Row],[Employee ID]]="","",_xlfn.XLOOKUP(selPayPeriodID,tblPayCalendar[PayPeriodID],tblPayCalendar[PeriodStart],""))</f>
        <v/>
      </c>
      <c r="H713" s="26" t="str" cm="1">
        <f t="array" ref="H713">IF(tblPayrollMaster[[#This Row],[Employee ID]]="","",_xlfn.XLOOKUP(selPayPeriodID,tblPayCalendar[PayPeriodID],tblPayCalendar[PeriodEnd],""))</f>
        <v/>
      </c>
      <c r="I713" s="24" t="e" cm="1" vm="1">
        <f t="array" aca="1" ref="I713" ca="1">Table18[Employer Name]</f>
        <v>#VALUE!</v>
      </c>
      <c r="J713" s="3" cm="1">
        <f t="array" ref="J71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13" s="25" t="str">
        <f>_xlfn.XLOOKUP(tblPayrollMaster[[#This Row],[Employee Position]],tblPositionandPayRate[Employee Position],tblPositionandPayRate[Overtime], " ")</f>
        <v xml:space="preserve"> </v>
      </c>
      <c r="L713" s="25">
        <f>_xlfn.XLOOKUP(tblPayrollMaster[[#This Row],[Employee Position]],tblPositionandPayRate[Employee Position],tblPositionandPayRate[Allowance 1],0)*tblPayrollMaster[[#This Row],[Pay Factor]]</f>
        <v>0</v>
      </c>
      <c r="M713" s="25">
        <f>_xlfn.XLOOKUP(tblPayrollMaster[[#This Row],[Employee Position]],tblPositionandPayRate[Employee Position],tblPositionandPayRate[Allowance 2],0)*tblPayrollMaster[[#This Row],[Pay Factor]]</f>
        <v>0</v>
      </c>
      <c r="N713" s="25">
        <f>_xlfn.XLOOKUP(tblPayrollMaster[[#This Row],[Employee Position]],tblPositionandPayRate[Employee Position],tblPositionandPayRate[Allowance 3],0)*tblPayrollMaster[[#This Row],[Pay Factor]]</f>
        <v>0</v>
      </c>
      <c r="O713" s="25">
        <f>_xlfn.XLOOKUP(tblPayrollMaster[[#This Row],[Employee Position]],tblPositionandPayRate[Employee Position],tblPositionandPayRate[Allowance 4],0)*tblPayrollMaster[[#This Row],[Pay Factor]]</f>
        <v>0</v>
      </c>
      <c r="P713" s="25">
        <f>_xlfn.XLOOKUP(tblPayrollMaster[[#This Row],[Employee Position]],tblPositionandPayRate[Employee Position],tblPositionandPayRate[Allowance 5],0)*tblPayrollMaster[[#This Row],[Pay Factor]]</f>
        <v>0</v>
      </c>
      <c r="Q713" s="25">
        <f>SUM(tblPayrollMaster[[#This Row],[Basic Pay]:[Allowance 5]])</f>
        <v>0</v>
      </c>
      <c r="R71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13" s="51" cm="1">
        <f t="array" ref="S7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13" s="3" cm="1">
        <f t="array" ref="T7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13" s="25">
        <f>_xlfn.LET(
_xlpm.tos, _xlfn.XLOOKUP(tblPayrollMaster[[#This Row],[Employee ID]], tblEmployee[Employee ID], tblEmployee[Type of Service], ""),
IF(_xlpm.tos="Contract of Service", 8.25, 0)
)</f>
        <v>0</v>
      </c>
      <c r="V713" s="25">
        <f>tblPayrollMaster[[#This Row],[Basic Earnings]]-tblPayrollMaster[[#This Row],[Tax]]-tblPayrollMaster[[#This Row],[NIS - Employee]]-tblPayrollMaster[[#This Row],[Health Surcharge]]</f>
        <v>0</v>
      </c>
      <c r="W713" s="25">
        <f>tblPayrollMaster[[#This Row],[Net Pay]]</f>
        <v>0</v>
      </c>
      <c r="X713" s="25"/>
    </row>
    <row r="714" spans="1:24" x14ac:dyDescent="0.25">
      <c r="A714" s="24"/>
      <c r="B714" s="24" t="str">
        <f>_xlfn.XLOOKUP(tblPayrollMaster[[#This Row],[Employee ID]],tblEmployee[Employee ID],tblEmployee[Employee Name],"")</f>
        <v/>
      </c>
      <c r="C714" s="24" t="str">
        <f>_xlfn.XLOOKUP(tblPayrollMaster[[#This Row],[Employee ID]],tblEmployee[Employee ID],tblEmployee[Employee Position],"")</f>
        <v/>
      </c>
      <c r="D714" s="24" t="str">
        <f>_xlfn.XLOOKUP(tblPayrollMaster[[#This Row],[Employee ID]], tblEmployee[Employee ID], tblEmployee[Pay Status], "Pay")</f>
        <v>Pay</v>
      </c>
      <c r="E714" s="24" t="str">
        <f>_xlfn.XLOOKUP(tblPayrollMaster[[#This Row],[Employee ID]], tblEmployee[Employee ID], tblEmployee[Payable Flag], "Y")</f>
        <v>Y</v>
      </c>
      <c r="F714" s="45">
        <f>IF(tblPayrollMaster[[#This Row],[Payable Flag]]="N",0,_xlfn.XLOOKUP(tblPayrollMaster[[#This Row],[Employee ID]],tblEmployee[Employee ID],tblEmployee[Pay Factor],1))</f>
        <v>1</v>
      </c>
      <c r="G714" s="26" t="str" cm="1">
        <f t="array" ref="G714">IF(tblPayrollMaster[[#This Row],[Employee ID]]="","",_xlfn.XLOOKUP(selPayPeriodID,tblPayCalendar[PayPeriodID],tblPayCalendar[PeriodStart],""))</f>
        <v/>
      </c>
      <c r="H714" s="26" t="str" cm="1">
        <f t="array" ref="H714">IF(tblPayrollMaster[[#This Row],[Employee ID]]="","",_xlfn.XLOOKUP(selPayPeriodID,tblPayCalendar[PayPeriodID],tblPayCalendar[PeriodEnd],""))</f>
        <v/>
      </c>
      <c r="I714" s="24" t="e" cm="1" vm="1">
        <f t="array" aca="1" ref="I714" ca="1">Table18[Employer Name]</f>
        <v>#VALUE!</v>
      </c>
      <c r="J714" s="3" cm="1">
        <f t="array" ref="J71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14" s="25" t="str">
        <f>_xlfn.XLOOKUP(tblPayrollMaster[[#This Row],[Employee Position]],tblPositionandPayRate[Employee Position],tblPositionandPayRate[Overtime], " ")</f>
        <v xml:space="preserve"> </v>
      </c>
      <c r="L714" s="25">
        <f>_xlfn.XLOOKUP(tblPayrollMaster[[#This Row],[Employee Position]],tblPositionandPayRate[Employee Position],tblPositionandPayRate[Allowance 1],0)*tblPayrollMaster[[#This Row],[Pay Factor]]</f>
        <v>0</v>
      </c>
      <c r="M714" s="25">
        <f>_xlfn.XLOOKUP(tblPayrollMaster[[#This Row],[Employee Position]],tblPositionandPayRate[Employee Position],tblPositionandPayRate[Allowance 2],0)*tblPayrollMaster[[#This Row],[Pay Factor]]</f>
        <v>0</v>
      </c>
      <c r="N714" s="25">
        <f>_xlfn.XLOOKUP(tblPayrollMaster[[#This Row],[Employee Position]],tblPositionandPayRate[Employee Position],tblPositionandPayRate[Allowance 3],0)*tblPayrollMaster[[#This Row],[Pay Factor]]</f>
        <v>0</v>
      </c>
      <c r="O714" s="25">
        <f>_xlfn.XLOOKUP(tblPayrollMaster[[#This Row],[Employee Position]],tblPositionandPayRate[Employee Position],tblPositionandPayRate[Allowance 4],0)*tblPayrollMaster[[#This Row],[Pay Factor]]</f>
        <v>0</v>
      </c>
      <c r="P714" s="25">
        <f>_xlfn.XLOOKUP(tblPayrollMaster[[#This Row],[Employee Position]],tblPositionandPayRate[Employee Position],tblPositionandPayRate[Allowance 5],0)*tblPayrollMaster[[#This Row],[Pay Factor]]</f>
        <v>0</v>
      </c>
      <c r="Q714" s="25">
        <f>SUM(tblPayrollMaster[[#This Row],[Basic Pay]:[Allowance 5]])</f>
        <v>0</v>
      </c>
      <c r="R71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14" s="51" cm="1">
        <f t="array" ref="S7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14" s="3" cm="1">
        <f t="array" ref="T7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14" s="25">
        <f>_xlfn.LET(
_xlpm.tos, _xlfn.XLOOKUP(tblPayrollMaster[[#This Row],[Employee ID]], tblEmployee[Employee ID], tblEmployee[Type of Service], ""),
IF(_xlpm.tos="Contract of Service", 8.25, 0)
)</f>
        <v>0</v>
      </c>
      <c r="V714" s="25">
        <f>tblPayrollMaster[[#This Row],[Basic Earnings]]-tblPayrollMaster[[#This Row],[Tax]]-tblPayrollMaster[[#This Row],[NIS - Employee]]-tblPayrollMaster[[#This Row],[Health Surcharge]]</f>
        <v>0</v>
      </c>
      <c r="W714" s="25">
        <f>tblPayrollMaster[[#This Row],[Net Pay]]</f>
        <v>0</v>
      </c>
      <c r="X714" s="25"/>
    </row>
    <row r="715" spans="1:24" x14ac:dyDescent="0.25">
      <c r="A715" s="24"/>
      <c r="B715" s="24" t="str">
        <f>_xlfn.XLOOKUP(tblPayrollMaster[[#This Row],[Employee ID]],tblEmployee[Employee ID],tblEmployee[Employee Name],"")</f>
        <v/>
      </c>
      <c r="C715" s="24" t="str">
        <f>_xlfn.XLOOKUP(tblPayrollMaster[[#This Row],[Employee ID]],tblEmployee[Employee ID],tblEmployee[Employee Position],"")</f>
        <v/>
      </c>
      <c r="D715" s="24" t="str">
        <f>_xlfn.XLOOKUP(tblPayrollMaster[[#This Row],[Employee ID]], tblEmployee[Employee ID], tblEmployee[Pay Status], "Pay")</f>
        <v>Pay</v>
      </c>
      <c r="E715" s="24" t="str">
        <f>_xlfn.XLOOKUP(tblPayrollMaster[[#This Row],[Employee ID]], tblEmployee[Employee ID], tblEmployee[Payable Flag], "Y")</f>
        <v>Y</v>
      </c>
      <c r="F715" s="45">
        <f>IF(tblPayrollMaster[[#This Row],[Payable Flag]]="N",0,_xlfn.XLOOKUP(tblPayrollMaster[[#This Row],[Employee ID]],tblEmployee[Employee ID],tblEmployee[Pay Factor],1))</f>
        <v>1</v>
      </c>
      <c r="G715" s="26" t="str" cm="1">
        <f t="array" ref="G715">IF(tblPayrollMaster[[#This Row],[Employee ID]]="","",_xlfn.XLOOKUP(selPayPeriodID,tblPayCalendar[PayPeriodID],tblPayCalendar[PeriodStart],""))</f>
        <v/>
      </c>
      <c r="H715" s="26" t="str" cm="1">
        <f t="array" ref="H715">IF(tblPayrollMaster[[#This Row],[Employee ID]]="","",_xlfn.XLOOKUP(selPayPeriodID,tblPayCalendar[PayPeriodID],tblPayCalendar[PeriodEnd],""))</f>
        <v/>
      </c>
      <c r="I715" s="24" t="e" cm="1" vm="1">
        <f t="array" aca="1" ref="I715" ca="1">Table18[Employer Name]</f>
        <v>#VALUE!</v>
      </c>
      <c r="J715" s="3" cm="1">
        <f t="array" ref="J71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15" s="25" t="str">
        <f>_xlfn.XLOOKUP(tblPayrollMaster[[#This Row],[Employee Position]],tblPositionandPayRate[Employee Position],tblPositionandPayRate[Overtime], " ")</f>
        <v xml:space="preserve"> </v>
      </c>
      <c r="L715" s="25">
        <f>_xlfn.XLOOKUP(tblPayrollMaster[[#This Row],[Employee Position]],tblPositionandPayRate[Employee Position],tblPositionandPayRate[Allowance 1],0)*tblPayrollMaster[[#This Row],[Pay Factor]]</f>
        <v>0</v>
      </c>
      <c r="M715" s="25">
        <f>_xlfn.XLOOKUP(tblPayrollMaster[[#This Row],[Employee Position]],tblPositionandPayRate[Employee Position],tblPositionandPayRate[Allowance 2],0)*tblPayrollMaster[[#This Row],[Pay Factor]]</f>
        <v>0</v>
      </c>
      <c r="N715" s="25">
        <f>_xlfn.XLOOKUP(tblPayrollMaster[[#This Row],[Employee Position]],tblPositionandPayRate[Employee Position],tblPositionandPayRate[Allowance 3],0)*tblPayrollMaster[[#This Row],[Pay Factor]]</f>
        <v>0</v>
      </c>
      <c r="O715" s="25">
        <f>_xlfn.XLOOKUP(tblPayrollMaster[[#This Row],[Employee Position]],tblPositionandPayRate[Employee Position],tblPositionandPayRate[Allowance 4],0)*tblPayrollMaster[[#This Row],[Pay Factor]]</f>
        <v>0</v>
      </c>
      <c r="P715" s="25">
        <f>_xlfn.XLOOKUP(tblPayrollMaster[[#This Row],[Employee Position]],tblPositionandPayRate[Employee Position],tblPositionandPayRate[Allowance 5],0)*tblPayrollMaster[[#This Row],[Pay Factor]]</f>
        <v>0</v>
      </c>
      <c r="Q715" s="25">
        <f>SUM(tblPayrollMaster[[#This Row],[Basic Pay]:[Allowance 5]])</f>
        <v>0</v>
      </c>
      <c r="R71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15" s="51" cm="1">
        <f t="array" ref="S7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15" s="3" cm="1">
        <f t="array" ref="T7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15" s="25">
        <f>_xlfn.LET(
_xlpm.tos, _xlfn.XLOOKUP(tblPayrollMaster[[#This Row],[Employee ID]], tblEmployee[Employee ID], tblEmployee[Type of Service], ""),
IF(_xlpm.tos="Contract of Service", 8.25, 0)
)</f>
        <v>0</v>
      </c>
      <c r="V715" s="25">
        <f>tblPayrollMaster[[#This Row],[Basic Earnings]]-tblPayrollMaster[[#This Row],[Tax]]-tblPayrollMaster[[#This Row],[NIS - Employee]]-tblPayrollMaster[[#This Row],[Health Surcharge]]</f>
        <v>0</v>
      </c>
      <c r="W715" s="25">
        <f>tblPayrollMaster[[#This Row],[Net Pay]]</f>
        <v>0</v>
      </c>
      <c r="X715" s="25"/>
    </row>
    <row r="716" spans="1:24" x14ac:dyDescent="0.25">
      <c r="A716" s="24"/>
      <c r="B716" s="24" t="str">
        <f>_xlfn.XLOOKUP(tblPayrollMaster[[#This Row],[Employee ID]],tblEmployee[Employee ID],tblEmployee[Employee Name],"")</f>
        <v/>
      </c>
      <c r="C716" s="24" t="str">
        <f>_xlfn.XLOOKUP(tblPayrollMaster[[#This Row],[Employee ID]],tblEmployee[Employee ID],tblEmployee[Employee Position],"")</f>
        <v/>
      </c>
      <c r="D716" s="24" t="str">
        <f>_xlfn.XLOOKUP(tblPayrollMaster[[#This Row],[Employee ID]], tblEmployee[Employee ID], tblEmployee[Pay Status], "Pay")</f>
        <v>Pay</v>
      </c>
      <c r="E716" s="24" t="str">
        <f>_xlfn.XLOOKUP(tblPayrollMaster[[#This Row],[Employee ID]], tblEmployee[Employee ID], tblEmployee[Payable Flag], "Y")</f>
        <v>Y</v>
      </c>
      <c r="F716" s="45">
        <f>IF(tblPayrollMaster[[#This Row],[Payable Flag]]="N",0,_xlfn.XLOOKUP(tblPayrollMaster[[#This Row],[Employee ID]],tblEmployee[Employee ID],tblEmployee[Pay Factor],1))</f>
        <v>1</v>
      </c>
      <c r="G716" s="26" t="str" cm="1">
        <f t="array" ref="G716">IF(tblPayrollMaster[[#This Row],[Employee ID]]="","",_xlfn.XLOOKUP(selPayPeriodID,tblPayCalendar[PayPeriodID],tblPayCalendar[PeriodStart],""))</f>
        <v/>
      </c>
      <c r="H716" s="26" t="str" cm="1">
        <f t="array" ref="H716">IF(tblPayrollMaster[[#This Row],[Employee ID]]="","",_xlfn.XLOOKUP(selPayPeriodID,tblPayCalendar[PayPeriodID],tblPayCalendar[PeriodEnd],""))</f>
        <v/>
      </c>
      <c r="I716" s="24" t="e" cm="1" vm="1">
        <f t="array" aca="1" ref="I716" ca="1">Table18[Employer Name]</f>
        <v>#VALUE!</v>
      </c>
      <c r="J716" s="3" cm="1">
        <f t="array" ref="J71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16" s="25" t="str">
        <f>_xlfn.XLOOKUP(tblPayrollMaster[[#This Row],[Employee Position]],tblPositionandPayRate[Employee Position],tblPositionandPayRate[Overtime], " ")</f>
        <v xml:space="preserve"> </v>
      </c>
      <c r="L716" s="25">
        <f>_xlfn.XLOOKUP(tblPayrollMaster[[#This Row],[Employee Position]],tblPositionandPayRate[Employee Position],tblPositionandPayRate[Allowance 1],0)*tblPayrollMaster[[#This Row],[Pay Factor]]</f>
        <v>0</v>
      </c>
      <c r="M716" s="25">
        <f>_xlfn.XLOOKUP(tblPayrollMaster[[#This Row],[Employee Position]],tblPositionandPayRate[Employee Position],tblPositionandPayRate[Allowance 2],0)*tblPayrollMaster[[#This Row],[Pay Factor]]</f>
        <v>0</v>
      </c>
      <c r="N716" s="25">
        <f>_xlfn.XLOOKUP(tblPayrollMaster[[#This Row],[Employee Position]],tblPositionandPayRate[Employee Position],tblPositionandPayRate[Allowance 3],0)*tblPayrollMaster[[#This Row],[Pay Factor]]</f>
        <v>0</v>
      </c>
      <c r="O716" s="25">
        <f>_xlfn.XLOOKUP(tblPayrollMaster[[#This Row],[Employee Position]],tblPositionandPayRate[Employee Position],tblPositionandPayRate[Allowance 4],0)*tblPayrollMaster[[#This Row],[Pay Factor]]</f>
        <v>0</v>
      </c>
      <c r="P716" s="25">
        <f>_xlfn.XLOOKUP(tblPayrollMaster[[#This Row],[Employee Position]],tblPositionandPayRate[Employee Position],tblPositionandPayRate[Allowance 5],0)*tblPayrollMaster[[#This Row],[Pay Factor]]</f>
        <v>0</v>
      </c>
      <c r="Q716" s="25">
        <f>SUM(tblPayrollMaster[[#This Row],[Basic Pay]:[Allowance 5]])</f>
        <v>0</v>
      </c>
      <c r="R71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16" s="51" cm="1">
        <f t="array" ref="S7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16" s="3" cm="1">
        <f t="array" ref="T7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16" s="25">
        <f>_xlfn.LET(
_xlpm.tos, _xlfn.XLOOKUP(tblPayrollMaster[[#This Row],[Employee ID]], tblEmployee[Employee ID], tblEmployee[Type of Service], ""),
IF(_xlpm.tos="Contract of Service", 8.25, 0)
)</f>
        <v>0</v>
      </c>
      <c r="V716" s="25">
        <f>tblPayrollMaster[[#This Row],[Basic Earnings]]-tblPayrollMaster[[#This Row],[Tax]]-tblPayrollMaster[[#This Row],[NIS - Employee]]-tblPayrollMaster[[#This Row],[Health Surcharge]]</f>
        <v>0</v>
      </c>
      <c r="W716" s="25">
        <f>tblPayrollMaster[[#This Row],[Net Pay]]</f>
        <v>0</v>
      </c>
      <c r="X716" s="25"/>
    </row>
    <row r="717" spans="1:24" x14ac:dyDescent="0.25">
      <c r="A717" s="24"/>
      <c r="B717" s="24" t="str">
        <f>_xlfn.XLOOKUP(tblPayrollMaster[[#This Row],[Employee ID]],tblEmployee[Employee ID],tblEmployee[Employee Name],"")</f>
        <v/>
      </c>
      <c r="C717" s="24" t="str">
        <f>_xlfn.XLOOKUP(tblPayrollMaster[[#This Row],[Employee ID]],tblEmployee[Employee ID],tblEmployee[Employee Position],"")</f>
        <v/>
      </c>
      <c r="D717" s="24" t="str">
        <f>_xlfn.XLOOKUP(tblPayrollMaster[[#This Row],[Employee ID]], tblEmployee[Employee ID], tblEmployee[Pay Status], "Pay")</f>
        <v>Pay</v>
      </c>
      <c r="E717" s="24" t="str">
        <f>_xlfn.XLOOKUP(tblPayrollMaster[[#This Row],[Employee ID]], tblEmployee[Employee ID], tblEmployee[Payable Flag], "Y")</f>
        <v>Y</v>
      </c>
      <c r="F717" s="45">
        <f>IF(tblPayrollMaster[[#This Row],[Payable Flag]]="N",0,_xlfn.XLOOKUP(tblPayrollMaster[[#This Row],[Employee ID]],tblEmployee[Employee ID],tblEmployee[Pay Factor],1))</f>
        <v>1</v>
      </c>
      <c r="G717" s="26" t="str" cm="1">
        <f t="array" ref="G717">IF(tblPayrollMaster[[#This Row],[Employee ID]]="","",_xlfn.XLOOKUP(selPayPeriodID,tblPayCalendar[PayPeriodID],tblPayCalendar[PeriodStart],""))</f>
        <v/>
      </c>
      <c r="H717" s="26" t="str" cm="1">
        <f t="array" ref="H717">IF(tblPayrollMaster[[#This Row],[Employee ID]]="","",_xlfn.XLOOKUP(selPayPeriodID,tblPayCalendar[PayPeriodID],tblPayCalendar[PeriodEnd],""))</f>
        <v/>
      </c>
      <c r="I717" s="24" t="e" cm="1" vm="1">
        <f t="array" aca="1" ref="I717" ca="1">Table18[Employer Name]</f>
        <v>#VALUE!</v>
      </c>
      <c r="J717" s="3" cm="1">
        <f t="array" ref="J71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17" s="25" t="str">
        <f>_xlfn.XLOOKUP(tblPayrollMaster[[#This Row],[Employee Position]],tblPositionandPayRate[Employee Position],tblPositionandPayRate[Overtime], " ")</f>
        <v xml:space="preserve"> </v>
      </c>
      <c r="L717" s="25">
        <f>_xlfn.XLOOKUP(tblPayrollMaster[[#This Row],[Employee Position]],tblPositionandPayRate[Employee Position],tblPositionandPayRate[Allowance 1],0)*tblPayrollMaster[[#This Row],[Pay Factor]]</f>
        <v>0</v>
      </c>
      <c r="M717" s="25">
        <f>_xlfn.XLOOKUP(tblPayrollMaster[[#This Row],[Employee Position]],tblPositionandPayRate[Employee Position],tblPositionandPayRate[Allowance 2],0)*tblPayrollMaster[[#This Row],[Pay Factor]]</f>
        <v>0</v>
      </c>
      <c r="N717" s="25">
        <f>_xlfn.XLOOKUP(tblPayrollMaster[[#This Row],[Employee Position]],tblPositionandPayRate[Employee Position],tblPositionandPayRate[Allowance 3],0)*tblPayrollMaster[[#This Row],[Pay Factor]]</f>
        <v>0</v>
      </c>
      <c r="O717" s="25">
        <f>_xlfn.XLOOKUP(tblPayrollMaster[[#This Row],[Employee Position]],tblPositionandPayRate[Employee Position],tblPositionandPayRate[Allowance 4],0)*tblPayrollMaster[[#This Row],[Pay Factor]]</f>
        <v>0</v>
      </c>
      <c r="P717" s="25">
        <f>_xlfn.XLOOKUP(tblPayrollMaster[[#This Row],[Employee Position]],tblPositionandPayRate[Employee Position],tblPositionandPayRate[Allowance 5],0)*tblPayrollMaster[[#This Row],[Pay Factor]]</f>
        <v>0</v>
      </c>
      <c r="Q717" s="25">
        <f>SUM(tblPayrollMaster[[#This Row],[Basic Pay]:[Allowance 5]])</f>
        <v>0</v>
      </c>
      <c r="R71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17" s="51" cm="1">
        <f t="array" ref="S7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17" s="3" cm="1">
        <f t="array" ref="T7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17" s="25">
        <f>_xlfn.LET(
_xlpm.tos, _xlfn.XLOOKUP(tblPayrollMaster[[#This Row],[Employee ID]], tblEmployee[Employee ID], tblEmployee[Type of Service], ""),
IF(_xlpm.tos="Contract of Service", 8.25, 0)
)</f>
        <v>0</v>
      </c>
      <c r="V717" s="25">
        <f>tblPayrollMaster[[#This Row],[Basic Earnings]]-tblPayrollMaster[[#This Row],[Tax]]-tblPayrollMaster[[#This Row],[NIS - Employee]]-tblPayrollMaster[[#This Row],[Health Surcharge]]</f>
        <v>0</v>
      </c>
      <c r="W717" s="25">
        <f>tblPayrollMaster[[#This Row],[Net Pay]]</f>
        <v>0</v>
      </c>
      <c r="X717" s="25"/>
    </row>
    <row r="718" spans="1:24" x14ac:dyDescent="0.25">
      <c r="A718" s="24"/>
      <c r="B718" s="24" t="str">
        <f>_xlfn.XLOOKUP(tblPayrollMaster[[#This Row],[Employee ID]],tblEmployee[Employee ID],tblEmployee[Employee Name],"")</f>
        <v/>
      </c>
      <c r="C718" s="24" t="str">
        <f>_xlfn.XLOOKUP(tblPayrollMaster[[#This Row],[Employee ID]],tblEmployee[Employee ID],tblEmployee[Employee Position],"")</f>
        <v/>
      </c>
      <c r="D718" s="24" t="str">
        <f>_xlfn.XLOOKUP(tblPayrollMaster[[#This Row],[Employee ID]], tblEmployee[Employee ID], tblEmployee[Pay Status], "Pay")</f>
        <v>Pay</v>
      </c>
      <c r="E718" s="24" t="str">
        <f>_xlfn.XLOOKUP(tblPayrollMaster[[#This Row],[Employee ID]], tblEmployee[Employee ID], tblEmployee[Payable Flag], "Y")</f>
        <v>Y</v>
      </c>
      <c r="F718" s="45">
        <f>IF(tblPayrollMaster[[#This Row],[Payable Flag]]="N",0,_xlfn.XLOOKUP(tblPayrollMaster[[#This Row],[Employee ID]],tblEmployee[Employee ID],tblEmployee[Pay Factor],1))</f>
        <v>1</v>
      </c>
      <c r="G718" s="26" t="str" cm="1">
        <f t="array" ref="G718">IF(tblPayrollMaster[[#This Row],[Employee ID]]="","",_xlfn.XLOOKUP(selPayPeriodID,tblPayCalendar[PayPeriodID],tblPayCalendar[PeriodStart],""))</f>
        <v/>
      </c>
      <c r="H718" s="26" t="str" cm="1">
        <f t="array" ref="H718">IF(tblPayrollMaster[[#This Row],[Employee ID]]="","",_xlfn.XLOOKUP(selPayPeriodID,tblPayCalendar[PayPeriodID],tblPayCalendar[PeriodEnd],""))</f>
        <v/>
      </c>
      <c r="I718" s="24" t="e" cm="1" vm="1">
        <f t="array" aca="1" ref="I718" ca="1">Table18[Employer Name]</f>
        <v>#VALUE!</v>
      </c>
      <c r="J718" s="3" cm="1">
        <f t="array" ref="J71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18" s="25" t="str">
        <f>_xlfn.XLOOKUP(tblPayrollMaster[[#This Row],[Employee Position]],tblPositionandPayRate[Employee Position],tblPositionandPayRate[Overtime], " ")</f>
        <v xml:space="preserve"> </v>
      </c>
      <c r="L718" s="25">
        <f>_xlfn.XLOOKUP(tblPayrollMaster[[#This Row],[Employee Position]],tblPositionandPayRate[Employee Position],tblPositionandPayRate[Allowance 1],0)*tblPayrollMaster[[#This Row],[Pay Factor]]</f>
        <v>0</v>
      </c>
      <c r="M718" s="25">
        <f>_xlfn.XLOOKUP(tblPayrollMaster[[#This Row],[Employee Position]],tblPositionandPayRate[Employee Position],tblPositionandPayRate[Allowance 2],0)*tblPayrollMaster[[#This Row],[Pay Factor]]</f>
        <v>0</v>
      </c>
      <c r="N718" s="25">
        <f>_xlfn.XLOOKUP(tblPayrollMaster[[#This Row],[Employee Position]],tblPositionandPayRate[Employee Position],tblPositionandPayRate[Allowance 3],0)*tblPayrollMaster[[#This Row],[Pay Factor]]</f>
        <v>0</v>
      </c>
      <c r="O718" s="25">
        <f>_xlfn.XLOOKUP(tblPayrollMaster[[#This Row],[Employee Position]],tblPositionandPayRate[Employee Position],tblPositionandPayRate[Allowance 4],0)*tblPayrollMaster[[#This Row],[Pay Factor]]</f>
        <v>0</v>
      </c>
      <c r="P718" s="25">
        <f>_xlfn.XLOOKUP(tblPayrollMaster[[#This Row],[Employee Position]],tblPositionandPayRate[Employee Position],tblPositionandPayRate[Allowance 5],0)*tblPayrollMaster[[#This Row],[Pay Factor]]</f>
        <v>0</v>
      </c>
      <c r="Q718" s="25">
        <f>SUM(tblPayrollMaster[[#This Row],[Basic Pay]:[Allowance 5]])</f>
        <v>0</v>
      </c>
      <c r="R71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18" s="51" cm="1">
        <f t="array" ref="S7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18" s="3" cm="1">
        <f t="array" ref="T7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18" s="25">
        <f>_xlfn.LET(
_xlpm.tos, _xlfn.XLOOKUP(tblPayrollMaster[[#This Row],[Employee ID]], tblEmployee[Employee ID], tblEmployee[Type of Service], ""),
IF(_xlpm.tos="Contract of Service", 8.25, 0)
)</f>
        <v>0</v>
      </c>
      <c r="V718" s="25">
        <f>tblPayrollMaster[[#This Row],[Basic Earnings]]-tblPayrollMaster[[#This Row],[Tax]]-tblPayrollMaster[[#This Row],[NIS - Employee]]-tblPayrollMaster[[#This Row],[Health Surcharge]]</f>
        <v>0</v>
      </c>
      <c r="W718" s="25">
        <f>tblPayrollMaster[[#This Row],[Net Pay]]</f>
        <v>0</v>
      </c>
      <c r="X718" s="25"/>
    </row>
    <row r="719" spans="1:24" x14ac:dyDescent="0.25">
      <c r="A719" s="24"/>
      <c r="B719" s="24" t="str">
        <f>_xlfn.XLOOKUP(tblPayrollMaster[[#This Row],[Employee ID]],tblEmployee[Employee ID],tblEmployee[Employee Name],"")</f>
        <v/>
      </c>
      <c r="C719" s="24" t="str">
        <f>_xlfn.XLOOKUP(tblPayrollMaster[[#This Row],[Employee ID]],tblEmployee[Employee ID],tblEmployee[Employee Position],"")</f>
        <v/>
      </c>
      <c r="D719" s="24" t="str">
        <f>_xlfn.XLOOKUP(tblPayrollMaster[[#This Row],[Employee ID]], tblEmployee[Employee ID], tblEmployee[Pay Status], "Pay")</f>
        <v>Pay</v>
      </c>
      <c r="E719" s="24" t="str">
        <f>_xlfn.XLOOKUP(tblPayrollMaster[[#This Row],[Employee ID]], tblEmployee[Employee ID], tblEmployee[Payable Flag], "Y")</f>
        <v>Y</v>
      </c>
      <c r="F719" s="45">
        <f>IF(tblPayrollMaster[[#This Row],[Payable Flag]]="N",0,_xlfn.XLOOKUP(tblPayrollMaster[[#This Row],[Employee ID]],tblEmployee[Employee ID],tblEmployee[Pay Factor],1))</f>
        <v>1</v>
      </c>
      <c r="G719" s="26" t="str" cm="1">
        <f t="array" ref="G719">IF(tblPayrollMaster[[#This Row],[Employee ID]]="","",_xlfn.XLOOKUP(selPayPeriodID,tblPayCalendar[PayPeriodID],tblPayCalendar[PeriodStart],""))</f>
        <v/>
      </c>
      <c r="H719" s="26" t="str" cm="1">
        <f t="array" ref="H719">IF(tblPayrollMaster[[#This Row],[Employee ID]]="","",_xlfn.XLOOKUP(selPayPeriodID,tblPayCalendar[PayPeriodID],tblPayCalendar[PeriodEnd],""))</f>
        <v/>
      </c>
      <c r="I719" s="24" t="e" cm="1" vm="1">
        <f t="array" aca="1" ref="I719" ca="1">Table18[Employer Name]</f>
        <v>#VALUE!</v>
      </c>
      <c r="J719" s="3" cm="1">
        <f t="array" ref="J71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19" s="25" t="str">
        <f>_xlfn.XLOOKUP(tblPayrollMaster[[#This Row],[Employee Position]],tblPositionandPayRate[Employee Position],tblPositionandPayRate[Overtime], " ")</f>
        <v xml:space="preserve"> </v>
      </c>
      <c r="L719" s="25">
        <f>_xlfn.XLOOKUP(tblPayrollMaster[[#This Row],[Employee Position]],tblPositionandPayRate[Employee Position],tblPositionandPayRate[Allowance 1],0)*tblPayrollMaster[[#This Row],[Pay Factor]]</f>
        <v>0</v>
      </c>
      <c r="M719" s="25">
        <f>_xlfn.XLOOKUP(tblPayrollMaster[[#This Row],[Employee Position]],tblPositionandPayRate[Employee Position],tblPositionandPayRate[Allowance 2],0)*tblPayrollMaster[[#This Row],[Pay Factor]]</f>
        <v>0</v>
      </c>
      <c r="N719" s="25">
        <f>_xlfn.XLOOKUP(tblPayrollMaster[[#This Row],[Employee Position]],tblPositionandPayRate[Employee Position],tblPositionandPayRate[Allowance 3],0)*tblPayrollMaster[[#This Row],[Pay Factor]]</f>
        <v>0</v>
      </c>
      <c r="O719" s="25">
        <f>_xlfn.XLOOKUP(tblPayrollMaster[[#This Row],[Employee Position]],tblPositionandPayRate[Employee Position],tblPositionandPayRate[Allowance 4],0)*tblPayrollMaster[[#This Row],[Pay Factor]]</f>
        <v>0</v>
      </c>
      <c r="P719" s="25">
        <f>_xlfn.XLOOKUP(tblPayrollMaster[[#This Row],[Employee Position]],tblPositionandPayRate[Employee Position],tblPositionandPayRate[Allowance 5],0)*tblPayrollMaster[[#This Row],[Pay Factor]]</f>
        <v>0</v>
      </c>
      <c r="Q719" s="25">
        <f>SUM(tblPayrollMaster[[#This Row],[Basic Pay]:[Allowance 5]])</f>
        <v>0</v>
      </c>
      <c r="R71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19" s="51" cm="1">
        <f t="array" ref="S7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19" s="3" cm="1">
        <f t="array" ref="T7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19" s="25">
        <f>_xlfn.LET(
_xlpm.tos, _xlfn.XLOOKUP(tblPayrollMaster[[#This Row],[Employee ID]], tblEmployee[Employee ID], tblEmployee[Type of Service], ""),
IF(_xlpm.tos="Contract of Service", 8.25, 0)
)</f>
        <v>0</v>
      </c>
      <c r="V719" s="25">
        <f>tblPayrollMaster[[#This Row],[Basic Earnings]]-tblPayrollMaster[[#This Row],[Tax]]-tblPayrollMaster[[#This Row],[NIS - Employee]]-tblPayrollMaster[[#This Row],[Health Surcharge]]</f>
        <v>0</v>
      </c>
      <c r="W719" s="25">
        <f>tblPayrollMaster[[#This Row],[Net Pay]]</f>
        <v>0</v>
      </c>
      <c r="X719" s="25"/>
    </row>
    <row r="720" spans="1:24" x14ac:dyDescent="0.25">
      <c r="A720" s="24"/>
      <c r="B720" s="24" t="str">
        <f>_xlfn.XLOOKUP(tblPayrollMaster[[#This Row],[Employee ID]],tblEmployee[Employee ID],tblEmployee[Employee Name],"")</f>
        <v/>
      </c>
      <c r="C720" s="24" t="str">
        <f>_xlfn.XLOOKUP(tblPayrollMaster[[#This Row],[Employee ID]],tblEmployee[Employee ID],tblEmployee[Employee Position],"")</f>
        <v/>
      </c>
      <c r="D720" s="24" t="str">
        <f>_xlfn.XLOOKUP(tblPayrollMaster[[#This Row],[Employee ID]], tblEmployee[Employee ID], tblEmployee[Pay Status], "Pay")</f>
        <v>Pay</v>
      </c>
      <c r="E720" s="24" t="str">
        <f>_xlfn.XLOOKUP(tblPayrollMaster[[#This Row],[Employee ID]], tblEmployee[Employee ID], tblEmployee[Payable Flag], "Y")</f>
        <v>Y</v>
      </c>
      <c r="F720" s="45">
        <f>IF(tblPayrollMaster[[#This Row],[Payable Flag]]="N",0,_xlfn.XLOOKUP(tblPayrollMaster[[#This Row],[Employee ID]],tblEmployee[Employee ID],tblEmployee[Pay Factor],1))</f>
        <v>1</v>
      </c>
      <c r="G720" s="26" t="str" cm="1">
        <f t="array" ref="G720">IF(tblPayrollMaster[[#This Row],[Employee ID]]="","",_xlfn.XLOOKUP(selPayPeriodID,tblPayCalendar[PayPeriodID],tblPayCalendar[PeriodStart],""))</f>
        <v/>
      </c>
      <c r="H720" s="26" t="str" cm="1">
        <f t="array" ref="H720">IF(tblPayrollMaster[[#This Row],[Employee ID]]="","",_xlfn.XLOOKUP(selPayPeriodID,tblPayCalendar[PayPeriodID],tblPayCalendar[PeriodEnd],""))</f>
        <v/>
      </c>
      <c r="I720" s="24" t="e" cm="1" vm="1">
        <f t="array" aca="1" ref="I720" ca="1">Table18[Employer Name]</f>
        <v>#VALUE!</v>
      </c>
      <c r="J720" s="3" cm="1">
        <f t="array" ref="J72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20" s="25" t="str">
        <f>_xlfn.XLOOKUP(tblPayrollMaster[[#This Row],[Employee Position]],tblPositionandPayRate[Employee Position],tblPositionandPayRate[Overtime], " ")</f>
        <v xml:space="preserve"> </v>
      </c>
      <c r="L720" s="25">
        <f>_xlfn.XLOOKUP(tblPayrollMaster[[#This Row],[Employee Position]],tblPositionandPayRate[Employee Position],tblPositionandPayRate[Allowance 1],0)*tblPayrollMaster[[#This Row],[Pay Factor]]</f>
        <v>0</v>
      </c>
      <c r="M720" s="25">
        <f>_xlfn.XLOOKUP(tblPayrollMaster[[#This Row],[Employee Position]],tblPositionandPayRate[Employee Position],tblPositionandPayRate[Allowance 2],0)*tblPayrollMaster[[#This Row],[Pay Factor]]</f>
        <v>0</v>
      </c>
      <c r="N720" s="25">
        <f>_xlfn.XLOOKUP(tblPayrollMaster[[#This Row],[Employee Position]],tblPositionandPayRate[Employee Position],tblPositionandPayRate[Allowance 3],0)*tblPayrollMaster[[#This Row],[Pay Factor]]</f>
        <v>0</v>
      </c>
      <c r="O720" s="25">
        <f>_xlfn.XLOOKUP(tblPayrollMaster[[#This Row],[Employee Position]],tblPositionandPayRate[Employee Position],tblPositionandPayRate[Allowance 4],0)*tblPayrollMaster[[#This Row],[Pay Factor]]</f>
        <v>0</v>
      </c>
      <c r="P720" s="25">
        <f>_xlfn.XLOOKUP(tblPayrollMaster[[#This Row],[Employee Position]],tblPositionandPayRate[Employee Position],tblPositionandPayRate[Allowance 5],0)*tblPayrollMaster[[#This Row],[Pay Factor]]</f>
        <v>0</v>
      </c>
      <c r="Q720" s="25">
        <f>SUM(tblPayrollMaster[[#This Row],[Basic Pay]:[Allowance 5]])</f>
        <v>0</v>
      </c>
      <c r="R72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20" s="51" cm="1">
        <f t="array" ref="S7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20" s="3" cm="1">
        <f t="array" ref="T7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20" s="25">
        <f>_xlfn.LET(
_xlpm.tos, _xlfn.XLOOKUP(tblPayrollMaster[[#This Row],[Employee ID]], tblEmployee[Employee ID], tblEmployee[Type of Service], ""),
IF(_xlpm.tos="Contract of Service", 8.25, 0)
)</f>
        <v>0</v>
      </c>
      <c r="V720" s="25">
        <f>tblPayrollMaster[[#This Row],[Basic Earnings]]-tblPayrollMaster[[#This Row],[Tax]]-tblPayrollMaster[[#This Row],[NIS - Employee]]-tblPayrollMaster[[#This Row],[Health Surcharge]]</f>
        <v>0</v>
      </c>
      <c r="W720" s="25">
        <f>tblPayrollMaster[[#This Row],[Net Pay]]</f>
        <v>0</v>
      </c>
      <c r="X720" s="25"/>
    </row>
    <row r="721" spans="1:24" x14ac:dyDescent="0.25">
      <c r="A721" s="24"/>
      <c r="B721" s="24" t="str">
        <f>_xlfn.XLOOKUP(tblPayrollMaster[[#This Row],[Employee ID]],tblEmployee[Employee ID],tblEmployee[Employee Name],"")</f>
        <v/>
      </c>
      <c r="C721" s="24" t="str">
        <f>_xlfn.XLOOKUP(tblPayrollMaster[[#This Row],[Employee ID]],tblEmployee[Employee ID],tblEmployee[Employee Position],"")</f>
        <v/>
      </c>
      <c r="D721" s="24" t="str">
        <f>_xlfn.XLOOKUP(tblPayrollMaster[[#This Row],[Employee ID]], tblEmployee[Employee ID], tblEmployee[Pay Status], "Pay")</f>
        <v>Pay</v>
      </c>
      <c r="E721" s="24" t="str">
        <f>_xlfn.XLOOKUP(tblPayrollMaster[[#This Row],[Employee ID]], tblEmployee[Employee ID], tblEmployee[Payable Flag], "Y")</f>
        <v>Y</v>
      </c>
      <c r="F721" s="45">
        <f>IF(tblPayrollMaster[[#This Row],[Payable Flag]]="N",0,_xlfn.XLOOKUP(tblPayrollMaster[[#This Row],[Employee ID]],tblEmployee[Employee ID],tblEmployee[Pay Factor],1))</f>
        <v>1</v>
      </c>
      <c r="G721" s="26" t="str" cm="1">
        <f t="array" ref="G721">IF(tblPayrollMaster[[#This Row],[Employee ID]]="","",_xlfn.XLOOKUP(selPayPeriodID,tblPayCalendar[PayPeriodID],tblPayCalendar[PeriodStart],""))</f>
        <v/>
      </c>
      <c r="H721" s="26" t="str" cm="1">
        <f t="array" ref="H721">IF(tblPayrollMaster[[#This Row],[Employee ID]]="","",_xlfn.XLOOKUP(selPayPeriodID,tblPayCalendar[PayPeriodID],tblPayCalendar[PeriodEnd],""))</f>
        <v/>
      </c>
      <c r="I721" s="24" t="e" cm="1" vm="1">
        <f t="array" aca="1" ref="I721" ca="1">Table18[Employer Name]</f>
        <v>#VALUE!</v>
      </c>
      <c r="J721" s="3" cm="1">
        <f t="array" ref="J72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21" s="25" t="str">
        <f>_xlfn.XLOOKUP(tblPayrollMaster[[#This Row],[Employee Position]],tblPositionandPayRate[Employee Position],tblPositionandPayRate[Overtime], " ")</f>
        <v xml:space="preserve"> </v>
      </c>
      <c r="L721" s="25">
        <f>_xlfn.XLOOKUP(tblPayrollMaster[[#This Row],[Employee Position]],tblPositionandPayRate[Employee Position],tblPositionandPayRate[Allowance 1],0)*tblPayrollMaster[[#This Row],[Pay Factor]]</f>
        <v>0</v>
      </c>
      <c r="M721" s="25">
        <f>_xlfn.XLOOKUP(tblPayrollMaster[[#This Row],[Employee Position]],tblPositionandPayRate[Employee Position],tblPositionandPayRate[Allowance 2],0)*tblPayrollMaster[[#This Row],[Pay Factor]]</f>
        <v>0</v>
      </c>
      <c r="N721" s="25">
        <f>_xlfn.XLOOKUP(tblPayrollMaster[[#This Row],[Employee Position]],tblPositionandPayRate[Employee Position],tblPositionandPayRate[Allowance 3],0)*tblPayrollMaster[[#This Row],[Pay Factor]]</f>
        <v>0</v>
      </c>
      <c r="O721" s="25">
        <f>_xlfn.XLOOKUP(tblPayrollMaster[[#This Row],[Employee Position]],tblPositionandPayRate[Employee Position],tblPositionandPayRate[Allowance 4],0)*tblPayrollMaster[[#This Row],[Pay Factor]]</f>
        <v>0</v>
      </c>
      <c r="P721" s="25">
        <f>_xlfn.XLOOKUP(tblPayrollMaster[[#This Row],[Employee Position]],tblPositionandPayRate[Employee Position],tblPositionandPayRate[Allowance 5],0)*tblPayrollMaster[[#This Row],[Pay Factor]]</f>
        <v>0</v>
      </c>
      <c r="Q721" s="25">
        <f>SUM(tblPayrollMaster[[#This Row],[Basic Pay]:[Allowance 5]])</f>
        <v>0</v>
      </c>
      <c r="R72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21" s="51" cm="1">
        <f t="array" ref="S7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21" s="3" cm="1">
        <f t="array" ref="T7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21" s="25">
        <f>_xlfn.LET(
_xlpm.tos, _xlfn.XLOOKUP(tblPayrollMaster[[#This Row],[Employee ID]], tblEmployee[Employee ID], tblEmployee[Type of Service], ""),
IF(_xlpm.tos="Contract of Service", 8.25, 0)
)</f>
        <v>0</v>
      </c>
      <c r="V721" s="25">
        <f>tblPayrollMaster[[#This Row],[Basic Earnings]]-tblPayrollMaster[[#This Row],[Tax]]-tblPayrollMaster[[#This Row],[NIS - Employee]]-tblPayrollMaster[[#This Row],[Health Surcharge]]</f>
        <v>0</v>
      </c>
      <c r="W721" s="25">
        <f>tblPayrollMaster[[#This Row],[Net Pay]]</f>
        <v>0</v>
      </c>
      <c r="X721" s="25"/>
    </row>
    <row r="722" spans="1:24" x14ac:dyDescent="0.25">
      <c r="A722" s="24"/>
      <c r="B722" s="24" t="str">
        <f>_xlfn.XLOOKUP(tblPayrollMaster[[#This Row],[Employee ID]],tblEmployee[Employee ID],tblEmployee[Employee Name],"")</f>
        <v/>
      </c>
      <c r="C722" s="24" t="str">
        <f>_xlfn.XLOOKUP(tblPayrollMaster[[#This Row],[Employee ID]],tblEmployee[Employee ID],tblEmployee[Employee Position],"")</f>
        <v/>
      </c>
      <c r="D722" s="24" t="str">
        <f>_xlfn.XLOOKUP(tblPayrollMaster[[#This Row],[Employee ID]], tblEmployee[Employee ID], tblEmployee[Pay Status], "Pay")</f>
        <v>Pay</v>
      </c>
      <c r="E722" s="24" t="str">
        <f>_xlfn.XLOOKUP(tblPayrollMaster[[#This Row],[Employee ID]], tblEmployee[Employee ID], tblEmployee[Payable Flag], "Y")</f>
        <v>Y</v>
      </c>
      <c r="F722" s="45">
        <f>IF(tblPayrollMaster[[#This Row],[Payable Flag]]="N",0,_xlfn.XLOOKUP(tblPayrollMaster[[#This Row],[Employee ID]],tblEmployee[Employee ID],tblEmployee[Pay Factor],1))</f>
        <v>1</v>
      </c>
      <c r="G722" s="26" t="str" cm="1">
        <f t="array" ref="G722">IF(tblPayrollMaster[[#This Row],[Employee ID]]="","",_xlfn.XLOOKUP(selPayPeriodID,tblPayCalendar[PayPeriodID],tblPayCalendar[PeriodStart],""))</f>
        <v/>
      </c>
      <c r="H722" s="26" t="str" cm="1">
        <f t="array" ref="H722">IF(tblPayrollMaster[[#This Row],[Employee ID]]="","",_xlfn.XLOOKUP(selPayPeriodID,tblPayCalendar[PayPeriodID],tblPayCalendar[PeriodEnd],""))</f>
        <v/>
      </c>
      <c r="I722" s="24" t="e" cm="1" vm="1">
        <f t="array" aca="1" ref="I722" ca="1">Table18[Employer Name]</f>
        <v>#VALUE!</v>
      </c>
      <c r="J722" s="3" cm="1">
        <f t="array" ref="J72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22" s="25" t="str">
        <f>_xlfn.XLOOKUP(tblPayrollMaster[[#This Row],[Employee Position]],tblPositionandPayRate[Employee Position],tblPositionandPayRate[Overtime], " ")</f>
        <v xml:space="preserve"> </v>
      </c>
      <c r="L722" s="25">
        <f>_xlfn.XLOOKUP(tblPayrollMaster[[#This Row],[Employee Position]],tblPositionandPayRate[Employee Position],tblPositionandPayRate[Allowance 1],0)*tblPayrollMaster[[#This Row],[Pay Factor]]</f>
        <v>0</v>
      </c>
      <c r="M722" s="25">
        <f>_xlfn.XLOOKUP(tblPayrollMaster[[#This Row],[Employee Position]],tblPositionandPayRate[Employee Position],tblPositionandPayRate[Allowance 2],0)*tblPayrollMaster[[#This Row],[Pay Factor]]</f>
        <v>0</v>
      </c>
      <c r="N722" s="25">
        <f>_xlfn.XLOOKUP(tblPayrollMaster[[#This Row],[Employee Position]],tblPositionandPayRate[Employee Position],tblPositionandPayRate[Allowance 3],0)*tblPayrollMaster[[#This Row],[Pay Factor]]</f>
        <v>0</v>
      </c>
      <c r="O722" s="25">
        <f>_xlfn.XLOOKUP(tblPayrollMaster[[#This Row],[Employee Position]],tblPositionandPayRate[Employee Position],tblPositionandPayRate[Allowance 4],0)*tblPayrollMaster[[#This Row],[Pay Factor]]</f>
        <v>0</v>
      </c>
      <c r="P722" s="25">
        <f>_xlfn.XLOOKUP(tblPayrollMaster[[#This Row],[Employee Position]],tblPositionandPayRate[Employee Position],tblPositionandPayRate[Allowance 5],0)*tblPayrollMaster[[#This Row],[Pay Factor]]</f>
        <v>0</v>
      </c>
      <c r="Q722" s="25">
        <f>SUM(tblPayrollMaster[[#This Row],[Basic Pay]:[Allowance 5]])</f>
        <v>0</v>
      </c>
      <c r="R72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22" s="51" cm="1">
        <f t="array" ref="S7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22" s="3" cm="1">
        <f t="array" ref="T7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22" s="25">
        <f>_xlfn.LET(
_xlpm.tos, _xlfn.XLOOKUP(tblPayrollMaster[[#This Row],[Employee ID]], tblEmployee[Employee ID], tblEmployee[Type of Service], ""),
IF(_xlpm.tos="Contract of Service", 8.25, 0)
)</f>
        <v>0</v>
      </c>
      <c r="V722" s="25">
        <f>tblPayrollMaster[[#This Row],[Basic Earnings]]-tblPayrollMaster[[#This Row],[Tax]]-tblPayrollMaster[[#This Row],[NIS - Employee]]-tblPayrollMaster[[#This Row],[Health Surcharge]]</f>
        <v>0</v>
      </c>
      <c r="W722" s="25">
        <f>tblPayrollMaster[[#This Row],[Net Pay]]</f>
        <v>0</v>
      </c>
      <c r="X722" s="25"/>
    </row>
    <row r="723" spans="1:24" x14ac:dyDescent="0.25">
      <c r="A723" s="24"/>
      <c r="B723" s="24" t="str">
        <f>_xlfn.XLOOKUP(tblPayrollMaster[[#This Row],[Employee ID]],tblEmployee[Employee ID],tblEmployee[Employee Name],"")</f>
        <v/>
      </c>
      <c r="C723" s="24" t="str">
        <f>_xlfn.XLOOKUP(tblPayrollMaster[[#This Row],[Employee ID]],tblEmployee[Employee ID],tblEmployee[Employee Position],"")</f>
        <v/>
      </c>
      <c r="D723" s="24" t="str">
        <f>_xlfn.XLOOKUP(tblPayrollMaster[[#This Row],[Employee ID]], tblEmployee[Employee ID], tblEmployee[Pay Status], "Pay")</f>
        <v>Pay</v>
      </c>
      <c r="E723" s="24" t="str">
        <f>_xlfn.XLOOKUP(tblPayrollMaster[[#This Row],[Employee ID]], tblEmployee[Employee ID], tblEmployee[Payable Flag], "Y")</f>
        <v>Y</v>
      </c>
      <c r="F723" s="45">
        <f>IF(tblPayrollMaster[[#This Row],[Payable Flag]]="N",0,_xlfn.XLOOKUP(tblPayrollMaster[[#This Row],[Employee ID]],tblEmployee[Employee ID],tblEmployee[Pay Factor],1))</f>
        <v>1</v>
      </c>
      <c r="G723" s="26" t="str" cm="1">
        <f t="array" ref="G723">IF(tblPayrollMaster[[#This Row],[Employee ID]]="","",_xlfn.XLOOKUP(selPayPeriodID,tblPayCalendar[PayPeriodID],tblPayCalendar[PeriodStart],""))</f>
        <v/>
      </c>
      <c r="H723" s="26" t="str" cm="1">
        <f t="array" ref="H723">IF(tblPayrollMaster[[#This Row],[Employee ID]]="","",_xlfn.XLOOKUP(selPayPeriodID,tblPayCalendar[PayPeriodID],tblPayCalendar[PeriodEnd],""))</f>
        <v/>
      </c>
      <c r="I723" s="24" t="e" cm="1" vm="1">
        <f t="array" aca="1" ref="I723" ca="1">Table18[Employer Name]</f>
        <v>#VALUE!</v>
      </c>
      <c r="J723" s="3" cm="1">
        <f t="array" ref="J72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23" s="25" t="str">
        <f>_xlfn.XLOOKUP(tblPayrollMaster[[#This Row],[Employee Position]],tblPositionandPayRate[Employee Position],tblPositionandPayRate[Overtime], " ")</f>
        <v xml:space="preserve"> </v>
      </c>
      <c r="L723" s="25">
        <f>_xlfn.XLOOKUP(tblPayrollMaster[[#This Row],[Employee Position]],tblPositionandPayRate[Employee Position],tblPositionandPayRate[Allowance 1],0)*tblPayrollMaster[[#This Row],[Pay Factor]]</f>
        <v>0</v>
      </c>
      <c r="M723" s="25">
        <f>_xlfn.XLOOKUP(tblPayrollMaster[[#This Row],[Employee Position]],tblPositionandPayRate[Employee Position],tblPositionandPayRate[Allowance 2],0)*tblPayrollMaster[[#This Row],[Pay Factor]]</f>
        <v>0</v>
      </c>
      <c r="N723" s="25">
        <f>_xlfn.XLOOKUP(tblPayrollMaster[[#This Row],[Employee Position]],tblPositionandPayRate[Employee Position],tblPositionandPayRate[Allowance 3],0)*tblPayrollMaster[[#This Row],[Pay Factor]]</f>
        <v>0</v>
      </c>
      <c r="O723" s="25">
        <f>_xlfn.XLOOKUP(tblPayrollMaster[[#This Row],[Employee Position]],tblPositionandPayRate[Employee Position],tblPositionandPayRate[Allowance 4],0)*tblPayrollMaster[[#This Row],[Pay Factor]]</f>
        <v>0</v>
      </c>
      <c r="P723" s="25">
        <f>_xlfn.XLOOKUP(tblPayrollMaster[[#This Row],[Employee Position]],tblPositionandPayRate[Employee Position],tblPositionandPayRate[Allowance 5],0)*tblPayrollMaster[[#This Row],[Pay Factor]]</f>
        <v>0</v>
      </c>
      <c r="Q723" s="25">
        <f>SUM(tblPayrollMaster[[#This Row],[Basic Pay]:[Allowance 5]])</f>
        <v>0</v>
      </c>
      <c r="R72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23" s="51" cm="1">
        <f t="array" ref="S7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23" s="3" cm="1">
        <f t="array" ref="T7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23" s="25">
        <f>_xlfn.LET(
_xlpm.tos, _xlfn.XLOOKUP(tblPayrollMaster[[#This Row],[Employee ID]], tblEmployee[Employee ID], tblEmployee[Type of Service], ""),
IF(_xlpm.tos="Contract of Service", 8.25, 0)
)</f>
        <v>0</v>
      </c>
      <c r="V723" s="25">
        <f>tblPayrollMaster[[#This Row],[Basic Earnings]]-tblPayrollMaster[[#This Row],[Tax]]-tblPayrollMaster[[#This Row],[NIS - Employee]]-tblPayrollMaster[[#This Row],[Health Surcharge]]</f>
        <v>0</v>
      </c>
      <c r="W723" s="25">
        <f>tblPayrollMaster[[#This Row],[Net Pay]]</f>
        <v>0</v>
      </c>
      <c r="X723" s="25"/>
    </row>
    <row r="724" spans="1:24" x14ac:dyDescent="0.25">
      <c r="A724" s="24"/>
      <c r="B724" s="24" t="str">
        <f>_xlfn.XLOOKUP(tblPayrollMaster[[#This Row],[Employee ID]],tblEmployee[Employee ID],tblEmployee[Employee Name],"")</f>
        <v/>
      </c>
      <c r="C724" s="24" t="str">
        <f>_xlfn.XLOOKUP(tblPayrollMaster[[#This Row],[Employee ID]],tblEmployee[Employee ID],tblEmployee[Employee Position],"")</f>
        <v/>
      </c>
      <c r="D724" s="24" t="str">
        <f>_xlfn.XLOOKUP(tblPayrollMaster[[#This Row],[Employee ID]], tblEmployee[Employee ID], tblEmployee[Pay Status], "Pay")</f>
        <v>Pay</v>
      </c>
      <c r="E724" s="24" t="str">
        <f>_xlfn.XLOOKUP(tblPayrollMaster[[#This Row],[Employee ID]], tblEmployee[Employee ID], tblEmployee[Payable Flag], "Y")</f>
        <v>Y</v>
      </c>
      <c r="F724" s="45">
        <f>IF(tblPayrollMaster[[#This Row],[Payable Flag]]="N",0,_xlfn.XLOOKUP(tblPayrollMaster[[#This Row],[Employee ID]],tblEmployee[Employee ID],tblEmployee[Pay Factor],1))</f>
        <v>1</v>
      </c>
      <c r="G724" s="26" t="str" cm="1">
        <f t="array" ref="G724">IF(tblPayrollMaster[[#This Row],[Employee ID]]="","",_xlfn.XLOOKUP(selPayPeriodID,tblPayCalendar[PayPeriodID],tblPayCalendar[PeriodStart],""))</f>
        <v/>
      </c>
      <c r="H724" s="26" t="str" cm="1">
        <f t="array" ref="H724">IF(tblPayrollMaster[[#This Row],[Employee ID]]="","",_xlfn.XLOOKUP(selPayPeriodID,tblPayCalendar[PayPeriodID],tblPayCalendar[PeriodEnd],""))</f>
        <v/>
      </c>
      <c r="I724" s="24" t="e" cm="1" vm="1">
        <f t="array" aca="1" ref="I724" ca="1">Table18[Employer Name]</f>
        <v>#VALUE!</v>
      </c>
      <c r="J724" s="3" cm="1">
        <f t="array" ref="J72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24" s="25" t="str">
        <f>_xlfn.XLOOKUP(tblPayrollMaster[[#This Row],[Employee Position]],tblPositionandPayRate[Employee Position],tblPositionandPayRate[Overtime], " ")</f>
        <v xml:space="preserve"> </v>
      </c>
      <c r="L724" s="25">
        <f>_xlfn.XLOOKUP(tblPayrollMaster[[#This Row],[Employee Position]],tblPositionandPayRate[Employee Position],tblPositionandPayRate[Allowance 1],0)*tblPayrollMaster[[#This Row],[Pay Factor]]</f>
        <v>0</v>
      </c>
      <c r="M724" s="25">
        <f>_xlfn.XLOOKUP(tblPayrollMaster[[#This Row],[Employee Position]],tblPositionandPayRate[Employee Position],tblPositionandPayRate[Allowance 2],0)*tblPayrollMaster[[#This Row],[Pay Factor]]</f>
        <v>0</v>
      </c>
      <c r="N724" s="25">
        <f>_xlfn.XLOOKUP(tblPayrollMaster[[#This Row],[Employee Position]],tblPositionandPayRate[Employee Position],tblPositionandPayRate[Allowance 3],0)*tblPayrollMaster[[#This Row],[Pay Factor]]</f>
        <v>0</v>
      </c>
      <c r="O724" s="25">
        <f>_xlfn.XLOOKUP(tblPayrollMaster[[#This Row],[Employee Position]],tblPositionandPayRate[Employee Position],tblPositionandPayRate[Allowance 4],0)*tblPayrollMaster[[#This Row],[Pay Factor]]</f>
        <v>0</v>
      </c>
      <c r="P724" s="25">
        <f>_xlfn.XLOOKUP(tblPayrollMaster[[#This Row],[Employee Position]],tblPositionandPayRate[Employee Position],tblPositionandPayRate[Allowance 5],0)*tblPayrollMaster[[#This Row],[Pay Factor]]</f>
        <v>0</v>
      </c>
      <c r="Q724" s="25">
        <f>SUM(tblPayrollMaster[[#This Row],[Basic Pay]:[Allowance 5]])</f>
        <v>0</v>
      </c>
      <c r="R72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24" s="51" cm="1">
        <f t="array" ref="S7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24" s="3" cm="1">
        <f t="array" ref="T7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24" s="25">
        <f>_xlfn.LET(
_xlpm.tos, _xlfn.XLOOKUP(tblPayrollMaster[[#This Row],[Employee ID]], tblEmployee[Employee ID], tblEmployee[Type of Service], ""),
IF(_xlpm.tos="Contract of Service", 8.25, 0)
)</f>
        <v>0</v>
      </c>
      <c r="V724" s="25">
        <f>tblPayrollMaster[[#This Row],[Basic Earnings]]-tblPayrollMaster[[#This Row],[Tax]]-tblPayrollMaster[[#This Row],[NIS - Employee]]-tblPayrollMaster[[#This Row],[Health Surcharge]]</f>
        <v>0</v>
      </c>
      <c r="W724" s="25">
        <f>tblPayrollMaster[[#This Row],[Net Pay]]</f>
        <v>0</v>
      </c>
      <c r="X724" s="25"/>
    </row>
    <row r="725" spans="1:24" x14ac:dyDescent="0.25">
      <c r="A725" s="24"/>
      <c r="B725" s="24" t="str">
        <f>_xlfn.XLOOKUP(tblPayrollMaster[[#This Row],[Employee ID]],tblEmployee[Employee ID],tblEmployee[Employee Name],"")</f>
        <v/>
      </c>
      <c r="C725" s="24" t="str">
        <f>_xlfn.XLOOKUP(tblPayrollMaster[[#This Row],[Employee ID]],tblEmployee[Employee ID],tblEmployee[Employee Position],"")</f>
        <v/>
      </c>
      <c r="D725" s="24" t="str">
        <f>_xlfn.XLOOKUP(tblPayrollMaster[[#This Row],[Employee ID]], tblEmployee[Employee ID], tblEmployee[Pay Status], "Pay")</f>
        <v>Pay</v>
      </c>
      <c r="E725" s="24" t="str">
        <f>_xlfn.XLOOKUP(tblPayrollMaster[[#This Row],[Employee ID]], tblEmployee[Employee ID], tblEmployee[Payable Flag], "Y")</f>
        <v>Y</v>
      </c>
      <c r="F725" s="45">
        <f>IF(tblPayrollMaster[[#This Row],[Payable Flag]]="N",0,_xlfn.XLOOKUP(tblPayrollMaster[[#This Row],[Employee ID]],tblEmployee[Employee ID],tblEmployee[Pay Factor],1))</f>
        <v>1</v>
      </c>
      <c r="G725" s="26" t="str" cm="1">
        <f t="array" ref="G725">IF(tblPayrollMaster[[#This Row],[Employee ID]]="","",_xlfn.XLOOKUP(selPayPeriodID,tblPayCalendar[PayPeriodID],tblPayCalendar[PeriodStart],""))</f>
        <v/>
      </c>
      <c r="H725" s="26" t="str" cm="1">
        <f t="array" ref="H725">IF(tblPayrollMaster[[#This Row],[Employee ID]]="","",_xlfn.XLOOKUP(selPayPeriodID,tblPayCalendar[PayPeriodID],tblPayCalendar[PeriodEnd],""))</f>
        <v/>
      </c>
      <c r="I725" s="24" t="e" cm="1" vm="1">
        <f t="array" aca="1" ref="I725" ca="1">Table18[Employer Name]</f>
        <v>#VALUE!</v>
      </c>
      <c r="J725" s="3" cm="1">
        <f t="array" ref="J72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25" s="25" t="str">
        <f>_xlfn.XLOOKUP(tblPayrollMaster[[#This Row],[Employee Position]],tblPositionandPayRate[Employee Position],tblPositionandPayRate[Overtime], " ")</f>
        <v xml:space="preserve"> </v>
      </c>
      <c r="L725" s="25">
        <f>_xlfn.XLOOKUP(tblPayrollMaster[[#This Row],[Employee Position]],tblPositionandPayRate[Employee Position],tblPositionandPayRate[Allowance 1],0)*tblPayrollMaster[[#This Row],[Pay Factor]]</f>
        <v>0</v>
      </c>
      <c r="M725" s="25">
        <f>_xlfn.XLOOKUP(tblPayrollMaster[[#This Row],[Employee Position]],tblPositionandPayRate[Employee Position],tblPositionandPayRate[Allowance 2],0)*tblPayrollMaster[[#This Row],[Pay Factor]]</f>
        <v>0</v>
      </c>
      <c r="N725" s="25">
        <f>_xlfn.XLOOKUP(tblPayrollMaster[[#This Row],[Employee Position]],tblPositionandPayRate[Employee Position],tblPositionandPayRate[Allowance 3],0)*tblPayrollMaster[[#This Row],[Pay Factor]]</f>
        <v>0</v>
      </c>
      <c r="O725" s="25">
        <f>_xlfn.XLOOKUP(tblPayrollMaster[[#This Row],[Employee Position]],tblPositionandPayRate[Employee Position],tblPositionandPayRate[Allowance 4],0)*tblPayrollMaster[[#This Row],[Pay Factor]]</f>
        <v>0</v>
      </c>
      <c r="P725" s="25">
        <f>_xlfn.XLOOKUP(tblPayrollMaster[[#This Row],[Employee Position]],tblPositionandPayRate[Employee Position],tblPositionandPayRate[Allowance 5],0)*tblPayrollMaster[[#This Row],[Pay Factor]]</f>
        <v>0</v>
      </c>
      <c r="Q725" s="25">
        <f>SUM(tblPayrollMaster[[#This Row],[Basic Pay]:[Allowance 5]])</f>
        <v>0</v>
      </c>
      <c r="R72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25" s="51" cm="1">
        <f t="array" ref="S7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25" s="3" cm="1">
        <f t="array" ref="T7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25" s="25">
        <f>_xlfn.LET(
_xlpm.tos, _xlfn.XLOOKUP(tblPayrollMaster[[#This Row],[Employee ID]], tblEmployee[Employee ID], tblEmployee[Type of Service], ""),
IF(_xlpm.tos="Contract of Service", 8.25, 0)
)</f>
        <v>0</v>
      </c>
      <c r="V725" s="25">
        <f>tblPayrollMaster[[#This Row],[Basic Earnings]]-tblPayrollMaster[[#This Row],[Tax]]-tblPayrollMaster[[#This Row],[NIS - Employee]]-tblPayrollMaster[[#This Row],[Health Surcharge]]</f>
        <v>0</v>
      </c>
      <c r="W725" s="25">
        <f>tblPayrollMaster[[#This Row],[Net Pay]]</f>
        <v>0</v>
      </c>
      <c r="X725" s="25"/>
    </row>
    <row r="726" spans="1:24" x14ac:dyDescent="0.25">
      <c r="A726" s="24"/>
      <c r="B726" s="24" t="str">
        <f>_xlfn.XLOOKUP(tblPayrollMaster[[#This Row],[Employee ID]],tblEmployee[Employee ID],tblEmployee[Employee Name],"")</f>
        <v/>
      </c>
      <c r="C726" s="24" t="str">
        <f>_xlfn.XLOOKUP(tblPayrollMaster[[#This Row],[Employee ID]],tblEmployee[Employee ID],tblEmployee[Employee Position],"")</f>
        <v/>
      </c>
      <c r="D726" s="24" t="str">
        <f>_xlfn.XLOOKUP(tblPayrollMaster[[#This Row],[Employee ID]], tblEmployee[Employee ID], tblEmployee[Pay Status], "Pay")</f>
        <v>Pay</v>
      </c>
      <c r="E726" s="24" t="str">
        <f>_xlfn.XLOOKUP(tblPayrollMaster[[#This Row],[Employee ID]], tblEmployee[Employee ID], tblEmployee[Payable Flag], "Y")</f>
        <v>Y</v>
      </c>
      <c r="F726" s="45">
        <f>IF(tblPayrollMaster[[#This Row],[Payable Flag]]="N",0,_xlfn.XLOOKUP(tblPayrollMaster[[#This Row],[Employee ID]],tblEmployee[Employee ID],tblEmployee[Pay Factor],1))</f>
        <v>1</v>
      </c>
      <c r="G726" s="26" t="str" cm="1">
        <f t="array" ref="G726">IF(tblPayrollMaster[[#This Row],[Employee ID]]="","",_xlfn.XLOOKUP(selPayPeriodID,tblPayCalendar[PayPeriodID],tblPayCalendar[PeriodStart],""))</f>
        <v/>
      </c>
      <c r="H726" s="26" t="str" cm="1">
        <f t="array" ref="H726">IF(tblPayrollMaster[[#This Row],[Employee ID]]="","",_xlfn.XLOOKUP(selPayPeriodID,tblPayCalendar[PayPeriodID],tblPayCalendar[PeriodEnd],""))</f>
        <v/>
      </c>
      <c r="I726" s="24" t="e" cm="1" vm="1">
        <f t="array" aca="1" ref="I726" ca="1">Table18[Employer Name]</f>
        <v>#VALUE!</v>
      </c>
      <c r="J726" s="3" cm="1">
        <f t="array" ref="J72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26" s="25" t="str">
        <f>_xlfn.XLOOKUP(tblPayrollMaster[[#This Row],[Employee Position]],tblPositionandPayRate[Employee Position],tblPositionandPayRate[Overtime], " ")</f>
        <v xml:space="preserve"> </v>
      </c>
      <c r="L726" s="25">
        <f>_xlfn.XLOOKUP(tblPayrollMaster[[#This Row],[Employee Position]],tblPositionandPayRate[Employee Position],tblPositionandPayRate[Allowance 1],0)*tblPayrollMaster[[#This Row],[Pay Factor]]</f>
        <v>0</v>
      </c>
      <c r="M726" s="25">
        <f>_xlfn.XLOOKUP(tblPayrollMaster[[#This Row],[Employee Position]],tblPositionandPayRate[Employee Position],tblPositionandPayRate[Allowance 2],0)*tblPayrollMaster[[#This Row],[Pay Factor]]</f>
        <v>0</v>
      </c>
      <c r="N726" s="25">
        <f>_xlfn.XLOOKUP(tblPayrollMaster[[#This Row],[Employee Position]],tblPositionandPayRate[Employee Position],tblPositionandPayRate[Allowance 3],0)*tblPayrollMaster[[#This Row],[Pay Factor]]</f>
        <v>0</v>
      </c>
      <c r="O726" s="25">
        <f>_xlfn.XLOOKUP(tblPayrollMaster[[#This Row],[Employee Position]],tblPositionandPayRate[Employee Position],tblPositionandPayRate[Allowance 4],0)*tblPayrollMaster[[#This Row],[Pay Factor]]</f>
        <v>0</v>
      </c>
      <c r="P726" s="25">
        <f>_xlfn.XLOOKUP(tblPayrollMaster[[#This Row],[Employee Position]],tblPositionandPayRate[Employee Position],tblPositionandPayRate[Allowance 5],0)*tblPayrollMaster[[#This Row],[Pay Factor]]</f>
        <v>0</v>
      </c>
      <c r="Q726" s="25">
        <f>SUM(tblPayrollMaster[[#This Row],[Basic Pay]:[Allowance 5]])</f>
        <v>0</v>
      </c>
      <c r="R72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26" s="51" cm="1">
        <f t="array" ref="S7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26" s="3" cm="1">
        <f t="array" ref="T7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26" s="25">
        <f>_xlfn.LET(
_xlpm.tos, _xlfn.XLOOKUP(tblPayrollMaster[[#This Row],[Employee ID]], tblEmployee[Employee ID], tblEmployee[Type of Service], ""),
IF(_xlpm.tos="Contract of Service", 8.25, 0)
)</f>
        <v>0</v>
      </c>
      <c r="V726" s="25">
        <f>tblPayrollMaster[[#This Row],[Basic Earnings]]-tblPayrollMaster[[#This Row],[Tax]]-tblPayrollMaster[[#This Row],[NIS - Employee]]-tblPayrollMaster[[#This Row],[Health Surcharge]]</f>
        <v>0</v>
      </c>
      <c r="W726" s="25">
        <f>tblPayrollMaster[[#This Row],[Net Pay]]</f>
        <v>0</v>
      </c>
      <c r="X726" s="25"/>
    </row>
    <row r="727" spans="1:24" x14ac:dyDescent="0.25">
      <c r="A727" s="24"/>
      <c r="B727" s="24" t="str">
        <f>_xlfn.XLOOKUP(tblPayrollMaster[[#This Row],[Employee ID]],tblEmployee[Employee ID],tblEmployee[Employee Name],"")</f>
        <v/>
      </c>
      <c r="C727" s="24" t="str">
        <f>_xlfn.XLOOKUP(tblPayrollMaster[[#This Row],[Employee ID]],tblEmployee[Employee ID],tblEmployee[Employee Position],"")</f>
        <v/>
      </c>
      <c r="D727" s="24" t="str">
        <f>_xlfn.XLOOKUP(tblPayrollMaster[[#This Row],[Employee ID]], tblEmployee[Employee ID], tblEmployee[Pay Status], "Pay")</f>
        <v>Pay</v>
      </c>
      <c r="E727" s="24" t="str">
        <f>_xlfn.XLOOKUP(tblPayrollMaster[[#This Row],[Employee ID]], tblEmployee[Employee ID], tblEmployee[Payable Flag], "Y")</f>
        <v>Y</v>
      </c>
      <c r="F727" s="45">
        <f>IF(tblPayrollMaster[[#This Row],[Payable Flag]]="N",0,_xlfn.XLOOKUP(tblPayrollMaster[[#This Row],[Employee ID]],tblEmployee[Employee ID],tblEmployee[Pay Factor],1))</f>
        <v>1</v>
      </c>
      <c r="G727" s="26" t="str" cm="1">
        <f t="array" ref="G727">IF(tblPayrollMaster[[#This Row],[Employee ID]]="","",_xlfn.XLOOKUP(selPayPeriodID,tblPayCalendar[PayPeriodID],tblPayCalendar[PeriodStart],""))</f>
        <v/>
      </c>
      <c r="H727" s="26" t="str" cm="1">
        <f t="array" ref="H727">IF(tblPayrollMaster[[#This Row],[Employee ID]]="","",_xlfn.XLOOKUP(selPayPeriodID,tblPayCalendar[PayPeriodID],tblPayCalendar[PeriodEnd],""))</f>
        <v/>
      </c>
      <c r="I727" s="24" t="e" cm="1" vm="1">
        <f t="array" aca="1" ref="I727" ca="1">Table18[Employer Name]</f>
        <v>#VALUE!</v>
      </c>
      <c r="J727" s="3" cm="1">
        <f t="array" ref="J72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27" s="25" t="str">
        <f>_xlfn.XLOOKUP(tblPayrollMaster[[#This Row],[Employee Position]],tblPositionandPayRate[Employee Position],tblPositionandPayRate[Overtime], " ")</f>
        <v xml:space="preserve"> </v>
      </c>
      <c r="L727" s="25">
        <f>_xlfn.XLOOKUP(tblPayrollMaster[[#This Row],[Employee Position]],tblPositionandPayRate[Employee Position],tblPositionandPayRate[Allowance 1],0)*tblPayrollMaster[[#This Row],[Pay Factor]]</f>
        <v>0</v>
      </c>
      <c r="M727" s="25">
        <f>_xlfn.XLOOKUP(tblPayrollMaster[[#This Row],[Employee Position]],tblPositionandPayRate[Employee Position],tblPositionandPayRate[Allowance 2],0)*tblPayrollMaster[[#This Row],[Pay Factor]]</f>
        <v>0</v>
      </c>
      <c r="N727" s="25">
        <f>_xlfn.XLOOKUP(tblPayrollMaster[[#This Row],[Employee Position]],tblPositionandPayRate[Employee Position],tblPositionandPayRate[Allowance 3],0)*tblPayrollMaster[[#This Row],[Pay Factor]]</f>
        <v>0</v>
      </c>
      <c r="O727" s="25">
        <f>_xlfn.XLOOKUP(tblPayrollMaster[[#This Row],[Employee Position]],tblPositionandPayRate[Employee Position],tblPositionandPayRate[Allowance 4],0)*tblPayrollMaster[[#This Row],[Pay Factor]]</f>
        <v>0</v>
      </c>
      <c r="P727" s="25">
        <f>_xlfn.XLOOKUP(tblPayrollMaster[[#This Row],[Employee Position]],tblPositionandPayRate[Employee Position],tblPositionandPayRate[Allowance 5],0)*tblPayrollMaster[[#This Row],[Pay Factor]]</f>
        <v>0</v>
      </c>
      <c r="Q727" s="25">
        <f>SUM(tblPayrollMaster[[#This Row],[Basic Pay]:[Allowance 5]])</f>
        <v>0</v>
      </c>
      <c r="R72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27" s="51" cm="1">
        <f t="array" ref="S7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27" s="3" cm="1">
        <f t="array" ref="T7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27" s="25">
        <f>_xlfn.LET(
_xlpm.tos, _xlfn.XLOOKUP(tblPayrollMaster[[#This Row],[Employee ID]], tblEmployee[Employee ID], tblEmployee[Type of Service], ""),
IF(_xlpm.tos="Contract of Service", 8.25, 0)
)</f>
        <v>0</v>
      </c>
      <c r="V727" s="25">
        <f>tblPayrollMaster[[#This Row],[Basic Earnings]]-tblPayrollMaster[[#This Row],[Tax]]-tblPayrollMaster[[#This Row],[NIS - Employee]]-tblPayrollMaster[[#This Row],[Health Surcharge]]</f>
        <v>0</v>
      </c>
      <c r="W727" s="25">
        <f>tblPayrollMaster[[#This Row],[Net Pay]]</f>
        <v>0</v>
      </c>
      <c r="X727" s="25"/>
    </row>
    <row r="728" spans="1:24" x14ac:dyDescent="0.25">
      <c r="A728" s="24"/>
      <c r="B728" s="24" t="str">
        <f>_xlfn.XLOOKUP(tblPayrollMaster[[#This Row],[Employee ID]],tblEmployee[Employee ID],tblEmployee[Employee Name],"")</f>
        <v/>
      </c>
      <c r="C728" s="24" t="str">
        <f>_xlfn.XLOOKUP(tblPayrollMaster[[#This Row],[Employee ID]],tblEmployee[Employee ID],tblEmployee[Employee Position],"")</f>
        <v/>
      </c>
      <c r="D728" s="24" t="str">
        <f>_xlfn.XLOOKUP(tblPayrollMaster[[#This Row],[Employee ID]], tblEmployee[Employee ID], tblEmployee[Pay Status], "Pay")</f>
        <v>Pay</v>
      </c>
      <c r="E728" s="24" t="str">
        <f>_xlfn.XLOOKUP(tblPayrollMaster[[#This Row],[Employee ID]], tblEmployee[Employee ID], tblEmployee[Payable Flag], "Y")</f>
        <v>Y</v>
      </c>
      <c r="F728" s="45">
        <f>IF(tblPayrollMaster[[#This Row],[Payable Flag]]="N",0,_xlfn.XLOOKUP(tblPayrollMaster[[#This Row],[Employee ID]],tblEmployee[Employee ID],tblEmployee[Pay Factor],1))</f>
        <v>1</v>
      </c>
      <c r="G728" s="26" t="str" cm="1">
        <f t="array" ref="G728">IF(tblPayrollMaster[[#This Row],[Employee ID]]="","",_xlfn.XLOOKUP(selPayPeriodID,tblPayCalendar[PayPeriodID],tblPayCalendar[PeriodStart],""))</f>
        <v/>
      </c>
      <c r="H728" s="26" t="str" cm="1">
        <f t="array" ref="H728">IF(tblPayrollMaster[[#This Row],[Employee ID]]="","",_xlfn.XLOOKUP(selPayPeriodID,tblPayCalendar[PayPeriodID],tblPayCalendar[PeriodEnd],""))</f>
        <v/>
      </c>
      <c r="I728" s="24" t="e" cm="1" vm="1">
        <f t="array" aca="1" ref="I728" ca="1">Table18[Employer Name]</f>
        <v>#VALUE!</v>
      </c>
      <c r="J728" s="3" cm="1">
        <f t="array" ref="J72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28" s="25" t="str">
        <f>_xlfn.XLOOKUP(tblPayrollMaster[[#This Row],[Employee Position]],tblPositionandPayRate[Employee Position],tblPositionandPayRate[Overtime], " ")</f>
        <v xml:space="preserve"> </v>
      </c>
      <c r="L728" s="25">
        <f>_xlfn.XLOOKUP(tblPayrollMaster[[#This Row],[Employee Position]],tblPositionandPayRate[Employee Position],tblPositionandPayRate[Allowance 1],0)*tblPayrollMaster[[#This Row],[Pay Factor]]</f>
        <v>0</v>
      </c>
      <c r="M728" s="25">
        <f>_xlfn.XLOOKUP(tblPayrollMaster[[#This Row],[Employee Position]],tblPositionandPayRate[Employee Position],tblPositionandPayRate[Allowance 2],0)*tblPayrollMaster[[#This Row],[Pay Factor]]</f>
        <v>0</v>
      </c>
      <c r="N728" s="25">
        <f>_xlfn.XLOOKUP(tblPayrollMaster[[#This Row],[Employee Position]],tblPositionandPayRate[Employee Position],tblPositionandPayRate[Allowance 3],0)*tblPayrollMaster[[#This Row],[Pay Factor]]</f>
        <v>0</v>
      </c>
      <c r="O728" s="25">
        <f>_xlfn.XLOOKUP(tblPayrollMaster[[#This Row],[Employee Position]],tblPositionandPayRate[Employee Position],tblPositionandPayRate[Allowance 4],0)*tblPayrollMaster[[#This Row],[Pay Factor]]</f>
        <v>0</v>
      </c>
      <c r="P728" s="25">
        <f>_xlfn.XLOOKUP(tblPayrollMaster[[#This Row],[Employee Position]],tblPositionandPayRate[Employee Position],tblPositionandPayRate[Allowance 5],0)*tblPayrollMaster[[#This Row],[Pay Factor]]</f>
        <v>0</v>
      </c>
      <c r="Q728" s="25">
        <f>SUM(tblPayrollMaster[[#This Row],[Basic Pay]:[Allowance 5]])</f>
        <v>0</v>
      </c>
      <c r="R72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28" s="51" cm="1">
        <f t="array" ref="S7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28" s="3" cm="1">
        <f t="array" ref="T7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28" s="25">
        <f>_xlfn.LET(
_xlpm.tos, _xlfn.XLOOKUP(tblPayrollMaster[[#This Row],[Employee ID]], tblEmployee[Employee ID], tblEmployee[Type of Service], ""),
IF(_xlpm.tos="Contract of Service", 8.25, 0)
)</f>
        <v>0</v>
      </c>
      <c r="V728" s="25">
        <f>tblPayrollMaster[[#This Row],[Basic Earnings]]-tblPayrollMaster[[#This Row],[Tax]]-tblPayrollMaster[[#This Row],[NIS - Employee]]-tblPayrollMaster[[#This Row],[Health Surcharge]]</f>
        <v>0</v>
      </c>
      <c r="W728" s="25">
        <f>tblPayrollMaster[[#This Row],[Net Pay]]</f>
        <v>0</v>
      </c>
      <c r="X728" s="25"/>
    </row>
    <row r="729" spans="1:24" x14ac:dyDescent="0.25">
      <c r="A729" s="24"/>
      <c r="B729" s="24" t="str">
        <f>_xlfn.XLOOKUP(tblPayrollMaster[[#This Row],[Employee ID]],tblEmployee[Employee ID],tblEmployee[Employee Name],"")</f>
        <v/>
      </c>
      <c r="C729" s="24" t="str">
        <f>_xlfn.XLOOKUP(tblPayrollMaster[[#This Row],[Employee ID]],tblEmployee[Employee ID],tblEmployee[Employee Position],"")</f>
        <v/>
      </c>
      <c r="D729" s="24" t="str">
        <f>_xlfn.XLOOKUP(tblPayrollMaster[[#This Row],[Employee ID]], tblEmployee[Employee ID], tblEmployee[Pay Status], "Pay")</f>
        <v>Pay</v>
      </c>
      <c r="E729" s="24" t="str">
        <f>_xlfn.XLOOKUP(tblPayrollMaster[[#This Row],[Employee ID]], tblEmployee[Employee ID], tblEmployee[Payable Flag], "Y")</f>
        <v>Y</v>
      </c>
      <c r="F729" s="45">
        <f>IF(tblPayrollMaster[[#This Row],[Payable Flag]]="N",0,_xlfn.XLOOKUP(tblPayrollMaster[[#This Row],[Employee ID]],tblEmployee[Employee ID],tblEmployee[Pay Factor],1))</f>
        <v>1</v>
      </c>
      <c r="G729" s="26" t="str" cm="1">
        <f t="array" ref="G729">IF(tblPayrollMaster[[#This Row],[Employee ID]]="","",_xlfn.XLOOKUP(selPayPeriodID,tblPayCalendar[PayPeriodID],tblPayCalendar[PeriodStart],""))</f>
        <v/>
      </c>
      <c r="H729" s="26" t="str" cm="1">
        <f t="array" ref="H729">IF(tblPayrollMaster[[#This Row],[Employee ID]]="","",_xlfn.XLOOKUP(selPayPeriodID,tblPayCalendar[PayPeriodID],tblPayCalendar[PeriodEnd],""))</f>
        <v/>
      </c>
      <c r="I729" s="24" t="e" cm="1" vm="1">
        <f t="array" aca="1" ref="I729" ca="1">Table18[Employer Name]</f>
        <v>#VALUE!</v>
      </c>
      <c r="J729" s="3" cm="1">
        <f t="array" ref="J72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29" s="25" t="str">
        <f>_xlfn.XLOOKUP(tblPayrollMaster[[#This Row],[Employee Position]],tblPositionandPayRate[Employee Position],tblPositionandPayRate[Overtime], " ")</f>
        <v xml:space="preserve"> </v>
      </c>
      <c r="L729" s="25">
        <f>_xlfn.XLOOKUP(tblPayrollMaster[[#This Row],[Employee Position]],tblPositionandPayRate[Employee Position],tblPositionandPayRate[Allowance 1],0)*tblPayrollMaster[[#This Row],[Pay Factor]]</f>
        <v>0</v>
      </c>
      <c r="M729" s="25">
        <f>_xlfn.XLOOKUP(tblPayrollMaster[[#This Row],[Employee Position]],tblPositionandPayRate[Employee Position],tblPositionandPayRate[Allowance 2],0)*tblPayrollMaster[[#This Row],[Pay Factor]]</f>
        <v>0</v>
      </c>
      <c r="N729" s="25">
        <f>_xlfn.XLOOKUP(tblPayrollMaster[[#This Row],[Employee Position]],tblPositionandPayRate[Employee Position],tblPositionandPayRate[Allowance 3],0)*tblPayrollMaster[[#This Row],[Pay Factor]]</f>
        <v>0</v>
      </c>
      <c r="O729" s="25">
        <f>_xlfn.XLOOKUP(tblPayrollMaster[[#This Row],[Employee Position]],tblPositionandPayRate[Employee Position],tblPositionandPayRate[Allowance 4],0)*tblPayrollMaster[[#This Row],[Pay Factor]]</f>
        <v>0</v>
      </c>
      <c r="P729" s="25">
        <f>_xlfn.XLOOKUP(tblPayrollMaster[[#This Row],[Employee Position]],tblPositionandPayRate[Employee Position],tblPositionandPayRate[Allowance 5],0)*tblPayrollMaster[[#This Row],[Pay Factor]]</f>
        <v>0</v>
      </c>
      <c r="Q729" s="25">
        <f>SUM(tblPayrollMaster[[#This Row],[Basic Pay]:[Allowance 5]])</f>
        <v>0</v>
      </c>
      <c r="R72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29" s="51" cm="1">
        <f t="array" ref="S7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29" s="3" cm="1">
        <f t="array" ref="T7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29" s="25">
        <f>_xlfn.LET(
_xlpm.tos, _xlfn.XLOOKUP(tblPayrollMaster[[#This Row],[Employee ID]], tblEmployee[Employee ID], tblEmployee[Type of Service], ""),
IF(_xlpm.tos="Contract of Service", 8.25, 0)
)</f>
        <v>0</v>
      </c>
      <c r="V729" s="25">
        <f>tblPayrollMaster[[#This Row],[Basic Earnings]]-tblPayrollMaster[[#This Row],[Tax]]-tblPayrollMaster[[#This Row],[NIS - Employee]]-tblPayrollMaster[[#This Row],[Health Surcharge]]</f>
        <v>0</v>
      </c>
      <c r="W729" s="25">
        <f>tblPayrollMaster[[#This Row],[Net Pay]]</f>
        <v>0</v>
      </c>
      <c r="X729" s="25"/>
    </row>
    <row r="730" spans="1:24" x14ac:dyDescent="0.25">
      <c r="A730" s="24"/>
      <c r="B730" s="24" t="str">
        <f>_xlfn.XLOOKUP(tblPayrollMaster[[#This Row],[Employee ID]],tblEmployee[Employee ID],tblEmployee[Employee Name],"")</f>
        <v/>
      </c>
      <c r="C730" s="24" t="str">
        <f>_xlfn.XLOOKUP(tblPayrollMaster[[#This Row],[Employee ID]],tblEmployee[Employee ID],tblEmployee[Employee Position],"")</f>
        <v/>
      </c>
      <c r="D730" s="24" t="str">
        <f>_xlfn.XLOOKUP(tblPayrollMaster[[#This Row],[Employee ID]], tblEmployee[Employee ID], tblEmployee[Pay Status], "Pay")</f>
        <v>Pay</v>
      </c>
      <c r="E730" s="24" t="str">
        <f>_xlfn.XLOOKUP(tblPayrollMaster[[#This Row],[Employee ID]], tblEmployee[Employee ID], tblEmployee[Payable Flag], "Y")</f>
        <v>Y</v>
      </c>
      <c r="F730" s="45">
        <f>IF(tblPayrollMaster[[#This Row],[Payable Flag]]="N",0,_xlfn.XLOOKUP(tblPayrollMaster[[#This Row],[Employee ID]],tblEmployee[Employee ID],tblEmployee[Pay Factor],1))</f>
        <v>1</v>
      </c>
      <c r="G730" s="26" t="str" cm="1">
        <f t="array" ref="G730">IF(tblPayrollMaster[[#This Row],[Employee ID]]="","",_xlfn.XLOOKUP(selPayPeriodID,tblPayCalendar[PayPeriodID],tblPayCalendar[PeriodStart],""))</f>
        <v/>
      </c>
      <c r="H730" s="26" t="str" cm="1">
        <f t="array" ref="H730">IF(tblPayrollMaster[[#This Row],[Employee ID]]="","",_xlfn.XLOOKUP(selPayPeriodID,tblPayCalendar[PayPeriodID],tblPayCalendar[PeriodEnd],""))</f>
        <v/>
      </c>
      <c r="I730" s="24" t="e" cm="1" vm="1">
        <f t="array" aca="1" ref="I730" ca="1">Table18[Employer Name]</f>
        <v>#VALUE!</v>
      </c>
      <c r="J730" s="3" cm="1">
        <f t="array" ref="J73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30" s="25" t="str">
        <f>_xlfn.XLOOKUP(tblPayrollMaster[[#This Row],[Employee Position]],tblPositionandPayRate[Employee Position],tblPositionandPayRate[Overtime], " ")</f>
        <v xml:space="preserve"> </v>
      </c>
      <c r="L730" s="25">
        <f>_xlfn.XLOOKUP(tblPayrollMaster[[#This Row],[Employee Position]],tblPositionandPayRate[Employee Position],tblPositionandPayRate[Allowance 1],0)*tblPayrollMaster[[#This Row],[Pay Factor]]</f>
        <v>0</v>
      </c>
      <c r="M730" s="25">
        <f>_xlfn.XLOOKUP(tblPayrollMaster[[#This Row],[Employee Position]],tblPositionandPayRate[Employee Position],tblPositionandPayRate[Allowance 2],0)*tblPayrollMaster[[#This Row],[Pay Factor]]</f>
        <v>0</v>
      </c>
      <c r="N730" s="25">
        <f>_xlfn.XLOOKUP(tblPayrollMaster[[#This Row],[Employee Position]],tblPositionandPayRate[Employee Position],tblPositionandPayRate[Allowance 3],0)*tblPayrollMaster[[#This Row],[Pay Factor]]</f>
        <v>0</v>
      </c>
      <c r="O730" s="25">
        <f>_xlfn.XLOOKUP(tblPayrollMaster[[#This Row],[Employee Position]],tblPositionandPayRate[Employee Position],tblPositionandPayRate[Allowance 4],0)*tblPayrollMaster[[#This Row],[Pay Factor]]</f>
        <v>0</v>
      </c>
      <c r="P730" s="25">
        <f>_xlfn.XLOOKUP(tblPayrollMaster[[#This Row],[Employee Position]],tblPositionandPayRate[Employee Position],tblPositionandPayRate[Allowance 5],0)*tblPayrollMaster[[#This Row],[Pay Factor]]</f>
        <v>0</v>
      </c>
      <c r="Q730" s="25">
        <f>SUM(tblPayrollMaster[[#This Row],[Basic Pay]:[Allowance 5]])</f>
        <v>0</v>
      </c>
      <c r="R73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30" s="51" cm="1">
        <f t="array" ref="S7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30" s="3" cm="1">
        <f t="array" ref="T7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30" s="25">
        <f>_xlfn.LET(
_xlpm.tos, _xlfn.XLOOKUP(tblPayrollMaster[[#This Row],[Employee ID]], tblEmployee[Employee ID], tblEmployee[Type of Service], ""),
IF(_xlpm.tos="Contract of Service", 8.25, 0)
)</f>
        <v>0</v>
      </c>
      <c r="V730" s="25">
        <f>tblPayrollMaster[[#This Row],[Basic Earnings]]-tblPayrollMaster[[#This Row],[Tax]]-tblPayrollMaster[[#This Row],[NIS - Employee]]-tblPayrollMaster[[#This Row],[Health Surcharge]]</f>
        <v>0</v>
      </c>
      <c r="W730" s="25">
        <f>tblPayrollMaster[[#This Row],[Net Pay]]</f>
        <v>0</v>
      </c>
      <c r="X730" s="25"/>
    </row>
    <row r="731" spans="1:24" x14ac:dyDescent="0.25">
      <c r="A731" s="24"/>
      <c r="B731" s="24" t="str">
        <f>_xlfn.XLOOKUP(tblPayrollMaster[[#This Row],[Employee ID]],tblEmployee[Employee ID],tblEmployee[Employee Name],"")</f>
        <v/>
      </c>
      <c r="C731" s="24" t="str">
        <f>_xlfn.XLOOKUP(tblPayrollMaster[[#This Row],[Employee ID]],tblEmployee[Employee ID],tblEmployee[Employee Position],"")</f>
        <v/>
      </c>
      <c r="D731" s="24" t="str">
        <f>_xlfn.XLOOKUP(tblPayrollMaster[[#This Row],[Employee ID]], tblEmployee[Employee ID], tblEmployee[Pay Status], "Pay")</f>
        <v>Pay</v>
      </c>
      <c r="E731" s="24" t="str">
        <f>_xlfn.XLOOKUP(tblPayrollMaster[[#This Row],[Employee ID]], tblEmployee[Employee ID], tblEmployee[Payable Flag], "Y")</f>
        <v>Y</v>
      </c>
      <c r="F731" s="45">
        <f>IF(tblPayrollMaster[[#This Row],[Payable Flag]]="N",0,_xlfn.XLOOKUP(tblPayrollMaster[[#This Row],[Employee ID]],tblEmployee[Employee ID],tblEmployee[Pay Factor],1))</f>
        <v>1</v>
      </c>
      <c r="G731" s="26" t="str" cm="1">
        <f t="array" ref="G731">IF(tblPayrollMaster[[#This Row],[Employee ID]]="","",_xlfn.XLOOKUP(selPayPeriodID,tblPayCalendar[PayPeriodID],tblPayCalendar[PeriodStart],""))</f>
        <v/>
      </c>
      <c r="H731" s="26" t="str" cm="1">
        <f t="array" ref="H731">IF(tblPayrollMaster[[#This Row],[Employee ID]]="","",_xlfn.XLOOKUP(selPayPeriodID,tblPayCalendar[PayPeriodID],tblPayCalendar[PeriodEnd],""))</f>
        <v/>
      </c>
      <c r="I731" s="24" t="e" cm="1" vm="1">
        <f t="array" aca="1" ref="I731" ca="1">Table18[Employer Name]</f>
        <v>#VALUE!</v>
      </c>
      <c r="J731" s="3" cm="1">
        <f t="array" ref="J73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31" s="25" t="str">
        <f>_xlfn.XLOOKUP(tblPayrollMaster[[#This Row],[Employee Position]],tblPositionandPayRate[Employee Position],tblPositionandPayRate[Overtime], " ")</f>
        <v xml:space="preserve"> </v>
      </c>
      <c r="L731" s="25">
        <f>_xlfn.XLOOKUP(tblPayrollMaster[[#This Row],[Employee Position]],tblPositionandPayRate[Employee Position],tblPositionandPayRate[Allowance 1],0)*tblPayrollMaster[[#This Row],[Pay Factor]]</f>
        <v>0</v>
      </c>
      <c r="M731" s="25">
        <f>_xlfn.XLOOKUP(tblPayrollMaster[[#This Row],[Employee Position]],tblPositionandPayRate[Employee Position],tblPositionandPayRate[Allowance 2],0)*tblPayrollMaster[[#This Row],[Pay Factor]]</f>
        <v>0</v>
      </c>
      <c r="N731" s="25">
        <f>_xlfn.XLOOKUP(tblPayrollMaster[[#This Row],[Employee Position]],tblPositionandPayRate[Employee Position],tblPositionandPayRate[Allowance 3],0)*tblPayrollMaster[[#This Row],[Pay Factor]]</f>
        <v>0</v>
      </c>
      <c r="O731" s="25">
        <f>_xlfn.XLOOKUP(tblPayrollMaster[[#This Row],[Employee Position]],tblPositionandPayRate[Employee Position],tblPositionandPayRate[Allowance 4],0)*tblPayrollMaster[[#This Row],[Pay Factor]]</f>
        <v>0</v>
      </c>
      <c r="P731" s="25">
        <f>_xlfn.XLOOKUP(tblPayrollMaster[[#This Row],[Employee Position]],tblPositionandPayRate[Employee Position],tblPositionandPayRate[Allowance 5],0)*tblPayrollMaster[[#This Row],[Pay Factor]]</f>
        <v>0</v>
      </c>
      <c r="Q731" s="25">
        <f>SUM(tblPayrollMaster[[#This Row],[Basic Pay]:[Allowance 5]])</f>
        <v>0</v>
      </c>
      <c r="R73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31" s="51" cm="1">
        <f t="array" ref="S7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31" s="3" cm="1">
        <f t="array" ref="T7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31" s="25">
        <f>_xlfn.LET(
_xlpm.tos, _xlfn.XLOOKUP(tblPayrollMaster[[#This Row],[Employee ID]], tblEmployee[Employee ID], tblEmployee[Type of Service], ""),
IF(_xlpm.tos="Contract of Service", 8.25, 0)
)</f>
        <v>0</v>
      </c>
      <c r="V731" s="25">
        <f>tblPayrollMaster[[#This Row],[Basic Earnings]]-tblPayrollMaster[[#This Row],[Tax]]-tblPayrollMaster[[#This Row],[NIS - Employee]]-tblPayrollMaster[[#This Row],[Health Surcharge]]</f>
        <v>0</v>
      </c>
      <c r="W731" s="25">
        <f>tblPayrollMaster[[#This Row],[Net Pay]]</f>
        <v>0</v>
      </c>
      <c r="X731" s="25"/>
    </row>
    <row r="732" spans="1:24" x14ac:dyDescent="0.25">
      <c r="A732" s="24"/>
      <c r="B732" s="24" t="str">
        <f>_xlfn.XLOOKUP(tblPayrollMaster[[#This Row],[Employee ID]],tblEmployee[Employee ID],tblEmployee[Employee Name],"")</f>
        <v/>
      </c>
      <c r="C732" s="24" t="str">
        <f>_xlfn.XLOOKUP(tblPayrollMaster[[#This Row],[Employee ID]],tblEmployee[Employee ID],tblEmployee[Employee Position],"")</f>
        <v/>
      </c>
      <c r="D732" s="24" t="str">
        <f>_xlfn.XLOOKUP(tblPayrollMaster[[#This Row],[Employee ID]], tblEmployee[Employee ID], tblEmployee[Pay Status], "Pay")</f>
        <v>Pay</v>
      </c>
      <c r="E732" s="24" t="str">
        <f>_xlfn.XLOOKUP(tblPayrollMaster[[#This Row],[Employee ID]], tblEmployee[Employee ID], tblEmployee[Payable Flag], "Y")</f>
        <v>Y</v>
      </c>
      <c r="F732" s="45">
        <f>IF(tblPayrollMaster[[#This Row],[Payable Flag]]="N",0,_xlfn.XLOOKUP(tblPayrollMaster[[#This Row],[Employee ID]],tblEmployee[Employee ID],tblEmployee[Pay Factor],1))</f>
        <v>1</v>
      </c>
      <c r="G732" s="26" t="str" cm="1">
        <f t="array" ref="G732">IF(tblPayrollMaster[[#This Row],[Employee ID]]="","",_xlfn.XLOOKUP(selPayPeriodID,tblPayCalendar[PayPeriodID],tblPayCalendar[PeriodStart],""))</f>
        <v/>
      </c>
      <c r="H732" s="26" t="str" cm="1">
        <f t="array" ref="H732">IF(tblPayrollMaster[[#This Row],[Employee ID]]="","",_xlfn.XLOOKUP(selPayPeriodID,tblPayCalendar[PayPeriodID],tblPayCalendar[PeriodEnd],""))</f>
        <v/>
      </c>
      <c r="I732" s="24" t="e" cm="1" vm="1">
        <f t="array" aca="1" ref="I732" ca="1">Table18[Employer Name]</f>
        <v>#VALUE!</v>
      </c>
      <c r="J732" s="3" cm="1">
        <f t="array" ref="J73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32" s="25" t="str">
        <f>_xlfn.XLOOKUP(tblPayrollMaster[[#This Row],[Employee Position]],tblPositionandPayRate[Employee Position],tblPositionandPayRate[Overtime], " ")</f>
        <v xml:space="preserve"> </v>
      </c>
      <c r="L732" s="25">
        <f>_xlfn.XLOOKUP(tblPayrollMaster[[#This Row],[Employee Position]],tblPositionandPayRate[Employee Position],tblPositionandPayRate[Allowance 1],0)*tblPayrollMaster[[#This Row],[Pay Factor]]</f>
        <v>0</v>
      </c>
      <c r="M732" s="25">
        <f>_xlfn.XLOOKUP(tblPayrollMaster[[#This Row],[Employee Position]],tblPositionandPayRate[Employee Position],tblPositionandPayRate[Allowance 2],0)*tblPayrollMaster[[#This Row],[Pay Factor]]</f>
        <v>0</v>
      </c>
      <c r="N732" s="25">
        <f>_xlfn.XLOOKUP(tblPayrollMaster[[#This Row],[Employee Position]],tblPositionandPayRate[Employee Position],tblPositionandPayRate[Allowance 3],0)*tblPayrollMaster[[#This Row],[Pay Factor]]</f>
        <v>0</v>
      </c>
      <c r="O732" s="25">
        <f>_xlfn.XLOOKUP(tblPayrollMaster[[#This Row],[Employee Position]],tblPositionandPayRate[Employee Position],tblPositionandPayRate[Allowance 4],0)*tblPayrollMaster[[#This Row],[Pay Factor]]</f>
        <v>0</v>
      </c>
      <c r="P732" s="25">
        <f>_xlfn.XLOOKUP(tblPayrollMaster[[#This Row],[Employee Position]],tblPositionandPayRate[Employee Position],tblPositionandPayRate[Allowance 5],0)*tblPayrollMaster[[#This Row],[Pay Factor]]</f>
        <v>0</v>
      </c>
      <c r="Q732" s="25">
        <f>SUM(tblPayrollMaster[[#This Row],[Basic Pay]:[Allowance 5]])</f>
        <v>0</v>
      </c>
      <c r="R73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32" s="51" cm="1">
        <f t="array" ref="S7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32" s="3" cm="1">
        <f t="array" ref="T7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32" s="25">
        <f>_xlfn.LET(
_xlpm.tos, _xlfn.XLOOKUP(tblPayrollMaster[[#This Row],[Employee ID]], tblEmployee[Employee ID], tblEmployee[Type of Service], ""),
IF(_xlpm.tos="Contract of Service", 8.25, 0)
)</f>
        <v>0</v>
      </c>
      <c r="V732" s="25">
        <f>tblPayrollMaster[[#This Row],[Basic Earnings]]-tblPayrollMaster[[#This Row],[Tax]]-tblPayrollMaster[[#This Row],[NIS - Employee]]-tblPayrollMaster[[#This Row],[Health Surcharge]]</f>
        <v>0</v>
      </c>
      <c r="W732" s="25">
        <f>tblPayrollMaster[[#This Row],[Net Pay]]</f>
        <v>0</v>
      </c>
      <c r="X732" s="25"/>
    </row>
    <row r="733" spans="1:24" x14ac:dyDescent="0.25">
      <c r="A733" s="24"/>
      <c r="B733" s="24" t="str">
        <f>_xlfn.XLOOKUP(tblPayrollMaster[[#This Row],[Employee ID]],tblEmployee[Employee ID],tblEmployee[Employee Name],"")</f>
        <v/>
      </c>
      <c r="C733" s="24" t="str">
        <f>_xlfn.XLOOKUP(tblPayrollMaster[[#This Row],[Employee ID]],tblEmployee[Employee ID],tblEmployee[Employee Position],"")</f>
        <v/>
      </c>
      <c r="D733" s="24" t="str">
        <f>_xlfn.XLOOKUP(tblPayrollMaster[[#This Row],[Employee ID]], tblEmployee[Employee ID], tblEmployee[Pay Status], "Pay")</f>
        <v>Pay</v>
      </c>
      <c r="E733" s="24" t="str">
        <f>_xlfn.XLOOKUP(tblPayrollMaster[[#This Row],[Employee ID]], tblEmployee[Employee ID], tblEmployee[Payable Flag], "Y")</f>
        <v>Y</v>
      </c>
      <c r="F733" s="45">
        <f>IF(tblPayrollMaster[[#This Row],[Payable Flag]]="N",0,_xlfn.XLOOKUP(tblPayrollMaster[[#This Row],[Employee ID]],tblEmployee[Employee ID],tblEmployee[Pay Factor],1))</f>
        <v>1</v>
      </c>
      <c r="G733" s="26" t="str" cm="1">
        <f t="array" ref="G733">IF(tblPayrollMaster[[#This Row],[Employee ID]]="","",_xlfn.XLOOKUP(selPayPeriodID,tblPayCalendar[PayPeriodID],tblPayCalendar[PeriodStart],""))</f>
        <v/>
      </c>
      <c r="H733" s="26" t="str" cm="1">
        <f t="array" ref="H733">IF(tblPayrollMaster[[#This Row],[Employee ID]]="","",_xlfn.XLOOKUP(selPayPeriodID,tblPayCalendar[PayPeriodID],tblPayCalendar[PeriodEnd],""))</f>
        <v/>
      </c>
      <c r="I733" s="24" t="e" cm="1" vm="1">
        <f t="array" aca="1" ref="I733" ca="1">Table18[Employer Name]</f>
        <v>#VALUE!</v>
      </c>
      <c r="J733" s="3" cm="1">
        <f t="array" ref="J73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33" s="25" t="str">
        <f>_xlfn.XLOOKUP(tblPayrollMaster[[#This Row],[Employee Position]],tblPositionandPayRate[Employee Position],tblPositionandPayRate[Overtime], " ")</f>
        <v xml:space="preserve"> </v>
      </c>
      <c r="L733" s="25">
        <f>_xlfn.XLOOKUP(tblPayrollMaster[[#This Row],[Employee Position]],tblPositionandPayRate[Employee Position],tblPositionandPayRate[Allowance 1],0)*tblPayrollMaster[[#This Row],[Pay Factor]]</f>
        <v>0</v>
      </c>
      <c r="M733" s="25">
        <f>_xlfn.XLOOKUP(tblPayrollMaster[[#This Row],[Employee Position]],tblPositionandPayRate[Employee Position],tblPositionandPayRate[Allowance 2],0)*tblPayrollMaster[[#This Row],[Pay Factor]]</f>
        <v>0</v>
      </c>
      <c r="N733" s="25">
        <f>_xlfn.XLOOKUP(tblPayrollMaster[[#This Row],[Employee Position]],tblPositionandPayRate[Employee Position],tblPositionandPayRate[Allowance 3],0)*tblPayrollMaster[[#This Row],[Pay Factor]]</f>
        <v>0</v>
      </c>
      <c r="O733" s="25">
        <f>_xlfn.XLOOKUP(tblPayrollMaster[[#This Row],[Employee Position]],tblPositionandPayRate[Employee Position],tblPositionandPayRate[Allowance 4],0)*tblPayrollMaster[[#This Row],[Pay Factor]]</f>
        <v>0</v>
      </c>
      <c r="P733" s="25">
        <f>_xlfn.XLOOKUP(tblPayrollMaster[[#This Row],[Employee Position]],tblPositionandPayRate[Employee Position],tblPositionandPayRate[Allowance 5],0)*tblPayrollMaster[[#This Row],[Pay Factor]]</f>
        <v>0</v>
      </c>
      <c r="Q733" s="25">
        <f>SUM(tblPayrollMaster[[#This Row],[Basic Pay]:[Allowance 5]])</f>
        <v>0</v>
      </c>
      <c r="R73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33" s="51" cm="1">
        <f t="array" ref="S7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33" s="3" cm="1">
        <f t="array" ref="T7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33" s="25">
        <f>_xlfn.LET(
_xlpm.tos, _xlfn.XLOOKUP(tblPayrollMaster[[#This Row],[Employee ID]], tblEmployee[Employee ID], tblEmployee[Type of Service], ""),
IF(_xlpm.tos="Contract of Service", 8.25, 0)
)</f>
        <v>0</v>
      </c>
      <c r="V733" s="25">
        <f>tblPayrollMaster[[#This Row],[Basic Earnings]]-tblPayrollMaster[[#This Row],[Tax]]-tblPayrollMaster[[#This Row],[NIS - Employee]]-tblPayrollMaster[[#This Row],[Health Surcharge]]</f>
        <v>0</v>
      </c>
      <c r="W733" s="25">
        <f>tblPayrollMaster[[#This Row],[Net Pay]]</f>
        <v>0</v>
      </c>
      <c r="X733" s="25"/>
    </row>
    <row r="734" spans="1:24" x14ac:dyDescent="0.25">
      <c r="A734" s="24"/>
      <c r="B734" s="24" t="str">
        <f>_xlfn.XLOOKUP(tblPayrollMaster[[#This Row],[Employee ID]],tblEmployee[Employee ID],tblEmployee[Employee Name],"")</f>
        <v/>
      </c>
      <c r="C734" s="24" t="str">
        <f>_xlfn.XLOOKUP(tblPayrollMaster[[#This Row],[Employee ID]],tblEmployee[Employee ID],tblEmployee[Employee Position],"")</f>
        <v/>
      </c>
      <c r="D734" s="24" t="str">
        <f>_xlfn.XLOOKUP(tblPayrollMaster[[#This Row],[Employee ID]], tblEmployee[Employee ID], tblEmployee[Pay Status], "Pay")</f>
        <v>Pay</v>
      </c>
      <c r="E734" s="24" t="str">
        <f>_xlfn.XLOOKUP(tblPayrollMaster[[#This Row],[Employee ID]], tblEmployee[Employee ID], tblEmployee[Payable Flag], "Y")</f>
        <v>Y</v>
      </c>
      <c r="F734" s="45">
        <f>IF(tblPayrollMaster[[#This Row],[Payable Flag]]="N",0,_xlfn.XLOOKUP(tblPayrollMaster[[#This Row],[Employee ID]],tblEmployee[Employee ID],tblEmployee[Pay Factor],1))</f>
        <v>1</v>
      </c>
      <c r="G734" s="26" t="str" cm="1">
        <f t="array" ref="G734">IF(tblPayrollMaster[[#This Row],[Employee ID]]="","",_xlfn.XLOOKUP(selPayPeriodID,tblPayCalendar[PayPeriodID],tblPayCalendar[PeriodStart],""))</f>
        <v/>
      </c>
      <c r="H734" s="26" t="str" cm="1">
        <f t="array" ref="H734">IF(tblPayrollMaster[[#This Row],[Employee ID]]="","",_xlfn.XLOOKUP(selPayPeriodID,tblPayCalendar[PayPeriodID],tblPayCalendar[PeriodEnd],""))</f>
        <v/>
      </c>
      <c r="I734" s="24" t="e" cm="1" vm="1">
        <f t="array" aca="1" ref="I734" ca="1">Table18[Employer Name]</f>
        <v>#VALUE!</v>
      </c>
      <c r="J734" s="3" cm="1">
        <f t="array" ref="J73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34" s="25" t="str">
        <f>_xlfn.XLOOKUP(tblPayrollMaster[[#This Row],[Employee Position]],tblPositionandPayRate[Employee Position],tblPositionandPayRate[Overtime], " ")</f>
        <v xml:space="preserve"> </v>
      </c>
      <c r="L734" s="25">
        <f>_xlfn.XLOOKUP(tblPayrollMaster[[#This Row],[Employee Position]],tblPositionandPayRate[Employee Position],tblPositionandPayRate[Allowance 1],0)*tblPayrollMaster[[#This Row],[Pay Factor]]</f>
        <v>0</v>
      </c>
      <c r="M734" s="25">
        <f>_xlfn.XLOOKUP(tblPayrollMaster[[#This Row],[Employee Position]],tblPositionandPayRate[Employee Position],tblPositionandPayRate[Allowance 2],0)*tblPayrollMaster[[#This Row],[Pay Factor]]</f>
        <v>0</v>
      </c>
      <c r="N734" s="25">
        <f>_xlfn.XLOOKUP(tblPayrollMaster[[#This Row],[Employee Position]],tblPositionandPayRate[Employee Position],tblPositionandPayRate[Allowance 3],0)*tblPayrollMaster[[#This Row],[Pay Factor]]</f>
        <v>0</v>
      </c>
      <c r="O734" s="25">
        <f>_xlfn.XLOOKUP(tblPayrollMaster[[#This Row],[Employee Position]],tblPositionandPayRate[Employee Position],tblPositionandPayRate[Allowance 4],0)*tblPayrollMaster[[#This Row],[Pay Factor]]</f>
        <v>0</v>
      </c>
      <c r="P734" s="25">
        <f>_xlfn.XLOOKUP(tblPayrollMaster[[#This Row],[Employee Position]],tblPositionandPayRate[Employee Position],tblPositionandPayRate[Allowance 5],0)*tblPayrollMaster[[#This Row],[Pay Factor]]</f>
        <v>0</v>
      </c>
      <c r="Q734" s="25">
        <f>SUM(tblPayrollMaster[[#This Row],[Basic Pay]:[Allowance 5]])</f>
        <v>0</v>
      </c>
      <c r="R73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34" s="51" cm="1">
        <f t="array" ref="S7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34" s="3" cm="1">
        <f t="array" ref="T7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34" s="25">
        <f>_xlfn.LET(
_xlpm.tos, _xlfn.XLOOKUP(tblPayrollMaster[[#This Row],[Employee ID]], tblEmployee[Employee ID], tblEmployee[Type of Service], ""),
IF(_xlpm.tos="Contract of Service", 8.25, 0)
)</f>
        <v>0</v>
      </c>
      <c r="V734" s="25">
        <f>tblPayrollMaster[[#This Row],[Basic Earnings]]-tblPayrollMaster[[#This Row],[Tax]]-tblPayrollMaster[[#This Row],[NIS - Employee]]-tblPayrollMaster[[#This Row],[Health Surcharge]]</f>
        <v>0</v>
      </c>
      <c r="W734" s="25">
        <f>tblPayrollMaster[[#This Row],[Net Pay]]</f>
        <v>0</v>
      </c>
      <c r="X734" s="25"/>
    </row>
    <row r="735" spans="1:24" x14ac:dyDescent="0.25">
      <c r="A735" s="24"/>
      <c r="B735" s="24" t="str">
        <f>_xlfn.XLOOKUP(tblPayrollMaster[[#This Row],[Employee ID]],tblEmployee[Employee ID],tblEmployee[Employee Name],"")</f>
        <v/>
      </c>
      <c r="C735" s="24" t="str">
        <f>_xlfn.XLOOKUP(tblPayrollMaster[[#This Row],[Employee ID]],tblEmployee[Employee ID],tblEmployee[Employee Position],"")</f>
        <v/>
      </c>
      <c r="D735" s="24" t="str">
        <f>_xlfn.XLOOKUP(tblPayrollMaster[[#This Row],[Employee ID]], tblEmployee[Employee ID], tblEmployee[Pay Status], "Pay")</f>
        <v>Pay</v>
      </c>
      <c r="E735" s="24" t="str">
        <f>_xlfn.XLOOKUP(tblPayrollMaster[[#This Row],[Employee ID]], tblEmployee[Employee ID], tblEmployee[Payable Flag], "Y")</f>
        <v>Y</v>
      </c>
      <c r="F735" s="45">
        <f>IF(tblPayrollMaster[[#This Row],[Payable Flag]]="N",0,_xlfn.XLOOKUP(tblPayrollMaster[[#This Row],[Employee ID]],tblEmployee[Employee ID],tblEmployee[Pay Factor],1))</f>
        <v>1</v>
      </c>
      <c r="G735" s="26" t="str" cm="1">
        <f t="array" ref="G735">IF(tblPayrollMaster[[#This Row],[Employee ID]]="","",_xlfn.XLOOKUP(selPayPeriodID,tblPayCalendar[PayPeriodID],tblPayCalendar[PeriodStart],""))</f>
        <v/>
      </c>
      <c r="H735" s="26" t="str" cm="1">
        <f t="array" ref="H735">IF(tblPayrollMaster[[#This Row],[Employee ID]]="","",_xlfn.XLOOKUP(selPayPeriodID,tblPayCalendar[PayPeriodID],tblPayCalendar[PeriodEnd],""))</f>
        <v/>
      </c>
      <c r="I735" s="24" t="e" cm="1" vm="1">
        <f t="array" aca="1" ref="I735" ca="1">Table18[Employer Name]</f>
        <v>#VALUE!</v>
      </c>
      <c r="J735" s="3" cm="1">
        <f t="array" ref="J73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35" s="25" t="str">
        <f>_xlfn.XLOOKUP(tblPayrollMaster[[#This Row],[Employee Position]],tblPositionandPayRate[Employee Position],tblPositionandPayRate[Overtime], " ")</f>
        <v xml:space="preserve"> </v>
      </c>
      <c r="L735" s="25">
        <f>_xlfn.XLOOKUP(tblPayrollMaster[[#This Row],[Employee Position]],tblPositionandPayRate[Employee Position],tblPositionandPayRate[Allowance 1],0)*tblPayrollMaster[[#This Row],[Pay Factor]]</f>
        <v>0</v>
      </c>
      <c r="M735" s="25">
        <f>_xlfn.XLOOKUP(tblPayrollMaster[[#This Row],[Employee Position]],tblPositionandPayRate[Employee Position],tblPositionandPayRate[Allowance 2],0)*tblPayrollMaster[[#This Row],[Pay Factor]]</f>
        <v>0</v>
      </c>
      <c r="N735" s="25">
        <f>_xlfn.XLOOKUP(tblPayrollMaster[[#This Row],[Employee Position]],tblPositionandPayRate[Employee Position],tblPositionandPayRate[Allowance 3],0)*tblPayrollMaster[[#This Row],[Pay Factor]]</f>
        <v>0</v>
      </c>
      <c r="O735" s="25">
        <f>_xlfn.XLOOKUP(tblPayrollMaster[[#This Row],[Employee Position]],tblPositionandPayRate[Employee Position],tblPositionandPayRate[Allowance 4],0)*tblPayrollMaster[[#This Row],[Pay Factor]]</f>
        <v>0</v>
      </c>
      <c r="P735" s="25">
        <f>_xlfn.XLOOKUP(tblPayrollMaster[[#This Row],[Employee Position]],tblPositionandPayRate[Employee Position],tblPositionandPayRate[Allowance 5],0)*tblPayrollMaster[[#This Row],[Pay Factor]]</f>
        <v>0</v>
      </c>
      <c r="Q735" s="25">
        <f>SUM(tblPayrollMaster[[#This Row],[Basic Pay]:[Allowance 5]])</f>
        <v>0</v>
      </c>
      <c r="R73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35" s="51" cm="1">
        <f t="array" ref="S7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35" s="3" cm="1">
        <f t="array" ref="T7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35" s="25">
        <f>_xlfn.LET(
_xlpm.tos, _xlfn.XLOOKUP(tblPayrollMaster[[#This Row],[Employee ID]], tblEmployee[Employee ID], tblEmployee[Type of Service], ""),
IF(_xlpm.tos="Contract of Service", 8.25, 0)
)</f>
        <v>0</v>
      </c>
      <c r="V735" s="25">
        <f>tblPayrollMaster[[#This Row],[Basic Earnings]]-tblPayrollMaster[[#This Row],[Tax]]-tblPayrollMaster[[#This Row],[NIS - Employee]]-tblPayrollMaster[[#This Row],[Health Surcharge]]</f>
        <v>0</v>
      </c>
      <c r="W735" s="25">
        <f>tblPayrollMaster[[#This Row],[Net Pay]]</f>
        <v>0</v>
      </c>
      <c r="X735" s="25"/>
    </row>
    <row r="736" spans="1:24" x14ac:dyDescent="0.25">
      <c r="A736" s="24"/>
      <c r="B736" s="24" t="str">
        <f>_xlfn.XLOOKUP(tblPayrollMaster[[#This Row],[Employee ID]],tblEmployee[Employee ID],tblEmployee[Employee Name],"")</f>
        <v/>
      </c>
      <c r="C736" s="24" t="str">
        <f>_xlfn.XLOOKUP(tblPayrollMaster[[#This Row],[Employee ID]],tblEmployee[Employee ID],tblEmployee[Employee Position],"")</f>
        <v/>
      </c>
      <c r="D736" s="24" t="str">
        <f>_xlfn.XLOOKUP(tblPayrollMaster[[#This Row],[Employee ID]], tblEmployee[Employee ID], tblEmployee[Pay Status], "Pay")</f>
        <v>Pay</v>
      </c>
      <c r="E736" s="24" t="str">
        <f>_xlfn.XLOOKUP(tblPayrollMaster[[#This Row],[Employee ID]], tblEmployee[Employee ID], tblEmployee[Payable Flag], "Y")</f>
        <v>Y</v>
      </c>
      <c r="F736" s="45">
        <f>IF(tblPayrollMaster[[#This Row],[Payable Flag]]="N",0,_xlfn.XLOOKUP(tblPayrollMaster[[#This Row],[Employee ID]],tblEmployee[Employee ID],tblEmployee[Pay Factor],1))</f>
        <v>1</v>
      </c>
      <c r="G736" s="26" t="str" cm="1">
        <f t="array" ref="G736">IF(tblPayrollMaster[[#This Row],[Employee ID]]="","",_xlfn.XLOOKUP(selPayPeriodID,tblPayCalendar[PayPeriodID],tblPayCalendar[PeriodStart],""))</f>
        <v/>
      </c>
      <c r="H736" s="26" t="str" cm="1">
        <f t="array" ref="H736">IF(tblPayrollMaster[[#This Row],[Employee ID]]="","",_xlfn.XLOOKUP(selPayPeriodID,tblPayCalendar[PayPeriodID],tblPayCalendar[PeriodEnd],""))</f>
        <v/>
      </c>
      <c r="I736" s="24" t="e" cm="1" vm="1">
        <f t="array" aca="1" ref="I736" ca="1">Table18[Employer Name]</f>
        <v>#VALUE!</v>
      </c>
      <c r="J736" s="3" cm="1">
        <f t="array" ref="J73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36" s="25" t="str">
        <f>_xlfn.XLOOKUP(tblPayrollMaster[[#This Row],[Employee Position]],tblPositionandPayRate[Employee Position],tblPositionandPayRate[Overtime], " ")</f>
        <v xml:space="preserve"> </v>
      </c>
      <c r="L736" s="25">
        <f>_xlfn.XLOOKUP(tblPayrollMaster[[#This Row],[Employee Position]],tblPositionandPayRate[Employee Position],tblPositionandPayRate[Allowance 1],0)*tblPayrollMaster[[#This Row],[Pay Factor]]</f>
        <v>0</v>
      </c>
      <c r="M736" s="25">
        <f>_xlfn.XLOOKUP(tblPayrollMaster[[#This Row],[Employee Position]],tblPositionandPayRate[Employee Position],tblPositionandPayRate[Allowance 2],0)*tblPayrollMaster[[#This Row],[Pay Factor]]</f>
        <v>0</v>
      </c>
      <c r="N736" s="25">
        <f>_xlfn.XLOOKUP(tblPayrollMaster[[#This Row],[Employee Position]],tblPositionandPayRate[Employee Position],tblPositionandPayRate[Allowance 3],0)*tblPayrollMaster[[#This Row],[Pay Factor]]</f>
        <v>0</v>
      </c>
      <c r="O736" s="25">
        <f>_xlfn.XLOOKUP(tblPayrollMaster[[#This Row],[Employee Position]],tblPositionandPayRate[Employee Position],tblPositionandPayRate[Allowance 4],0)*tblPayrollMaster[[#This Row],[Pay Factor]]</f>
        <v>0</v>
      </c>
      <c r="P736" s="25">
        <f>_xlfn.XLOOKUP(tblPayrollMaster[[#This Row],[Employee Position]],tblPositionandPayRate[Employee Position],tblPositionandPayRate[Allowance 5],0)*tblPayrollMaster[[#This Row],[Pay Factor]]</f>
        <v>0</v>
      </c>
      <c r="Q736" s="25">
        <f>SUM(tblPayrollMaster[[#This Row],[Basic Pay]:[Allowance 5]])</f>
        <v>0</v>
      </c>
      <c r="R73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36" s="51" cm="1">
        <f t="array" ref="S7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36" s="3" cm="1">
        <f t="array" ref="T7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36" s="25">
        <f>_xlfn.LET(
_xlpm.tos, _xlfn.XLOOKUP(tblPayrollMaster[[#This Row],[Employee ID]], tblEmployee[Employee ID], tblEmployee[Type of Service], ""),
IF(_xlpm.tos="Contract of Service", 8.25, 0)
)</f>
        <v>0</v>
      </c>
      <c r="V736" s="25">
        <f>tblPayrollMaster[[#This Row],[Basic Earnings]]-tblPayrollMaster[[#This Row],[Tax]]-tblPayrollMaster[[#This Row],[NIS - Employee]]-tblPayrollMaster[[#This Row],[Health Surcharge]]</f>
        <v>0</v>
      </c>
      <c r="W736" s="25">
        <f>tblPayrollMaster[[#This Row],[Net Pay]]</f>
        <v>0</v>
      </c>
      <c r="X736" s="25"/>
    </row>
    <row r="737" spans="1:24" x14ac:dyDescent="0.25">
      <c r="A737" s="24"/>
      <c r="B737" s="24" t="str">
        <f>_xlfn.XLOOKUP(tblPayrollMaster[[#This Row],[Employee ID]],tblEmployee[Employee ID],tblEmployee[Employee Name],"")</f>
        <v/>
      </c>
      <c r="C737" s="24" t="str">
        <f>_xlfn.XLOOKUP(tblPayrollMaster[[#This Row],[Employee ID]],tblEmployee[Employee ID],tblEmployee[Employee Position],"")</f>
        <v/>
      </c>
      <c r="D737" s="24" t="str">
        <f>_xlfn.XLOOKUP(tblPayrollMaster[[#This Row],[Employee ID]], tblEmployee[Employee ID], tblEmployee[Pay Status], "Pay")</f>
        <v>Pay</v>
      </c>
      <c r="E737" s="24" t="str">
        <f>_xlfn.XLOOKUP(tblPayrollMaster[[#This Row],[Employee ID]], tblEmployee[Employee ID], tblEmployee[Payable Flag], "Y")</f>
        <v>Y</v>
      </c>
      <c r="F737" s="45">
        <f>IF(tblPayrollMaster[[#This Row],[Payable Flag]]="N",0,_xlfn.XLOOKUP(tblPayrollMaster[[#This Row],[Employee ID]],tblEmployee[Employee ID],tblEmployee[Pay Factor],1))</f>
        <v>1</v>
      </c>
      <c r="G737" s="26" t="str" cm="1">
        <f t="array" ref="G737">IF(tblPayrollMaster[[#This Row],[Employee ID]]="","",_xlfn.XLOOKUP(selPayPeriodID,tblPayCalendar[PayPeriodID],tblPayCalendar[PeriodStart],""))</f>
        <v/>
      </c>
      <c r="H737" s="26" t="str" cm="1">
        <f t="array" ref="H737">IF(tblPayrollMaster[[#This Row],[Employee ID]]="","",_xlfn.XLOOKUP(selPayPeriodID,tblPayCalendar[PayPeriodID],tblPayCalendar[PeriodEnd],""))</f>
        <v/>
      </c>
      <c r="I737" s="24" t="e" cm="1" vm="1">
        <f t="array" aca="1" ref="I737" ca="1">Table18[Employer Name]</f>
        <v>#VALUE!</v>
      </c>
      <c r="J737" s="3" cm="1">
        <f t="array" ref="J73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37" s="25" t="str">
        <f>_xlfn.XLOOKUP(tblPayrollMaster[[#This Row],[Employee Position]],tblPositionandPayRate[Employee Position],tblPositionandPayRate[Overtime], " ")</f>
        <v xml:space="preserve"> </v>
      </c>
      <c r="L737" s="25">
        <f>_xlfn.XLOOKUP(tblPayrollMaster[[#This Row],[Employee Position]],tblPositionandPayRate[Employee Position],tblPositionandPayRate[Allowance 1],0)*tblPayrollMaster[[#This Row],[Pay Factor]]</f>
        <v>0</v>
      </c>
      <c r="M737" s="25">
        <f>_xlfn.XLOOKUP(tblPayrollMaster[[#This Row],[Employee Position]],tblPositionandPayRate[Employee Position],tblPositionandPayRate[Allowance 2],0)*tblPayrollMaster[[#This Row],[Pay Factor]]</f>
        <v>0</v>
      </c>
      <c r="N737" s="25">
        <f>_xlfn.XLOOKUP(tblPayrollMaster[[#This Row],[Employee Position]],tblPositionandPayRate[Employee Position],tblPositionandPayRate[Allowance 3],0)*tblPayrollMaster[[#This Row],[Pay Factor]]</f>
        <v>0</v>
      </c>
      <c r="O737" s="25">
        <f>_xlfn.XLOOKUP(tblPayrollMaster[[#This Row],[Employee Position]],tblPositionandPayRate[Employee Position],tblPositionandPayRate[Allowance 4],0)*tblPayrollMaster[[#This Row],[Pay Factor]]</f>
        <v>0</v>
      </c>
      <c r="P737" s="25">
        <f>_xlfn.XLOOKUP(tblPayrollMaster[[#This Row],[Employee Position]],tblPositionandPayRate[Employee Position],tblPositionandPayRate[Allowance 5],0)*tblPayrollMaster[[#This Row],[Pay Factor]]</f>
        <v>0</v>
      </c>
      <c r="Q737" s="25">
        <f>SUM(tblPayrollMaster[[#This Row],[Basic Pay]:[Allowance 5]])</f>
        <v>0</v>
      </c>
      <c r="R73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37" s="51" cm="1">
        <f t="array" ref="S7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37" s="3" cm="1">
        <f t="array" ref="T7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37" s="25">
        <f>_xlfn.LET(
_xlpm.tos, _xlfn.XLOOKUP(tblPayrollMaster[[#This Row],[Employee ID]], tblEmployee[Employee ID], tblEmployee[Type of Service], ""),
IF(_xlpm.tos="Contract of Service", 8.25, 0)
)</f>
        <v>0</v>
      </c>
      <c r="V737" s="25">
        <f>tblPayrollMaster[[#This Row],[Basic Earnings]]-tblPayrollMaster[[#This Row],[Tax]]-tblPayrollMaster[[#This Row],[NIS - Employee]]-tblPayrollMaster[[#This Row],[Health Surcharge]]</f>
        <v>0</v>
      </c>
      <c r="W737" s="25">
        <f>tblPayrollMaster[[#This Row],[Net Pay]]</f>
        <v>0</v>
      </c>
      <c r="X737" s="25"/>
    </row>
    <row r="738" spans="1:24" x14ac:dyDescent="0.25">
      <c r="A738" s="24"/>
      <c r="B738" s="24" t="str">
        <f>_xlfn.XLOOKUP(tblPayrollMaster[[#This Row],[Employee ID]],tblEmployee[Employee ID],tblEmployee[Employee Name],"")</f>
        <v/>
      </c>
      <c r="C738" s="24" t="str">
        <f>_xlfn.XLOOKUP(tblPayrollMaster[[#This Row],[Employee ID]],tblEmployee[Employee ID],tblEmployee[Employee Position],"")</f>
        <v/>
      </c>
      <c r="D738" s="24" t="str">
        <f>_xlfn.XLOOKUP(tblPayrollMaster[[#This Row],[Employee ID]], tblEmployee[Employee ID], tblEmployee[Pay Status], "Pay")</f>
        <v>Pay</v>
      </c>
      <c r="E738" s="24" t="str">
        <f>_xlfn.XLOOKUP(tblPayrollMaster[[#This Row],[Employee ID]], tblEmployee[Employee ID], tblEmployee[Payable Flag], "Y")</f>
        <v>Y</v>
      </c>
      <c r="F738" s="45">
        <f>IF(tblPayrollMaster[[#This Row],[Payable Flag]]="N",0,_xlfn.XLOOKUP(tblPayrollMaster[[#This Row],[Employee ID]],tblEmployee[Employee ID],tblEmployee[Pay Factor],1))</f>
        <v>1</v>
      </c>
      <c r="G738" s="26" t="str" cm="1">
        <f t="array" ref="G738">IF(tblPayrollMaster[[#This Row],[Employee ID]]="","",_xlfn.XLOOKUP(selPayPeriodID,tblPayCalendar[PayPeriodID],tblPayCalendar[PeriodStart],""))</f>
        <v/>
      </c>
      <c r="H738" s="26" t="str" cm="1">
        <f t="array" ref="H738">IF(tblPayrollMaster[[#This Row],[Employee ID]]="","",_xlfn.XLOOKUP(selPayPeriodID,tblPayCalendar[PayPeriodID],tblPayCalendar[PeriodEnd],""))</f>
        <v/>
      </c>
      <c r="I738" s="24" t="e" cm="1" vm="1">
        <f t="array" aca="1" ref="I738" ca="1">Table18[Employer Name]</f>
        <v>#VALUE!</v>
      </c>
      <c r="J738" s="3" cm="1">
        <f t="array" ref="J73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38" s="25" t="str">
        <f>_xlfn.XLOOKUP(tblPayrollMaster[[#This Row],[Employee Position]],tblPositionandPayRate[Employee Position],tblPositionandPayRate[Overtime], " ")</f>
        <v xml:space="preserve"> </v>
      </c>
      <c r="L738" s="25">
        <f>_xlfn.XLOOKUP(tblPayrollMaster[[#This Row],[Employee Position]],tblPositionandPayRate[Employee Position],tblPositionandPayRate[Allowance 1],0)*tblPayrollMaster[[#This Row],[Pay Factor]]</f>
        <v>0</v>
      </c>
      <c r="M738" s="25">
        <f>_xlfn.XLOOKUP(tblPayrollMaster[[#This Row],[Employee Position]],tblPositionandPayRate[Employee Position],tblPositionandPayRate[Allowance 2],0)*tblPayrollMaster[[#This Row],[Pay Factor]]</f>
        <v>0</v>
      </c>
      <c r="N738" s="25">
        <f>_xlfn.XLOOKUP(tblPayrollMaster[[#This Row],[Employee Position]],tblPositionandPayRate[Employee Position],tblPositionandPayRate[Allowance 3],0)*tblPayrollMaster[[#This Row],[Pay Factor]]</f>
        <v>0</v>
      </c>
      <c r="O738" s="25">
        <f>_xlfn.XLOOKUP(tblPayrollMaster[[#This Row],[Employee Position]],tblPositionandPayRate[Employee Position],tblPositionandPayRate[Allowance 4],0)*tblPayrollMaster[[#This Row],[Pay Factor]]</f>
        <v>0</v>
      </c>
      <c r="P738" s="25">
        <f>_xlfn.XLOOKUP(tblPayrollMaster[[#This Row],[Employee Position]],tblPositionandPayRate[Employee Position],tblPositionandPayRate[Allowance 5],0)*tblPayrollMaster[[#This Row],[Pay Factor]]</f>
        <v>0</v>
      </c>
      <c r="Q738" s="25">
        <f>SUM(tblPayrollMaster[[#This Row],[Basic Pay]:[Allowance 5]])</f>
        <v>0</v>
      </c>
      <c r="R73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38" s="51" cm="1">
        <f t="array" ref="S7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38" s="3" cm="1">
        <f t="array" ref="T7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38" s="25">
        <f>_xlfn.LET(
_xlpm.tos, _xlfn.XLOOKUP(tblPayrollMaster[[#This Row],[Employee ID]], tblEmployee[Employee ID], tblEmployee[Type of Service], ""),
IF(_xlpm.tos="Contract of Service", 8.25, 0)
)</f>
        <v>0</v>
      </c>
      <c r="V738" s="25">
        <f>tblPayrollMaster[[#This Row],[Basic Earnings]]-tblPayrollMaster[[#This Row],[Tax]]-tblPayrollMaster[[#This Row],[NIS - Employee]]-tblPayrollMaster[[#This Row],[Health Surcharge]]</f>
        <v>0</v>
      </c>
      <c r="W738" s="25">
        <f>tblPayrollMaster[[#This Row],[Net Pay]]</f>
        <v>0</v>
      </c>
      <c r="X738" s="25"/>
    </row>
    <row r="739" spans="1:24" x14ac:dyDescent="0.25">
      <c r="A739" s="24"/>
      <c r="B739" s="24" t="str">
        <f>_xlfn.XLOOKUP(tblPayrollMaster[[#This Row],[Employee ID]],tblEmployee[Employee ID],tblEmployee[Employee Name],"")</f>
        <v/>
      </c>
      <c r="C739" s="24" t="str">
        <f>_xlfn.XLOOKUP(tblPayrollMaster[[#This Row],[Employee ID]],tblEmployee[Employee ID],tblEmployee[Employee Position],"")</f>
        <v/>
      </c>
      <c r="D739" s="24" t="str">
        <f>_xlfn.XLOOKUP(tblPayrollMaster[[#This Row],[Employee ID]], tblEmployee[Employee ID], tblEmployee[Pay Status], "Pay")</f>
        <v>Pay</v>
      </c>
      <c r="E739" s="24" t="str">
        <f>_xlfn.XLOOKUP(tblPayrollMaster[[#This Row],[Employee ID]], tblEmployee[Employee ID], tblEmployee[Payable Flag], "Y")</f>
        <v>Y</v>
      </c>
      <c r="F739" s="45">
        <f>IF(tblPayrollMaster[[#This Row],[Payable Flag]]="N",0,_xlfn.XLOOKUP(tblPayrollMaster[[#This Row],[Employee ID]],tblEmployee[Employee ID],tblEmployee[Pay Factor],1))</f>
        <v>1</v>
      </c>
      <c r="G739" s="26" t="str" cm="1">
        <f t="array" ref="G739">IF(tblPayrollMaster[[#This Row],[Employee ID]]="","",_xlfn.XLOOKUP(selPayPeriodID,tblPayCalendar[PayPeriodID],tblPayCalendar[PeriodStart],""))</f>
        <v/>
      </c>
      <c r="H739" s="26" t="str" cm="1">
        <f t="array" ref="H739">IF(tblPayrollMaster[[#This Row],[Employee ID]]="","",_xlfn.XLOOKUP(selPayPeriodID,tblPayCalendar[PayPeriodID],tblPayCalendar[PeriodEnd],""))</f>
        <v/>
      </c>
      <c r="I739" s="24" t="e" cm="1" vm="1">
        <f t="array" aca="1" ref="I739" ca="1">Table18[Employer Name]</f>
        <v>#VALUE!</v>
      </c>
      <c r="J739" s="3" cm="1">
        <f t="array" ref="J73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39" s="25" t="str">
        <f>_xlfn.XLOOKUP(tblPayrollMaster[[#This Row],[Employee Position]],tblPositionandPayRate[Employee Position],tblPositionandPayRate[Overtime], " ")</f>
        <v xml:space="preserve"> </v>
      </c>
      <c r="L739" s="25">
        <f>_xlfn.XLOOKUP(tblPayrollMaster[[#This Row],[Employee Position]],tblPositionandPayRate[Employee Position],tblPositionandPayRate[Allowance 1],0)*tblPayrollMaster[[#This Row],[Pay Factor]]</f>
        <v>0</v>
      </c>
      <c r="M739" s="25">
        <f>_xlfn.XLOOKUP(tblPayrollMaster[[#This Row],[Employee Position]],tblPositionandPayRate[Employee Position],tblPositionandPayRate[Allowance 2],0)*tblPayrollMaster[[#This Row],[Pay Factor]]</f>
        <v>0</v>
      </c>
      <c r="N739" s="25">
        <f>_xlfn.XLOOKUP(tblPayrollMaster[[#This Row],[Employee Position]],tblPositionandPayRate[Employee Position],tblPositionandPayRate[Allowance 3],0)*tblPayrollMaster[[#This Row],[Pay Factor]]</f>
        <v>0</v>
      </c>
      <c r="O739" s="25">
        <f>_xlfn.XLOOKUP(tblPayrollMaster[[#This Row],[Employee Position]],tblPositionandPayRate[Employee Position],tblPositionandPayRate[Allowance 4],0)*tblPayrollMaster[[#This Row],[Pay Factor]]</f>
        <v>0</v>
      </c>
      <c r="P739" s="25">
        <f>_xlfn.XLOOKUP(tblPayrollMaster[[#This Row],[Employee Position]],tblPositionandPayRate[Employee Position],tblPositionandPayRate[Allowance 5],0)*tblPayrollMaster[[#This Row],[Pay Factor]]</f>
        <v>0</v>
      </c>
      <c r="Q739" s="25">
        <f>SUM(tblPayrollMaster[[#This Row],[Basic Pay]:[Allowance 5]])</f>
        <v>0</v>
      </c>
      <c r="R73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39" s="51" cm="1">
        <f t="array" ref="S7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39" s="3" cm="1">
        <f t="array" ref="T7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39" s="25">
        <f>_xlfn.LET(
_xlpm.tos, _xlfn.XLOOKUP(tblPayrollMaster[[#This Row],[Employee ID]], tblEmployee[Employee ID], tblEmployee[Type of Service], ""),
IF(_xlpm.tos="Contract of Service", 8.25, 0)
)</f>
        <v>0</v>
      </c>
      <c r="V739" s="25">
        <f>tblPayrollMaster[[#This Row],[Basic Earnings]]-tblPayrollMaster[[#This Row],[Tax]]-tblPayrollMaster[[#This Row],[NIS - Employee]]-tblPayrollMaster[[#This Row],[Health Surcharge]]</f>
        <v>0</v>
      </c>
      <c r="W739" s="25">
        <f>tblPayrollMaster[[#This Row],[Net Pay]]</f>
        <v>0</v>
      </c>
      <c r="X739" s="25"/>
    </row>
    <row r="740" spans="1:24" x14ac:dyDescent="0.25">
      <c r="A740" s="24"/>
      <c r="B740" s="24" t="str">
        <f>_xlfn.XLOOKUP(tblPayrollMaster[[#This Row],[Employee ID]],tblEmployee[Employee ID],tblEmployee[Employee Name],"")</f>
        <v/>
      </c>
      <c r="C740" s="24" t="str">
        <f>_xlfn.XLOOKUP(tblPayrollMaster[[#This Row],[Employee ID]],tblEmployee[Employee ID],tblEmployee[Employee Position],"")</f>
        <v/>
      </c>
      <c r="D740" s="24" t="str">
        <f>_xlfn.XLOOKUP(tblPayrollMaster[[#This Row],[Employee ID]], tblEmployee[Employee ID], tblEmployee[Pay Status], "Pay")</f>
        <v>Pay</v>
      </c>
      <c r="E740" s="24" t="str">
        <f>_xlfn.XLOOKUP(tblPayrollMaster[[#This Row],[Employee ID]], tblEmployee[Employee ID], tblEmployee[Payable Flag], "Y")</f>
        <v>Y</v>
      </c>
      <c r="F740" s="45">
        <f>IF(tblPayrollMaster[[#This Row],[Payable Flag]]="N",0,_xlfn.XLOOKUP(tblPayrollMaster[[#This Row],[Employee ID]],tblEmployee[Employee ID],tblEmployee[Pay Factor],1))</f>
        <v>1</v>
      </c>
      <c r="G740" s="26" t="str" cm="1">
        <f t="array" ref="G740">IF(tblPayrollMaster[[#This Row],[Employee ID]]="","",_xlfn.XLOOKUP(selPayPeriodID,tblPayCalendar[PayPeriodID],tblPayCalendar[PeriodStart],""))</f>
        <v/>
      </c>
      <c r="H740" s="26" t="str" cm="1">
        <f t="array" ref="H740">IF(tblPayrollMaster[[#This Row],[Employee ID]]="","",_xlfn.XLOOKUP(selPayPeriodID,tblPayCalendar[PayPeriodID],tblPayCalendar[PeriodEnd],""))</f>
        <v/>
      </c>
      <c r="I740" s="24" t="e" cm="1" vm="1">
        <f t="array" aca="1" ref="I740" ca="1">Table18[Employer Name]</f>
        <v>#VALUE!</v>
      </c>
      <c r="J740" s="3" cm="1">
        <f t="array" ref="J74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40" s="25" t="str">
        <f>_xlfn.XLOOKUP(tblPayrollMaster[[#This Row],[Employee Position]],tblPositionandPayRate[Employee Position],tblPositionandPayRate[Overtime], " ")</f>
        <v xml:space="preserve"> </v>
      </c>
      <c r="L740" s="25">
        <f>_xlfn.XLOOKUP(tblPayrollMaster[[#This Row],[Employee Position]],tblPositionandPayRate[Employee Position],tblPositionandPayRate[Allowance 1],0)*tblPayrollMaster[[#This Row],[Pay Factor]]</f>
        <v>0</v>
      </c>
      <c r="M740" s="25">
        <f>_xlfn.XLOOKUP(tblPayrollMaster[[#This Row],[Employee Position]],tblPositionandPayRate[Employee Position],tblPositionandPayRate[Allowance 2],0)*tblPayrollMaster[[#This Row],[Pay Factor]]</f>
        <v>0</v>
      </c>
      <c r="N740" s="25">
        <f>_xlfn.XLOOKUP(tblPayrollMaster[[#This Row],[Employee Position]],tblPositionandPayRate[Employee Position],tblPositionandPayRate[Allowance 3],0)*tblPayrollMaster[[#This Row],[Pay Factor]]</f>
        <v>0</v>
      </c>
      <c r="O740" s="25">
        <f>_xlfn.XLOOKUP(tblPayrollMaster[[#This Row],[Employee Position]],tblPositionandPayRate[Employee Position],tblPositionandPayRate[Allowance 4],0)*tblPayrollMaster[[#This Row],[Pay Factor]]</f>
        <v>0</v>
      </c>
      <c r="P740" s="25">
        <f>_xlfn.XLOOKUP(tblPayrollMaster[[#This Row],[Employee Position]],tblPositionandPayRate[Employee Position],tblPositionandPayRate[Allowance 5],0)*tblPayrollMaster[[#This Row],[Pay Factor]]</f>
        <v>0</v>
      </c>
      <c r="Q740" s="25">
        <f>SUM(tblPayrollMaster[[#This Row],[Basic Pay]:[Allowance 5]])</f>
        <v>0</v>
      </c>
      <c r="R74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40" s="51" cm="1">
        <f t="array" ref="S7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40" s="3" cm="1">
        <f t="array" ref="T7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40" s="25">
        <f>_xlfn.LET(
_xlpm.tos, _xlfn.XLOOKUP(tblPayrollMaster[[#This Row],[Employee ID]], tblEmployee[Employee ID], tblEmployee[Type of Service], ""),
IF(_xlpm.tos="Contract of Service", 8.25, 0)
)</f>
        <v>0</v>
      </c>
      <c r="V740" s="25">
        <f>tblPayrollMaster[[#This Row],[Basic Earnings]]-tblPayrollMaster[[#This Row],[Tax]]-tblPayrollMaster[[#This Row],[NIS - Employee]]-tblPayrollMaster[[#This Row],[Health Surcharge]]</f>
        <v>0</v>
      </c>
      <c r="W740" s="25">
        <f>tblPayrollMaster[[#This Row],[Net Pay]]</f>
        <v>0</v>
      </c>
      <c r="X740" s="25"/>
    </row>
    <row r="741" spans="1:24" x14ac:dyDescent="0.25">
      <c r="A741" s="24"/>
      <c r="B741" s="24" t="str">
        <f>_xlfn.XLOOKUP(tblPayrollMaster[[#This Row],[Employee ID]],tblEmployee[Employee ID],tblEmployee[Employee Name],"")</f>
        <v/>
      </c>
      <c r="C741" s="24" t="str">
        <f>_xlfn.XLOOKUP(tblPayrollMaster[[#This Row],[Employee ID]],tblEmployee[Employee ID],tblEmployee[Employee Position],"")</f>
        <v/>
      </c>
      <c r="D741" s="24" t="str">
        <f>_xlfn.XLOOKUP(tblPayrollMaster[[#This Row],[Employee ID]], tblEmployee[Employee ID], tblEmployee[Pay Status], "Pay")</f>
        <v>Pay</v>
      </c>
      <c r="E741" s="24" t="str">
        <f>_xlfn.XLOOKUP(tblPayrollMaster[[#This Row],[Employee ID]], tblEmployee[Employee ID], tblEmployee[Payable Flag], "Y")</f>
        <v>Y</v>
      </c>
      <c r="F741" s="45">
        <f>IF(tblPayrollMaster[[#This Row],[Payable Flag]]="N",0,_xlfn.XLOOKUP(tblPayrollMaster[[#This Row],[Employee ID]],tblEmployee[Employee ID],tblEmployee[Pay Factor],1))</f>
        <v>1</v>
      </c>
      <c r="G741" s="26" t="str" cm="1">
        <f t="array" ref="G741">IF(tblPayrollMaster[[#This Row],[Employee ID]]="","",_xlfn.XLOOKUP(selPayPeriodID,tblPayCalendar[PayPeriodID],tblPayCalendar[PeriodStart],""))</f>
        <v/>
      </c>
      <c r="H741" s="26" t="str" cm="1">
        <f t="array" ref="H741">IF(tblPayrollMaster[[#This Row],[Employee ID]]="","",_xlfn.XLOOKUP(selPayPeriodID,tblPayCalendar[PayPeriodID],tblPayCalendar[PeriodEnd],""))</f>
        <v/>
      </c>
      <c r="I741" s="24" t="e" cm="1" vm="1">
        <f t="array" aca="1" ref="I741" ca="1">Table18[Employer Name]</f>
        <v>#VALUE!</v>
      </c>
      <c r="J741" s="3" cm="1">
        <f t="array" ref="J74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41" s="25" t="str">
        <f>_xlfn.XLOOKUP(tblPayrollMaster[[#This Row],[Employee Position]],tblPositionandPayRate[Employee Position],tblPositionandPayRate[Overtime], " ")</f>
        <v xml:space="preserve"> </v>
      </c>
      <c r="L741" s="25">
        <f>_xlfn.XLOOKUP(tblPayrollMaster[[#This Row],[Employee Position]],tblPositionandPayRate[Employee Position],tblPositionandPayRate[Allowance 1],0)*tblPayrollMaster[[#This Row],[Pay Factor]]</f>
        <v>0</v>
      </c>
      <c r="M741" s="25">
        <f>_xlfn.XLOOKUP(tblPayrollMaster[[#This Row],[Employee Position]],tblPositionandPayRate[Employee Position],tblPositionandPayRate[Allowance 2],0)*tblPayrollMaster[[#This Row],[Pay Factor]]</f>
        <v>0</v>
      </c>
      <c r="N741" s="25">
        <f>_xlfn.XLOOKUP(tblPayrollMaster[[#This Row],[Employee Position]],tblPositionandPayRate[Employee Position],tblPositionandPayRate[Allowance 3],0)*tblPayrollMaster[[#This Row],[Pay Factor]]</f>
        <v>0</v>
      </c>
      <c r="O741" s="25">
        <f>_xlfn.XLOOKUP(tblPayrollMaster[[#This Row],[Employee Position]],tblPositionandPayRate[Employee Position],tblPositionandPayRate[Allowance 4],0)*tblPayrollMaster[[#This Row],[Pay Factor]]</f>
        <v>0</v>
      </c>
      <c r="P741" s="25">
        <f>_xlfn.XLOOKUP(tblPayrollMaster[[#This Row],[Employee Position]],tblPositionandPayRate[Employee Position],tblPositionandPayRate[Allowance 5],0)*tblPayrollMaster[[#This Row],[Pay Factor]]</f>
        <v>0</v>
      </c>
      <c r="Q741" s="25">
        <f>SUM(tblPayrollMaster[[#This Row],[Basic Pay]:[Allowance 5]])</f>
        <v>0</v>
      </c>
      <c r="R74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41" s="51" cm="1">
        <f t="array" ref="S7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41" s="3" cm="1">
        <f t="array" ref="T7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41" s="25">
        <f>_xlfn.LET(
_xlpm.tos, _xlfn.XLOOKUP(tblPayrollMaster[[#This Row],[Employee ID]], tblEmployee[Employee ID], tblEmployee[Type of Service], ""),
IF(_xlpm.tos="Contract of Service", 8.25, 0)
)</f>
        <v>0</v>
      </c>
      <c r="V741" s="25">
        <f>tblPayrollMaster[[#This Row],[Basic Earnings]]-tblPayrollMaster[[#This Row],[Tax]]-tblPayrollMaster[[#This Row],[NIS - Employee]]-tblPayrollMaster[[#This Row],[Health Surcharge]]</f>
        <v>0</v>
      </c>
      <c r="W741" s="25">
        <f>tblPayrollMaster[[#This Row],[Net Pay]]</f>
        <v>0</v>
      </c>
      <c r="X741" s="25"/>
    </row>
    <row r="742" spans="1:24" x14ac:dyDescent="0.25">
      <c r="A742" s="24"/>
      <c r="B742" s="24" t="str">
        <f>_xlfn.XLOOKUP(tblPayrollMaster[[#This Row],[Employee ID]],tblEmployee[Employee ID],tblEmployee[Employee Name],"")</f>
        <v/>
      </c>
      <c r="C742" s="24" t="str">
        <f>_xlfn.XLOOKUP(tblPayrollMaster[[#This Row],[Employee ID]],tblEmployee[Employee ID],tblEmployee[Employee Position],"")</f>
        <v/>
      </c>
      <c r="D742" s="24" t="str">
        <f>_xlfn.XLOOKUP(tblPayrollMaster[[#This Row],[Employee ID]], tblEmployee[Employee ID], tblEmployee[Pay Status], "Pay")</f>
        <v>Pay</v>
      </c>
      <c r="E742" s="24" t="str">
        <f>_xlfn.XLOOKUP(tblPayrollMaster[[#This Row],[Employee ID]], tblEmployee[Employee ID], tblEmployee[Payable Flag], "Y")</f>
        <v>Y</v>
      </c>
      <c r="F742" s="45">
        <f>IF(tblPayrollMaster[[#This Row],[Payable Flag]]="N",0,_xlfn.XLOOKUP(tblPayrollMaster[[#This Row],[Employee ID]],tblEmployee[Employee ID],tblEmployee[Pay Factor],1))</f>
        <v>1</v>
      </c>
      <c r="G742" s="26" t="str" cm="1">
        <f t="array" ref="G742">IF(tblPayrollMaster[[#This Row],[Employee ID]]="","",_xlfn.XLOOKUP(selPayPeriodID,tblPayCalendar[PayPeriodID],tblPayCalendar[PeriodStart],""))</f>
        <v/>
      </c>
      <c r="H742" s="26" t="str" cm="1">
        <f t="array" ref="H742">IF(tblPayrollMaster[[#This Row],[Employee ID]]="","",_xlfn.XLOOKUP(selPayPeriodID,tblPayCalendar[PayPeriodID],tblPayCalendar[PeriodEnd],""))</f>
        <v/>
      </c>
      <c r="I742" s="24" t="e" cm="1" vm="1">
        <f t="array" aca="1" ref="I742" ca="1">Table18[Employer Name]</f>
        <v>#VALUE!</v>
      </c>
      <c r="J742" s="3" cm="1">
        <f t="array" ref="J74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42" s="25" t="str">
        <f>_xlfn.XLOOKUP(tblPayrollMaster[[#This Row],[Employee Position]],tblPositionandPayRate[Employee Position],tblPositionandPayRate[Overtime], " ")</f>
        <v xml:space="preserve"> </v>
      </c>
      <c r="L742" s="25">
        <f>_xlfn.XLOOKUP(tblPayrollMaster[[#This Row],[Employee Position]],tblPositionandPayRate[Employee Position],tblPositionandPayRate[Allowance 1],0)*tblPayrollMaster[[#This Row],[Pay Factor]]</f>
        <v>0</v>
      </c>
      <c r="M742" s="25">
        <f>_xlfn.XLOOKUP(tblPayrollMaster[[#This Row],[Employee Position]],tblPositionandPayRate[Employee Position],tblPositionandPayRate[Allowance 2],0)*tblPayrollMaster[[#This Row],[Pay Factor]]</f>
        <v>0</v>
      </c>
      <c r="N742" s="25">
        <f>_xlfn.XLOOKUP(tblPayrollMaster[[#This Row],[Employee Position]],tblPositionandPayRate[Employee Position],tblPositionandPayRate[Allowance 3],0)*tblPayrollMaster[[#This Row],[Pay Factor]]</f>
        <v>0</v>
      </c>
      <c r="O742" s="25">
        <f>_xlfn.XLOOKUP(tblPayrollMaster[[#This Row],[Employee Position]],tblPositionandPayRate[Employee Position],tblPositionandPayRate[Allowance 4],0)*tblPayrollMaster[[#This Row],[Pay Factor]]</f>
        <v>0</v>
      </c>
      <c r="P742" s="25">
        <f>_xlfn.XLOOKUP(tblPayrollMaster[[#This Row],[Employee Position]],tblPositionandPayRate[Employee Position],tblPositionandPayRate[Allowance 5],0)*tblPayrollMaster[[#This Row],[Pay Factor]]</f>
        <v>0</v>
      </c>
      <c r="Q742" s="25">
        <f>SUM(tblPayrollMaster[[#This Row],[Basic Pay]:[Allowance 5]])</f>
        <v>0</v>
      </c>
      <c r="R74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42" s="51" cm="1">
        <f t="array" ref="S7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42" s="3" cm="1">
        <f t="array" ref="T7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42" s="25">
        <f>_xlfn.LET(
_xlpm.tos, _xlfn.XLOOKUP(tblPayrollMaster[[#This Row],[Employee ID]], tblEmployee[Employee ID], tblEmployee[Type of Service], ""),
IF(_xlpm.tos="Contract of Service", 8.25, 0)
)</f>
        <v>0</v>
      </c>
      <c r="V742" s="25">
        <f>tblPayrollMaster[[#This Row],[Basic Earnings]]-tblPayrollMaster[[#This Row],[Tax]]-tblPayrollMaster[[#This Row],[NIS - Employee]]-tblPayrollMaster[[#This Row],[Health Surcharge]]</f>
        <v>0</v>
      </c>
      <c r="W742" s="25">
        <f>tblPayrollMaster[[#This Row],[Net Pay]]</f>
        <v>0</v>
      </c>
      <c r="X742" s="25"/>
    </row>
    <row r="743" spans="1:24" x14ac:dyDescent="0.25">
      <c r="A743" s="24"/>
      <c r="B743" s="24" t="str">
        <f>_xlfn.XLOOKUP(tblPayrollMaster[[#This Row],[Employee ID]],tblEmployee[Employee ID],tblEmployee[Employee Name],"")</f>
        <v/>
      </c>
      <c r="C743" s="24" t="str">
        <f>_xlfn.XLOOKUP(tblPayrollMaster[[#This Row],[Employee ID]],tblEmployee[Employee ID],tblEmployee[Employee Position],"")</f>
        <v/>
      </c>
      <c r="D743" s="24" t="str">
        <f>_xlfn.XLOOKUP(tblPayrollMaster[[#This Row],[Employee ID]], tblEmployee[Employee ID], tblEmployee[Pay Status], "Pay")</f>
        <v>Pay</v>
      </c>
      <c r="E743" s="24" t="str">
        <f>_xlfn.XLOOKUP(tblPayrollMaster[[#This Row],[Employee ID]], tblEmployee[Employee ID], tblEmployee[Payable Flag], "Y")</f>
        <v>Y</v>
      </c>
      <c r="F743" s="45">
        <f>IF(tblPayrollMaster[[#This Row],[Payable Flag]]="N",0,_xlfn.XLOOKUP(tblPayrollMaster[[#This Row],[Employee ID]],tblEmployee[Employee ID],tblEmployee[Pay Factor],1))</f>
        <v>1</v>
      </c>
      <c r="G743" s="26" t="str" cm="1">
        <f t="array" ref="G743">IF(tblPayrollMaster[[#This Row],[Employee ID]]="","",_xlfn.XLOOKUP(selPayPeriodID,tblPayCalendar[PayPeriodID],tblPayCalendar[PeriodStart],""))</f>
        <v/>
      </c>
      <c r="H743" s="26" t="str" cm="1">
        <f t="array" ref="H743">IF(tblPayrollMaster[[#This Row],[Employee ID]]="","",_xlfn.XLOOKUP(selPayPeriodID,tblPayCalendar[PayPeriodID],tblPayCalendar[PeriodEnd],""))</f>
        <v/>
      </c>
      <c r="I743" s="24" t="e" cm="1" vm="1">
        <f t="array" aca="1" ref="I743" ca="1">Table18[Employer Name]</f>
        <v>#VALUE!</v>
      </c>
      <c r="J743" s="3" cm="1">
        <f t="array" ref="J74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43" s="25" t="str">
        <f>_xlfn.XLOOKUP(tblPayrollMaster[[#This Row],[Employee Position]],tblPositionandPayRate[Employee Position],tblPositionandPayRate[Overtime], " ")</f>
        <v xml:space="preserve"> </v>
      </c>
      <c r="L743" s="25">
        <f>_xlfn.XLOOKUP(tblPayrollMaster[[#This Row],[Employee Position]],tblPositionandPayRate[Employee Position],tblPositionandPayRate[Allowance 1],0)*tblPayrollMaster[[#This Row],[Pay Factor]]</f>
        <v>0</v>
      </c>
      <c r="M743" s="25">
        <f>_xlfn.XLOOKUP(tblPayrollMaster[[#This Row],[Employee Position]],tblPositionandPayRate[Employee Position],tblPositionandPayRate[Allowance 2],0)*tblPayrollMaster[[#This Row],[Pay Factor]]</f>
        <v>0</v>
      </c>
      <c r="N743" s="25">
        <f>_xlfn.XLOOKUP(tblPayrollMaster[[#This Row],[Employee Position]],tblPositionandPayRate[Employee Position],tblPositionandPayRate[Allowance 3],0)*tblPayrollMaster[[#This Row],[Pay Factor]]</f>
        <v>0</v>
      </c>
      <c r="O743" s="25">
        <f>_xlfn.XLOOKUP(tblPayrollMaster[[#This Row],[Employee Position]],tblPositionandPayRate[Employee Position],tblPositionandPayRate[Allowance 4],0)*tblPayrollMaster[[#This Row],[Pay Factor]]</f>
        <v>0</v>
      </c>
      <c r="P743" s="25">
        <f>_xlfn.XLOOKUP(tblPayrollMaster[[#This Row],[Employee Position]],tblPositionandPayRate[Employee Position],tblPositionandPayRate[Allowance 5],0)*tblPayrollMaster[[#This Row],[Pay Factor]]</f>
        <v>0</v>
      </c>
      <c r="Q743" s="25">
        <f>SUM(tblPayrollMaster[[#This Row],[Basic Pay]:[Allowance 5]])</f>
        <v>0</v>
      </c>
      <c r="R74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43" s="51" cm="1">
        <f t="array" ref="S7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43" s="3" cm="1">
        <f t="array" ref="T7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43" s="25">
        <f>_xlfn.LET(
_xlpm.tos, _xlfn.XLOOKUP(tblPayrollMaster[[#This Row],[Employee ID]], tblEmployee[Employee ID], tblEmployee[Type of Service], ""),
IF(_xlpm.tos="Contract of Service", 8.25, 0)
)</f>
        <v>0</v>
      </c>
      <c r="V743" s="25">
        <f>tblPayrollMaster[[#This Row],[Basic Earnings]]-tblPayrollMaster[[#This Row],[Tax]]-tblPayrollMaster[[#This Row],[NIS - Employee]]-tblPayrollMaster[[#This Row],[Health Surcharge]]</f>
        <v>0</v>
      </c>
      <c r="W743" s="25">
        <f>tblPayrollMaster[[#This Row],[Net Pay]]</f>
        <v>0</v>
      </c>
      <c r="X743" s="25"/>
    </row>
    <row r="744" spans="1:24" x14ac:dyDescent="0.25">
      <c r="A744" s="24"/>
      <c r="B744" s="24" t="str">
        <f>_xlfn.XLOOKUP(tblPayrollMaster[[#This Row],[Employee ID]],tblEmployee[Employee ID],tblEmployee[Employee Name],"")</f>
        <v/>
      </c>
      <c r="C744" s="24" t="str">
        <f>_xlfn.XLOOKUP(tblPayrollMaster[[#This Row],[Employee ID]],tblEmployee[Employee ID],tblEmployee[Employee Position],"")</f>
        <v/>
      </c>
      <c r="D744" s="24" t="str">
        <f>_xlfn.XLOOKUP(tblPayrollMaster[[#This Row],[Employee ID]], tblEmployee[Employee ID], tblEmployee[Pay Status], "Pay")</f>
        <v>Pay</v>
      </c>
      <c r="E744" s="24" t="str">
        <f>_xlfn.XLOOKUP(tblPayrollMaster[[#This Row],[Employee ID]], tblEmployee[Employee ID], tblEmployee[Payable Flag], "Y")</f>
        <v>Y</v>
      </c>
      <c r="F744" s="45">
        <f>IF(tblPayrollMaster[[#This Row],[Payable Flag]]="N",0,_xlfn.XLOOKUP(tblPayrollMaster[[#This Row],[Employee ID]],tblEmployee[Employee ID],tblEmployee[Pay Factor],1))</f>
        <v>1</v>
      </c>
      <c r="G744" s="26" t="str" cm="1">
        <f t="array" ref="G744">IF(tblPayrollMaster[[#This Row],[Employee ID]]="","",_xlfn.XLOOKUP(selPayPeriodID,tblPayCalendar[PayPeriodID],tblPayCalendar[PeriodStart],""))</f>
        <v/>
      </c>
      <c r="H744" s="26" t="str" cm="1">
        <f t="array" ref="H744">IF(tblPayrollMaster[[#This Row],[Employee ID]]="","",_xlfn.XLOOKUP(selPayPeriodID,tblPayCalendar[PayPeriodID],tblPayCalendar[PeriodEnd],""))</f>
        <v/>
      </c>
      <c r="I744" s="24" t="e" cm="1" vm="1">
        <f t="array" aca="1" ref="I744" ca="1">Table18[Employer Name]</f>
        <v>#VALUE!</v>
      </c>
      <c r="J744" s="3" cm="1">
        <f t="array" ref="J74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44" s="25" t="str">
        <f>_xlfn.XLOOKUP(tblPayrollMaster[[#This Row],[Employee Position]],tblPositionandPayRate[Employee Position],tblPositionandPayRate[Overtime], " ")</f>
        <v xml:space="preserve"> </v>
      </c>
      <c r="L744" s="25">
        <f>_xlfn.XLOOKUP(tblPayrollMaster[[#This Row],[Employee Position]],tblPositionandPayRate[Employee Position],tblPositionandPayRate[Allowance 1],0)*tblPayrollMaster[[#This Row],[Pay Factor]]</f>
        <v>0</v>
      </c>
      <c r="M744" s="25">
        <f>_xlfn.XLOOKUP(tblPayrollMaster[[#This Row],[Employee Position]],tblPositionandPayRate[Employee Position],tblPositionandPayRate[Allowance 2],0)*tblPayrollMaster[[#This Row],[Pay Factor]]</f>
        <v>0</v>
      </c>
      <c r="N744" s="25">
        <f>_xlfn.XLOOKUP(tblPayrollMaster[[#This Row],[Employee Position]],tblPositionandPayRate[Employee Position],tblPositionandPayRate[Allowance 3],0)*tblPayrollMaster[[#This Row],[Pay Factor]]</f>
        <v>0</v>
      </c>
      <c r="O744" s="25">
        <f>_xlfn.XLOOKUP(tblPayrollMaster[[#This Row],[Employee Position]],tblPositionandPayRate[Employee Position],tblPositionandPayRate[Allowance 4],0)*tblPayrollMaster[[#This Row],[Pay Factor]]</f>
        <v>0</v>
      </c>
      <c r="P744" s="25">
        <f>_xlfn.XLOOKUP(tblPayrollMaster[[#This Row],[Employee Position]],tblPositionandPayRate[Employee Position],tblPositionandPayRate[Allowance 5],0)*tblPayrollMaster[[#This Row],[Pay Factor]]</f>
        <v>0</v>
      </c>
      <c r="Q744" s="25">
        <f>SUM(tblPayrollMaster[[#This Row],[Basic Pay]:[Allowance 5]])</f>
        <v>0</v>
      </c>
      <c r="R74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44" s="51" cm="1">
        <f t="array" ref="S7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44" s="3" cm="1">
        <f t="array" ref="T7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44" s="25">
        <f>_xlfn.LET(
_xlpm.tos, _xlfn.XLOOKUP(tblPayrollMaster[[#This Row],[Employee ID]], tblEmployee[Employee ID], tblEmployee[Type of Service], ""),
IF(_xlpm.tos="Contract of Service", 8.25, 0)
)</f>
        <v>0</v>
      </c>
      <c r="V744" s="25">
        <f>tblPayrollMaster[[#This Row],[Basic Earnings]]-tblPayrollMaster[[#This Row],[Tax]]-tblPayrollMaster[[#This Row],[NIS - Employee]]-tblPayrollMaster[[#This Row],[Health Surcharge]]</f>
        <v>0</v>
      </c>
      <c r="W744" s="25">
        <f>tblPayrollMaster[[#This Row],[Net Pay]]</f>
        <v>0</v>
      </c>
      <c r="X744" s="25"/>
    </row>
    <row r="745" spans="1:24" x14ac:dyDescent="0.25">
      <c r="A745" s="24"/>
      <c r="B745" s="24" t="str">
        <f>_xlfn.XLOOKUP(tblPayrollMaster[[#This Row],[Employee ID]],tblEmployee[Employee ID],tblEmployee[Employee Name],"")</f>
        <v/>
      </c>
      <c r="C745" s="24" t="str">
        <f>_xlfn.XLOOKUP(tblPayrollMaster[[#This Row],[Employee ID]],tblEmployee[Employee ID],tblEmployee[Employee Position],"")</f>
        <v/>
      </c>
      <c r="D745" s="24" t="str">
        <f>_xlfn.XLOOKUP(tblPayrollMaster[[#This Row],[Employee ID]], tblEmployee[Employee ID], tblEmployee[Pay Status], "Pay")</f>
        <v>Pay</v>
      </c>
      <c r="E745" s="24" t="str">
        <f>_xlfn.XLOOKUP(tblPayrollMaster[[#This Row],[Employee ID]], tblEmployee[Employee ID], tblEmployee[Payable Flag], "Y")</f>
        <v>Y</v>
      </c>
      <c r="F745" s="45">
        <f>IF(tblPayrollMaster[[#This Row],[Payable Flag]]="N",0,_xlfn.XLOOKUP(tblPayrollMaster[[#This Row],[Employee ID]],tblEmployee[Employee ID],tblEmployee[Pay Factor],1))</f>
        <v>1</v>
      </c>
      <c r="G745" s="26" t="str" cm="1">
        <f t="array" ref="G745">IF(tblPayrollMaster[[#This Row],[Employee ID]]="","",_xlfn.XLOOKUP(selPayPeriodID,tblPayCalendar[PayPeriodID],tblPayCalendar[PeriodStart],""))</f>
        <v/>
      </c>
      <c r="H745" s="26" t="str" cm="1">
        <f t="array" ref="H745">IF(tblPayrollMaster[[#This Row],[Employee ID]]="","",_xlfn.XLOOKUP(selPayPeriodID,tblPayCalendar[PayPeriodID],tblPayCalendar[PeriodEnd],""))</f>
        <v/>
      </c>
      <c r="I745" s="24" t="e" cm="1" vm="1">
        <f t="array" aca="1" ref="I745" ca="1">Table18[Employer Name]</f>
        <v>#VALUE!</v>
      </c>
      <c r="J745" s="3" cm="1">
        <f t="array" ref="J74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45" s="25" t="str">
        <f>_xlfn.XLOOKUP(tblPayrollMaster[[#This Row],[Employee Position]],tblPositionandPayRate[Employee Position],tblPositionandPayRate[Overtime], " ")</f>
        <v xml:space="preserve"> </v>
      </c>
      <c r="L745" s="25">
        <f>_xlfn.XLOOKUP(tblPayrollMaster[[#This Row],[Employee Position]],tblPositionandPayRate[Employee Position],tblPositionandPayRate[Allowance 1],0)*tblPayrollMaster[[#This Row],[Pay Factor]]</f>
        <v>0</v>
      </c>
      <c r="M745" s="25">
        <f>_xlfn.XLOOKUP(tblPayrollMaster[[#This Row],[Employee Position]],tblPositionandPayRate[Employee Position],tblPositionandPayRate[Allowance 2],0)*tblPayrollMaster[[#This Row],[Pay Factor]]</f>
        <v>0</v>
      </c>
      <c r="N745" s="25">
        <f>_xlfn.XLOOKUP(tblPayrollMaster[[#This Row],[Employee Position]],tblPositionandPayRate[Employee Position],tblPositionandPayRate[Allowance 3],0)*tblPayrollMaster[[#This Row],[Pay Factor]]</f>
        <v>0</v>
      </c>
      <c r="O745" s="25">
        <f>_xlfn.XLOOKUP(tblPayrollMaster[[#This Row],[Employee Position]],tblPositionandPayRate[Employee Position],tblPositionandPayRate[Allowance 4],0)*tblPayrollMaster[[#This Row],[Pay Factor]]</f>
        <v>0</v>
      </c>
      <c r="P745" s="25">
        <f>_xlfn.XLOOKUP(tblPayrollMaster[[#This Row],[Employee Position]],tblPositionandPayRate[Employee Position],tblPositionandPayRate[Allowance 5],0)*tblPayrollMaster[[#This Row],[Pay Factor]]</f>
        <v>0</v>
      </c>
      <c r="Q745" s="25">
        <f>SUM(tblPayrollMaster[[#This Row],[Basic Pay]:[Allowance 5]])</f>
        <v>0</v>
      </c>
      <c r="R74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45" s="51" cm="1">
        <f t="array" ref="S7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45" s="3" cm="1">
        <f t="array" ref="T7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45" s="25">
        <f>_xlfn.LET(
_xlpm.tos, _xlfn.XLOOKUP(tblPayrollMaster[[#This Row],[Employee ID]], tblEmployee[Employee ID], tblEmployee[Type of Service], ""),
IF(_xlpm.tos="Contract of Service", 8.25, 0)
)</f>
        <v>0</v>
      </c>
      <c r="V745" s="25">
        <f>tblPayrollMaster[[#This Row],[Basic Earnings]]-tblPayrollMaster[[#This Row],[Tax]]-tblPayrollMaster[[#This Row],[NIS - Employee]]-tblPayrollMaster[[#This Row],[Health Surcharge]]</f>
        <v>0</v>
      </c>
      <c r="W745" s="25">
        <f>tblPayrollMaster[[#This Row],[Net Pay]]</f>
        <v>0</v>
      </c>
      <c r="X745" s="25"/>
    </row>
    <row r="746" spans="1:24" x14ac:dyDescent="0.25">
      <c r="A746" s="24"/>
      <c r="B746" s="24" t="str">
        <f>_xlfn.XLOOKUP(tblPayrollMaster[[#This Row],[Employee ID]],tblEmployee[Employee ID],tblEmployee[Employee Name],"")</f>
        <v/>
      </c>
      <c r="C746" s="24" t="str">
        <f>_xlfn.XLOOKUP(tblPayrollMaster[[#This Row],[Employee ID]],tblEmployee[Employee ID],tblEmployee[Employee Position],"")</f>
        <v/>
      </c>
      <c r="D746" s="24" t="str">
        <f>_xlfn.XLOOKUP(tblPayrollMaster[[#This Row],[Employee ID]], tblEmployee[Employee ID], tblEmployee[Pay Status], "Pay")</f>
        <v>Pay</v>
      </c>
      <c r="E746" s="24" t="str">
        <f>_xlfn.XLOOKUP(tblPayrollMaster[[#This Row],[Employee ID]], tblEmployee[Employee ID], tblEmployee[Payable Flag], "Y")</f>
        <v>Y</v>
      </c>
      <c r="F746" s="45">
        <f>IF(tblPayrollMaster[[#This Row],[Payable Flag]]="N",0,_xlfn.XLOOKUP(tblPayrollMaster[[#This Row],[Employee ID]],tblEmployee[Employee ID],tblEmployee[Pay Factor],1))</f>
        <v>1</v>
      </c>
      <c r="G746" s="26" t="str" cm="1">
        <f t="array" ref="G746">IF(tblPayrollMaster[[#This Row],[Employee ID]]="","",_xlfn.XLOOKUP(selPayPeriodID,tblPayCalendar[PayPeriodID],tblPayCalendar[PeriodStart],""))</f>
        <v/>
      </c>
      <c r="H746" s="26" t="str" cm="1">
        <f t="array" ref="H746">IF(tblPayrollMaster[[#This Row],[Employee ID]]="","",_xlfn.XLOOKUP(selPayPeriodID,tblPayCalendar[PayPeriodID],tblPayCalendar[PeriodEnd],""))</f>
        <v/>
      </c>
      <c r="I746" s="24" t="e" cm="1" vm="1">
        <f t="array" aca="1" ref="I746" ca="1">Table18[Employer Name]</f>
        <v>#VALUE!</v>
      </c>
      <c r="J746" s="3" cm="1">
        <f t="array" ref="J74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46" s="25" t="str">
        <f>_xlfn.XLOOKUP(tblPayrollMaster[[#This Row],[Employee Position]],tblPositionandPayRate[Employee Position],tblPositionandPayRate[Overtime], " ")</f>
        <v xml:space="preserve"> </v>
      </c>
      <c r="L746" s="25">
        <f>_xlfn.XLOOKUP(tblPayrollMaster[[#This Row],[Employee Position]],tblPositionandPayRate[Employee Position],tblPositionandPayRate[Allowance 1],0)*tblPayrollMaster[[#This Row],[Pay Factor]]</f>
        <v>0</v>
      </c>
      <c r="M746" s="25">
        <f>_xlfn.XLOOKUP(tblPayrollMaster[[#This Row],[Employee Position]],tblPositionandPayRate[Employee Position],tblPositionandPayRate[Allowance 2],0)*tblPayrollMaster[[#This Row],[Pay Factor]]</f>
        <v>0</v>
      </c>
      <c r="N746" s="25">
        <f>_xlfn.XLOOKUP(tblPayrollMaster[[#This Row],[Employee Position]],tblPositionandPayRate[Employee Position],tblPositionandPayRate[Allowance 3],0)*tblPayrollMaster[[#This Row],[Pay Factor]]</f>
        <v>0</v>
      </c>
      <c r="O746" s="25">
        <f>_xlfn.XLOOKUP(tblPayrollMaster[[#This Row],[Employee Position]],tblPositionandPayRate[Employee Position],tblPositionandPayRate[Allowance 4],0)*tblPayrollMaster[[#This Row],[Pay Factor]]</f>
        <v>0</v>
      </c>
      <c r="P746" s="25">
        <f>_xlfn.XLOOKUP(tblPayrollMaster[[#This Row],[Employee Position]],tblPositionandPayRate[Employee Position],tblPositionandPayRate[Allowance 5],0)*tblPayrollMaster[[#This Row],[Pay Factor]]</f>
        <v>0</v>
      </c>
      <c r="Q746" s="25">
        <f>SUM(tblPayrollMaster[[#This Row],[Basic Pay]:[Allowance 5]])</f>
        <v>0</v>
      </c>
      <c r="R74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46" s="51" cm="1">
        <f t="array" ref="S7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46" s="3" cm="1">
        <f t="array" ref="T7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46" s="25">
        <f>_xlfn.LET(
_xlpm.tos, _xlfn.XLOOKUP(tblPayrollMaster[[#This Row],[Employee ID]], tblEmployee[Employee ID], tblEmployee[Type of Service], ""),
IF(_xlpm.tos="Contract of Service", 8.25, 0)
)</f>
        <v>0</v>
      </c>
      <c r="V746" s="25">
        <f>tblPayrollMaster[[#This Row],[Basic Earnings]]-tblPayrollMaster[[#This Row],[Tax]]-tblPayrollMaster[[#This Row],[NIS - Employee]]-tblPayrollMaster[[#This Row],[Health Surcharge]]</f>
        <v>0</v>
      </c>
      <c r="W746" s="25">
        <f>tblPayrollMaster[[#This Row],[Net Pay]]</f>
        <v>0</v>
      </c>
      <c r="X746" s="25"/>
    </row>
    <row r="747" spans="1:24" x14ac:dyDescent="0.25">
      <c r="A747" s="24"/>
      <c r="B747" s="24" t="str">
        <f>_xlfn.XLOOKUP(tblPayrollMaster[[#This Row],[Employee ID]],tblEmployee[Employee ID],tblEmployee[Employee Name],"")</f>
        <v/>
      </c>
      <c r="C747" s="24" t="str">
        <f>_xlfn.XLOOKUP(tblPayrollMaster[[#This Row],[Employee ID]],tblEmployee[Employee ID],tblEmployee[Employee Position],"")</f>
        <v/>
      </c>
      <c r="D747" s="24" t="str">
        <f>_xlfn.XLOOKUP(tblPayrollMaster[[#This Row],[Employee ID]], tblEmployee[Employee ID], tblEmployee[Pay Status], "Pay")</f>
        <v>Pay</v>
      </c>
      <c r="E747" s="24" t="str">
        <f>_xlfn.XLOOKUP(tblPayrollMaster[[#This Row],[Employee ID]], tblEmployee[Employee ID], tblEmployee[Payable Flag], "Y")</f>
        <v>Y</v>
      </c>
      <c r="F747" s="45">
        <f>IF(tblPayrollMaster[[#This Row],[Payable Flag]]="N",0,_xlfn.XLOOKUP(tblPayrollMaster[[#This Row],[Employee ID]],tblEmployee[Employee ID],tblEmployee[Pay Factor],1))</f>
        <v>1</v>
      </c>
      <c r="G747" s="26" t="str" cm="1">
        <f t="array" ref="G747">IF(tblPayrollMaster[[#This Row],[Employee ID]]="","",_xlfn.XLOOKUP(selPayPeriodID,tblPayCalendar[PayPeriodID],tblPayCalendar[PeriodStart],""))</f>
        <v/>
      </c>
      <c r="H747" s="26" t="str" cm="1">
        <f t="array" ref="H747">IF(tblPayrollMaster[[#This Row],[Employee ID]]="","",_xlfn.XLOOKUP(selPayPeriodID,tblPayCalendar[PayPeriodID],tblPayCalendar[PeriodEnd],""))</f>
        <v/>
      </c>
      <c r="I747" s="24" t="e" cm="1" vm="1">
        <f t="array" aca="1" ref="I747" ca="1">Table18[Employer Name]</f>
        <v>#VALUE!</v>
      </c>
      <c r="J747" s="3" cm="1">
        <f t="array" ref="J74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47" s="25" t="str">
        <f>_xlfn.XLOOKUP(tblPayrollMaster[[#This Row],[Employee Position]],tblPositionandPayRate[Employee Position],tblPositionandPayRate[Overtime], " ")</f>
        <v xml:space="preserve"> </v>
      </c>
      <c r="L747" s="25">
        <f>_xlfn.XLOOKUP(tblPayrollMaster[[#This Row],[Employee Position]],tblPositionandPayRate[Employee Position],tblPositionandPayRate[Allowance 1],0)*tblPayrollMaster[[#This Row],[Pay Factor]]</f>
        <v>0</v>
      </c>
      <c r="M747" s="25">
        <f>_xlfn.XLOOKUP(tblPayrollMaster[[#This Row],[Employee Position]],tblPositionandPayRate[Employee Position],tblPositionandPayRate[Allowance 2],0)*tblPayrollMaster[[#This Row],[Pay Factor]]</f>
        <v>0</v>
      </c>
      <c r="N747" s="25">
        <f>_xlfn.XLOOKUP(tblPayrollMaster[[#This Row],[Employee Position]],tblPositionandPayRate[Employee Position],tblPositionandPayRate[Allowance 3],0)*tblPayrollMaster[[#This Row],[Pay Factor]]</f>
        <v>0</v>
      </c>
      <c r="O747" s="25">
        <f>_xlfn.XLOOKUP(tblPayrollMaster[[#This Row],[Employee Position]],tblPositionandPayRate[Employee Position],tblPositionandPayRate[Allowance 4],0)*tblPayrollMaster[[#This Row],[Pay Factor]]</f>
        <v>0</v>
      </c>
      <c r="P747" s="25">
        <f>_xlfn.XLOOKUP(tblPayrollMaster[[#This Row],[Employee Position]],tblPositionandPayRate[Employee Position],tblPositionandPayRate[Allowance 5],0)*tblPayrollMaster[[#This Row],[Pay Factor]]</f>
        <v>0</v>
      </c>
      <c r="Q747" s="25">
        <f>SUM(tblPayrollMaster[[#This Row],[Basic Pay]:[Allowance 5]])</f>
        <v>0</v>
      </c>
      <c r="R74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47" s="51" cm="1">
        <f t="array" ref="S7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47" s="3" cm="1">
        <f t="array" ref="T7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47" s="25">
        <f>_xlfn.LET(
_xlpm.tos, _xlfn.XLOOKUP(tblPayrollMaster[[#This Row],[Employee ID]], tblEmployee[Employee ID], tblEmployee[Type of Service], ""),
IF(_xlpm.tos="Contract of Service", 8.25, 0)
)</f>
        <v>0</v>
      </c>
      <c r="V747" s="25">
        <f>tblPayrollMaster[[#This Row],[Basic Earnings]]-tblPayrollMaster[[#This Row],[Tax]]-tblPayrollMaster[[#This Row],[NIS - Employee]]-tblPayrollMaster[[#This Row],[Health Surcharge]]</f>
        <v>0</v>
      </c>
      <c r="W747" s="25">
        <f>tblPayrollMaster[[#This Row],[Net Pay]]</f>
        <v>0</v>
      </c>
      <c r="X747" s="25"/>
    </row>
    <row r="748" spans="1:24" x14ac:dyDescent="0.25">
      <c r="A748" s="24"/>
      <c r="B748" s="24" t="str">
        <f>_xlfn.XLOOKUP(tblPayrollMaster[[#This Row],[Employee ID]],tblEmployee[Employee ID],tblEmployee[Employee Name],"")</f>
        <v/>
      </c>
      <c r="C748" s="24" t="str">
        <f>_xlfn.XLOOKUP(tblPayrollMaster[[#This Row],[Employee ID]],tblEmployee[Employee ID],tblEmployee[Employee Position],"")</f>
        <v/>
      </c>
      <c r="D748" s="24" t="str">
        <f>_xlfn.XLOOKUP(tblPayrollMaster[[#This Row],[Employee ID]], tblEmployee[Employee ID], tblEmployee[Pay Status], "Pay")</f>
        <v>Pay</v>
      </c>
      <c r="E748" s="24" t="str">
        <f>_xlfn.XLOOKUP(tblPayrollMaster[[#This Row],[Employee ID]], tblEmployee[Employee ID], tblEmployee[Payable Flag], "Y")</f>
        <v>Y</v>
      </c>
      <c r="F748" s="45">
        <f>IF(tblPayrollMaster[[#This Row],[Payable Flag]]="N",0,_xlfn.XLOOKUP(tblPayrollMaster[[#This Row],[Employee ID]],tblEmployee[Employee ID],tblEmployee[Pay Factor],1))</f>
        <v>1</v>
      </c>
      <c r="G748" s="26" t="str" cm="1">
        <f t="array" ref="G748">IF(tblPayrollMaster[[#This Row],[Employee ID]]="","",_xlfn.XLOOKUP(selPayPeriodID,tblPayCalendar[PayPeriodID],tblPayCalendar[PeriodStart],""))</f>
        <v/>
      </c>
      <c r="H748" s="26" t="str" cm="1">
        <f t="array" ref="H748">IF(tblPayrollMaster[[#This Row],[Employee ID]]="","",_xlfn.XLOOKUP(selPayPeriodID,tblPayCalendar[PayPeriodID],tblPayCalendar[PeriodEnd],""))</f>
        <v/>
      </c>
      <c r="I748" s="24" t="e" cm="1" vm="1">
        <f t="array" aca="1" ref="I748" ca="1">Table18[Employer Name]</f>
        <v>#VALUE!</v>
      </c>
      <c r="J748" s="3" cm="1">
        <f t="array" ref="J74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48" s="25" t="str">
        <f>_xlfn.XLOOKUP(tblPayrollMaster[[#This Row],[Employee Position]],tblPositionandPayRate[Employee Position],tblPositionandPayRate[Overtime], " ")</f>
        <v xml:space="preserve"> </v>
      </c>
      <c r="L748" s="25">
        <f>_xlfn.XLOOKUP(tblPayrollMaster[[#This Row],[Employee Position]],tblPositionandPayRate[Employee Position],tblPositionandPayRate[Allowance 1],0)*tblPayrollMaster[[#This Row],[Pay Factor]]</f>
        <v>0</v>
      </c>
      <c r="M748" s="25">
        <f>_xlfn.XLOOKUP(tblPayrollMaster[[#This Row],[Employee Position]],tblPositionandPayRate[Employee Position],tblPositionandPayRate[Allowance 2],0)*tblPayrollMaster[[#This Row],[Pay Factor]]</f>
        <v>0</v>
      </c>
      <c r="N748" s="25">
        <f>_xlfn.XLOOKUP(tblPayrollMaster[[#This Row],[Employee Position]],tblPositionandPayRate[Employee Position],tblPositionandPayRate[Allowance 3],0)*tblPayrollMaster[[#This Row],[Pay Factor]]</f>
        <v>0</v>
      </c>
      <c r="O748" s="25">
        <f>_xlfn.XLOOKUP(tblPayrollMaster[[#This Row],[Employee Position]],tblPositionandPayRate[Employee Position],tblPositionandPayRate[Allowance 4],0)*tblPayrollMaster[[#This Row],[Pay Factor]]</f>
        <v>0</v>
      </c>
      <c r="P748" s="25">
        <f>_xlfn.XLOOKUP(tblPayrollMaster[[#This Row],[Employee Position]],tblPositionandPayRate[Employee Position],tblPositionandPayRate[Allowance 5],0)*tblPayrollMaster[[#This Row],[Pay Factor]]</f>
        <v>0</v>
      </c>
      <c r="Q748" s="25">
        <f>SUM(tblPayrollMaster[[#This Row],[Basic Pay]:[Allowance 5]])</f>
        <v>0</v>
      </c>
      <c r="R74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48" s="51" cm="1">
        <f t="array" ref="S7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48" s="3" cm="1">
        <f t="array" ref="T7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48" s="25">
        <f>_xlfn.LET(
_xlpm.tos, _xlfn.XLOOKUP(tblPayrollMaster[[#This Row],[Employee ID]], tblEmployee[Employee ID], tblEmployee[Type of Service], ""),
IF(_xlpm.tos="Contract of Service", 8.25, 0)
)</f>
        <v>0</v>
      </c>
      <c r="V748" s="25">
        <f>tblPayrollMaster[[#This Row],[Basic Earnings]]-tblPayrollMaster[[#This Row],[Tax]]-tblPayrollMaster[[#This Row],[NIS - Employee]]-tblPayrollMaster[[#This Row],[Health Surcharge]]</f>
        <v>0</v>
      </c>
      <c r="W748" s="25">
        <f>tblPayrollMaster[[#This Row],[Net Pay]]</f>
        <v>0</v>
      </c>
      <c r="X748" s="25"/>
    </row>
    <row r="749" spans="1:24" x14ac:dyDescent="0.25">
      <c r="A749" s="24"/>
      <c r="B749" s="24" t="str">
        <f>_xlfn.XLOOKUP(tblPayrollMaster[[#This Row],[Employee ID]],tblEmployee[Employee ID],tblEmployee[Employee Name],"")</f>
        <v/>
      </c>
      <c r="C749" s="24" t="str">
        <f>_xlfn.XLOOKUP(tblPayrollMaster[[#This Row],[Employee ID]],tblEmployee[Employee ID],tblEmployee[Employee Position],"")</f>
        <v/>
      </c>
      <c r="D749" s="24" t="str">
        <f>_xlfn.XLOOKUP(tblPayrollMaster[[#This Row],[Employee ID]], tblEmployee[Employee ID], tblEmployee[Pay Status], "Pay")</f>
        <v>Pay</v>
      </c>
      <c r="E749" s="24" t="str">
        <f>_xlfn.XLOOKUP(tblPayrollMaster[[#This Row],[Employee ID]], tblEmployee[Employee ID], tblEmployee[Payable Flag], "Y")</f>
        <v>Y</v>
      </c>
      <c r="F749" s="45">
        <f>IF(tblPayrollMaster[[#This Row],[Payable Flag]]="N",0,_xlfn.XLOOKUP(tblPayrollMaster[[#This Row],[Employee ID]],tblEmployee[Employee ID],tblEmployee[Pay Factor],1))</f>
        <v>1</v>
      </c>
      <c r="G749" s="26" t="str" cm="1">
        <f t="array" ref="G749">IF(tblPayrollMaster[[#This Row],[Employee ID]]="","",_xlfn.XLOOKUP(selPayPeriodID,tblPayCalendar[PayPeriodID],tblPayCalendar[PeriodStart],""))</f>
        <v/>
      </c>
      <c r="H749" s="26" t="str" cm="1">
        <f t="array" ref="H749">IF(tblPayrollMaster[[#This Row],[Employee ID]]="","",_xlfn.XLOOKUP(selPayPeriodID,tblPayCalendar[PayPeriodID],tblPayCalendar[PeriodEnd],""))</f>
        <v/>
      </c>
      <c r="I749" s="24" t="e" cm="1" vm="1">
        <f t="array" aca="1" ref="I749" ca="1">Table18[Employer Name]</f>
        <v>#VALUE!</v>
      </c>
      <c r="J749" s="3" cm="1">
        <f t="array" ref="J74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49" s="25" t="str">
        <f>_xlfn.XLOOKUP(tblPayrollMaster[[#This Row],[Employee Position]],tblPositionandPayRate[Employee Position],tblPositionandPayRate[Overtime], " ")</f>
        <v xml:space="preserve"> </v>
      </c>
      <c r="L749" s="25">
        <f>_xlfn.XLOOKUP(tblPayrollMaster[[#This Row],[Employee Position]],tblPositionandPayRate[Employee Position],tblPositionandPayRate[Allowance 1],0)*tblPayrollMaster[[#This Row],[Pay Factor]]</f>
        <v>0</v>
      </c>
      <c r="M749" s="25">
        <f>_xlfn.XLOOKUP(tblPayrollMaster[[#This Row],[Employee Position]],tblPositionandPayRate[Employee Position],tblPositionandPayRate[Allowance 2],0)*tblPayrollMaster[[#This Row],[Pay Factor]]</f>
        <v>0</v>
      </c>
      <c r="N749" s="25">
        <f>_xlfn.XLOOKUP(tblPayrollMaster[[#This Row],[Employee Position]],tblPositionandPayRate[Employee Position],tblPositionandPayRate[Allowance 3],0)*tblPayrollMaster[[#This Row],[Pay Factor]]</f>
        <v>0</v>
      </c>
      <c r="O749" s="25">
        <f>_xlfn.XLOOKUP(tblPayrollMaster[[#This Row],[Employee Position]],tblPositionandPayRate[Employee Position],tblPositionandPayRate[Allowance 4],0)*tblPayrollMaster[[#This Row],[Pay Factor]]</f>
        <v>0</v>
      </c>
      <c r="P749" s="25">
        <f>_xlfn.XLOOKUP(tblPayrollMaster[[#This Row],[Employee Position]],tblPositionandPayRate[Employee Position],tblPositionandPayRate[Allowance 5],0)*tblPayrollMaster[[#This Row],[Pay Factor]]</f>
        <v>0</v>
      </c>
      <c r="Q749" s="25">
        <f>SUM(tblPayrollMaster[[#This Row],[Basic Pay]:[Allowance 5]])</f>
        <v>0</v>
      </c>
      <c r="R74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49" s="51" cm="1">
        <f t="array" ref="S7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49" s="3" cm="1">
        <f t="array" ref="T7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49" s="25">
        <f>_xlfn.LET(
_xlpm.tos, _xlfn.XLOOKUP(tblPayrollMaster[[#This Row],[Employee ID]], tblEmployee[Employee ID], tblEmployee[Type of Service], ""),
IF(_xlpm.tos="Contract of Service", 8.25, 0)
)</f>
        <v>0</v>
      </c>
      <c r="V749" s="25">
        <f>tblPayrollMaster[[#This Row],[Basic Earnings]]-tblPayrollMaster[[#This Row],[Tax]]-tblPayrollMaster[[#This Row],[NIS - Employee]]-tblPayrollMaster[[#This Row],[Health Surcharge]]</f>
        <v>0</v>
      </c>
      <c r="W749" s="25">
        <f>tblPayrollMaster[[#This Row],[Net Pay]]</f>
        <v>0</v>
      </c>
      <c r="X749" s="25"/>
    </row>
    <row r="750" spans="1:24" x14ac:dyDescent="0.25">
      <c r="A750" s="24"/>
      <c r="B750" s="24" t="str">
        <f>_xlfn.XLOOKUP(tblPayrollMaster[[#This Row],[Employee ID]],tblEmployee[Employee ID],tblEmployee[Employee Name],"")</f>
        <v/>
      </c>
      <c r="C750" s="24" t="str">
        <f>_xlfn.XLOOKUP(tblPayrollMaster[[#This Row],[Employee ID]],tblEmployee[Employee ID],tblEmployee[Employee Position],"")</f>
        <v/>
      </c>
      <c r="D750" s="24" t="str">
        <f>_xlfn.XLOOKUP(tblPayrollMaster[[#This Row],[Employee ID]], tblEmployee[Employee ID], tblEmployee[Pay Status], "Pay")</f>
        <v>Pay</v>
      </c>
      <c r="E750" s="24" t="str">
        <f>_xlfn.XLOOKUP(tblPayrollMaster[[#This Row],[Employee ID]], tblEmployee[Employee ID], tblEmployee[Payable Flag], "Y")</f>
        <v>Y</v>
      </c>
      <c r="F750" s="45">
        <f>IF(tblPayrollMaster[[#This Row],[Payable Flag]]="N",0,_xlfn.XLOOKUP(tblPayrollMaster[[#This Row],[Employee ID]],tblEmployee[Employee ID],tblEmployee[Pay Factor],1))</f>
        <v>1</v>
      </c>
      <c r="G750" s="26" t="str" cm="1">
        <f t="array" ref="G750">IF(tblPayrollMaster[[#This Row],[Employee ID]]="","",_xlfn.XLOOKUP(selPayPeriodID,tblPayCalendar[PayPeriodID],tblPayCalendar[PeriodStart],""))</f>
        <v/>
      </c>
      <c r="H750" s="26" t="str" cm="1">
        <f t="array" ref="H750">IF(tblPayrollMaster[[#This Row],[Employee ID]]="","",_xlfn.XLOOKUP(selPayPeriodID,tblPayCalendar[PayPeriodID],tblPayCalendar[PeriodEnd],""))</f>
        <v/>
      </c>
      <c r="I750" s="24" t="e" cm="1" vm="1">
        <f t="array" aca="1" ref="I750" ca="1">Table18[Employer Name]</f>
        <v>#VALUE!</v>
      </c>
      <c r="J750" s="3" cm="1">
        <f t="array" ref="J75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50" s="25" t="str">
        <f>_xlfn.XLOOKUP(tblPayrollMaster[[#This Row],[Employee Position]],tblPositionandPayRate[Employee Position],tblPositionandPayRate[Overtime], " ")</f>
        <v xml:space="preserve"> </v>
      </c>
      <c r="L750" s="25">
        <f>_xlfn.XLOOKUP(tblPayrollMaster[[#This Row],[Employee Position]],tblPositionandPayRate[Employee Position],tblPositionandPayRate[Allowance 1],0)*tblPayrollMaster[[#This Row],[Pay Factor]]</f>
        <v>0</v>
      </c>
      <c r="M750" s="25">
        <f>_xlfn.XLOOKUP(tblPayrollMaster[[#This Row],[Employee Position]],tblPositionandPayRate[Employee Position],tblPositionandPayRate[Allowance 2],0)*tblPayrollMaster[[#This Row],[Pay Factor]]</f>
        <v>0</v>
      </c>
      <c r="N750" s="25">
        <f>_xlfn.XLOOKUP(tblPayrollMaster[[#This Row],[Employee Position]],tblPositionandPayRate[Employee Position],tblPositionandPayRate[Allowance 3],0)*tblPayrollMaster[[#This Row],[Pay Factor]]</f>
        <v>0</v>
      </c>
      <c r="O750" s="25">
        <f>_xlfn.XLOOKUP(tblPayrollMaster[[#This Row],[Employee Position]],tblPositionandPayRate[Employee Position],tblPositionandPayRate[Allowance 4],0)*tblPayrollMaster[[#This Row],[Pay Factor]]</f>
        <v>0</v>
      </c>
      <c r="P750" s="25">
        <f>_xlfn.XLOOKUP(tblPayrollMaster[[#This Row],[Employee Position]],tblPositionandPayRate[Employee Position],tblPositionandPayRate[Allowance 5],0)*tblPayrollMaster[[#This Row],[Pay Factor]]</f>
        <v>0</v>
      </c>
      <c r="Q750" s="25">
        <f>SUM(tblPayrollMaster[[#This Row],[Basic Pay]:[Allowance 5]])</f>
        <v>0</v>
      </c>
      <c r="R75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50" s="51" cm="1">
        <f t="array" ref="S7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50" s="3" cm="1">
        <f t="array" ref="T7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50" s="25">
        <f>_xlfn.LET(
_xlpm.tos, _xlfn.XLOOKUP(tblPayrollMaster[[#This Row],[Employee ID]], tblEmployee[Employee ID], tblEmployee[Type of Service], ""),
IF(_xlpm.tos="Contract of Service", 8.25, 0)
)</f>
        <v>0</v>
      </c>
      <c r="V750" s="25">
        <f>tblPayrollMaster[[#This Row],[Basic Earnings]]-tblPayrollMaster[[#This Row],[Tax]]-tblPayrollMaster[[#This Row],[NIS - Employee]]-tblPayrollMaster[[#This Row],[Health Surcharge]]</f>
        <v>0</v>
      </c>
      <c r="W750" s="25">
        <f>tblPayrollMaster[[#This Row],[Net Pay]]</f>
        <v>0</v>
      </c>
      <c r="X750" s="25"/>
    </row>
    <row r="751" spans="1:24" x14ac:dyDescent="0.25">
      <c r="A751" s="24"/>
      <c r="B751" s="24" t="str">
        <f>_xlfn.XLOOKUP(tblPayrollMaster[[#This Row],[Employee ID]],tblEmployee[Employee ID],tblEmployee[Employee Name],"")</f>
        <v/>
      </c>
      <c r="C751" s="24" t="str">
        <f>_xlfn.XLOOKUP(tblPayrollMaster[[#This Row],[Employee ID]],tblEmployee[Employee ID],tblEmployee[Employee Position],"")</f>
        <v/>
      </c>
      <c r="D751" s="24" t="str">
        <f>_xlfn.XLOOKUP(tblPayrollMaster[[#This Row],[Employee ID]], tblEmployee[Employee ID], tblEmployee[Pay Status], "Pay")</f>
        <v>Pay</v>
      </c>
      <c r="E751" s="24" t="str">
        <f>_xlfn.XLOOKUP(tblPayrollMaster[[#This Row],[Employee ID]], tblEmployee[Employee ID], tblEmployee[Payable Flag], "Y")</f>
        <v>Y</v>
      </c>
      <c r="F751" s="45">
        <f>IF(tblPayrollMaster[[#This Row],[Payable Flag]]="N",0,_xlfn.XLOOKUP(tblPayrollMaster[[#This Row],[Employee ID]],tblEmployee[Employee ID],tblEmployee[Pay Factor],1))</f>
        <v>1</v>
      </c>
      <c r="G751" s="26" t="str" cm="1">
        <f t="array" ref="G751">IF(tblPayrollMaster[[#This Row],[Employee ID]]="","",_xlfn.XLOOKUP(selPayPeriodID,tblPayCalendar[PayPeriodID],tblPayCalendar[PeriodStart],""))</f>
        <v/>
      </c>
      <c r="H751" s="26" t="str" cm="1">
        <f t="array" ref="H751">IF(tblPayrollMaster[[#This Row],[Employee ID]]="","",_xlfn.XLOOKUP(selPayPeriodID,tblPayCalendar[PayPeriodID],tblPayCalendar[PeriodEnd],""))</f>
        <v/>
      </c>
      <c r="I751" s="24" t="e" cm="1" vm="1">
        <f t="array" aca="1" ref="I751" ca="1">Table18[Employer Name]</f>
        <v>#VALUE!</v>
      </c>
      <c r="J751" s="3" cm="1">
        <f t="array" ref="J75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51" s="25" t="str">
        <f>_xlfn.XLOOKUP(tblPayrollMaster[[#This Row],[Employee Position]],tblPositionandPayRate[Employee Position],tblPositionandPayRate[Overtime], " ")</f>
        <v xml:space="preserve"> </v>
      </c>
      <c r="L751" s="25">
        <f>_xlfn.XLOOKUP(tblPayrollMaster[[#This Row],[Employee Position]],tblPositionandPayRate[Employee Position],tblPositionandPayRate[Allowance 1],0)*tblPayrollMaster[[#This Row],[Pay Factor]]</f>
        <v>0</v>
      </c>
      <c r="M751" s="25">
        <f>_xlfn.XLOOKUP(tblPayrollMaster[[#This Row],[Employee Position]],tblPositionandPayRate[Employee Position],tblPositionandPayRate[Allowance 2],0)*tblPayrollMaster[[#This Row],[Pay Factor]]</f>
        <v>0</v>
      </c>
      <c r="N751" s="25">
        <f>_xlfn.XLOOKUP(tblPayrollMaster[[#This Row],[Employee Position]],tblPositionandPayRate[Employee Position],tblPositionandPayRate[Allowance 3],0)*tblPayrollMaster[[#This Row],[Pay Factor]]</f>
        <v>0</v>
      </c>
      <c r="O751" s="25">
        <f>_xlfn.XLOOKUP(tblPayrollMaster[[#This Row],[Employee Position]],tblPositionandPayRate[Employee Position],tblPositionandPayRate[Allowance 4],0)*tblPayrollMaster[[#This Row],[Pay Factor]]</f>
        <v>0</v>
      </c>
      <c r="P751" s="25">
        <f>_xlfn.XLOOKUP(tblPayrollMaster[[#This Row],[Employee Position]],tblPositionandPayRate[Employee Position],tblPositionandPayRate[Allowance 5],0)*tblPayrollMaster[[#This Row],[Pay Factor]]</f>
        <v>0</v>
      </c>
      <c r="Q751" s="25">
        <f>SUM(tblPayrollMaster[[#This Row],[Basic Pay]:[Allowance 5]])</f>
        <v>0</v>
      </c>
      <c r="R75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51" s="51" cm="1">
        <f t="array" ref="S7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51" s="3" cm="1">
        <f t="array" ref="T7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51" s="25">
        <f>_xlfn.LET(
_xlpm.tos, _xlfn.XLOOKUP(tblPayrollMaster[[#This Row],[Employee ID]], tblEmployee[Employee ID], tblEmployee[Type of Service], ""),
IF(_xlpm.tos="Contract of Service", 8.25, 0)
)</f>
        <v>0</v>
      </c>
      <c r="V751" s="25">
        <f>tblPayrollMaster[[#This Row],[Basic Earnings]]-tblPayrollMaster[[#This Row],[Tax]]-tblPayrollMaster[[#This Row],[NIS - Employee]]-tblPayrollMaster[[#This Row],[Health Surcharge]]</f>
        <v>0</v>
      </c>
      <c r="W751" s="25">
        <f>tblPayrollMaster[[#This Row],[Net Pay]]</f>
        <v>0</v>
      </c>
      <c r="X751" s="25"/>
    </row>
    <row r="752" spans="1:24" x14ac:dyDescent="0.25">
      <c r="A752" s="24"/>
      <c r="B752" s="24" t="str">
        <f>_xlfn.XLOOKUP(tblPayrollMaster[[#This Row],[Employee ID]],tblEmployee[Employee ID],tblEmployee[Employee Name],"")</f>
        <v/>
      </c>
      <c r="C752" s="24" t="str">
        <f>_xlfn.XLOOKUP(tblPayrollMaster[[#This Row],[Employee ID]],tblEmployee[Employee ID],tblEmployee[Employee Position],"")</f>
        <v/>
      </c>
      <c r="D752" s="24" t="str">
        <f>_xlfn.XLOOKUP(tblPayrollMaster[[#This Row],[Employee ID]], tblEmployee[Employee ID], tblEmployee[Pay Status], "Pay")</f>
        <v>Pay</v>
      </c>
      <c r="E752" s="24" t="str">
        <f>_xlfn.XLOOKUP(tblPayrollMaster[[#This Row],[Employee ID]], tblEmployee[Employee ID], tblEmployee[Payable Flag], "Y")</f>
        <v>Y</v>
      </c>
      <c r="F752" s="45">
        <f>IF(tblPayrollMaster[[#This Row],[Payable Flag]]="N",0,_xlfn.XLOOKUP(tblPayrollMaster[[#This Row],[Employee ID]],tblEmployee[Employee ID],tblEmployee[Pay Factor],1))</f>
        <v>1</v>
      </c>
      <c r="G752" s="26" t="str" cm="1">
        <f t="array" ref="G752">IF(tblPayrollMaster[[#This Row],[Employee ID]]="","",_xlfn.XLOOKUP(selPayPeriodID,tblPayCalendar[PayPeriodID],tblPayCalendar[PeriodStart],""))</f>
        <v/>
      </c>
      <c r="H752" s="26" t="str" cm="1">
        <f t="array" ref="H752">IF(tblPayrollMaster[[#This Row],[Employee ID]]="","",_xlfn.XLOOKUP(selPayPeriodID,tblPayCalendar[PayPeriodID],tblPayCalendar[PeriodEnd],""))</f>
        <v/>
      </c>
      <c r="I752" s="24" t="e" cm="1" vm="1">
        <f t="array" aca="1" ref="I752" ca="1">Table18[Employer Name]</f>
        <v>#VALUE!</v>
      </c>
      <c r="J752" s="3" cm="1">
        <f t="array" ref="J75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52" s="25" t="str">
        <f>_xlfn.XLOOKUP(tblPayrollMaster[[#This Row],[Employee Position]],tblPositionandPayRate[Employee Position],tblPositionandPayRate[Overtime], " ")</f>
        <v xml:space="preserve"> </v>
      </c>
      <c r="L752" s="25">
        <f>_xlfn.XLOOKUP(tblPayrollMaster[[#This Row],[Employee Position]],tblPositionandPayRate[Employee Position],tblPositionandPayRate[Allowance 1],0)*tblPayrollMaster[[#This Row],[Pay Factor]]</f>
        <v>0</v>
      </c>
      <c r="M752" s="25">
        <f>_xlfn.XLOOKUP(tblPayrollMaster[[#This Row],[Employee Position]],tblPositionandPayRate[Employee Position],tblPositionandPayRate[Allowance 2],0)*tblPayrollMaster[[#This Row],[Pay Factor]]</f>
        <v>0</v>
      </c>
      <c r="N752" s="25">
        <f>_xlfn.XLOOKUP(tblPayrollMaster[[#This Row],[Employee Position]],tblPositionandPayRate[Employee Position],tblPositionandPayRate[Allowance 3],0)*tblPayrollMaster[[#This Row],[Pay Factor]]</f>
        <v>0</v>
      </c>
      <c r="O752" s="25">
        <f>_xlfn.XLOOKUP(tblPayrollMaster[[#This Row],[Employee Position]],tblPositionandPayRate[Employee Position],tblPositionandPayRate[Allowance 4],0)*tblPayrollMaster[[#This Row],[Pay Factor]]</f>
        <v>0</v>
      </c>
      <c r="P752" s="25">
        <f>_xlfn.XLOOKUP(tblPayrollMaster[[#This Row],[Employee Position]],tblPositionandPayRate[Employee Position],tblPositionandPayRate[Allowance 5],0)*tblPayrollMaster[[#This Row],[Pay Factor]]</f>
        <v>0</v>
      </c>
      <c r="Q752" s="25">
        <f>SUM(tblPayrollMaster[[#This Row],[Basic Pay]:[Allowance 5]])</f>
        <v>0</v>
      </c>
      <c r="R75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52" s="51" cm="1">
        <f t="array" ref="S7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52" s="3" cm="1">
        <f t="array" ref="T7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52" s="25">
        <f>_xlfn.LET(
_xlpm.tos, _xlfn.XLOOKUP(tblPayrollMaster[[#This Row],[Employee ID]], tblEmployee[Employee ID], tblEmployee[Type of Service], ""),
IF(_xlpm.tos="Contract of Service", 8.25, 0)
)</f>
        <v>0</v>
      </c>
      <c r="V752" s="25">
        <f>tblPayrollMaster[[#This Row],[Basic Earnings]]-tblPayrollMaster[[#This Row],[Tax]]-tblPayrollMaster[[#This Row],[NIS - Employee]]-tblPayrollMaster[[#This Row],[Health Surcharge]]</f>
        <v>0</v>
      </c>
      <c r="W752" s="25">
        <f>tblPayrollMaster[[#This Row],[Net Pay]]</f>
        <v>0</v>
      </c>
      <c r="X752" s="25"/>
    </row>
    <row r="753" spans="1:24" x14ac:dyDescent="0.25">
      <c r="A753" s="24"/>
      <c r="B753" s="24" t="str">
        <f>_xlfn.XLOOKUP(tblPayrollMaster[[#This Row],[Employee ID]],tblEmployee[Employee ID],tblEmployee[Employee Name],"")</f>
        <v/>
      </c>
      <c r="C753" s="24" t="str">
        <f>_xlfn.XLOOKUP(tblPayrollMaster[[#This Row],[Employee ID]],tblEmployee[Employee ID],tblEmployee[Employee Position],"")</f>
        <v/>
      </c>
      <c r="D753" s="24" t="str">
        <f>_xlfn.XLOOKUP(tblPayrollMaster[[#This Row],[Employee ID]], tblEmployee[Employee ID], tblEmployee[Pay Status], "Pay")</f>
        <v>Pay</v>
      </c>
      <c r="E753" s="24" t="str">
        <f>_xlfn.XLOOKUP(tblPayrollMaster[[#This Row],[Employee ID]], tblEmployee[Employee ID], tblEmployee[Payable Flag], "Y")</f>
        <v>Y</v>
      </c>
      <c r="F753" s="45">
        <f>IF(tblPayrollMaster[[#This Row],[Payable Flag]]="N",0,_xlfn.XLOOKUP(tblPayrollMaster[[#This Row],[Employee ID]],tblEmployee[Employee ID],tblEmployee[Pay Factor],1))</f>
        <v>1</v>
      </c>
      <c r="G753" s="26" t="str" cm="1">
        <f t="array" ref="G753">IF(tblPayrollMaster[[#This Row],[Employee ID]]="","",_xlfn.XLOOKUP(selPayPeriodID,tblPayCalendar[PayPeriodID],tblPayCalendar[PeriodStart],""))</f>
        <v/>
      </c>
      <c r="H753" s="26" t="str" cm="1">
        <f t="array" ref="H753">IF(tblPayrollMaster[[#This Row],[Employee ID]]="","",_xlfn.XLOOKUP(selPayPeriodID,tblPayCalendar[PayPeriodID],tblPayCalendar[PeriodEnd],""))</f>
        <v/>
      </c>
      <c r="I753" s="24" t="e" cm="1" vm="1">
        <f t="array" aca="1" ref="I753" ca="1">Table18[Employer Name]</f>
        <v>#VALUE!</v>
      </c>
      <c r="J753" s="3" cm="1">
        <f t="array" ref="J75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53" s="25" t="str">
        <f>_xlfn.XLOOKUP(tblPayrollMaster[[#This Row],[Employee Position]],tblPositionandPayRate[Employee Position],tblPositionandPayRate[Overtime], " ")</f>
        <v xml:space="preserve"> </v>
      </c>
      <c r="L753" s="25">
        <f>_xlfn.XLOOKUP(tblPayrollMaster[[#This Row],[Employee Position]],tblPositionandPayRate[Employee Position],tblPositionandPayRate[Allowance 1],0)*tblPayrollMaster[[#This Row],[Pay Factor]]</f>
        <v>0</v>
      </c>
      <c r="M753" s="25">
        <f>_xlfn.XLOOKUP(tblPayrollMaster[[#This Row],[Employee Position]],tblPositionandPayRate[Employee Position],tblPositionandPayRate[Allowance 2],0)*tblPayrollMaster[[#This Row],[Pay Factor]]</f>
        <v>0</v>
      </c>
      <c r="N753" s="25">
        <f>_xlfn.XLOOKUP(tblPayrollMaster[[#This Row],[Employee Position]],tblPositionandPayRate[Employee Position],tblPositionandPayRate[Allowance 3],0)*tblPayrollMaster[[#This Row],[Pay Factor]]</f>
        <v>0</v>
      </c>
      <c r="O753" s="25">
        <f>_xlfn.XLOOKUP(tblPayrollMaster[[#This Row],[Employee Position]],tblPositionandPayRate[Employee Position],tblPositionandPayRate[Allowance 4],0)*tblPayrollMaster[[#This Row],[Pay Factor]]</f>
        <v>0</v>
      </c>
      <c r="P753" s="25">
        <f>_xlfn.XLOOKUP(tblPayrollMaster[[#This Row],[Employee Position]],tblPositionandPayRate[Employee Position],tblPositionandPayRate[Allowance 5],0)*tblPayrollMaster[[#This Row],[Pay Factor]]</f>
        <v>0</v>
      </c>
      <c r="Q753" s="25">
        <f>SUM(tblPayrollMaster[[#This Row],[Basic Pay]:[Allowance 5]])</f>
        <v>0</v>
      </c>
      <c r="R75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53" s="51" cm="1">
        <f t="array" ref="S7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53" s="3" cm="1">
        <f t="array" ref="T7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53" s="25">
        <f>_xlfn.LET(
_xlpm.tos, _xlfn.XLOOKUP(tblPayrollMaster[[#This Row],[Employee ID]], tblEmployee[Employee ID], tblEmployee[Type of Service], ""),
IF(_xlpm.tos="Contract of Service", 8.25, 0)
)</f>
        <v>0</v>
      </c>
      <c r="V753" s="25">
        <f>tblPayrollMaster[[#This Row],[Basic Earnings]]-tblPayrollMaster[[#This Row],[Tax]]-tblPayrollMaster[[#This Row],[NIS - Employee]]-tblPayrollMaster[[#This Row],[Health Surcharge]]</f>
        <v>0</v>
      </c>
      <c r="W753" s="25">
        <f>tblPayrollMaster[[#This Row],[Net Pay]]</f>
        <v>0</v>
      </c>
      <c r="X753" s="25"/>
    </row>
    <row r="754" spans="1:24" x14ac:dyDescent="0.25">
      <c r="A754" s="24"/>
      <c r="B754" s="24" t="str">
        <f>_xlfn.XLOOKUP(tblPayrollMaster[[#This Row],[Employee ID]],tblEmployee[Employee ID],tblEmployee[Employee Name],"")</f>
        <v/>
      </c>
      <c r="C754" s="24" t="str">
        <f>_xlfn.XLOOKUP(tblPayrollMaster[[#This Row],[Employee ID]],tblEmployee[Employee ID],tblEmployee[Employee Position],"")</f>
        <v/>
      </c>
      <c r="D754" s="24" t="str">
        <f>_xlfn.XLOOKUP(tblPayrollMaster[[#This Row],[Employee ID]], tblEmployee[Employee ID], tblEmployee[Pay Status], "Pay")</f>
        <v>Pay</v>
      </c>
      <c r="E754" s="24" t="str">
        <f>_xlfn.XLOOKUP(tblPayrollMaster[[#This Row],[Employee ID]], tblEmployee[Employee ID], tblEmployee[Payable Flag], "Y")</f>
        <v>Y</v>
      </c>
      <c r="F754" s="45">
        <f>IF(tblPayrollMaster[[#This Row],[Payable Flag]]="N",0,_xlfn.XLOOKUP(tblPayrollMaster[[#This Row],[Employee ID]],tblEmployee[Employee ID],tblEmployee[Pay Factor],1))</f>
        <v>1</v>
      </c>
      <c r="G754" s="26" t="str" cm="1">
        <f t="array" ref="G754">IF(tblPayrollMaster[[#This Row],[Employee ID]]="","",_xlfn.XLOOKUP(selPayPeriodID,tblPayCalendar[PayPeriodID],tblPayCalendar[PeriodStart],""))</f>
        <v/>
      </c>
      <c r="H754" s="26" t="str" cm="1">
        <f t="array" ref="H754">IF(tblPayrollMaster[[#This Row],[Employee ID]]="","",_xlfn.XLOOKUP(selPayPeriodID,tblPayCalendar[PayPeriodID],tblPayCalendar[PeriodEnd],""))</f>
        <v/>
      </c>
      <c r="I754" s="24" t="e" cm="1" vm="1">
        <f t="array" aca="1" ref="I754" ca="1">Table18[Employer Name]</f>
        <v>#VALUE!</v>
      </c>
      <c r="J754" s="3" cm="1">
        <f t="array" ref="J75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54" s="25" t="str">
        <f>_xlfn.XLOOKUP(tblPayrollMaster[[#This Row],[Employee Position]],tblPositionandPayRate[Employee Position],tblPositionandPayRate[Overtime], " ")</f>
        <v xml:space="preserve"> </v>
      </c>
      <c r="L754" s="25">
        <f>_xlfn.XLOOKUP(tblPayrollMaster[[#This Row],[Employee Position]],tblPositionandPayRate[Employee Position],tblPositionandPayRate[Allowance 1],0)*tblPayrollMaster[[#This Row],[Pay Factor]]</f>
        <v>0</v>
      </c>
      <c r="M754" s="25">
        <f>_xlfn.XLOOKUP(tblPayrollMaster[[#This Row],[Employee Position]],tblPositionandPayRate[Employee Position],tblPositionandPayRate[Allowance 2],0)*tblPayrollMaster[[#This Row],[Pay Factor]]</f>
        <v>0</v>
      </c>
      <c r="N754" s="25">
        <f>_xlfn.XLOOKUP(tblPayrollMaster[[#This Row],[Employee Position]],tblPositionandPayRate[Employee Position],tblPositionandPayRate[Allowance 3],0)*tblPayrollMaster[[#This Row],[Pay Factor]]</f>
        <v>0</v>
      </c>
      <c r="O754" s="25">
        <f>_xlfn.XLOOKUP(tblPayrollMaster[[#This Row],[Employee Position]],tblPositionandPayRate[Employee Position],tblPositionandPayRate[Allowance 4],0)*tblPayrollMaster[[#This Row],[Pay Factor]]</f>
        <v>0</v>
      </c>
      <c r="P754" s="25">
        <f>_xlfn.XLOOKUP(tblPayrollMaster[[#This Row],[Employee Position]],tblPositionandPayRate[Employee Position],tblPositionandPayRate[Allowance 5],0)*tblPayrollMaster[[#This Row],[Pay Factor]]</f>
        <v>0</v>
      </c>
      <c r="Q754" s="25">
        <f>SUM(tblPayrollMaster[[#This Row],[Basic Pay]:[Allowance 5]])</f>
        <v>0</v>
      </c>
      <c r="R75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54" s="51" cm="1">
        <f t="array" ref="S7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54" s="3" cm="1">
        <f t="array" ref="T7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54" s="25">
        <f>_xlfn.LET(
_xlpm.tos, _xlfn.XLOOKUP(tblPayrollMaster[[#This Row],[Employee ID]], tblEmployee[Employee ID], tblEmployee[Type of Service], ""),
IF(_xlpm.tos="Contract of Service", 8.25, 0)
)</f>
        <v>0</v>
      </c>
      <c r="V754" s="25">
        <f>tblPayrollMaster[[#This Row],[Basic Earnings]]-tblPayrollMaster[[#This Row],[Tax]]-tblPayrollMaster[[#This Row],[NIS - Employee]]-tblPayrollMaster[[#This Row],[Health Surcharge]]</f>
        <v>0</v>
      </c>
      <c r="W754" s="25">
        <f>tblPayrollMaster[[#This Row],[Net Pay]]</f>
        <v>0</v>
      </c>
      <c r="X754" s="25"/>
    </row>
    <row r="755" spans="1:24" x14ac:dyDescent="0.25">
      <c r="A755" s="24"/>
      <c r="B755" s="24" t="str">
        <f>_xlfn.XLOOKUP(tblPayrollMaster[[#This Row],[Employee ID]],tblEmployee[Employee ID],tblEmployee[Employee Name],"")</f>
        <v/>
      </c>
      <c r="C755" s="24" t="str">
        <f>_xlfn.XLOOKUP(tblPayrollMaster[[#This Row],[Employee ID]],tblEmployee[Employee ID],tblEmployee[Employee Position],"")</f>
        <v/>
      </c>
      <c r="D755" s="24" t="str">
        <f>_xlfn.XLOOKUP(tblPayrollMaster[[#This Row],[Employee ID]], tblEmployee[Employee ID], tblEmployee[Pay Status], "Pay")</f>
        <v>Pay</v>
      </c>
      <c r="E755" s="24" t="str">
        <f>_xlfn.XLOOKUP(tblPayrollMaster[[#This Row],[Employee ID]], tblEmployee[Employee ID], tblEmployee[Payable Flag], "Y")</f>
        <v>Y</v>
      </c>
      <c r="F755" s="45">
        <f>IF(tblPayrollMaster[[#This Row],[Payable Flag]]="N",0,_xlfn.XLOOKUP(tblPayrollMaster[[#This Row],[Employee ID]],tblEmployee[Employee ID],tblEmployee[Pay Factor],1))</f>
        <v>1</v>
      </c>
      <c r="G755" s="26" t="str" cm="1">
        <f t="array" ref="G755">IF(tblPayrollMaster[[#This Row],[Employee ID]]="","",_xlfn.XLOOKUP(selPayPeriodID,tblPayCalendar[PayPeriodID],tblPayCalendar[PeriodStart],""))</f>
        <v/>
      </c>
      <c r="H755" s="26" t="str" cm="1">
        <f t="array" ref="H755">IF(tblPayrollMaster[[#This Row],[Employee ID]]="","",_xlfn.XLOOKUP(selPayPeriodID,tblPayCalendar[PayPeriodID],tblPayCalendar[PeriodEnd],""))</f>
        <v/>
      </c>
      <c r="I755" s="24" t="e" cm="1" vm="1">
        <f t="array" aca="1" ref="I755" ca="1">Table18[Employer Name]</f>
        <v>#VALUE!</v>
      </c>
      <c r="J755" s="3" cm="1">
        <f t="array" ref="J75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55" s="25" t="str">
        <f>_xlfn.XLOOKUP(tblPayrollMaster[[#This Row],[Employee Position]],tblPositionandPayRate[Employee Position],tblPositionandPayRate[Overtime], " ")</f>
        <v xml:space="preserve"> </v>
      </c>
      <c r="L755" s="25">
        <f>_xlfn.XLOOKUP(tblPayrollMaster[[#This Row],[Employee Position]],tblPositionandPayRate[Employee Position],tblPositionandPayRate[Allowance 1],0)*tblPayrollMaster[[#This Row],[Pay Factor]]</f>
        <v>0</v>
      </c>
      <c r="M755" s="25">
        <f>_xlfn.XLOOKUP(tblPayrollMaster[[#This Row],[Employee Position]],tblPositionandPayRate[Employee Position],tblPositionandPayRate[Allowance 2],0)*tblPayrollMaster[[#This Row],[Pay Factor]]</f>
        <v>0</v>
      </c>
      <c r="N755" s="25">
        <f>_xlfn.XLOOKUP(tblPayrollMaster[[#This Row],[Employee Position]],tblPositionandPayRate[Employee Position],tblPositionandPayRate[Allowance 3],0)*tblPayrollMaster[[#This Row],[Pay Factor]]</f>
        <v>0</v>
      </c>
      <c r="O755" s="25">
        <f>_xlfn.XLOOKUP(tblPayrollMaster[[#This Row],[Employee Position]],tblPositionandPayRate[Employee Position],tblPositionandPayRate[Allowance 4],0)*tblPayrollMaster[[#This Row],[Pay Factor]]</f>
        <v>0</v>
      </c>
      <c r="P755" s="25">
        <f>_xlfn.XLOOKUP(tblPayrollMaster[[#This Row],[Employee Position]],tblPositionandPayRate[Employee Position],tblPositionandPayRate[Allowance 5],0)*tblPayrollMaster[[#This Row],[Pay Factor]]</f>
        <v>0</v>
      </c>
      <c r="Q755" s="25">
        <f>SUM(tblPayrollMaster[[#This Row],[Basic Pay]:[Allowance 5]])</f>
        <v>0</v>
      </c>
      <c r="R75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55" s="51" cm="1">
        <f t="array" ref="S7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55" s="3" cm="1">
        <f t="array" ref="T7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55" s="25">
        <f>_xlfn.LET(
_xlpm.tos, _xlfn.XLOOKUP(tblPayrollMaster[[#This Row],[Employee ID]], tblEmployee[Employee ID], tblEmployee[Type of Service], ""),
IF(_xlpm.tos="Contract of Service", 8.25, 0)
)</f>
        <v>0</v>
      </c>
      <c r="V755" s="25">
        <f>tblPayrollMaster[[#This Row],[Basic Earnings]]-tblPayrollMaster[[#This Row],[Tax]]-tblPayrollMaster[[#This Row],[NIS - Employee]]-tblPayrollMaster[[#This Row],[Health Surcharge]]</f>
        <v>0</v>
      </c>
      <c r="W755" s="25">
        <f>tblPayrollMaster[[#This Row],[Net Pay]]</f>
        <v>0</v>
      </c>
      <c r="X755" s="25"/>
    </row>
    <row r="756" spans="1:24" x14ac:dyDescent="0.25">
      <c r="A756" s="24"/>
      <c r="B756" s="24" t="str">
        <f>_xlfn.XLOOKUP(tblPayrollMaster[[#This Row],[Employee ID]],tblEmployee[Employee ID],tblEmployee[Employee Name],"")</f>
        <v/>
      </c>
      <c r="C756" s="24" t="str">
        <f>_xlfn.XLOOKUP(tblPayrollMaster[[#This Row],[Employee ID]],tblEmployee[Employee ID],tblEmployee[Employee Position],"")</f>
        <v/>
      </c>
      <c r="D756" s="24" t="str">
        <f>_xlfn.XLOOKUP(tblPayrollMaster[[#This Row],[Employee ID]], tblEmployee[Employee ID], tblEmployee[Pay Status], "Pay")</f>
        <v>Pay</v>
      </c>
      <c r="E756" s="24" t="str">
        <f>_xlfn.XLOOKUP(tblPayrollMaster[[#This Row],[Employee ID]], tblEmployee[Employee ID], tblEmployee[Payable Flag], "Y")</f>
        <v>Y</v>
      </c>
      <c r="F756" s="45">
        <f>IF(tblPayrollMaster[[#This Row],[Payable Flag]]="N",0,_xlfn.XLOOKUP(tblPayrollMaster[[#This Row],[Employee ID]],tblEmployee[Employee ID],tblEmployee[Pay Factor],1))</f>
        <v>1</v>
      </c>
      <c r="G756" s="26" t="str" cm="1">
        <f t="array" ref="G756">IF(tblPayrollMaster[[#This Row],[Employee ID]]="","",_xlfn.XLOOKUP(selPayPeriodID,tblPayCalendar[PayPeriodID],tblPayCalendar[PeriodStart],""))</f>
        <v/>
      </c>
      <c r="H756" s="26" t="str" cm="1">
        <f t="array" ref="H756">IF(tblPayrollMaster[[#This Row],[Employee ID]]="","",_xlfn.XLOOKUP(selPayPeriodID,tblPayCalendar[PayPeriodID],tblPayCalendar[PeriodEnd],""))</f>
        <v/>
      </c>
      <c r="I756" s="24" t="e" cm="1" vm="1">
        <f t="array" aca="1" ref="I756" ca="1">Table18[Employer Name]</f>
        <v>#VALUE!</v>
      </c>
      <c r="J756" s="3" cm="1">
        <f t="array" ref="J75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56" s="25" t="str">
        <f>_xlfn.XLOOKUP(tblPayrollMaster[[#This Row],[Employee Position]],tblPositionandPayRate[Employee Position],tblPositionandPayRate[Overtime], " ")</f>
        <v xml:space="preserve"> </v>
      </c>
      <c r="L756" s="25">
        <f>_xlfn.XLOOKUP(tblPayrollMaster[[#This Row],[Employee Position]],tblPositionandPayRate[Employee Position],tblPositionandPayRate[Allowance 1],0)*tblPayrollMaster[[#This Row],[Pay Factor]]</f>
        <v>0</v>
      </c>
      <c r="M756" s="25">
        <f>_xlfn.XLOOKUP(tblPayrollMaster[[#This Row],[Employee Position]],tblPositionandPayRate[Employee Position],tblPositionandPayRate[Allowance 2],0)*tblPayrollMaster[[#This Row],[Pay Factor]]</f>
        <v>0</v>
      </c>
      <c r="N756" s="25">
        <f>_xlfn.XLOOKUP(tblPayrollMaster[[#This Row],[Employee Position]],tblPositionandPayRate[Employee Position],tblPositionandPayRate[Allowance 3],0)*tblPayrollMaster[[#This Row],[Pay Factor]]</f>
        <v>0</v>
      </c>
      <c r="O756" s="25">
        <f>_xlfn.XLOOKUP(tblPayrollMaster[[#This Row],[Employee Position]],tblPositionandPayRate[Employee Position],tblPositionandPayRate[Allowance 4],0)*tblPayrollMaster[[#This Row],[Pay Factor]]</f>
        <v>0</v>
      </c>
      <c r="P756" s="25">
        <f>_xlfn.XLOOKUP(tblPayrollMaster[[#This Row],[Employee Position]],tblPositionandPayRate[Employee Position],tblPositionandPayRate[Allowance 5],0)*tblPayrollMaster[[#This Row],[Pay Factor]]</f>
        <v>0</v>
      </c>
      <c r="Q756" s="25">
        <f>SUM(tblPayrollMaster[[#This Row],[Basic Pay]:[Allowance 5]])</f>
        <v>0</v>
      </c>
      <c r="R75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56" s="51" cm="1">
        <f t="array" ref="S7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56" s="3" cm="1">
        <f t="array" ref="T7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56" s="25">
        <f>_xlfn.LET(
_xlpm.tos, _xlfn.XLOOKUP(tblPayrollMaster[[#This Row],[Employee ID]], tblEmployee[Employee ID], tblEmployee[Type of Service], ""),
IF(_xlpm.tos="Contract of Service", 8.25, 0)
)</f>
        <v>0</v>
      </c>
      <c r="V756" s="25">
        <f>tblPayrollMaster[[#This Row],[Basic Earnings]]-tblPayrollMaster[[#This Row],[Tax]]-tblPayrollMaster[[#This Row],[NIS - Employee]]-tblPayrollMaster[[#This Row],[Health Surcharge]]</f>
        <v>0</v>
      </c>
      <c r="W756" s="25">
        <f>tblPayrollMaster[[#This Row],[Net Pay]]</f>
        <v>0</v>
      </c>
      <c r="X756" s="25"/>
    </row>
    <row r="757" spans="1:24" x14ac:dyDescent="0.25">
      <c r="A757" s="24"/>
      <c r="B757" s="24" t="str">
        <f>_xlfn.XLOOKUP(tblPayrollMaster[[#This Row],[Employee ID]],tblEmployee[Employee ID],tblEmployee[Employee Name],"")</f>
        <v/>
      </c>
      <c r="C757" s="24" t="str">
        <f>_xlfn.XLOOKUP(tblPayrollMaster[[#This Row],[Employee ID]],tblEmployee[Employee ID],tblEmployee[Employee Position],"")</f>
        <v/>
      </c>
      <c r="D757" s="24" t="str">
        <f>_xlfn.XLOOKUP(tblPayrollMaster[[#This Row],[Employee ID]], tblEmployee[Employee ID], tblEmployee[Pay Status], "Pay")</f>
        <v>Pay</v>
      </c>
      <c r="E757" s="24" t="str">
        <f>_xlfn.XLOOKUP(tblPayrollMaster[[#This Row],[Employee ID]], tblEmployee[Employee ID], tblEmployee[Payable Flag], "Y")</f>
        <v>Y</v>
      </c>
      <c r="F757" s="45">
        <f>IF(tblPayrollMaster[[#This Row],[Payable Flag]]="N",0,_xlfn.XLOOKUP(tblPayrollMaster[[#This Row],[Employee ID]],tblEmployee[Employee ID],tblEmployee[Pay Factor],1))</f>
        <v>1</v>
      </c>
      <c r="G757" s="26" t="str" cm="1">
        <f t="array" ref="G757">IF(tblPayrollMaster[[#This Row],[Employee ID]]="","",_xlfn.XLOOKUP(selPayPeriodID,tblPayCalendar[PayPeriodID],tblPayCalendar[PeriodStart],""))</f>
        <v/>
      </c>
      <c r="H757" s="26" t="str" cm="1">
        <f t="array" ref="H757">IF(tblPayrollMaster[[#This Row],[Employee ID]]="","",_xlfn.XLOOKUP(selPayPeriodID,tblPayCalendar[PayPeriodID],tblPayCalendar[PeriodEnd],""))</f>
        <v/>
      </c>
      <c r="I757" s="24" t="e" cm="1" vm="1">
        <f t="array" aca="1" ref="I757" ca="1">Table18[Employer Name]</f>
        <v>#VALUE!</v>
      </c>
      <c r="J757" s="3" cm="1">
        <f t="array" ref="J75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57" s="25" t="str">
        <f>_xlfn.XLOOKUP(tblPayrollMaster[[#This Row],[Employee Position]],tblPositionandPayRate[Employee Position],tblPositionandPayRate[Overtime], " ")</f>
        <v xml:space="preserve"> </v>
      </c>
      <c r="L757" s="25">
        <f>_xlfn.XLOOKUP(tblPayrollMaster[[#This Row],[Employee Position]],tblPositionandPayRate[Employee Position],tblPositionandPayRate[Allowance 1],0)*tblPayrollMaster[[#This Row],[Pay Factor]]</f>
        <v>0</v>
      </c>
      <c r="M757" s="25">
        <f>_xlfn.XLOOKUP(tblPayrollMaster[[#This Row],[Employee Position]],tblPositionandPayRate[Employee Position],tblPositionandPayRate[Allowance 2],0)*tblPayrollMaster[[#This Row],[Pay Factor]]</f>
        <v>0</v>
      </c>
      <c r="N757" s="25">
        <f>_xlfn.XLOOKUP(tblPayrollMaster[[#This Row],[Employee Position]],tblPositionandPayRate[Employee Position],tblPositionandPayRate[Allowance 3],0)*tblPayrollMaster[[#This Row],[Pay Factor]]</f>
        <v>0</v>
      </c>
      <c r="O757" s="25">
        <f>_xlfn.XLOOKUP(tblPayrollMaster[[#This Row],[Employee Position]],tblPositionandPayRate[Employee Position],tblPositionandPayRate[Allowance 4],0)*tblPayrollMaster[[#This Row],[Pay Factor]]</f>
        <v>0</v>
      </c>
      <c r="P757" s="25">
        <f>_xlfn.XLOOKUP(tblPayrollMaster[[#This Row],[Employee Position]],tblPositionandPayRate[Employee Position],tblPositionandPayRate[Allowance 5],0)*tblPayrollMaster[[#This Row],[Pay Factor]]</f>
        <v>0</v>
      </c>
      <c r="Q757" s="25">
        <f>SUM(tblPayrollMaster[[#This Row],[Basic Pay]:[Allowance 5]])</f>
        <v>0</v>
      </c>
      <c r="R75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57" s="51" cm="1">
        <f t="array" ref="S7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57" s="3" cm="1">
        <f t="array" ref="T7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57" s="25">
        <f>_xlfn.LET(
_xlpm.tos, _xlfn.XLOOKUP(tblPayrollMaster[[#This Row],[Employee ID]], tblEmployee[Employee ID], tblEmployee[Type of Service], ""),
IF(_xlpm.tos="Contract of Service", 8.25, 0)
)</f>
        <v>0</v>
      </c>
      <c r="V757" s="25">
        <f>tblPayrollMaster[[#This Row],[Basic Earnings]]-tblPayrollMaster[[#This Row],[Tax]]-tblPayrollMaster[[#This Row],[NIS - Employee]]-tblPayrollMaster[[#This Row],[Health Surcharge]]</f>
        <v>0</v>
      </c>
      <c r="W757" s="25">
        <f>tblPayrollMaster[[#This Row],[Net Pay]]</f>
        <v>0</v>
      </c>
      <c r="X757" s="25"/>
    </row>
    <row r="758" spans="1:24" x14ac:dyDescent="0.25">
      <c r="A758" s="24"/>
      <c r="B758" s="24" t="str">
        <f>_xlfn.XLOOKUP(tblPayrollMaster[[#This Row],[Employee ID]],tblEmployee[Employee ID],tblEmployee[Employee Name],"")</f>
        <v/>
      </c>
      <c r="C758" s="24" t="str">
        <f>_xlfn.XLOOKUP(tblPayrollMaster[[#This Row],[Employee ID]],tblEmployee[Employee ID],tblEmployee[Employee Position],"")</f>
        <v/>
      </c>
      <c r="D758" s="24" t="str">
        <f>_xlfn.XLOOKUP(tblPayrollMaster[[#This Row],[Employee ID]], tblEmployee[Employee ID], tblEmployee[Pay Status], "Pay")</f>
        <v>Pay</v>
      </c>
      <c r="E758" s="24" t="str">
        <f>_xlfn.XLOOKUP(tblPayrollMaster[[#This Row],[Employee ID]], tblEmployee[Employee ID], tblEmployee[Payable Flag], "Y")</f>
        <v>Y</v>
      </c>
      <c r="F758" s="45">
        <f>IF(tblPayrollMaster[[#This Row],[Payable Flag]]="N",0,_xlfn.XLOOKUP(tblPayrollMaster[[#This Row],[Employee ID]],tblEmployee[Employee ID],tblEmployee[Pay Factor],1))</f>
        <v>1</v>
      </c>
      <c r="G758" s="26" t="str" cm="1">
        <f t="array" ref="G758">IF(tblPayrollMaster[[#This Row],[Employee ID]]="","",_xlfn.XLOOKUP(selPayPeriodID,tblPayCalendar[PayPeriodID],tblPayCalendar[PeriodStart],""))</f>
        <v/>
      </c>
      <c r="H758" s="26" t="str" cm="1">
        <f t="array" ref="H758">IF(tblPayrollMaster[[#This Row],[Employee ID]]="","",_xlfn.XLOOKUP(selPayPeriodID,tblPayCalendar[PayPeriodID],tblPayCalendar[PeriodEnd],""))</f>
        <v/>
      </c>
      <c r="I758" s="24" t="e" cm="1" vm="1">
        <f t="array" aca="1" ref="I758" ca="1">Table18[Employer Name]</f>
        <v>#VALUE!</v>
      </c>
      <c r="J758" s="3" cm="1">
        <f t="array" ref="J75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58" s="25" t="str">
        <f>_xlfn.XLOOKUP(tblPayrollMaster[[#This Row],[Employee Position]],tblPositionandPayRate[Employee Position],tblPositionandPayRate[Overtime], " ")</f>
        <v xml:space="preserve"> </v>
      </c>
      <c r="L758" s="25">
        <f>_xlfn.XLOOKUP(tblPayrollMaster[[#This Row],[Employee Position]],tblPositionandPayRate[Employee Position],tblPositionandPayRate[Allowance 1],0)*tblPayrollMaster[[#This Row],[Pay Factor]]</f>
        <v>0</v>
      </c>
      <c r="M758" s="25">
        <f>_xlfn.XLOOKUP(tblPayrollMaster[[#This Row],[Employee Position]],tblPositionandPayRate[Employee Position],tblPositionandPayRate[Allowance 2],0)*tblPayrollMaster[[#This Row],[Pay Factor]]</f>
        <v>0</v>
      </c>
      <c r="N758" s="25">
        <f>_xlfn.XLOOKUP(tblPayrollMaster[[#This Row],[Employee Position]],tblPositionandPayRate[Employee Position],tblPositionandPayRate[Allowance 3],0)*tblPayrollMaster[[#This Row],[Pay Factor]]</f>
        <v>0</v>
      </c>
      <c r="O758" s="25">
        <f>_xlfn.XLOOKUP(tblPayrollMaster[[#This Row],[Employee Position]],tblPositionandPayRate[Employee Position],tblPositionandPayRate[Allowance 4],0)*tblPayrollMaster[[#This Row],[Pay Factor]]</f>
        <v>0</v>
      </c>
      <c r="P758" s="25">
        <f>_xlfn.XLOOKUP(tblPayrollMaster[[#This Row],[Employee Position]],tblPositionandPayRate[Employee Position],tblPositionandPayRate[Allowance 5],0)*tblPayrollMaster[[#This Row],[Pay Factor]]</f>
        <v>0</v>
      </c>
      <c r="Q758" s="25">
        <f>SUM(tblPayrollMaster[[#This Row],[Basic Pay]:[Allowance 5]])</f>
        <v>0</v>
      </c>
      <c r="R75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58" s="51" cm="1">
        <f t="array" ref="S7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58" s="3" cm="1">
        <f t="array" ref="T7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58" s="25">
        <f>_xlfn.LET(
_xlpm.tos, _xlfn.XLOOKUP(tblPayrollMaster[[#This Row],[Employee ID]], tblEmployee[Employee ID], tblEmployee[Type of Service], ""),
IF(_xlpm.tos="Contract of Service", 8.25, 0)
)</f>
        <v>0</v>
      </c>
      <c r="V758" s="25">
        <f>tblPayrollMaster[[#This Row],[Basic Earnings]]-tblPayrollMaster[[#This Row],[Tax]]-tblPayrollMaster[[#This Row],[NIS - Employee]]-tblPayrollMaster[[#This Row],[Health Surcharge]]</f>
        <v>0</v>
      </c>
      <c r="W758" s="25">
        <f>tblPayrollMaster[[#This Row],[Net Pay]]</f>
        <v>0</v>
      </c>
      <c r="X758" s="25"/>
    </row>
    <row r="759" spans="1:24" x14ac:dyDescent="0.25">
      <c r="A759" s="24"/>
      <c r="B759" s="24" t="str">
        <f>_xlfn.XLOOKUP(tblPayrollMaster[[#This Row],[Employee ID]],tblEmployee[Employee ID],tblEmployee[Employee Name],"")</f>
        <v/>
      </c>
      <c r="C759" s="24" t="str">
        <f>_xlfn.XLOOKUP(tblPayrollMaster[[#This Row],[Employee ID]],tblEmployee[Employee ID],tblEmployee[Employee Position],"")</f>
        <v/>
      </c>
      <c r="D759" s="24" t="str">
        <f>_xlfn.XLOOKUP(tblPayrollMaster[[#This Row],[Employee ID]], tblEmployee[Employee ID], tblEmployee[Pay Status], "Pay")</f>
        <v>Pay</v>
      </c>
      <c r="E759" s="24" t="str">
        <f>_xlfn.XLOOKUP(tblPayrollMaster[[#This Row],[Employee ID]], tblEmployee[Employee ID], tblEmployee[Payable Flag], "Y")</f>
        <v>Y</v>
      </c>
      <c r="F759" s="45">
        <f>IF(tblPayrollMaster[[#This Row],[Payable Flag]]="N",0,_xlfn.XLOOKUP(tblPayrollMaster[[#This Row],[Employee ID]],tblEmployee[Employee ID],tblEmployee[Pay Factor],1))</f>
        <v>1</v>
      </c>
      <c r="G759" s="26" t="str" cm="1">
        <f t="array" ref="G759">IF(tblPayrollMaster[[#This Row],[Employee ID]]="","",_xlfn.XLOOKUP(selPayPeriodID,tblPayCalendar[PayPeriodID],tblPayCalendar[PeriodStart],""))</f>
        <v/>
      </c>
      <c r="H759" s="26" t="str" cm="1">
        <f t="array" ref="H759">IF(tblPayrollMaster[[#This Row],[Employee ID]]="","",_xlfn.XLOOKUP(selPayPeriodID,tblPayCalendar[PayPeriodID],tblPayCalendar[PeriodEnd],""))</f>
        <v/>
      </c>
      <c r="I759" s="24" t="e" cm="1" vm="1">
        <f t="array" aca="1" ref="I759" ca="1">Table18[Employer Name]</f>
        <v>#VALUE!</v>
      </c>
      <c r="J759" s="3" cm="1">
        <f t="array" ref="J75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59" s="25" t="str">
        <f>_xlfn.XLOOKUP(tblPayrollMaster[[#This Row],[Employee Position]],tblPositionandPayRate[Employee Position],tblPositionandPayRate[Overtime], " ")</f>
        <v xml:space="preserve"> </v>
      </c>
      <c r="L759" s="25">
        <f>_xlfn.XLOOKUP(tblPayrollMaster[[#This Row],[Employee Position]],tblPositionandPayRate[Employee Position],tblPositionandPayRate[Allowance 1],0)*tblPayrollMaster[[#This Row],[Pay Factor]]</f>
        <v>0</v>
      </c>
      <c r="M759" s="25">
        <f>_xlfn.XLOOKUP(tblPayrollMaster[[#This Row],[Employee Position]],tblPositionandPayRate[Employee Position],tblPositionandPayRate[Allowance 2],0)*tblPayrollMaster[[#This Row],[Pay Factor]]</f>
        <v>0</v>
      </c>
      <c r="N759" s="25">
        <f>_xlfn.XLOOKUP(tblPayrollMaster[[#This Row],[Employee Position]],tblPositionandPayRate[Employee Position],tblPositionandPayRate[Allowance 3],0)*tblPayrollMaster[[#This Row],[Pay Factor]]</f>
        <v>0</v>
      </c>
      <c r="O759" s="25">
        <f>_xlfn.XLOOKUP(tblPayrollMaster[[#This Row],[Employee Position]],tblPositionandPayRate[Employee Position],tblPositionandPayRate[Allowance 4],0)*tblPayrollMaster[[#This Row],[Pay Factor]]</f>
        <v>0</v>
      </c>
      <c r="P759" s="25">
        <f>_xlfn.XLOOKUP(tblPayrollMaster[[#This Row],[Employee Position]],tblPositionandPayRate[Employee Position],tblPositionandPayRate[Allowance 5],0)*tblPayrollMaster[[#This Row],[Pay Factor]]</f>
        <v>0</v>
      </c>
      <c r="Q759" s="25">
        <f>SUM(tblPayrollMaster[[#This Row],[Basic Pay]:[Allowance 5]])</f>
        <v>0</v>
      </c>
      <c r="R75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59" s="51" cm="1">
        <f t="array" ref="S7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59" s="3" cm="1">
        <f t="array" ref="T7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59" s="25">
        <f>_xlfn.LET(
_xlpm.tos, _xlfn.XLOOKUP(tblPayrollMaster[[#This Row],[Employee ID]], tblEmployee[Employee ID], tblEmployee[Type of Service], ""),
IF(_xlpm.tos="Contract of Service", 8.25, 0)
)</f>
        <v>0</v>
      </c>
      <c r="V759" s="25">
        <f>tblPayrollMaster[[#This Row],[Basic Earnings]]-tblPayrollMaster[[#This Row],[Tax]]-tblPayrollMaster[[#This Row],[NIS - Employee]]-tblPayrollMaster[[#This Row],[Health Surcharge]]</f>
        <v>0</v>
      </c>
      <c r="W759" s="25">
        <f>tblPayrollMaster[[#This Row],[Net Pay]]</f>
        <v>0</v>
      </c>
      <c r="X759" s="25"/>
    </row>
    <row r="760" spans="1:24" x14ac:dyDescent="0.25">
      <c r="A760" s="24"/>
      <c r="B760" s="24" t="str">
        <f>_xlfn.XLOOKUP(tblPayrollMaster[[#This Row],[Employee ID]],tblEmployee[Employee ID],tblEmployee[Employee Name],"")</f>
        <v/>
      </c>
      <c r="C760" s="24" t="str">
        <f>_xlfn.XLOOKUP(tblPayrollMaster[[#This Row],[Employee ID]],tblEmployee[Employee ID],tblEmployee[Employee Position],"")</f>
        <v/>
      </c>
      <c r="D760" s="24" t="str">
        <f>_xlfn.XLOOKUP(tblPayrollMaster[[#This Row],[Employee ID]], tblEmployee[Employee ID], tblEmployee[Pay Status], "Pay")</f>
        <v>Pay</v>
      </c>
      <c r="E760" s="24" t="str">
        <f>_xlfn.XLOOKUP(tblPayrollMaster[[#This Row],[Employee ID]], tblEmployee[Employee ID], tblEmployee[Payable Flag], "Y")</f>
        <v>Y</v>
      </c>
      <c r="F760" s="45">
        <f>IF(tblPayrollMaster[[#This Row],[Payable Flag]]="N",0,_xlfn.XLOOKUP(tblPayrollMaster[[#This Row],[Employee ID]],tblEmployee[Employee ID],tblEmployee[Pay Factor],1))</f>
        <v>1</v>
      </c>
      <c r="G760" s="26" t="str" cm="1">
        <f t="array" ref="G760">IF(tblPayrollMaster[[#This Row],[Employee ID]]="","",_xlfn.XLOOKUP(selPayPeriodID,tblPayCalendar[PayPeriodID],tblPayCalendar[PeriodStart],""))</f>
        <v/>
      </c>
      <c r="H760" s="26" t="str" cm="1">
        <f t="array" ref="H760">IF(tblPayrollMaster[[#This Row],[Employee ID]]="","",_xlfn.XLOOKUP(selPayPeriodID,tblPayCalendar[PayPeriodID],tblPayCalendar[PeriodEnd],""))</f>
        <v/>
      </c>
      <c r="I760" s="24" t="e" cm="1" vm="1">
        <f t="array" aca="1" ref="I760" ca="1">Table18[Employer Name]</f>
        <v>#VALUE!</v>
      </c>
      <c r="J760" s="3" cm="1">
        <f t="array" ref="J76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60" s="25" t="str">
        <f>_xlfn.XLOOKUP(tblPayrollMaster[[#This Row],[Employee Position]],tblPositionandPayRate[Employee Position],tblPositionandPayRate[Overtime], " ")</f>
        <v xml:space="preserve"> </v>
      </c>
      <c r="L760" s="25">
        <f>_xlfn.XLOOKUP(tblPayrollMaster[[#This Row],[Employee Position]],tblPositionandPayRate[Employee Position],tblPositionandPayRate[Allowance 1],0)*tblPayrollMaster[[#This Row],[Pay Factor]]</f>
        <v>0</v>
      </c>
      <c r="M760" s="25">
        <f>_xlfn.XLOOKUP(tblPayrollMaster[[#This Row],[Employee Position]],tblPositionandPayRate[Employee Position],tblPositionandPayRate[Allowance 2],0)*tblPayrollMaster[[#This Row],[Pay Factor]]</f>
        <v>0</v>
      </c>
      <c r="N760" s="25">
        <f>_xlfn.XLOOKUP(tblPayrollMaster[[#This Row],[Employee Position]],tblPositionandPayRate[Employee Position],tblPositionandPayRate[Allowance 3],0)*tblPayrollMaster[[#This Row],[Pay Factor]]</f>
        <v>0</v>
      </c>
      <c r="O760" s="25">
        <f>_xlfn.XLOOKUP(tblPayrollMaster[[#This Row],[Employee Position]],tblPositionandPayRate[Employee Position],tblPositionandPayRate[Allowance 4],0)*tblPayrollMaster[[#This Row],[Pay Factor]]</f>
        <v>0</v>
      </c>
      <c r="P760" s="25">
        <f>_xlfn.XLOOKUP(tblPayrollMaster[[#This Row],[Employee Position]],tblPositionandPayRate[Employee Position],tblPositionandPayRate[Allowance 5],0)*tblPayrollMaster[[#This Row],[Pay Factor]]</f>
        <v>0</v>
      </c>
      <c r="Q760" s="25">
        <f>SUM(tblPayrollMaster[[#This Row],[Basic Pay]:[Allowance 5]])</f>
        <v>0</v>
      </c>
      <c r="R76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60" s="51" cm="1">
        <f t="array" ref="S7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60" s="3" cm="1">
        <f t="array" ref="T7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60" s="25">
        <f>_xlfn.LET(
_xlpm.tos, _xlfn.XLOOKUP(tblPayrollMaster[[#This Row],[Employee ID]], tblEmployee[Employee ID], tblEmployee[Type of Service], ""),
IF(_xlpm.tos="Contract of Service", 8.25, 0)
)</f>
        <v>0</v>
      </c>
      <c r="V760" s="25">
        <f>tblPayrollMaster[[#This Row],[Basic Earnings]]-tblPayrollMaster[[#This Row],[Tax]]-tblPayrollMaster[[#This Row],[NIS - Employee]]-tblPayrollMaster[[#This Row],[Health Surcharge]]</f>
        <v>0</v>
      </c>
      <c r="W760" s="25">
        <f>tblPayrollMaster[[#This Row],[Net Pay]]</f>
        <v>0</v>
      </c>
      <c r="X760" s="25"/>
    </row>
    <row r="761" spans="1:24" x14ac:dyDescent="0.25">
      <c r="A761" s="24"/>
      <c r="B761" s="24" t="str">
        <f>_xlfn.XLOOKUP(tblPayrollMaster[[#This Row],[Employee ID]],tblEmployee[Employee ID],tblEmployee[Employee Name],"")</f>
        <v/>
      </c>
      <c r="C761" s="24" t="str">
        <f>_xlfn.XLOOKUP(tblPayrollMaster[[#This Row],[Employee ID]],tblEmployee[Employee ID],tblEmployee[Employee Position],"")</f>
        <v/>
      </c>
      <c r="D761" s="24" t="str">
        <f>_xlfn.XLOOKUP(tblPayrollMaster[[#This Row],[Employee ID]], tblEmployee[Employee ID], tblEmployee[Pay Status], "Pay")</f>
        <v>Pay</v>
      </c>
      <c r="E761" s="24" t="str">
        <f>_xlfn.XLOOKUP(tblPayrollMaster[[#This Row],[Employee ID]], tblEmployee[Employee ID], tblEmployee[Payable Flag], "Y")</f>
        <v>Y</v>
      </c>
      <c r="F761" s="45">
        <f>IF(tblPayrollMaster[[#This Row],[Payable Flag]]="N",0,_xlfn.XLOOKUP(tblPayrollMaster[[#This Row],[Employee ID]],tblEmployee[Employee ID],tblEmployee[Pay Factor],1))</f>
        <v>1</v>
      </c>
      <c r="G761" s="26" t="str" cm="1">
        <f t="array" ref="G761">IF(tblPayrollMaster[[#This Row],[Employee ID]]="","",_xlfn.XLOOKUP(selPayPeriodID,tblPayCalendar[PayPeriodID],tblPayCalendar[PeriodStart],""))</f>
        <v/>
      </c>
      <c r="H761" s="26" t="str" cm="1">
        <f t="array" ref="H761">IF(tblPayrollMaster[[#This Row],[Employee ID]]="","",_xlfn.XLOOKUP(selPayPeriodID,tblPayCalendar[PayPeriodID],tblPayCalendar[PeriodEnd],""))</f>
        <v/>
      </c>
      <c r="I761" s="24" t="e" cm="1" vm="1">
        <f t="array" aca="1" ref="I761" ca="1">Table18[Employer Name]</f>
        <v>#VALUE!</v>
      </c>
      <c r="J761" s="3" cm="1">
        <f t="array" ref="J76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61" s="25" t="str">
        <f>_xlfn.XLOOKUP(tblPayrollMaster[[#This Row],[Employee Position]],tblPositionandPayRate[Employee Position],tblPositionandPayRate[Overtime], " ")</f>
        <v xml:space="preserve"> </v>
      </c>
      <c r="L761" s="25">
        <f>_xlfn.XLOOKUP(tblPayrollMaster[[#This Row],[Employee Position]],tblPositionandPayRate[Employee Position],tblPositionandPayRate[Allowance 1],0)*tblPayrollMaster[[#This Row],[Pay Factor]]</f>
        <v>0</v>
      </c>
      <c r="M761" s="25">
        <f>_xlfn.XLOOKUP(tblPayrollMaster[[#This Row],[Employee Position]],tblPositionandPayRate[Employee Position],tblPositionandPayRate[Allowance 2],0)*tblPayrollMaster[[#This Row],[Pay Factor]]</f>
        <v>0</v>
      </c>
      <c r="N761" s="25">
        <f>_xlfn.XLOOKUP(tblPayrollMaster[[#This Row],[Employee Position]],tblPositionandPayRate[Employee Position],tblPositionandPayRate[Allowance 3],0)*tblPayrollMaster[[#This Row],[Pay Factor]]</f>
        <v>0</v>
      </c>
      <c r="O761" s="25">
        <f>_xlfn.XLOOKUP(tblPayrollMaster[[#This Row],[Employee Position]],tblPositionandPayRate[Employee Position],tblPositionandPayRate[Allowance 4],0)*tblPayrollMaster[[#This Row],[Pay Factor]]</f>
        <v>0</v>
      </c>
      <c r="P761" s="25">
        <f>_xlfn.XLOOKUP(tblPayrollMaster[[#This Row],[Employee Position]],tblPositionandPayRate[Employee Position],tblPositionandPayRate[Allowance 5],0)*tblPayrollMaster[[#This Row],[Pay Factor]]</f>
        <v>0</v>
      </c>
      <c r="Q761" s="25">
        <f>SUM(tblPayrollMaster[[#This Row],[Basic Pay]:[Allowance 5]])</f>
        <v>0</v>
      </c>
      <c r="R76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61" s="51" cm="1">
        <f t="array" ref="S7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61" s="3" cm="1">
        <f t="array" ref="T7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61" s="25">
        <f>_xlfn.LET(
_xlpm.tos, _xlfn.XLOOKUP(tblPayrollMaster[[#This Row],[Employee ID]], tblEmployee[Employee ID], tblEmployee[Type of Service], ""),
IF(_xlpm.tos="Contract of Service", 8.25, 0)
)</f>
        <v>0</v>
      </c>
      <c r="V761" s="25">
        <f>tblPayrollMaster[[#This Row],[Basic Earnings]]-tblPayrollMaster[[#This Row],[Tax]]-tblPayrollMaster[[#This Row],[NIS - Employee]]-tblPayrollMaster[[#This Row],[Health Surcharge]]</f>
        <v>0</v>
      </c>
      <c r="W761" s="25">
        <f>tblPayrollMaster[[#This Row],[Net Pay]]</f>
        <v>0</v>
      </c>
      <c r="X761" s="25"/>
    </row>
    <row r="762" spans="1:24" x14ac:dyDescent="0.25">
      <c r="A762" s="24"/>
      <c r="B762" s="24" t="str">
        <f>_xlfn.XLOOKUP(tblPayrollMaster[[#This Row],[Employee ID]],tblEmployee[Employee ID],tblEmployee[Employee Name],"")</f>
        <v/>
      </c>
      <c r="C762" s="24" t="str">
        <f>_xlfn.XLOOKUP(tblPayrollMaster[[#This Row],[Employee ID]],tblEmployee[Employee ID],tblEmployee[Employee Position],"")</f>
        <v/>
      </c>
      <c r="D762" s="24" t="str">
        <f>_xlfn.XLOOKUP(tblPayrollMaster[[#This Row],[Employee ID]], tblEmployee[Employee ID], tblEmployee[Pay Status], "Pay")</f>
        <v>Pay</v>
      </c>
      <c r="E762" s="24" t="str">
        <f>_xlfn.XLOOKUP(tblPayrollMaster[[#This Row],[Employee ID]], tblEmployee[Employee ID], tblEmployee[Payable Flag], "Y")</f>
        <v>Y</v>
      </c>
      <c r="F762" s="45">
        <f>IF(tblPayrollMaster[[#This Row],[Payable Flag]]="N",0,_xlfn.XLOOKUP(tblPayrollMaster[[#This Row],[Employee ID]],tblEmployee[Employee ID],tblEmployee[Pay Factor],1))</f>
        <v>1</v>
      </c>
      <c r="G762" s="26" t="str" cm="1">
        <f t="array" ref="G762">IF(tblPayrollMaster[[#This Row],[Employee ID]]="","",_xlfn.XLOOKUP(selPayPeriodID,tblPayCalendar[PayPeriodID],tblPayCalendar[PeriodStart],""))</f>
        <v/>
      </c>
      <c r="H762" s="26" t="str" cm="1">
        <f t="array" ref="H762">IF(tblPayrollMaster[[#This Row],[Employee ID]]="","",_xlfn.XLOOKUP(selPayPeriodID,tblPayCalendar[PayPeriodID],tblPayCalendar[PeriodEnd],""))</f>
        <v/>
      </c>
      <c r="I762" s="24" t="e" cm="1" vm="1">
        <f t="array" aca="1" ref="I762" ca="1">Table18[Employer Name]</f>
        <v>#VALUE!</v>
      </c>
      <c r="J762" s="3" cm="1">
        <f t="array" ref="J76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62" s="25" t="str">
        <f>_xlfn.XLOOKUP(tblPayrollMaster[[#This Row],[Employee Position]],tblPositionandPayRate[Employee Position],tblPositionandPayRate[Overtime], " ")</f>
        <v xml:space="preserve"> </v>
      </c>
      <c r="L762" s="25">
        <f>_xlfn.XLOOKUP(tblPayrollMaster[[#This Row],[Employee Position]],tblPositionandPayRate[Employee Position],tblPositionandPayRate[Allowance 1],0)*tblPayrollMaster[[#This Row],[Pay Factor]]</f>
        <v>0</v>
      </c>
      <c r="M762" s="25">
        <f>_xlfn.XLOOKUP(tblPayrollMaster[[#This Row],[Employee Position]],tblPositionandPayRate[Employee Position],tblPositionandPayRate[Allowance 2],0)*tblPayrollMaster[[#This Row],[Pay Factor]]</f>
        <v>0</v>
      </c>
      <c r="N762" s="25">
        <f>_xlfn.XLOOKUP(tblPayrollMaster[[#This Row],[Employee Position]],tblPositionandPayRate[Employee Position],tblPositionandPayRate[Allowance 3],0)*tblPayrollMaster[[#This Row],[Pay Factor]]</f>
        <v>0</v>
      </c>
      <c r="O762" s="25">
        <f>_xlfn.XLOOKUP(tblPayrollMaster[[#This Row],[Employee Position]],tblPositionandPayRate[Employee Position],tblPositionandPayRate[Allowance 4],0)*tblPayrollMaster[[#This Row],[Pay Factor]]</f>
        <v>0</v>
      </c>
      <c r="P762" s="25">
        <f>_xlfn.XLOOKUP(tblPayrollMaster[[#This Row],[Employee Position]],tblPositionandPayRate[Employee Position],tblPositionandPayRate[Allowance 5],0)*tblPayrollMaster[[#This Row],[Pay Factor]]</f>
        <v>0</v>
      </c>
      <c r="Q762" s="25">
        <f>SUM(tblPayrollMaster[[#This Row],[Basic Pay]:[Allowance 5]])</f>
        <v>0</v>
      </c>
      <c r="R76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62" s="51" cm="1">
        <f t="array" ref="S7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62" s="3" cm="1">
        <f t="array" ref="T7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62" s="25">
        <f>_xlfn.LET(
_xlpm.tos, _xlfn.XLOOKUP(tblPayrollMaster[[#This Row],[Employee ID]], tblEmployee[Employee ID], tblEmployee[Type of Service], ""),
IF(_xlpm.tos="Contract of Service", 8.25, 0)
)</f>
        <v>0</v>
      </c>
      <c r="V762" s="25">
        <f>tblPayrollMaster[[#This Row],[Basic Earnings]]-tblPayrollMaster[[#This Row],[Tax]]-tblPayrollMaster[[#This Row],[NIS - Employee]]-tblPayrollMaster[[#This Row],[Health Surcharge]]</f>
        <v>0</v>
      </c>
      <c r="W762" s="25">
        <f>tblPayrollMaster[[#This Row],[Net Pay]]</f>
        <v>0</v>
      </c>
      <c r="X762" s="25"/>
    </row>
    <row r="763" spans="1:24" x14ac:dyDescent="0.25">
      <c r="A763" s="24"/>
      <c r="B763" s="24" t="str">
        <f>_xlfn.XLOOKUP(tblPayrollMaster[[#This Row],[Employee ID]],tblEmployee[Employee ID],tblEmployee[Employee Name],"")</f>
        <v/>
      </c>
      <c r="C763" s="24" t="str">
        <f>_xlfn.XLOOKUP(tblPayrollMaster[[#This Row],[Employee ID]],tblEmployee[Employee ID],tblEmployee[Employee Position],"")</f>
        <v/>
      </c>
      <c r="D763" s="24" t="str">
        <f>_xlfn.XLOOKUP(tblPayrollMaster[[#This Row],[Employee ID]], tblEmployee[Employee ID], tblEmployee[Pay Status], "Pay")</f>
        <v>Pay</v>
      </c>
      <c r="E763" s="24" t="str">
        <f>_xlfn.XLOOKUP(tblPayrollMaster[[#This Row],[Employee ID]], tblEmployee[Employee ID], tblEmployee[Payable Flag], "Y")</f>
        <v>Y</v>
      </c>
      <c r="F763" s="45">
        <f>IF(tblPayrollMaster[[#This Row],[Payable Flag]]="N",0,_xlfn.XLOOKUP(tblPayrollMaster[[#This Row],[Employee ID]],tblEmployee[Employee ID],tblEmployee[Pay Factor],1))</f>
        <v>1</v>
      </c>
      <c r="G763" s="26" t="str" cm="1">
        <f t="array" ref="G763">IF(tblPayrollMaster[[#This Row],[Employee ID]]="","",_xlfn.XLOOKUP(selPayPeriodID,tblPayCalendar[PayPeriodID],tblPayCalendar[PeriodStart],""))</f>
        <v/>
      </c>
      <c r="H763" s="26" t="str" cm="1">
        <f t="array" ref="H763">IF(tblPayrollMaster[[#This Row],[Employee ID]]="","",_xlfn.XLOOKUP(selPayPeriodID,tblPayCalendar[PayPeriodID],tblPayCalendar[PeriodEnd],""))</f>
        <v/>
      </c>
      <c r="I763" s="24" t="e" cm="1" vm="1">
        <f t="array" aca="1" ref="I763" ca="1">Table18[Employer Name]</f>
        <v>#VALUE!</v>
      </c>
      <c r="J763" s="3" cm="1">
        <f t="array" ref="J76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63" s="25" t="str">
        <f>_xlfn.XLOOKUP(tblPayrollMaster[[#This Row],[Employee Position]],tblPositionandPayRate[Employee Position],tblPositionandPayRate[Overtime], " ")</f>
        <v xml:space="preserve"> </v>
      </c>
      <c r="L763" s="25">
        <f>_xlfn.XLOOKUP(tblPayrollMaster[[#This Row],[Employee Position]],tblPositionandPayRate[Employee Position],tblPositionandPayRate[Allowance 1],0)*tblPayrollMaster[[#This Row],[Pay Factor]]</f>
        <v>0</v>
      </c>
      <c r="M763" s="25">
        <f>_xlfn.XLOOKUP(tblPayrollMaster[[#This Row],[Employee Position]],tblPositionandPayRate[Employee Position],tblPositionandPayRate[Allowance 2],0)*tblPayrollMaster[[#This Row],[Pay Factor]]</f>
        <v>0</v>
      </c>
      <c r="N763" s="25">
        <f>_xlfn.XLOOKUP(tblPayrollMaster[[#This Row],[Employee Position]],tblPositionandPayRate[Employee Position],tblPositionandPayRate[Allowance 3],0)*tblPayrollMaster[[#This Row],[Pay Factor]]</f>
        <v>0</v>
      </c>
      <c r="O763" s="25">
        <f>_xlfn.XLOOKUP(tblPayrollMaster[[#This Row],[Employee Position]],tblPositionandPayRate[Employee Position],tblPositionandPayRate[Allowance 4],0)*tblPayrollMaster[[#This Row],[Pay Factor]]</f>
        <v>0</v>
      </c>
      <c r="P763" s="25">
        <f>_xlfn.XLOOKUP(tblPayrollMaster[[#This Row],[Employee Position]],tblPositionandPayRate[Employee Position],tblPositionandPayRate[Allowance 5],0)*tblPayrollMaster[[#This Row],[Pay Factor]]</f>
        <v>0</v>
      </c>
      <c r="Q763" s="25">
        <f>SUM(tblPayrollMaster[[#This Row],[Basic Pay]:[Allowance 5]])</f>
        <v>0</v>
      </c>
      <c r="R76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63" s="51" cm="1">
        <f t="array" ref="S7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63" s="3" cm="1">
        <f t="array" ref="T7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63" s="25">
        <f>_xlfn.LET(
_xlpm.tos, _xlfn.XLOOKUP(tblPayrollMaster[[#This Row],[Employee ID]], tblEmployee[Employee ID], tblEmployee[Type of Service], ""),
IF(_xlpm.tos="Contract of Service", 8.25, 0)
)</f>
        <v>0</v>
      </c>
      <c r="V763" s="25">
        <f>tblPayrollMaster[[#This Row],[Basic Earnings]]-tblPayrollMaster[[#This Row],[Tax]]-tblPayrollMaster[[#This Row],[NIS - Employee]]-tblPayrollMaster[[#This Row],[Health Surcharge]]</f>
        <v>0</v>
      </c>
      <c r="W763" s="25">
        <f>tblPayrollMaster[[#This Row],[Net Pay]]</f>
        <v>0</v>
      </c>
      <c r="X763" s="25"/>
    </row>
    <row r="764" spans="1:24" x14ac:dyDescent="0.25">
      <c r="A764" s="24"/>
      <c r="B764" s="24" t="str">
        <f>_xlfn.XLOOKUP(tblPayrollMaster[[#This Row],[Employee ID]],tblEmployee[Employee ID],tblEmployee[Employee Name],"")</f>
        <v/>
      </c>
      <c r="C764" s="24" t="str">
        <f>_xlfn.XLOOKUP(tblPayrollMaster[[#This Row],[Employee ID]],tblEmployee[Employee ID],tblEmployee[Employee Position],"")</f>
        <v/>
      </c>
      <c r="D764" s="24" t="str">
        <f>_xlfn.XLOOKUP(tblPayrollMaster[[#This Row],[Employee ID]], tblEmployee[Employee ID], tblEmployee[Pay Status], "Pay")</f>
        <v>Pay</v>
      </c>
      <c r="E764" s="24" t="str">
        <f>_xlfn.XLOOKUP(tblPayrollMaster[[#This Row],[Employee ID]], tblEmployee[Employee ID], tblEmployee[Payable Flag], "Y")</f>
        <v>Y</v>
      </c>
      <c r="F764" s="45">
        <f>IF(tblPayrollMaster[[#This Row],[Payable Flag]]="N",0,_xlfn.XLOOKUP(tblPayrollMaster[[#This Row],[Employee ID]],tblEmployee[Employee ID],tblEmployee[Pay Factor],1))</f>
        <v>1</v>
      </c>
      <c r="G764" s="26" t="str" cm="1">
        <f t="array" ref="G764">IF(tblPayrollMaster[[#This Row],[Employee ID]]="","",_xlfn.XLOOKUP(selPayPeriodID,tblPayCalendar[PayPeriodID],tblPayCalendar[PeriodStart],""))</f>
        <v/>
      </c>
      <c r="H764" s="26" t="str" cm="1">
        <f t="array" ref="H764">IF(tblPayrollMaster[[#This Row],[Employee ID]]="","",_xlfn.XLOOKUP(selPayPeriodID,tblPayCalendar[PayPeriodID],tblPayCalendar[PeriodEnd],""))</f>
        <v/>
      </c>
      <c r="I764" s="24" t="e" cm="1" vm="1">
        <f t="array" aca="1" ref="I764" ca="1">Table18[Employer Name]</f>
        <v>#VALUE!</v>
      </c>
      <c r="J764" s="3" cm="1">
        <f t="array" ref="J76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64" s="25" t="str">
        <f>_xlfn.XLOOKUP(tblPayrollMaster[[#This Row],[Employee Position]],tblPositionandPayRate[Employee Position],tblPositionandPayRate[Overtime], " ")</f>
        <v xml:space="preserve"> </v>
      </c>
      <c r="L764" s="25">
        <f>_xlfn.XLOOKUP(tblPayrollMaster[[#This Row],[Employee Position]],tblPositionandPayRate[Employee Position],tblPositionandPayRate[Allowance 1],0)*tblPayrollMaster[[#This Row],[Pay Factor]]</f>
        <v>0</v>
      </c>
      <c r="M764" s="25">
        <f>_xlfn.XLOOKUP(tblPayrollMaster[[#This Row],[Employee Position]],tblPositionandPayRate[Employee Position],tblPositionandPayRate[Allowance 2],0)*tblPayrollMaster[[#This Row],[Pay Factor]]</f>
        <v>0</v>
      </c>
      <c r="N764" s="25">
        <f>_xlfn.XLOOKUP(tblPayrollMaster[[#This Row],[Employee Position]],tblPositionandPayRate[Employee Position],tblPositionandPayRate[Allowance 3],0)*tblPayrollMaster[[#This Row],[Pay Factor]]</f>
        <v>0</v>
      </c>
      <c r="O764" s="25">
        <f>_xlfn.XLOOKUP(tblPayrollMaster[[#This Row],[Employee Position]],tblPositionandPayRate[Employee Position],tblPositionandPayRate[Allowance 4],0)*tblPayrollMaster[[#This Row],[Pay Factor]]</f>
        <v>0</v>
      </c>
      <c r="P764" s="25">
        <f>_xlfn.XLOOKUP(tblPayrollMaster[[#This Row],[Employee Position]],tblPositionandPayRate[Employee Position],tblPositionandPayRate[Allowance 5],0)*tblPayrollMaster[[#This Row],[Pay Factor]]</f>
        <v>0</v>
      </c>
      <c r="Q764" s="25">
        <f>SUM(tblPayrollMaster[[#This Row],[Basic Pay]:[Allowance 5]])</f>
        <v>0</v>
      </c>
      <c r="R76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64" s="51" cm="1">
        <f t="array" ref="S7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64" s="3" cm="1">
        <f t="array" ref="T7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64" s="25">
        <f>_xlfn.LET(
_xlpm.tos, _xlfn.XLOOKUP(tblPayrollMaster[[#This Row],[Employee ID]], tblEmployee[Employee ID], tblEmployee[Type of Service], ""),
IF(_xlpm.tos="Contract of Service", 8.25, 0)
)</f>
        <v>0</v>
      </c>
      <c r="V764" s="25">
        <f>tblPayrollMaster[[#This Row],[Basic Earnings]]-tblPayrollMaster[[#This Row],[Tax]]-tblPayrollMaster[[#This Row],[NIS - Employee]]-tblPayrollMaster[[#This Row],[Health Surcharge]]</f>
        <v>0</v>
      </c>
      <c r="W764" s="25">
        <f>tblPayrollMaster[[#This Row],[Net Pay]]</f>
        <v>0</v>
      </c>
      <c r="X764" s="25"/>
    </row>
    <row r="765" spans="1:24" x14ac:dyDescent="0.25">
      <c r="A765" s="24"/>
      <c r="B765" s="24" t="str">
        <f>_xlfn.XLOOKUP(tblPayrollMaster[[#This Row],[Employee ID]],tblEmployee[Employee ID],tblEmployee[Employee Name],"")</f>
        <v/>
      </c>
      <c r="C765" s="24" t="str">
        <f>_xlfn.XLOOKUP(tblPayrollMaster[[#This Row],[Employee ID]],tblEmployee[Employee ID],tblEmployee[Employee Position],"")</f>
        <v/>
      </c>
      <c r="D765" s="24" t="str">
        <f>_xlfn.XLOOKUP(tblPayrollMaster[[#This Row],[Employee ID]], tblEmployee[Employee ID], tblEmployee[Pay Status], "Pay")</f>
        <v>Pay</v>
      </c>
      <c r="E765" s="24" t="str">
        <f>_xlfn.XLOOKUP(tblPayrollMaster[[#This Row],[Employee ID]], tblEmployee[Employee ID], tblEmployee[Payable Flag], "Y")</f>
        <v>Y</v>
      </c>
      <c r="F765" s="45">
        <f>IF(tblPayrollMaster[[#This Row],[Payable Flag]]="N",0,_xlfn.XLOOKUP(tblPayrollMaster[[#This Row],[Employee ID]],tblEmployee[Employee ID],tblEmployee[Pay Factor],1))</f>
        <v>1</v>
      </c>
      <c r="G765" s="26" t="str" cm="1">
        <f t="array" ref="G765">IF(tblPayrollMaster[[#This Row],[Employee ID]]="","",_xlfn.XLOOKUP(selPayPeriodID,tblPayCalendar[PayPeriodID],tblPayCalendar[PeriodStart],""))</f>
        <v/>
      </c>
      <c r="H765" s="26" t="str" cm="1">
        <f t="array" ref="H765">IF(tblPayrollMaster[[#This Row],[Employee ID]]="","",_xlfn.XLOOKUP(selPayPeriodID,tblPayCalendar[PayPeriodID],tblPayCalendar[PeriodEnd],""))</f>
        <v/>
      </c>
      <c r="I765" s="24" t="e" cm="1" vm="1">
        <f t="array" aca="1" ref="I765" ca="1">Table18[Employer Name]</f>
        <v>#VALUE!</v>
      </c>
      <c r="J765" s="3" cm="1">
        <f t="array" ref="J76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65" s="25" t="str">
        <f>_xlfn.XLOOKUP(tblPayrollMaster[[#This Row],[Employee Position]],tblPositionandPayRate[Employee Position],tblPositionandPayRate[Overtime], " ")</f>
        <v xml:space="preserve"> </v>
      </c>
      <c r="L765" s="25">
        <f>_xlfn.XLOOKUP(tblPayrollMaster[[#This Row],[Employee Position]],tblPositionandPayRate[Employee Position],tblPositionandPayRate[Allowance 1],0)*tblPayrollMaster[[#This Row],[Pay Factor]]</f>
        <v>0</v>
      </c>
      <c r="M765" s="25">
        <f>_xlfn.XLOOKUP(tblPayrollMaster[[#This Row],[Employee Position]],tblPositionandPayRate[Employee Position],tblPositionandPayRate[Allowance 2],0)*tblPayrollMaster[[#This Row],[Pay Factor]]</f>
        <v>0</v>
      </c>
      <c r="N765" s="25">
        <f>_xlfn.XLOOKUP(tblPayrollMaster[[#This Row],[Employee Position]],tblPositionandPayRate[Employee Position],tblPositionandPayRate[Allowance 3],0)*tblPayrollMaster[[#This Row],[Pay Factor]]</f>
        <v>0</v>
      </c>
      <c r="O765" s="25">
        <f>_xlfn.XLOOKUP(tblPayrollMaster[[#This Row],[Employee Position]],tblPositionandPayRate[Employee Position],tblPositionandPayRate[Allowance 4],0)*tblPayrollMaster[[#This Row],[Pay Factor]]</f>
        <v>0</v>
      </c>
      <c r="P765" s="25">
        <f>_xlfn.XLOOKUP(tblPayrollMaster[[#This Row],[Employee Position]],tblPositionandPayRate[Employee Position],tblPositionandPayRate[Allowance 5],0)*tblPayrollMaster[[#This Row],[Pay Factor]]</f>
        <v>0</v>
      </c>
      <c r="Q765" s="25">
        <f>SUM(tblPayrollMaster[[#This Row],[Basic Pay]:[Allowance 5]])</f>
        <v>0</v>
      </c>
      <c r="R76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65" s="51" cm="1">
        <f t="array" ref="S7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65" s="3" cm="1">
        <f t="array" ref="T7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65" s="25">
        <f>_xlfn.LET(
_xlpm.tos, _xlfn.XLOOKUP(tblPayrollMaster[[#This Row],[Employee ID]], tblEmployee[Employee ID], tblEmployee[Type of Service], ""),
IF(_xlpm.tos="Contract of Service", 8.25, 0)
)</f>
        <v>0</v>
      </c>
      <c r="V765" s="25">
        <f>tblPayrollMaster[[#This Row],[Basic Earnings]]-tblPayrollMaster[[#This Row],[Tax]]-tblPayrollMaster[[#This Row],[NIS - Employee]]-tblPayrollMaster[[#This Row],[Health Surcharge]]</f>
        <v>0</v>
      </c>
      <c r="W765" s="25">
        <f>tblPayrollMaster[[#This Row],[Net Pay]]</f>
        <v>0</v>
      </c>
      <c r="X765" s="25"/>
    </row>
    <row r="766" spans="1:24" x14ac:dyDescent="0.25">
      <c r="A766" s="24"/>
      <c r="B766" s="24" t="str">
        <f>_xlfn.XLOOKUP(tblPayrollMaster[[#This Row],[Employee ID]],tblEmployee[Employee ID],tblEmployee[Employee Name],"")</f>
        <v/>
      </c>
      <c r="C766" s="24" t="str">
        <f>_xlfn.XLOOKUP(tblPayrollMaster[[#This Row],[Employee ID]],tblEmployee[Employee ID],tblEmployee[Employee Position],"")</f>
        <v/>
      </c>
      <c r="D766" s="24" t="str">
        <f>_xlfn.XLOOKUP(tblPayrollMaster[[#This Row],[Employee ID]], tblEmployee[Employee ID], tblEmployee[Pay Status], "Pay")</f>
        <v>Pay</v>
      </c>
      <c r="E766" s="24" t="str">
        <f>_xlfn.XLOOKUP(tblPayrollMaster[[#This Row],[Employee ID]], tblEmployee[Employee ID], tblEmployee[Payable Flag], "Y")</f>
        <v>Y</v>
      </c>
      <c r="F766" s="45">
        <f>IF(tblPayrollMaster[[#This Row],[Payable Flag]]="N",0,_xlfn.XLOOKUP(tblPayrollMaster[[#This Row],[Employee ID]],tblEmployee[Employee ID],tblEmployee[Pay Factor],1))</f>
        <v>1</v>
      </c>
      <c r="G766" s="26" t="str" cm="1">
        <f t="array" ref="G766">IF(tblPayrollMaster[[#This Row],[Employee ID]]="","",_xlfn.XLOOKUP(selPayPeriodID,tblPayCalendar[PayPeriodID],tblPayCalendar[PeriodStart],""))</f>
        <v/>
      </c>
      <c r="H766" s="26" t="str" cm="1">
        <f t="array" ref="H766">IF(tblPayrollMaster[[#This Row],[Employee ID]]="","",_xlfn.XLOOKUP(selPayPeriodID,tblPayCalendar[PayPeriodID],tblPayCalendar[PeriodEnd],""))</f>
        <v/>
      </c>
      <c r="I766" s="24" t="e" cm="1" vm="1">
        <f t="array" aca="1" ref="I766" ca="1">Table18[Employer Name]</f>
        <v>#VALUE!</v>
      </c>
      <c r="J766" s="3" cm="1">
        <f t="array" ref="J76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66" s="25" t="str">
        <f>_xlfn.XLOOKUP(tblPayrollMaster[[#This Row],[Employee Position]],tblPositionandPayRate[Employee Position],tblPositionandPayRate[Overtime], " ")</f>
        <v xml:space="preserve"> </v>
      </c>
      <c r="L766" s="25">
        <f>_xlfn.XLOOKUP(tblPayrollMaster[[#This Row],[Employee Position]],tblPositionandPayRate[Employee Position],tblPositionandPayRate[Allowance 1],0)*tblPayrollMaster[[#This Row],[Pay Factor]]</f>
        <v>0</v>
      </c>
      <c r="M766" s="25">
        <f>_xlfn.XLOOKUP(tblPayrollMaster[[#This Row],[Employee Position]],tblPositionandPayRate[Employee Position],tblPositionandPayRate[Allowance 2],0)*tblPayrollMaster[[#This Row],[Pay Factor]]</f>
        <v>0</v>
      </c>
      <c r="N766" s="25">
        <f>_xlfn.XLOOKUP(tblPayrollMaster[[#This Row],[Employee Position]],tblPositionandPayRate[Employee Position],tblPositionandPayRate[Allowance 3],0)*tblPayrollMaster[[#This Row],[Pay Factor]]</f>
        <v>0</v>
      </c>
      <c r="O766" s="25">
        <f>_xlfn.XLOOKUP(tblPayrollMaster[[#This Row],[Employee Position]],tblPositionandPayRate[Employee Position],tblPositionandPayRate[Allowance 4],0)*tblPayrollMaster[[#This Row],[Pay Factor]]</f>
        <v>0</v>
      </c>
      <c r="P766" s="25">
        <f>_xlfn.XLOOKUP(tblPayrollMaster[[#This Row],[Employee Position]],tblPositionandPayRate[Employee Position],tblPositionandPayRate[Allowance 5],0)*tblPayrollMaster[[#This Row],[Pay Factor]]</f>
        <v>0</v>
      </c>
      <c r="Q766" s="25">
        <f>SUM(tblPayrollMaster[[#This Row],[Basic Pay]:[Allowance 5]])</f>
        <v>0</v>
      </c>
      <c r="R76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66" s="51" cm="1">
        <f t="array" ref="S7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66" s="3" cm="1">
        <f t="array" ref="T7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66" s="25">
        <f>_xlfn.LET(
_xlpm.tos, _xlfn.XLOOKUP(tblPayrollMaster[[#This Row],[Employee ID]], tblEmployee[Employee ID], tblEmployee[Type of Service], ""),
IF(_xlpm.tos="Contract of Service", 8.25, 0)
)</f>
        <v>0</v>
      </c>
      <c r="V766" s="25">
        <f>tblPayrollMaster[[#This Row],[Basic Earnings]]-tblPayrollMaster[[#This Row],[Tax]]-tblPayrollMaster[[#This Row],[NIS - Employee]]-tblPayrollMaster[[#This Row],[Health Surcharge]]</f>
        <v>0</v>
      </c>
      <c r="W766" s="25">
        <f>tblPayrollMaster[[#This Row],[Net Pay]]</f>
        <v>0</v>
      </c>
      <c r="X766" s="25"/>
    </row>
    <row r="767" spans="1:24" x14ac:dyDescent="0.25">
      <c r="A767" s="24"/>
      <c r="B767" s="24" t="str">
        <f>_xlfn.XLOOKUP(tblPayrollMaster[[#This Row],[Employee ID]],tblEmployee[Employee ID],tblEmployee[Employee Name],"")</f>
        <v/>
      </c>
      <c r="C767" s="24" t="str">
        <f>_xlfn.XLOOKUP(tblPayrollMaster[[#This Row],[Employee ID]],tblEmployee[Employee ID],tblEmployee[Employee Position],"")</f>
        <v/>
      </c>
      <c r="D767" s="24" t="str">
        <f>_xlfn.XLOOKUP(tblPayrollMaster[[#This Row],[Employee ID]], tblEmployee[Employee ID], tblEmployee[Pay Status], "Pay")</f>
        <v>Pay</v>
      </c>
      <c r="E767" s="24" t="str">
        <f>_xlfn.XLOOKUP(tblPayrollMaster[[#This Row],[Employee ID]], tblEmployee[Employee ID], tblEmployee[Payable Flag], "Y")</f>
        <v>Y</v>
      </c>
      <c r="F767" s="45">
        <f>IF(tblPayrollMaster[[#This Row],[Payable Flag]]="N",0,_xlfn.XLOOKUP(tblPayrollMaster[[#This Row],[Employee ID]],tblEmployee[Employee ID],tblEmployee[Pay Factor],1))</f>
        <v>1</v>
      </c>
      <c r="G767" s="26" t="str" cm="1">
        <f t="array" ref="G767">IF(tblPayrollMaster[[#This Row],[Employee ID]]="","",_xlfn.XLOOKUP(selPayPeriodID,tblPayCalendar[PayPeriodID],tblPayCalendar[PeriodStart],""))</f>
        <v/>
      </c>
      <c r="H767" s="26" t="str" cm="1">
        <f t="array" ref="H767">IF(tblPayrollMaster[[#This Row],[Employee ID]]="","",_xlfn.XLOOKUP(selPayPeriodID,tblPayCalendar[PayPeriodID],tblPayCalendar[PeriodEnd],""))</f>
        <v/>
      </c>
      <c r="I767" s="24" t="e" cm="1" vm="1">
        <f t="array" aca="1" ref="I767" ca="1">Table18[Employer Name]</f>
        <v>#VALUE!</v>
      </c>
      <c r="J767" s="3" cm="1">
        <f t="array" ref="J76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67" s="25" t="str">
        <f>_xlfn.XLOOKUP(tblPayrollMaster[[#This Row],[Employee Position]],tblPositionandPayRate[Employee Position],tblPositionandPayRate[Overtime], " ")</f>
        <v xml:space="preserve"> </v>
      </c>
      <c r="L767" s="25">
        <f>_xlfn.XLOOKUP(tblPayrollMaster[[#This Row],[Employee Position]],tblPositionandPayRate[Employee Position],tblPositionandPayRate[Allowance 1],0)*tblPayrollMaster[[#This Row],[Pay Factor]]</f>
        <v>0</v>
      </c>
      <c r="M767" s="25">
        <f>_xlfn.XLOOKUP(tblPayrollMaster[[#This Row],[Employee Position]],tblPositionandPayRate[Employee Position],tblPositionandPayRate[Allowance 2],0)*tblPayrollMaster[[#This Row],[Pay Factor]]</f>
        <v>0</v>
      </c>
      <c r="N767" s="25">
        <f>_xlfn.XLOOKUP(tblPayrollMaster[[#This Row],[Employee Position]],tblPositionandPayRate[Employee Position],tblPositionandPayRate[Allowance 3],0)*tblPayrollMaster[[#This Row],[Pay Factor]]</f>
        <v>0</v>
      </c>
      <c r="O767" s="25">
        <f>_xlfn.XLOOKUP(tblPayrollMaster[[#This Row],[Employee Position]],tblPositionandPayRate[Employee Position],tblPositionandPayRate[Allowance 4],0)*tblPayrollMaster[[#This Row],[Pay Factor]]</f>
        <v>0</v>
      </c>
      <c r="P767" s="25">
        <f>_xlfn.XLOOKUP(tblPayrollMaster[[#This Row],[Employee Position]],tblPositionandPayRate[Employee Position],tblPositionandPayRate[Allowance 5],0)*tblPayrollMaster[[#This Row],[Pay Factor]]</f>
        <v>0</v>
      </c>
      <c r="Q767" s="25">
        <f>SUM(tblPayrollMaster[[#This Row],[Basic Pay]:[Allowance 5]])</f>
        <v>0</v>
      </c>
      <c r="R76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67" s="51" cm="1">
        <f t="array" ref="S7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67" s="3" cm="1">
        <f t="array" ref="T7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67" s="25">
        <f>_xlfn.LET(
_xlpm.tos, _xlfn.XLOOKUP(tblPayrollMaster[[#This Row],[Employee ID]], tblEmployee[Employee ID], tblEmployee[Type of Service], ""),
IF(_xlpm.tos="Contract of Service", 8.25, 0)
)</f>
        <v>0</v>
      </c>
      <c r="V767" s="25">
        <f>tblPayrollMaster[[#This Row],[Basic Earnings]]-tblPayrollMaster[[#This Row],[Tax]]-tblPayrollMaster[[#This Row],[NIS - Employee]]-tblPayrollMaster[[#This Row],[Health Surcharge]]</f>
        <v>0</v>
      </c>
      <c r="W767" s="25">
        <f>tblPayrollMaster[[#This Row],[Net Pay]]</f>
        <v>0</v>
      </c>
      <c r="X767" s="25"/>
    </row>
    <row r="768" spans="1:24" x14ac:dyDescent="0.25">
      <c r="A768" s="24"/>
      <c r="B768" s="24" t="str">
        <f>_xlfn.XLOOKUP(tblPayrollMaster[[#This Row],[Employee ID]],tblEmployee[Employee ID],tblEmployee[Employee Name],"")</f>
        <v/>
      </c>
      <c r="C768" s="24" t="str">
        <f>_xlfn.XLOOKUP(tblPayrollMaster[[#This Row],[Employee ID]],tblEmployee[Employee ID],tblEmployee[Employee Position],"")</f>
        <v/>
      </c>
      <c r="D768" s="24" t="str">
        <f>_xlfn.XLOOKUP(tblPayrollMaster[[#This Row],[Employee ID]], tblEmployee[Employee ID], tblEmployee[Pay Status], "Pay")</f>
        <v>Pay</v>
      </c>
      <c r="E768" s="24" t="str">
        <f>_xlfn.XLOOKUP(tblPayrollMaster[[#This Row],[Employee ID]], tblEmployee[Employee ID], tblEmployee[Payable Flag], "Y")</f>
        <v>Y</v>
      </c>
      <c r="F768" s="45">
        <f>IF(tblPayrollMaster[[#This Row],[Payable Flag]]="N",0,_xlfn.XLOOKUP(tblPayrollMaster[[#This Row],[Employee ID]],tblEmployee[Employee ID],tblEmployee[Pay Factor],1))</f>
        <v>1</v>
      </c>
      <c r="G768" s="26" t="str" cm="1">
        <f t="array" ref="G768">IF(tblPayrollMaster[[#This Row],[Employee ID]]="","",_xlfn.XLOOKUP(selPayPeriodID,tblPayCalendar[PayPeriodID],tblPayCalendar[PeriodStart],""))</f>
        <v/>
      </c>
      <c r="H768" s="26" t="str" cm="1">
        <f t="array" ref="H768">IF(tblPayrollMaster[[#This Row],[Employee ID]]="","",_xlfn.XLOOKUP(selPayPeriodID,tblPayCalendar[PayPeriodID],tblPayCalendar[PeriodEnd],""))</f>
        <v/>
      </c>
      <c r="I768" s="24" t="e" cm="1" vm="1">
        <f t="array" aca="1" ref="I768" ca="1">Table18[Employer Name]</f>
        <v>#VALUE!</v>
      </c>
      <c r="J768" s="3" cm="1">
        <f t="array" ref="J76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68" s="25" t="str">
        <f>_xlfn.XLOOKUP(tblPayrollMaster[[#This Row],[Employee Position]],tblPositionandPayRate[Employee Position],tblPositionandPayRate[Overtime], " ")</f>
        <v xml:space="preserve"> </v>
      </c>
      <c r="L768" s="25">
        <f>_xlfn.XLOOKUP(tblPayrollMaster[[#This Row],[Employee Position]],tblPositionandPayRate[Employee Position],tblPositionandPayRate[Allowance 1],0)*tblPayrollMaster[[#This Row],[Pay Factor]]</f>
        <v>0</v>
      </c>
      <c r="M768" s="25">
        <f>_xlfn.XLOOKUP(tblPayrollMaster[[#This Row],[Employee Position]],tblPositionandPayRate[Employee Position],tblPositionandPayRate[Allowance 2],0)*tblPayrollMaster[[#This Row],[Pay Factor]]</f>
        <v>0</v>
      </c>
      <c r="N768" s="25">
        <f>_xlfn.XLOOKUP(tblPayrollMaster[[#This Row],[Employee Position]],tblPositionandPayRate[Employee Position],tblPositionandPayRate[Allowance 3],0)*tblPayrollMaster[[#This Row],[Pay Factor]]</f>
        <v>0</v>
      </c>
      <c r="O768" s="25">
        <f>_xlfn.XLOOKUP(tblPayrollMaster[[#This Row],[Employee Position]],tblPositionandPayRate[Employee Position],tblPositionandPayRate[Allowance 4],0)*tblPayrollMaster[[#This Row],[Pay Factor]]</f>
        <v>0</v>
      </c>
      <c r="P768" s="25">
        <f>_xlfn.XLOOKUP(tblPayrollMaster[[#This Row],[Employee Position]],tblPositionandPayRate[Employee Position],tblPositionandPayRate[Allowance 5],0)*tblPayrollMaster[[#This Row],[Pay Factor]]</f>
        <v>0</v>
      </c>
      <c r="Q768" s="25">
        <f>SUM(tblPayrollMaster[[#This Row],[Basic Pay]:[Allowance 5]])</f>
        <v>0</v>
      </c>
      <c r="R76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68" s="51" cm="1">
        <f t="array" ref="S7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68" s="3" cm="1">
        <f t="array" ref="T7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68" s="25">
        <f>_xlfn.LET(
_xlpm.tos, _xlfn.XLOOKUP(tblPayrollMaster[[#This Row],[Employee ID]], tblEmployee[Employee ID], tblEmployee[Type of Service], ""),
IF(_xlpm.tos="Contract of Service", 8.25, 0)
)</f>
        <v>0</v>
      </c>
      <c r="V768" s="25">
        <f>tblPayrollMaster[[#This Row],[Basic Earnings]]-tblPayrollMaster[[#This Row],[Tax]]-tblPayrollMaster[[#This Row],[NIS - Employee]]-tblPayrollMaster[[#This Row],[Health Surcharge]]</f>
        <v>0</v>
      </c>
      <c r="W768" s="25">
        <f>tblPayrollMaster[[#This Row],[Net Pay]]</f>
        <v>0</v>
      </c>
      <c r="X768" s="25"/>
    </row>
    <row r="769" spans="1:24" x14ac:dyDescent="0.25">
      <c r="A769" s="24"/>
      <c r="B769" s="24" t="str">
        <f>_xlfn.XLOOKUP(tblPayrollMaster[[#This Row],[Employee ID]],tblEmployee[Employee ID],tblEmployee[Employee Name],"")</f>
        <v/>
      </c>
      <c r="C769" s="24" t="str">
        <f>_xlfn.XLOOKUP(tblPayrollMaster[[#This Row],[Employee ID]],tblEmployee[Employee ID],tblEmployee[Employee Position],"")</f>
        <v/>
      </c>
      <c r="D769" s="24" t="str">
        <f>_xlfn.XLOOKUP(tblPayrollMaster[[#This Row],[Employee ID]], tblEmployee[Employee ID], tblEmployee[Pay Status], "Pay")</f>
        <v>Pay</v>
      </c>
      <c r="E769" s="24" t="str">
        <f>_xlfn.XLOOKUP(tblPayrollMaster[[#This Row],[Employee ID]], tblEmployee[Employee ID], tblEmployee[Payable Flag], "Y")</f>
        <v>Y</v>
      </c>
      <c r="F769" s="45">
        <f>IF(tblPayrollMaster[[#This Row],[Payable Flag]]="N",0,_xlfn.XLOOKUP(tblPayrollMaster[[#This Row],[Employee ID]],tblEmployee[Employee ID],tblEmployee[Pay Factor],1))</f>
        <v>1</v>
      </c>
      <c r="G769" s="26" t="str" cm="1">
        <f t="array" ref="G769">IF(tblPayrollMaster[[#This Row],[Employee ID]]="","",_xlfn.XLOOKUP(selPayPeriodID,tblPayCalendar[PayPeriodID],tblPayCalendar[PeriodStart],""))</f>
        <v/>
      </c>
      <c r="H769" s="26" t="str" cm="1">
        <f t="array" ref="H769">IF(tblPayrollMaster[[#This Row],[Employee ID]]="","",_xlfn.XLOOKUP(selPayPeriodID,tblPayCalendar[PayPeriodID],tblPayCalendar[PeriodEnd],""))</f>
        <v/>
      </c>
      <c r="I769" s="24" t="e" cm="1" vm="1">
        <f t="array" aca="1" ref="I769" ca="1">Table18[Employer Name]</f>
        <v>#VALUE!</v>
      </c>
      <c r="J769" s="3" cm="1">
        <f t="array" ref="J76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69" s="25" t="str">
        <f>_xlfn.XLOOKUP(tblPayrollMaster[[#This Row],[Employee Position]],tblPositionandPayRate[Employee Position],tblPositionandPayRate[Overtime], " ")</f>
        <v xml:space="preserve"> </v>
      </c>
      <c r="L769" s="25">
        <f>_xlfn.XLOOKUP(tblPayrollMaster[[#This Row],[Employee Position]],tblPositionandPayRate[Employee Position],tblPositionandPayRate[Allowance 1],0)*tblPayrollMaster[[#This Row],[Pay Factor]]</f>
        <v>0</v>
      </c>
      <c r="M769" s="25">
        <f>_xlfn.XLOOKUP(tblPayrollMaster[[#This Row],[Employee Position]],tblPositionandPayRate[Employee Position],tblPositionandPayRate[Allowance 2],0)*tblPayrollMaster[[#This Row],[Pay Factor]]</f>
        <v>0</v>
      </c>
      <c r="N769" s="25">
        <f>_xlfn.XLOOKUP(tblPayrollMaster[[#This Row],[Employee Position]],tblPositionandPayRate[Employee Position],tblPositionandPayRate[Allowance 3],0)*tblPayrollMaster[[#This Row],[Pay Factor]]</f>
        <v>0</v>
      </c>
      <c r="O769" s="25">
        <f>_xlfn.XLOOKUP(tblPayrollMaster[[#This Row],[Employee Position]],tblPositionandPayRate[Employee Position],tblPositionandPayRate[Allowance 4],0)*tblPayrollMaster[[#This Row],[Pay Factor]]</f>
        <v>0</v>
      </c>
      <c r="P769" s="25">
        <f>_xlfn.XLOOKUP(tblPayrollMaster[[#This Row],[Employee Position]],tblPositionandPayRate[Employee Position],tblPositionandPayRate[Allowance 5],0)*tblPayrollMaster[[#This Row],[Pay Factor]]</f>
        <v>0</v>
      </c>
      <c r="Q769" s="25">
        <f>SUM(tblPayrollMaster[[#This Row],[Basic Pay]:[Allowance 5]])</f>
        <v>0</v>
      </c>
      <c r="R76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69" s="51" cm="1">
        <f t="array" ref="S7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69" s="3" cm="1">
        <f t="array" ref="T7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69" s="25">
        <f>_xlfn.LET(
_xlpm.tos, _xlfn.XLOOKUP(tblPayrollMaster[[#This Row],[Employee ID]], tblEmployee[Employee ID], tblEmployee[Type of Service], ""),
IF(_xlpm.tos="Contract of Service", 8.25, 0)
)</f>
        <v>0</v>
      </c>
      <c r="V769" s="25">
        <f>tblPayrollMaster[[#This Row],[Basic Earnings]]-tblPayrollMaster[[#This Row],[Tax]]-tblPayrollMaster[[#This Row],[NIS - Employee]]-tblPayrollMaster[[#This Row],[Health Surcharge]]</f>
        <v>0</v>
      </c>
      <c r="W769" s="25">
        <f>tblPayrollMaster[[#This Row],[Net Pay]]</f>
        <v>0</v>
      </c>
      <c r="X769" s="25"/>
    </row>
    <row r="770" spans="1:24" x14ac:dyDescent="0.25">
      <c r="A770" s="24"/>
      <c r="B770" s="24" t="str">
        <f>_xlfn.XLOOKUP(tblPayrollMaster[[#This Row],[Employee ID]],tblEmployee[Employee ID],tblEmployee[Employee Name],"")</f>
        <v/>
      </c>
      <c r="C770" s="24" t="str">
        <f>_xlfn.XLOOKUP(tblPayrollMaster[[#This Row],[Employee ID]],tblEmployee[Employee ID],tblEmployee[Employee Position],"")</f>
        <v/>
      </c>
      <c r="D770" s="24" t="str">
        <f>_xlfn.XLOOKUP(tblPayrollMaster[[#This Row],[Employee ID]], tblEmployee[Employee ID], tblEmployee[Pay Status], "Pay")</f>
        <v>Pay</v>
      </c>
      <c r="E770" s="24" t="str">
        <f>_xlfn.XLOOKUP(tblPayrollMaster[[#This Row],[Employee ID]], tblEmployee[Employee ID], tblEmployee[Payable Flag], "Y")</f>
        <v>Y</v>
      </c>
      <c r="F770" s="45">
        <f>IF(tblPayrollMaster[[#This Row],[Payable Flag]]="N",0,_xlfn.XLOOKUP(tblPayrollMaster[[#This Row],[Employee ID]],tblEmployee[Employee ID],tblEmployee[Pay Factor],1))</f>
        <v>1</v>
      </c>
      <c r="G770" s="26" t="str" cm="1">
        <f t="array" ref="G770">IF(tblPayrollMaster[[#This Row],[Employee ID]]="","",_xlfn.XLOOKUP(selPayPeriodID,tblPayCalendar[PayPeriodID],tblPayCalendar[PeriodStart],""))</f>
        <v/>
      </c>
      <c r="H770" s="26" t="str" cm="1">
        <f t="array" ref="H770">IF(tblPayrollMaster[[#This Row],[Employee ID]]="","",_xlfn.XLOOKUP(selPayPeriodID,tblPayCalendar[PayPeriodID],tblPayCalendar[PeriodEnd],""))</f>
        <v/>
      </c>
      <c r="I770" s="24" t="e" cm="1" vm="1">
        <f t="array" aca="1" ref="I770" ca="1">Table18[Employer Name]</f>
        <v>#VALUE!</v>
      </c>
      <c r="J770" s="3" cm="1">
        <f t="array" ref="J77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70" s="25" t="str">
        <f>_xlfn.XLOOKUP(tblPayrollMaster[[#This Row],[Employee Position]],tblPositionandPayRate[Employee Position],tblPositionandPayRate[Overtime], " ")</f>
        <v xml:space="preserve"> </v>
      </c>
      <c r="L770" s="25">
        <f>_xlfn.XLOOKUP(tblPayrollMaster[[#This Row],[Employee Position]],tblPositionandPayRate[Employee Position],tblPositionandPayRate[Allowance 1],0)*tblPayrollMaster[[#This Row],[Pay Factor]]</f>
        <v>0</v>
      </c>
      <c r="M770" s="25">
        <f>_xlfn.XLOOKUP(tblPayrollMaster[[#This Row],[Employee Position]],tblPositionandPayRate[Employee Position],tblPositionandPayRate[Allowance 2],0)*tblPayrollMaster[[#This Row],[Pay Factor]]</f>
        <v>0</v>
      </c>
      <c r="N770" s="25">
        <f>_xlfn.XLOOKUP(tblPayrollMaster[[#This Row],[Employee Position]],tblPositionandPayRate[Employee Position],tblPositionandPayRate[Allowance 3],0)*tblPayrollMaster[[#This Row],[Pay Factor]]</f>
        <v>0</v>
      </c>
      <c r="O770" s="25">
        <f>_xlfn.XLOOKUP(tblPayrollMaster[[#This Row],[Employee Position]],tblPositionandPayRate[Employee Position],tblPositionandPayRate[Allowance 4],0)*tblPayrollMaster[[#This Row],[Pay Factor]]</f>
        <v>0</v>
      </c>
      <c r="P770" s="25">
        <f>_xlfn.XLOOKUP(tblPayrollMaster[[#This Row],[Employee Position]],tblPositionandPayRate[Employee Position],tblPositionandPayRate[Allowance 5],0)*tblPayrollMaster[[#This Row],[Pay Factor]]</f>
        <v>0</v>
      </c>
      <c r="Q770" s="25">
        <f>SUM(tblPayrollMaster[[#This Row],[Basic Pay]:[Allowance 5]])</f>
        <v>0</v>
      </c>
      <c r="R77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70" s="51" cm="1">
        <f t="array" ref="S7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70" s="3" cm="1">
        <f t="array" ref="T7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70" s="25">
        <f>_xlfn.LET(
_xlpm.tos, _xlfn.XLOOKUP(tblPayrollMaster[[#This Row],[Employee ID]], tblEmployee[Employee ID], tblEmployee[Type of Service], ""),
IF(_xlpm.tos="Contract of Service", 8.25, 0)
)</f>
        <v>0</v>
      </c>
      <c r="V770" s="25">
        <f>tblPayrollMaster[[#This Row],[Basic Earnings]]-tblPayrollMaster[[#This Row],[Tax]]-tblPayrollMaster[[#This Row],[NIS - Employee]]-tblPayrollMaster[[#This Row],[Health Surcharge]]</f>
        <v>0</v>
      </c>
      <c r="W770" s="25">
        <f>tblPayrollMaster[[#This Row],[Net Pay]]</f>
        <v>0</v>
      </c>
      <c r="X770" s="25"/>
    </row>
    <row r="771" spans="1:24" x14ac:dyDescent="0.25">
      <c r="A771" s="24"/>
      <c r="B771" s="24" t="str">
        <f>_xlfn.XLOOKUP(tblPayrollMaster[[#This Row],[Employee ID]],tblEmployee[Employee ID],tblEmployee[Employee Name],"")</f>
        <v/>
      </c>
      <c r="C771" s="24" t="str">
        <f>_xlfn.XLOOKUP(tblPayrollMaster[[#This Row],[Employee ID]],tblEmployee[Employee ID],tblEmployee[Employee Position],"")</f>
        <v/>
      </c>
      <c r="D771" s="24" t="str">
        <f>_xlfn.XLOOKUP(tblPayrollMaster[[#This Row],[Employee ID]], tblEmployee[Employee ID], tblEmployee[Pay Status], "Pay")</f>
        <v>Pay</v>
      </c>
      <c r="E771" s="24" t="str">
        <f>_xlfn.XLOOKUP(tblPayrollMaster[[#This Row],[Employee ID]], tblEmployee[Employee ID], tblEmployee[Payable Flag], "Y")</f>
        <v>Y</v>
      </c>
      <c r="F771" s="45">
        <f>IF(tblPayrollMaster[[#This Row],[Payable Flag]]="N",0,_xlfn.XLOOKUP(tblPayrollMaster[[#This Row],[Employee ID]],tblEmployee[Employee ID],tblEmployee[Pay Factor],1))</f>
        <v>1</v>
      </c>
      <c r="G771" s="26" t="str" cm="1">
        <f t="array" ref="G771">IF(tblPayrollMaster[[#This Row],[Employee ID]]="","",_xlfn.XLOOKUP(selPayPeriodID,tblPayCalendar[PayPeriodID],tblPayCalendar[PeriodStart],""))</f>
        <v/>
      </c>
      <c r="H771" s="26" t="str" cm="1">
        <f t="array" ref="H771">IF(tblPayrollMaster[[#This Row],[Employee ID]]="","",_xlfn.XLOOKUP(selPayPeriodID,tblPayCalendar[PayPeriodID],tblPayCalendar[PeriodEnd],""))</f>
        <v/>
      </c>
      <c r="I771" s="24" t="e" cm="1" vm="1">
        <f t="array" aca="1" ref="I771" ca="1">Table18[Employer Name]</f>
        <v>#VALUE!</v>
      </c>
      <c r="J771" s="3" cm="1">
        <f t="array" ref="J77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71" s="25" t="str">
        <f>_xlfn.XLOOKUP(tblPayrollMaster[[#This Row],[Employee Position]],tblPositionandPayRate[Employee Position],tblPositionandPayRate[Overtime], " ")</f>
        <v xml:space="preserve"> </v>
      </c>
      <c r="L771" s="25">
        <f>_xlfn.XLOOKUP(tblPayrollMaster[[#This Row],[Employee Position]],tblPositionandPayRate[Employee Position],tblPositionandPayRate[Allowance 1],0)*tblPayrollMaster[[#This Row],[Pay Factor]]</f>
        <v>0</v>
      </c>
      <c r="M771" s="25">
        <f>_xlfn.XLOOKUP(tblPayrollMaster[[#This Row],[Employee Position]],tblPositionandPayRate[Employee Position],tblPositionandPayRate[Allowance 2],0)*tblPayrollMaster[[#This Row],[Pay Factor]]</f>
        <v>0</v>
      </c>
      <c r="N771" s="25">
        <f>_xlfn.XLOOKUP(tblPayrollMaster[[#This Row],[Employee Position]],tblPositionandPayRate[Employee Position],tblPositionandPayRate[Allowance 3],0)*tblPayrollMaster[[#This Row],[Pay Factor]]</f>
        <v>0</v>
      </c>
      <c r="O771" s="25">
        <f>_xlfn.XLOOKUP(tblPayrollMaster[[#This Row],[Employee Position]],tblPositionandPayRate[Employee Position],tblPositionandPayRate[Allowance 4],0)*tblPayrollMaster[[#This Row],[Pay Factor]]</f>
        <v>0</v>
      </c>
      <c r="P771" s="25">
        <f>_xlfn.XLOOKUP(tblPayrollMaster[[#This Row],[Employee Position]],tblPositionandPayRate[Employee Position],tblPositionandPayRate[Allowance 5],0)*tblPayrollMaster[[#This Row],[Pay Factor]]</f>
        <v>0</v>
      </c>
      <c r="Q771" s="25">
        <f>SUM(tblPayrollMaster[[#This Row],[Basic Pay]:[Allowance 5]])</f>
        <v>0</v>
      </c>
      <c r="R77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71" s="51" cm="1">
        <f t="array" ref="S7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71" s="3" cm="1">
        <f t="array" ref="T7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71" s="25">
        <f>_xlfn.LET(
_xlpm.tos, _xlfn.XLOOKUP(tblPayrollMaster[[#This Row],[Employee ID]], tblEmployee[Employee ID], tblEmployee[Type of Service], ""),
IF(_xlpm.tos="Contract of Service", 8.25, 0)
)</f>
        <v>0</v>
      </c>
      <c r="V771" s="25">
        <f>tblPayrollMaster[[#This Row],[Basic Earnings]]-tblPayrollMaster[[#This Row],[Tax]]-tblPayrollMaster[[#This Row],[NIS - Employee]]-tblPayrollMaster[[#This Row],[Health Surcharge]]</f>
        <v>0</v>
      </c>
      <c r="W771" s="25">
        <f>tblPayrollMaster[[#This Row],[Net Pay]]</f>
        <v>0</v>
      </c>
      <c r="X771" s="25"/>
    </row>
    <row r="772" spans="1:24" x14ac:dyDescent="0.25">
      <c r="A772" s="24"/>
      <c r="B772" s="24" t="str">
        <f>_xlfn.XLOOKUP(tblPayrollMaster[[#This Row],[Employee ID]],tblEmployee[Employee ID],tblEmployee[Employee Name],"")</f>
        <v/>
      </c>
      <c r="C772" s="24" t="str">
        <f>_xlfn.XLOOKUP(tblPayrollMaster[[#This Row],[Employee ID]],tblEmployee[Employee ID],tblEmployee[Employee Position],"")</f>
        <v/>
      </c>
      <c r="D772" s="24" t="str">
        <f>_xlfn.XLOOKUP(tblPayrollMaster[[#This Row],[Employee ID]], tblEmployee[Employee ID], tblEmployee[Pay Status], "Pay")</f>
        <v>Pay</v>
      </c>
      <c r="E772" s="24" t="str">
        <f>_xlfn.XLOOKUP(tblPayrollMaster[[#This Row],[Employee ID]], tblEmployee[Employee ID], tblEmployee[Payable Flag], "Y")</f>
        <v>Y</v>
      </c>
      <c r="F772" s="45">
        <f>IF(tblPayrollMaster[[#This Row],[Payable Flag]]="N",0,_xlfn.XLOOKUP(tblPayrollMaster[[#This Row],[Employee ID]],tblEmployee[Employee ID],tblEmployee[Pay Factor],1))</f>
        <v>1</v>
      </c>
      <c r="G772" s="26" t="str" cm="1">
        <f t="array" ref="G772">IF(tblPayrollMaster[[#This Row],[Employee ID]]="","",_xlfn.XLOOKUP(selPayPeriodID,tblPayCalendar[PayPeriodID],tblPayCalendar[PeriodStart],""))</f>
        <v/>
      </c>
      <c r="H772" s="26" t="str" cm="1">
        <f t="array" ref="H772">IF(tblPayrollMaster[[#This Row],[Employee ID]]="","",_xlfn.XLOOKUP(selPayPeriodID,tblPayCalendar[PayPeriodID],tblPayCalendar[PeriodEnd],""))</f>
        <v/>
      </c>
      <c r="I772" s="24" t="e" cm="1" vm="1">
        <f t="array" aca="1" ref="I772" ca="1">Table18[Employer Name]</f>
        <v>#VALUE!</v>
      </c>
      <c r="J772" s="3" cm="1">
        <f t="array" ref="J77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72" s="25" t="str">
        <f>_xlfn.XLOOKUP(tblPayrollMaster[[#This Row],[Employee Position]],tblPositionandPayRate[Employee Position],tblPositionandPayRate[Overtime], " ")</f>
        <v xml:space="preserve"> </v>
      </c>
      <c r="L772" s="25">
        <f>_xlfn.XLOOKUP(tblPayrollMaster[[#This Row],[Employee Position]],tblPositionandPayRate[Employee Position],tblPositionandPayRate[Allowance 1],0)*tblPayrollMaster[[#This Row],[Pay Factor]]</f>
        <v>0</v>
      </c>
      <c r="M772" s="25">
        <f>_xlfn.XLOOKUP(tblPayrollMaster[[#This Row],[Employee Position]],tblPositionandPayRate[Employee Position],tblPositionandPayRate[Allowance 2],0)*tblPayrollMaster[[#This Row],[Pay Factor]]</f>
        <v>0</v>
      </c>
      <c r="N772" s="25">
        <f>_xlfn.XLOOKUP(tblPayrollMaster[[#This Row],[Employee Position]],tblPositionandPayRate[Employee Position],tblPositionandPayRate[Allowance 3],0)*tblPayrollMaster[[#This Row],[Pay Factor]]</f>
        <v>0</v>
      </c>
      <c r="O772" s="25">
        <f>_xlfn.XLOOKUP(tblPayrollMaster[[#This Row],[Employee Position]],tblPositionandPayRate[Employee Position],tblPositionandPayRate[Allowance 4],0)*tblPayrollMaster[[#This Row],[Pay Factor]]</f>
        <v>0</v>
      </c>
      <c r="P772" s="25">
        <f>_xlfn.XLOOKUP(tblPayrollMaster[[#This Row],[Employee Position]],tblPositionandPayRate[Employee Position],tblPositionandPayRate[Allowance 5],0)*tblPayrollMaster[[#This Row],[Pay Factor]]</f>
        <v>0</v>
      </c>
      <c r="Q772" s="25">
        <f>SUM(tblPayrollMaster[[#This Row],[Basic Pay]:[Allowance 5]])</f>
        <v>0</v>
      </c>
      <c r="R77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72" s="51" cm="1">
        <f t="array" ref="S7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72" s="3" cm="1">
        <f t="array" ref="T7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72" s="25">
        <f>_xlfn.LET(
_xlpm.tos, _xlfn.XLOOKUP(tblPayrollMaster[[#This Row],[Employee ID]], tblEmployee[Employee ID], tblEmployee[Type of Service], ""),
IF(_xlpm.tos="Contract of Service", 8.25, 0)
)</f>
        <v>0</v>
      </c>
      <c r="V772" s="25">
        <f>tblPayrollMaster[[#This Row],[Basic Earnings]]-tblPayrollMaster[[#This Row],[Tax]]-tblPayrollMaster[[#This Row],[NIS - Employee]]-tblPayrollMaster[[#This Row],[Health Surcharge]]</f>
        <v>0</v>
      </c>
      <c r="W772" s="25">
        <f>tblPayrollMaster[[#This Row],[Net Pay]]</f>
        <v>0</v>
      </c>
      <c r="X772" s="25"/>
    </row>
    <row r="773" spans="1:24" x14ac:dyDescent="0.25">
      <c r="A773" s="24"/>
      <c r="B773" s="24" t="str">
        <f>_xlfn.XLOOKUP(tblPayrollMaster[[#This Row],[Employee ID]],tblEmployee[Employee ID],tblEmployee[Employee Name],"")</f>
        <v/>
      </c>
      <c r="C773" s="24" t="str">
        <f>_xlfn.XLOOKUP(tblPayrollMaster[[#This Row],[Employee ID]],tblEmployee[Employee ID],tblEmployee[Employee Position],"")</f>
        <v/>
      </c>
      <c r="D773" s="24" t="str">
        <f>_xlfn.XLOOKUP(tblPayrollMaster[[#This Row],[Employee ID]], tblEmployee[Employee ID], tblEmployee[Pay Status], "Pay")</f>
        <v>Pay</v>
      </c>
      <c r="E773" s="24" t="str">
        <f>_xlfn.XLOOKUP(tblPayrollMaster[[#This Row],[Employee ID]], tblEmployee[Employee ID], tblEmployee[Payable Flag], "Y")</f>
        <v>Y</v>
      </c>
      <c r="F773" s="45">
        <f>IF(tblPayrollMaster[[#This Row],[Payable Flag]]="N",0,_xlfn.XLOOKUP(tblPayrollMaster[[#This Row],[Employee ID]],tblEmployee[Employee ID],tblEmployee[Pay Factor],1))</f>
        <v>1</v>
      </c>
      <c r="G773" s="26" t="str" cm="1">
        <f t="array" ref="G773">IF(tblPayrollMaster[[#This Row],[Employee ID]]="","",_xlfn.XLOOKUP(selPayPeriodID,tblPayCalendar[PayPeriodID],tblPayCalendar[PeriodStart],""))</f>
        <v/>
      </c>
      <c r="H773" s="26" t="str" cm="1">
        <f t="array" ref="H773">IF(tblPayrollMaster[[#This Row],[Employee ID]]="","",_xlfn.XLOOKUP(selPayPeriodID,tblPayCalendar[PayPeriodID],tblPayCalendar[PeriodEnd],""))</f>
        <v/>
      </c>
      <c r="I773" s="24" t="e" cm="1" vm="1">
        <f t="array" aca="1" ref="I773" ca="1">Table18[Employer Name]</f>
        <v>#VALUE!</v>
      </c>
      <c r="J773" s="3" cm="1">
        <f t="array" ref="J77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73" s="25" t="str">
        <f>_xlfn.XLOOKUP(tblPayrollMaster[[#This Row],[Employee Position]],tblPositionandPayRate[Employee Position],tblPositionandPayRate[Overtime], " ")</f>
        <v xml:space="preserve"> </v>
      </c>
      <c r="L773" s="25">
        <f>_xlfn.XLOOKUP(tblPayrollMaster[[#This Row],[Employee Position]],tblPositionandPayRate[Employee Position],tblPositionandPayRate[Allowance 1],0)*tblPayrollMaster[[#This Row],[Pay Factor]]</f>
        <v>0</v>
      </c>
      <c r="M773" s="25">
        <f>_xlfn.XLOOKUP(tblPayrollMaster[[#This Row],[Employee Position]],tblPositionandPayRate[Employee Position],tblPositionandPayRate[Allowance 2],0)*tblPayrollMaster[[#This Row],[Pay Factor]]</f>
        <v>0</v>
      </c>
      <c r="N773" s="25">
        <f>_xlfn.XLOOKUP(tblPayrollMaster[[#This Row],[Employee Position]],tblPositionandPayRate[Employee Position],tblPositionandPayRate[Allowance 3],0)*tblPayrollMaster[[#This Row],[Pay Factor]]</f>
        <v>0</v>
      </c>
      <c r="O773" s="25">
        <f>_xlfn.XLOOKUP(tblPayrollMaster[[#This Row],[Employee Position]],tblPositionandPayRate[Employee Position],tblPositionandPayRate[Allowance 4],0)*tblPayrollMaster[[#This Row],[Pay Factor]]</f>
        <v>0</v>
      </c>
      <c r="P773" s="25">
        <f>_xlfn.XLOOKUP(tblPayrollMaster[[#This Row],[Employee Position]],tblPositionandPayRate[Employee Position],tblPositionandPayRate[Allowance 5],0)*tblPayrollMaster[[#This Row],[Pay Factor]]</f>
        <v>0</v>
      </c>
      <c r="Q773" s="25">
        <f>SUM(tblPayrollMaster[[#This Row],[Basic Pay]:[Allowance 5]])</f>
        <v>0</v>
      </c>
      <c r="R77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73" s="51" cm="1">
        <f t="array" ref="S7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73" s="3" cm="1">
        <f t="array" ref="T7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73" s="25">
        <f>_xlfn.LET(
_xlpm.tos, _xlfn.XLOOKUP(tblPayrollMaster[[#This Row],[Employee ID]], tblEmployee[Employee ID], tblEmployee[Type of Service], ""),
IF(_xlpm.tos="Contract of Service", 8.25, 0)
)</f>
        <v>0</v>
      </c>
      <c r="V773" s="25">
        <f>tblPayrollMaster[[#This Row],[Basic Earnings]]-tblPayrollMaster[[#This Row],[Tax]]-tblPayrollMaster[[#This Row],[NIS - Employee]]-tblPayrollMaster[[#This Row],[Health Surcharge]]</f>
        <v>0</v>
      </c>
      <c r="W773" s="25">
        <f>tblPayrollMaster[[#This Row],[Net Pay]]</f>
        <v>0</v>
      </c>
      <c r="X773" s="25"/>
    </row>
    <row r="774" spans="1:24" x14ac:dyDescent="0.25">
      <c r="A774" s="24"/>
      <c r="B774" s="24" t="str">
        <f>_xlfn.XLOOKUP(tblPayrollMaster[[#This Row],[Employee ID]],tblEmployee[Employee ID],tblEmployee[Employee Name],"")</f>
        <v/>
      </c>
      <c r="C774" s="24" t="str">
        <f>_xlfn.XLOOKUP(tblPayrollMaster[[#This Row],[Employee ID]],tblEmployee[Employee ID],tblEmployee[Employee Position],"")</f>
        <v/>
      </c>
      <c r="D774" s="24" t="str">
        <f>_xlfn.XLOOKUP(tblPayrollMaster[[#This Row],[Employee ID]], tblEmployee[Employee ID], tblEmployee[Pay Status], "Pay")</f>
        <v>Pay</v>
      </c>
      <c r="E774" s="24" t="str">
        <f>_xlfn.XLOOKUP(tblPayrollMaster[[#This Row],[Employee ID]], tblEmployee[Employee ID], tblEmployee[Payable Flag], "Y")</f>
        <v>Y</v>
      </c>
      <c r="F774" s="45">
        <f>IF(tblPayrollMaster[[#This Row],[Payable Flag]]="N",0,_xlfn.XLOOKUP(tblPayrollMaster[[#This Row],[Employee ID]],tblEmployee[Employee ID],tblEmployee[Pay Factor],1))</f>
        <v>1</v>
      </c>
      <c r="G774" s="26" t="str" cm="1">
        <f t="array" ref="G774">IF(tblPayrollMaster[[#This Row],[Employee ID]]="","",_xlfn.XLOOKUP(selPayPeriodID,tblPayCalendar[PayPeriodID],tblPayCalendar[PeriodStart],""))</f>
        <v/>
      </c>
      <c r="H774" s="26" t="str" cm="1">
        <f t="array" ref="H774">IF(tblPayrollMaster[[#This Row],[Employee ID]]="","",_xlfn.XLOOKUP(selPayPeriodID,tblPayCalendar[PayPeriodID],tblPayCalendar[PeriodEnd],""))</f>
        <v/>
      </c>
      <c r="I774" s="24" t="e" cm="1" vm="1">
        <f t="array" aca="1" ref="I774" ca="1">Table18[Employer Name]</f>
        <v>#VALUE!</v>
      </c>
      <c r="J774" s="3" cm="1">
        <f t="array" ref="J77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74" s="25" t="str">
        <f>_xlfn.XLOOKUP(tblPayrollMaster[[#This Row],[Employee Position]],tblPositionandPayRate[Employee Position],tblPositionandPayRate[Overtime], " ")</f>
        <v xml:space="preserve"> </v>
      </c>
      <c r="L774" s="25">
        <f>_xlfn.XLOOKUP(tblPayrollMaster[[#This Row],[Employee Position]],tblPositionandPayRate[Employee Position],tblPositionandPayRate[Allowance 1],0)*tblPayrollMaster[[#This Row],[Pay Factor]]</f>
        <v>0</v>
      </c>
      <c r="M774" s="25">
        <f>_xlfn.XLOOKUP(tblPayrollMaster[[#This Row],[Employee Position]],tblPositionandPayRate[Employee Position],tblPositionandPayRate[Allowance 2],0)*tblPayrollMaster[[#This Row],[Pay Factor]]</f>
        <v>0</v>
      </c>
      <c r="N774" s="25">
        <f>_xlfn.XLOOKUP(tblPayrollMaster[[#This Row],[Employee Position]],tblPositionandPayRate[Employee Position],tblPositionandPayRate[Allowance 3],0)*tblPayrollMaster[[#This Row],[Pay Factor]]</f>
        <v>0</v>
      </c>
      <c r="O774" s="25">
        <f>_xlfn.XLOOKUP(tblPayrollMaster[[#This Row],[Employee Position]],tblPositionandPayRate[Employee Position],tblPositionandPayRate[Allowance 4],0)*tblPayrollMaster[[#This Row],[Pay Factor]]</f>
        <v>0</v>
      </c>
      <c r="P774" s="25">
        <f>_xlfn.XLOOKUP(tblPayrollMaster[[#This Row],[Employee Position]],tblPositionandPayRate[Employee Position],tblPositionandPayRate[Allowance 5],0)*tblPayrollMaster[[#This Row],[Pay Factor]]</f>
        <v>0</v>
      </c>
      <c r="Q774" s="25">
        <f>SUM(tblPayrollMaster[[#This Row],[Basic Pay]:[Allowance 5]])</f>
        <v>0</v>
      </c>
      <c r="R77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74" s="51" cm="1">
        <f t="array" ref="S7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74" s="3" cm="1">
        <f t="array" ref="T7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74" s="25">
        <f>_xlfn.LET(
_xlpm.tos, _xlfn.XLOOKUP(tblPayrollMaster[[#This Row],[Employee ID]], tblEmployee[Employee ID], tblEmployee[Type of Service], ""),
IF(_xlpm.tos="Contract of Service", 8.25, 0)
)</f>
        <v>0</v>
      </c>
      <c r="V774" s="25">
        <f>tblPayrollMaster[[#This Row],[Basic Earnings]]-tblPayrollMaster[[#This Row],[Tax]]-tblPayrollMaster[[#This Row],[NIS - Employee]]-tblPayrollMaster[[#This Row],[Health Surcharge]]</f>
        <v>0</v>
      </c>
      <c r="W774" s="25">
        <f>tblPayrollMaster[[#This Row],[Net Pay]]</f>
        <v>0</v>
      </c>
      <c r="X774" s="25"/>
    </row>
    <row r="775" spans="1:24" x14ac:dyDescent="0.25">
      <c r="A775" s="24"/>
      <c r="B775" s="24" t="str">
        <f>_xlfn.XLOOKUP(tblPayrollMaster[[#This Row],[Employee ID]],tblEmployee[Employee ID],tblEmployee[Employee Name],"")</f>
        <v/>
      </c>
      <c r="C775" s="24" t="str">
        <f>_xlfn.XLOOKUP(tblPayrollMaster[[#This Row],[Employee ID]],tblEmployee[Employee ID],tblEmployee[Employee Position],"")</f>
        <v/>
      </c>
      <c r="D775" s="24" t="str">
        <f>_xlfn.XLOOKUP(tblPayrollMaster[[#This Row],[Employee ID]], tblEmployee[Employee ID], tblEmployee[Pay Status], "Pay")</f>
        <v>Pay</v>
      </c>
      <c r="E775" s="24" t="str">
        <f>_xlfn.XLOOKUP(tblPayrollMaster[[#This Row],[Employee ID]], tblEmployee[Employee ID], tblEmployee[Payable Flag], "Y")</f>
        <v>Y</v>
      </c>
      <c r="F775" s="45">
        <f>IF(tblPayrollMaster[[#This Row],[Payable Flag]]="N",0,_xlfn.XLOOKUP(tblPayrollMaster[[#This Row],[Employee ID]],tblEmployee[Employee ID],tblEmployee[Pay Factor],1))</f>
        <v>1</v>
      </c>
      <c r="G775" s="26" t="str" cm="1">
        <f t="array" ref="G775">IF(tblPayrollMaster[[#This Row],[Employee ID]]="","",_xlfn.XLOOKUP(selPayPeriodID,tblPayCalendar[PayPeriodID],tblPayCalendar[PeriodStart],""))</f>
        <v/>
      </c>
      <c r="H775" s="26" t="str" cm="1">
        <f t="array" ref="H775">IF(tblPayrollMaster[[#This Row],[Employee ID]]="","",_xlfn.XLOOKUP(selPayPeriodID,tblPayCalendar[PayPeriodID],tblPayCalendar[PeriodEnd],""))</f>
        <v/>
      </c>
      <c r="I775" s="24" t="e" cm="1" vm="1">
        <f t="array" aca="1" ref="I775" ca="1">Table18[Employer Name]</f>
        <v>#VALUE!</v>
      </c>
      <c r="J775" s="3" cm="1">
        <f t="array" ref="J77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75" s="25" t="str">
        <f>_xlfn.XLOOKUP(tblPayrollMaster[[#This Row],[Employee Position]],tblPositionandPayRate[Employee Position],tblPositionandPayRate[Overtime], " ")</f>
        <v xml:space="preserve"> </v>
      </c>
      <c r="L775" s="25">
        <f>_xlfn.XLOOKUP(tblPayrollMaster[[#This Row],[Employee Position]],tblPositionandPayRate[Employee Position],tblPositionandPayRate[Allowance 1],0)*tblPayrollMaster[[#This Row],[Pay Factor]]</f>
        <v>0</v>
      </c>
      <c r="M775" s="25">
        <f>_xlfn.XLOOKUP(tblPayrollMaster[[#This Row],[Employee Position]],tblPositionandPayRate[Employee Position],tblPositionandPayRate[Allowance 2],0)*tblPayrollMaster[[#This Row],[Pay Factor]]</f>
        <v>0</v>
      </c>
      <c r="N775" s="25">
        <f>_xlfn.XLOOKUP(tblPayrollMaster[[#This Row],[Employee Position]],tblPositionandPayRate[Employee Position],tblPositionandPayRate[Allowance 3],0)*tblPayrollMaster[[#This Row],[Pay Factor]]</f>
        <v>0</v>
      </c>
      <c r="O775" s="25">
        <f>_xlfn.XLOOKUP(tblPayrollMaster[[#This Row],[Employee Position]],tblPositionandPayRate[Employee Position],tblPositionandPayRate[Allowance 4],0)*tblPayrollMaster[[#This Row],[Pay Factor]]</f>
        <v>0</v>
      </c>
      <c r="P775" s="25">
        <f>_xlfn.XLOOKUP(tblPayrollMaster[[#This Row],[Employee Position]],tblPositionandPayRate[Employee Position],tblPositionandPayRate[Allowance 5],0)*tblPayrollMaster[[#This Row],[Pay Factor]]</f>
        <v>0</v>
      </c>
      <c r="Q775" s="25">
        <f>SUM(tblPayrollMaster[[#This Row],[Basic Pay]:[Allowance 5]])</f>
        <v>0</v>
      </c>
      <c r="R77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75" s="51" cm="1">
        <f t="array" ref="S7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75" s="3" cm="1">
        <f t="array" ref="T7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75" s="25">
        <f>_xlfn.LET(
_xlpm.tos, _xlfn.XLOOKUP(tblPayrollMaster[[#This Row],[Employee ID]], tblEmployee[Employee ID], tblEmployee[Type of Service], ""),
IF(_xlpm.tos="Contract of Service", 8.25, 0)
)</f>
        <v>0</v>
      </c>
      <c r="V775" s="25">
        <f>tblPayrollMaster[[#This Row],[Basic Earnings]]-tblPayrollMaster[[#This Row],[Tax]]-tblPayrollMaster[[#This Row],[NIS - Employee]]-tblPayrollMaster[[#This Row],[Health Surcharge]]</f>
        <v>0</v>
      </c>
      <c r="W775" s="25">
        <f>tblPayrollMaster[[#This Row],[Net Pay]]</f>
        <v>0</v>
      </c>
      <c r="X775" s="25"/>
    </row>
    <row r="776" spans="1:24" x14ac:dyDescent="0.25">
      <c r="A776" s="24"/>
      <c r="B776" s="24" t="str">
        <f>_xlfn.XLOOKUP(tblPayrollMaster[[#This Row],[Employee ID]],tblEmployee[Employee ID],tblEmployee[Employee Name],"")</f>
        <v/>
      </c>
      <c r="C776" s="24" t="str">
        <f>_xlfn.XLOOKUP(tblPayrollMaster[[#This Row],[Employee ID]],tblEmployee[Employee ID],tblEmployee[Employee Position],"")</f>
        <v/>
      </c>
      <c r="D776" s="24" t="str">
        <f>_xlfn.XLOOKUP(tblPayrollMaster[[#This Row],[Employee ID]], tblEmployee[Employee ID], tblEmployee[Pay Status], "Pay")</f>
        <v>Pay</v>
      </c>
      <c r="E776" s="24" t="str">
        <f>_xlfn.XLOOKUP(tblPayrollMaster[[#This Row],[Employee ID]], tblEmployee[Employee ID], tblEmployee[Payable Flag], "Y")</f>
        <v>Y</v>
      </c>
      <c r="F776" s="45">
        <f>IF(tblPayrollMaster[[#This Row],[Payable Flag]]="N",0,_xlfn.XLOOKUP(tblPayrollMaster[[#This Row],[Employee ID]],tblEmployee[Employee ID],tblEmployee[Pay Factor],1))</f>
        <v>1</v>
      </c>
      <c r="G776" s="26" t="str" cm="1">
        <f t="array" ref="G776">IF(tblPayrollMaster[[#This Row],[Employee ID]]="","",_xlfn.XLOOKUP(selPayPeriodID,tblPayCalendar[PayPeriodID],tblPayCalendar[PeriodStart],""))</f>
        <v/>
      </c>
      <c r="H776" s="26" t="str" cm="1">
        <f t="array" ref="H776">IF(tblPayrollMaster[[#This Row],[Employee ID]]="","",_xlfn.XLOOKUP(selPayPeriodID,tblPayCalendar[PayPeriodID],tblPayCalendar[PeriodEnd],""))</f>
        <v/>
      </c>
      <c r="I776" s="24" t="e" cm="1" vm="1">
        <f t="array" aca="1" ref="I776" ca="1">Table18[Employer Name]</f>
        <v>#VALUE!</v>
      </c>
      <c r="J776" s="3" cm="1">
        <f t="array" ref="J77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76" s="25" t="str">
        <f>_xlfn.XLOOKUP(tblPayrollMaster[[#This Row],[Employee Position]],tblPositionandPayRate[Employee Position],tblPositionandPayRate[Overtime], " ")</f>
        <v xml:space="preserve"> </v>
      </c>
      <c r="L776" s="25">
        <f>_xlfn.XLOOKUP(tblPayrollMaster[[#This Row],[Employee Position]],tblPositionandPayRate[Employee Position],tblPositionandPayRate[Allowance 1],0)*tblPayrollMaster[[#This Row],[Pay Factor]]</f>
        <v>0</v>
      </c>
      <c r="M776" s="25">
        <f>_xlfn.XLOOKUP(tblPayrollMaster[[#This Row],[Employee Position]],tblPositionandPayRate[Employee Position],tblPositionandPayRate[Allowance 2],0)*tblPayrollMaster[[#This Row],[Pay Factor]]</f>
        <v>0</v>
      </c>
      <c r="N776" s="25">
        <f>_xlfn.XLOOKUP(tblPayrollMaster[[#This Row],[Employee Position]],tblPositionandPayRate[Employee Position],tblPositionandPayRate[Allowance 3],0)*tblPayrollMaster[[#This Row],[Pay Factor]]</f>
        <v>0</v>
      </c>
      <c r="O776" s="25">
        <f>_xlfn.XLOOKUP(tblPayrollMaster[[#This Row],[Employee Position]],tblPositionandPayRate[Employee Position],tblPositionandPayRate[Allowance 4],0)*tblPayrollMaster[[#This Row],[Pay Factor]]</f>
        <v>0</v>
      </c>
      <c r="P776" s="25">
        <f>_xlfn.XLOOKUP(tblPayrollMaster[[#This Row],[Employee Position]],tblPositionandPayRate[Employee Position],tblPositionandPayRate[Allowance 5],0)*tblPayrollMaster[[#This Row],[Pay Factor]]</f>
        <v>0</v>
      </c>
      <c r="Q776" s="25">
        <f>SUM(tblPayrollMaster[[#This Row],[Basic Pay]:[Allowance 5]])</f>
        <v>0</v>
      </c>
      <c r="R77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76" s="51" cm="1">
        <f t="array" ref="S7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76" s="3" cm="1">
        <f t="array" ref="T7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76" s="25">
        <f>_xlfn.LET(
_xlpm.tos, _xlfn.XLOOKUP(tblPayrollMaster[[#This Row],[Employee ID]], tblEmployee[Employee ID], tblEmployee[Type of Service], ""),
IF(_xlpm.tos="Contract of Service", 8.25, 0)
)</f>
        <v>0</v>
      </c>
      <c r="V776" s="25">
        <f>tblPayrollMaster[[#This Row],[Basic Earnings]]-tblPayrollMaster[[#This Row],[Tax]]-tblPayrollMaster[[#This Row],[NIS - Employee]]-tblPayrollMaster[[#This Row],[Health Surcharge]]</f>
        <v>0</v>
      </c>
      <c r="W776" s="25">
        <f>tblPayrollMaster[[#This Row],[Net Pay]]</f>
        <v>0</v>
      </c>
      <c r="X776" s="25"/>
    </row>
    <row r="777" spans="1:24" x14ac:dyDescent="0.25">
      <c r="A777" s="24"/>
      <c r="B777" s="24" t="str">
        <f>_xlfn.XLOOKUP(tblPayrollMaster[[#This Row],[Employee ID]],tblEmployee[Employee ID],tblEmployee[Employee Name],"")</f>
        <v/>
      </c>
      <c r="C777" s="24" t="str">
        <f>_xlfn.XLOOKUP(tblPayrollMaster[[#This Row],[Employee ID]],tblEmployee[Employee ID],tblEmployee[Employee Position],"")</f>
        <v/>
      </c>
      <c r="D777" s="24" t="str">
        <f>_xlfn.XLOOKUP(tblPayrollMaster[[#This Row],[Employee ID]], tblEmployee[Employee ID], tblEmployee[Pay Status], "Pay")</f>
        <v>Pay</v>
      </c>
      <c r="E777" s="24" t="str">
        <f>_xlfn.XLOOKUP(tblPayrollMaster[[#This Row],[Employee ID]], tblEmployee[Employee ID], tblEmployee[Payable Flag], "Y")</f>
        <v>Y</v>
      </c>
      <c r="F777" s="45">
        <f>IF(tblPayrollMaster[[#This Row],[Payable Flag]]="N",0,_xlfn.XLOOKUP(tblPayrollMaster[[#This Row],[Employee ID]],tblEmployee[Employee ID],tblEmployee[Pay Factor],1))</f>
        <v>1</v>
      </c>
      <c r="G777" s="26" t="str" cm="1">
        <f t="array" ref="G777">IF(tblPayrollMaster[[#This Row],[Employee ID]]="","",_xlfn.XLOOKUP(selPayPeriodID,tblPayCalendar[PayPeriodID],tblPayCalendar[PeriodStart],""))</f>
        <v/>
      </c>
      <c r="H777" s="26" t="str" cm="1">
        <f t="array" ref="H777">IF(tblPayrollMaster[[#This Row],[Employee ID]]="","",_xlfn.XLOOKUP(selPayPeriodID,tblPayCalendar[PayPeriodID],tblPayCalendar[PeriodEnd],""))</f>
        <v/>
      </c>
      <c r="I777" s="24" t="e" cm="1" vm="1">
        <f t="array" aca="1" ref="I777" ca="1">Table18[Employer Name]</f>
        <v>#VALUE!</v>
      </c>
      <c r="J777" s="3" cm="1">
        <f t="array" ref="J77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77" s="25" t="str">
        <f>_xlfn.XLOOKUP(tblPayrollMaster[[#This Row],[Employee Position]],tblPositionandPayRate[Employee Position],tblPositionandPayRate[Overtime], " ")</f>
        <v xml:space="preserve"> </v>
      </c>
      <c r="L777" s="25">
        <f>_xlfn.XLOOKUP(tblPayrollMaster[[#This Row],[Employee Position]],tblPositionandPayRate[Employee Position],tblPositionandPayRate[Allowance 1],0)*tblPayrollMaster[[#This Row],[Pay Factor]]</f>
        <v>0</v>
      </c>
      <c r="M777" s="25">
        <f>_xlfn.XLOOKUP(tblPayrollMaster[[#This Row],[Employee Position]],tblPositionandPayRate[Employee Position],tblPositionandPayRate[Allowance 2],0)*tblPayrollMaster[[#This Row],[Pay Factor]]</f>
        <v>0</v>
      </c>
      <c r="N777" s="25">
        <f>_xlfn.XLOOKUP(tblPayrollMaster[[#This Row],[Employee Position]],tblPositionandPayRate[Employee Position],tblPositionandPayRate[Allowance 3],0)*tblPayrollMaster[[#This Row],[Pay Factor]]</f>
        <v>0</v>
      </c>
      <c r="O777" s="25">
        <f>_xlfn.XLOOKUP(tblPayrollMaster[[#This Row],[Employee Position]],tblPositionandPayRate[Employee Position],tblPositionandPayRate[Allowance 4],0)*tblPayrollMaster[[#This Row],[Pay Factor]]</f>
        <v>0</v>
      </c>
      <c r="P777" s="25">
        <f>_xlfn.XLOOKUP(tblPayrollMaster[[#This Row],[Employee Position]],tblPositionandPayRate[Employee Position],tblPositionandPayRate[Allowance 5],0)*tblPayrollMaster[[#This Row],[Pay Factor]]</f>
        <v>0</v>
      </c>
      <c r="Q777" s="25">
        <f>SUM(tblPayrollMaster[[#This Row],[Basic Pay]:[Allowance 5]])</f>
        <v>0</v>
      </c>
      <c r="R77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77" s="51" cm="1">
        <f t="array" ref="S7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77" s="3" cm="1">
        <f t="array" ref="T7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77" s="25">
        <f>_xlfn.LET(
_xlpm.tos, _xlfn.XLOOKUP(tblPayrollMaster[[#This Row],[Employee ID]], tblEmployee[Employee ID], tblEmployee[Type of Service], ""),
IF(_xlpm.tos="Contract of Service", 8.25, 0)
)</f>
        <v>0</v>
      </c>
      <c r="V777" s="25">
        <f>tblPayrollMaster[[#This Row],[Basic Earnings]]-tblPayrollMaster[[#This Row],[Tax]]-tblPayrollMaster[[#This Row],[NIS - Employee]]-tblPayrollMaster[[#This Row],[Health Surcharge]]</f>
        <v>0</v>
      </c>
      <c r="W777" s="25">
        <f>tblPayrollMaster[[#This Row],[Net Pay]]</f>
        <v>0</v>
      </c>
      <c r="X777" s="25"/>
    </row>
    <row r="778" spans="1:24" x14ac:dyDescent="0.25">
      <c r="A778" s="24"/>
      <c r="B778" s="24" t="str">
        <f>_xlfn.XLOOKUP(tblPayrollMaster[[#This Row],[Employee ID]],tblEmployee[Employee ID],tblEmployee[Employee Name],"")</f>
        <v/>
      </c>
      <c r="C778" s="24" t="str">
        <f>_xlfn.XLOOKUP(tblPayrollMaster[[#This Row],[Employee ID]],tblEmployee[Employee ID],tblEmployee[Employee Position],"")</f>
        <v/>
      </c>
      <c r="D778" s="24" t="str">
        <f>_xlfn.XLOOKUP(tblPayrollMaster[[#This Row],[Employee ID]], tblEmployee[Employee ID], tblEmployee[Pay Status], "Pay")</f>
        <v>Pay</v>
      </c>
      <c r="E778" s="24" t="str">
        <f>_xlfn.XLOOKUP(tblPayrollMaster[[#This Row],[Employee ID]], tblEmployee[Employee ID], tblEmployee[Payable Flag], "Y")</f>
        <v>Y</v>
      </c>
      <c r="F778" s="45">
        <f>IF(tblPayrollMaster[[#This Row],[Payable Flag]]="N",0,_xlfn.XLOOKUP(tblPayrollMaster[[#This Row],[Employee ID]],tblEmployee[Employee ID],tblEmployee[Pay Factor],1))</f>
        <v>1</v>
      </c>
      <c r="G778" s="26" t="str" cm="1">
        <f t="array" ref="G778">IF(tblPayrollMaster[[#This Row],[Employee ID]]="","",_xlfn.XLOOKUP(selPayPeriodID,tblPayCalendar[PayPeriodID],tblPayCalendar[PeriodStart],""))</f>
        <v/>
      </c>
      <c r="H778" s="26" t="str" cm="1">
        <f t="array" ref="H778">IF(tblPayrollMaster[[#This Row],[Employee ID]]="","",_xlfn.XLOOKUP(selPayPeriodID,tblPayCalendar[PayPeriodID],tblPayCalendar[PeriodEnd],""))</f>
        <v/>
      </c>
      <c r="I778" s="24" t="e" cm="1" vm="1">
        <f t="array" aca="1" ref="I778" ca="1">Table18[Employer Name]</f>
        <v>#VALUE!</v>
      </c>
      <c r="J778" s="3" cm="1">
        <f t="array" ref="J77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78" s="25" t="str">
        <f>_xlfn.XLOOKUP(tblPayrollMaster[[#This Row],[Employee Position]],tblPositionandPayRate[Employee Position],tblPositionandPayRate[Overtime], " ")</f>
        <v xml:space="preserve"> </v>
      </c>
      <c r="L778" s="25">
        <f>_xlfn.XLOOKUP(tblPayrollMaster[[#This Row],[Employee Position]],tblPositionandPayRate[Employee Position],tblPositionandPayRate[Allowance 1],0)*tblPayrollMaster[[#This Row],[Pay Factor]]</f>
        <v>0</v>
      </c>
      <c r="M778" s="25">
        <f>_xlfn.XLOOKUP(tblPayrollMaster[[#This Row],[Employee Position]],tblPositionandPayRate[Employee Position],tblPositionandPayRate[Allowance 2],0)*tblPayrollMaster[[#This Row],[Pay Factor]]</f>
        <v>0</v>
      </c>
      <c r="N778" s="25">
        <f>_xlfn.XLOOKUP(tblPayrollMaster[[#This Row],[Employee Position]],tblPositionandPayRate[Employee Position],tblPositionandPayRate[Allowance 3],0)*tblPayrollMaster[[#This Row],[Pay Factor]]</f>
        <v>0</v>
      </c>
      <c r="O778" s="25">
        <f>_xlfn.XLOOKUP(tblPayrollMaster[[#This Row],[Employee Position]],tblPositionandPayRate[Employee Position],tblPositionandPayRate[Allowance 4],0)*tblPayrollMaster[[#This Row],[Pay Factor]]</f>
        <v>0</v>
      </c>
      <c r="P778" s="25">
        <f>_xlfn.XLOOKUP(tblPayrollMaster[[#This Row],[Employee Position]],tblPositionandPayRate[Employee Position],tblPositionandPayRate[Allowance 5],0)*tblPayrollMaster[[#This Row],[Pay Factor]]</f>
        <v>0</v>
      </c>
      <c r="Q778" s="25">
        <f>SUM(tblPayrollMaster[[#This Row],[Basic Pay]:[Allowance 5]])</f>
        <v>0</v>
      </c>
      <c r="R77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78" s="51" cm="1">
        <f t="array" ref="S7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78" s="3" cm="1">
        <f t="array" ref="T7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78" s="25">
        <f>_xlfn.LET(
_xlpm.tos, _xlfn.XLOOKUP(tblPayrollMaster[[#This Row],[Employee ID]], tblEmployee[Employee ID], tblEmployee[Type of Service], ""),
IF(_xlpm.tos="Contract of Service", 8.25, 0)
)</f>
        <v>0</v>
      </c>
      <c r="V778" s="25">
        <f>tblPayrollMaster[[#This Row],[Basic Earnings]]-tblPayrollMaster[[#This Row],[Tax]]-tblPayrollMaster[[#This Row],[NIS - Employee]]-tblPayrollMaster[[#This Row],[Health Surcharge]]</f>
        <v>0</v>
      </c>
      <c r="W778" s="25">
        <f>tblPayrollMaster[[#This Row],[Net Pay]]</f>
        <v>0</v>
      </c>
      <c r="X778" s="25"/>
    </row>
    <row r="779" spans="1:24" x14ac:dyDescent="0.25">
      <c r="A779" s="24"/>
      <c r="B779" s="24" t="str">
        <f>_xlfn.XLOOKUP(tblPayrollMaster[[#This Row],[Employee ID]],tblEmployee[Employee ID],tblEmployee[Employee Name],"")</f>
        <v/>
      </c>
      <c r="C779" s="24" t="str">
        <f>_xlfn.XLOOKUP(tblPayrollMaster[[#This Row],[Employee ID]],tblEmployee[Employee ID],tblEmployee[Employee Position],"")</f>
        <v/>
      </c>
      <c r="D779" s="24" t="str">
        <f>_xlfn.XLOOKUP(tblPayrollMaster[[#This Row],[Employee ID]], tblEmployee[Employee ID], tblEmployee[Pay Status], "Pay")</f>
        <v>Pay</v>
      </c>
      <c r="E779" s="24" t="str">
        <f>_xlfn.XLOOKUP(tblPayrollMaster[[#This Row],[Employee ID]], tblEmployee[Employee ID], tblEmployee[Payable Flag], "Y")</f>
        <v>Y</v>
      </c>
      <c r="F779" s="45">
        <f>IF(tblPayrollMaster[[#This Row],[Payable Flag]]="N",0,_xlfn.XLOOKUP(tblPayrollMaster[[#This Row],[Employee ID]],tblEmployee[Employee ID],tblEmployee[Pay Factor],1))</f>
        <v>1</v>
      </c>
      <c r="G779" s="26" t="str" cm="1">
        <f t="array" ref="G779">IF(tblPayrollMaster[[#This Row],[Employee ID]]="","",_xlfn.XLOOKUP(selPayPeriodID,tblPayCalendar[PayPeriodID],tblPayCalendar[PeriodStart],""))</f>
        <v/>
      </c>
      <c r="H779" s="26" t="str" cm="1">
        <f t="array" ref="H779">IF(tblPayrollMaster[[#This Row],[Employee ID]]="","",_xlfn.XLOOKUP(selPayPeriodID,tblPayCalendar[PayPeriodID],tblPayCalendar[PeriodEnd],""))</f>
        <v/>
      </c>
      <c r="I779" s="24" t="e" cm="1" vm="1">
        <f t="array" aca="1" ref="I779" ca="1">Table18[Employer Name]</f>
        <v>#VALUE!</v>
      </c>
      <c r="J779" s="3" cm="1">
        <f t="array" ref="J77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79" s="25" t="str">
        <f>_xlfn.XLOOKUP(tblPayrollMaster[[#This Row],[Employee Position]],tblPositionandPayRate[Employee Position],tblPositionandPayRate[Overtime], " ")</f>
        <v xml:space="preserve"> </v>
      </c>
      <c r="L779" s="25">
        <f>_xlfn.XLOOKUP(tblPayrollMaster[[#This Row],[Employee Position]],tblPositionandPayRate[Employee Position],tblPositionandPayRate[Allowance 1],0)*tblPayrollMaster[[#This Row],[Pay Factor]]</f>
        <v>0</v>
      </c>
      <c r="M779" s="25">
        <f>_xlfn.XLOOKUP(tblPayrollMaster[[#This Row],[Employee Position]],tblPositionandPayRate[Employee Position],tblPositionandPayRate[Allowance 2],0)*tblPayrollMaster[[#This Row],[Pay Factor]]</f>
        <v>0</v>
      </c>
      <c r="N779" s="25">
        <f>_xlfn.XLOOKUP(tblPayrollMaster[[#This Row],[Employee Position]],tblPositionandPayRate[Employee Position],tblPositionandPayRate[Allowance 3],0)*tblPayrollMaster[[#This Row],[Pay Factor]]</f>
        <v>0</v>
      </c>
      <c r="O779" s="25">
        <f>_xlfn.XLOOKUP(tblPayrollMaster[[#This Row],[Employee Position]],tblPositionandPayRate[Employee Position],tblPositionandPayRate[Allowance 4],0)*tblPayrollMaster[[#This Row],[Pay Factor]]</f>
        <v>0</v>
      </c>
      <c r="P779" s="25">
        <f>_xlfn.XLOOKUP(tblPayrollMaster[[#This Row],[Employee Position]],tblPositionandPayRate[Employee Position],tblPositionandPayRate[Allowance 5],0)*tblPayrollMaster[[#This Row],[Pay Factor]]</f>
        <v>0</v>
      </c>
      <c r="Q779" s="25">
        <f>SUM(tblPayrollMaster[[#This Row],[Basic Pay]:[Allowance 5]])</f>
        <v>0</v>
      </c>
      <c r="R77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79" s="51" cm="1">
        <f t="array" ref="S7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79" s="3" cm="1">
        <f t="array" ref="T7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79" s="25">
        <f>_xlfn.LET(
_xlpm.tos, _xlfn.XLOOKUP(tblPayrollMaster[[#This Row],[Employee ID]], tblEmployee[Employee ID], tblEmployee[Type of Service], ""),
IF(_xlpm.tos="Contract of Service", 8.25, 0)
)</f>
        <v>0</v>
      </c>
      <c r="V779" s="25">
        <f>tblPayrollMaster[[#This Row],[Basic Earnings]]-tblPayrollMaster[[#This Row],[Tax]]-tblPayrollMaster[[#This Row],[NIS - Employee]]-tblPayrollMaster[[#This Row],[Health Surcharge]]</f>
        <v>0</v>
      </c>
      <c r="W779" s="25">
        <f>tblPayrollMaster[[#This Row],[Net Pay]]</f>
        <v>0</v>
      </c>
      <c r="X779" s="25"/>
    </row>
    <row r="780" spans="1:24" x14ac:dyDescent="0.25">
      <c r="A780" s="24"/>
      <c r="B780" s="24" t="str">
        <f>_xlfn.XLOOKUP(tblPayrollMaster[[#This Row],[Employee ID]],tblEmployee[Employee ID],tblEmployee[Employee Name],"")</f>
        <v/>
      </c>
      <c r="C780" s="24" t="str">
        <f>_xlfn.XLOOKUP(tblPayrollMaster[[#This Row],[Employee ID]],tblEmployee[Employee ID],tblEmployee[Employee Position],"")</f>
        <v/>
      </c>
      <c r="D780" s="24" t="str">
        <f>_xlfn.XLOOKUP(tblPayrollMaster[[#This Row],[Employee ID]], tblEmployee[Employee ID], tblEmployee[Pay Status], "Pay")</f>
        <v>Pay</v>
      </c>
      <c r="E780" s="24" t="str">
        <f>_xlfn.XLOOKUP(tblPayrollMaster[[#This Row],[Employee ID]], tblEmployee[Employee ID], tblEmployee[Payable Flag], "Y")</f>
        <v>Y</v>
      </c>
      <c r="F780" s="45">
        <f>IF(tblPayrollMaster[[#This Row],[Payable Flag]]="N",0,_xlfn.XLOOKUP(tblPayrollMaster[[#This Row],[Employee ID]],tblEmployee[Employee ID],tblEmployee[Pay Factor],1))</f>
        <v>1</v>
      </c>
      <c r="G780" s="26" t="str" cm="1">
        <f t="array" ref="G780">IF(tblPayrollMaster[[#This Row],[Employee ID]]="","",_xlfn.XLOOKUP(selPayPeriodID,tblPayCalendar[PayPeriodID],tblPayCalendar[PeriodStart],""))</f>
        <v/>
      </c>
      <c r="H780" s="26" t="str" cm="1">
        <f t="array" ref="H780">IF(tblPayrollMaster[[#This Row],[Employee ID]]="","",_xlfn.XLOOKUP(selPayPeriodID,tblPayCalendar[PayPeriodID],tblPayCalendar[PeriodEnd],""))</f>
        <v/>
      </c>
      <c r="I780" s="24" t="e" cm="1" vm="1">
        <f t="array" aca="1" ref="I780" ca="1">Table18[Employer Name]</f>
        <v>#VALUE!</v>
      </c>
      <c r="J780" s="3" cm="1">
        <f t="array" ref="J78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80" s="25" t="str">
        <f>_xlfn.XLOOKUP(tblPayrollMaster[[#This Row],[Employee Position]],tblPositionandPayRate[Employee Position],tblPositionandPayRate[Overtime], " ")</f>
        <v xml:space="preserve"> </v>
      </c>
      <c r="L780" s="25">
        <f>_xlfn.XLOOKUP(tblPayrollMaster[[#This Row],[Employee Position]],tblPositionandPayRate[Employee Position],tblPositionandPayRate[Allowance 1],0)*tblPayrollMaster[[#This Row],[Pay Factor]]</f>
        <v>0</v>
      </c>
      <c r="M780" s="25">
        <f>_xlfn.XLOOKUP(tblPayrollMaster[[#This Row],[Employee Position]],tblPositionandPayRate[Employee Position],tblPositionandPayRate[Allowance 2],0)*tblPayrollMaster[[#This Row],[Pay Factor]]</f>
        <v>0</v>
      </c>
      <c r="N780" s="25">
        <f>_xlfn.XLOOKUP(tblPayrollMaster[[#This Row],[Employee Position]],tblPositionandPayRate[Employee Position],tblPositionandPayRate[Allowance 3],0)*tblPayrollMaster[[#This Row],[Pay Factor]]</f>
        <v>0</v>
      </c>
      <c r="O780" s="25">
        <f>_xlfn.XLOOKUP(tblPayrollMaster[[#This Row],[Employee Position]],tblPositionandPayRate[Employee Position],tblPositionandPayRate[Allowance 4],0)*tblPayrollMaster[[#This Row],[Pay Factor]]</f>
        <v>0</v>
      </c>
      <c r="P780" s="25">
        <f>_xlfn.XLOOKUP(tblPayrollMaster[[#This Row],[Employee Position]],tblPositionandPayRate[Employee Position],tblPositionandPayRate[Allowance 5],0)*tblPayrollMaster[[#This Row],[Pay Factor]]</f>
        <v>0</v>
      </c>
      <c r="Q780" s="25">
        <f>SUM(tblPayrollMaster[[#This Row],[Basic Pay]:[Allowance 5]])</f>
        <v>0</v>
      </c>
      <c r="R78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80" s="51" cm="1">
        <f t="array" ref="S7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80" s="3" cm="1">
        <f t="array" ref="T7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80" s="25">
        <f>_xlfn.LET(
_xlpm.tos, _xlfn.XLOOKUP(tblPayrollMaster[[#This Row],[Employee ID]], tblEmployee[Employee ID], tblEmployee[Type of Service], ""),
IF(_xlpm.tos="Contract of Service", 8.25, 0)
)</f>
        <v>0</v>
      </c>
      <c r="V780" s="25">
        <f>tblPayrollMaster[[#This Row],[Basic Earnings]]-tblPayrollMaster[[#This Row],[Tax]]-tblPayrollMaster[[#This Row],[NIS - Employee]]-tblPayrollMaster[[#This Row],[Health Surcharge]]</f>
        <v>0</v>
      </c>
      <c r="W780" s="25">
        <f>tblPayrollMaster[[#This Row],[Net Pay]]</f>
        <v>0</v>
      </c>
      <c r="X780" s="25"/>
    </row>
    <row r="781" spans="1:24" x14ac:dyDescent="0.25">
      <c r="A781" s="24"/>
      <c r="B781" s="24" t="str">
        <f>_xlfn.XLOOKUP(tblPayrollMaster[[#This Row],[Employee ID]],tblEmployee[Employee ID],tblEmployee[Employee Name],"")</f>
        <v/>
      </c>
      <c r="C781" s="24" t="str">
        <f>_xlfn.XLOOKUP(tblPayrollMaster[[#This Row],[Employee ID]],tblEmployee[Employee ID],tblEmployee[Employee Position],"")</f>
        <v/>
      </c>
      <c r="D781" s="24" t="str">
        <f>_xlfn.XLOOKUP(tblPayrollMaster[[#This Row],[Employee ID]], tblEmployee[Employee ID], tblEmployee[Pay Status], "Pay")</f>
        <v>Pay</v>
      </c>
      <c r="E781" s="24" t="str">
        <f>_xlfn.XLOOKUP(tblPayrollMaster[[#This Row],[Employee ID]], tblEmployee[Employee ID], tblEmployee[Payable Flag], "Y")</f>
        <v>Y</v>
      </c>
      <c r="F781" s="45">
        <f>IF(tblPayrollMaster[[#This Row],[Payable Flag]]="N",0,_xlfn.XLOOKUP(tblPayrollMaster[[#This Row],[Employee ID]],tblEmployee[Employee ID],tblEmployee[Pay Factor],1))</f>
        <v>1</v>
      </c>
      <c r="G781" s="26" t="str" cm="1">
        <f t="array" ref="G781">IF(tblPayrollMaster[[#This Row],[Employee ID]]="","",_xlfn.XLOOKUP(selPayPeriodID,tblPayCalendar[PayPeriodID],tblPayCalendar[PeriodStart],""))</f>
        <v/>
      </c>
      <c r="H781" s="26" t="str" cm="1">
        <f t="array" ref="H781">IF(tblPayrollMaster[[#This Row],[Employee ID]]="","",_xlfn.XLOOKUP(selPayPeriodID,tblPayCalendar[PayPeriodID],tblPayCalendar[PeriodEnd],""))</f>
        <v/>
      </c>
      <c r="I781" s="24" t="e" cm="1" vm="1">
        <f t="array" aca="1" ref="I781" ca="1">Table18[Employer Name]</f>
        <v>#VALUE!</v>
      </c>
      <c r="J781" s="3" cm="1">
        <f t="array" ref="J78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81" s="25" t="str">
        <f>_xlfn.XLOOKUP(tblPayrollMaster[[#This Row],[Employee Position]],tblPositionandPayRate[Employee Position],tblPositionandPayRate[Overtime], " ")</f>
        <v xml:space="preserve"> </v>
      </c>
      <c r="L781" s="25">
        <f>_xlfn.XLOOKUP(tblPayrollMaster[[#This Row],[Employee Position]],tblPositionandPayRate[Employee Position],tblPositionandPayRate[Allowance 1],0)*tblPayrollMaster[[#This Row],[Pay Factor]]</f>
        <v>0</v>
      </c>
      <c r="M781" s="25">
        <f>_xlfn.XLOOKUP(tblPayrollMaster[[#This Row],[Employee Position]],tblPositionandPayRate[Employee Position],tblPositionandPayRate[Allowance 2],0)*tblPayrollMaster[[#This Row],[Pay Factor]]</f>
        <v>0</v>
      </c>
      <c r="N781" s="25">
        <f>_xlfn.XLOOKUP(tblPayrollMaster[[#This Row],[Employee Position]],tblPositionandPayRate[Employee Position],tblPositionandPayRate[Allowance 3],0)*tblPayrollMaster[[#This Row],[Pay Factor]]</f>
        <v>0</v>
      </c>
      <c r="O781" s="25">
        <f>_xlfn.XLOOKUP(tblPayrollMaster[[#This Row],[Employee Position]],tblPositionandPayRate[Employee Position],tblPositionandPayRate[Allowance 4],0)*tblPayrollMaster[[#This Row],[Pay Factor]]</f>
        <v>0</v>
      </c>
      <c r="P781" s="25">
        <f>_xlfn.XLOOKUP(tblPayrollMaster[[#This Row],[Employee Position]],tblPositionandPayRate[Employee Position],tblPositionandPayRate[Allowance 5],0)*tblPayrollMaster[[#This Row],[Pay Factor]]</f>
        <v>0</v>
      </c>
      <c r="Q781" s="25">
        <f>SUM(tblPayrollMaster[[#This Row],[Basic Pay]:[Allowance 5]])</f>
        <v>0</v>
      </c>
      <c r="R78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81" s="51" cm="1">
        <f t="array" ref="S7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81" s="3" cm="1">
        <f t="array" ref="T7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81" s="25">
        <f>_xlfn.LET(
_xlpm.tos, _xlfn.XLOOKUP(tblPayrollMaster[[#This Row],[Employee ID]], tblEmployee[Employee ID], tblEmployee[Type of Service], ""),
IF(_xlpm.tos="Contract of Service", 8.25, 0)
)</f>
        <v>0</v>
      </c>
      <c r="V781" s="25">
        <f>tblPayrollMaster[[#This Row],[Basic Earnings]]-tblPayrollMaster[[#This Row],[Tax]]-tblPayrollMaster[[#This Row],[NIS - Employee]]-tblPayrollMaster[[#This Row],[Health Surcharge]]</f>
        <v>0</v>
      </c>
      <c r="W781" s="25">
        <f>tblPayrollMaster[[#This Row],[Net Pay]]</f>
        <v>0</v>
      </c>
      <c r="X781" s="25"/>
    </row>
    <row r="782" spans="1:24" x14ac:dyDescent="0.25">
      <c r="A782" s="24"/>
      <c r="B782" s="24" t="str">
        <f>_xlfn.XLOOKUP(tblPayrollMaster[[#This Row],[Employee ID]],tblEmployee[Employee ID],tblEmployee[Employee Name],"")</f>
        <v/>
      </c>
      <c r="C782" s="24" t="str">
        <f>_xlfn.XLOOKUP(tblPayrollMaster[[#This Row],[Employee ID]],tblEmployee[Employee ID],tblEmployee[Employee Position],"")</f>
        <v/>
      </c>
      <c r="D782" s="24" t="str">
        <f>_xlfn.XLOOKUP(tblPayrollMaster[[#This Row],[Employee ID]], tblEmployee[Employee ID], tblEmployee[Pay Status], "Pay")</f>
        <v>Pay</v>
      </c>
      <c r="E782" s="24" t="str">
        <f>_xlfn.XLOOKUP(tblPayrollMaster[[#This Row],[Employee ID]], tblEmployee[Employee ID], tblEmployee[Payable Flag], "Y")</f>
        <v>Y</v>
      </c>
      <c r="F782" s="45">
        <f>IF(tblPayrollMaster[[#This Row],[Payable Flag]]="N",0,_xlfn.XLOOKUP(tblPayrollMaster[[#This Row],[Employee ID]],tblEmployee[Employee ID],tblEmployee[Pay Factor],1))</f>
        <v>1</v>
      </c>
      <c r="G782" s="26" t="str" cm="1">
        <f t="array" ref="G782">IF(tblPayrollMaster[[#This Row],[Employee ID]]="","",_xlfn.XLOOKUP(selPayPeriodID,tblPayCalendar[PayPeriodID],tblPayCalendar[PeriodStart],""))</f>
        <v/>
      </c>
      <c r="H782" s="26" t="str" cm="1">
        <f t="array" ref="H782">IF(tblPayrollMaster[[#This Row],[Employee ID]]="","",_xlfn.XLOOKUP(selPayPeriodID,tblPayCalendar[PayPeriodID],tblPayCalendar[PeriodEnd],""))</f>
        <v/>
      </c>
      <c r="I782" s="24" t="e" cm="1" vm="1">
        <f t="array" aca="1" ref="I782" ca="1">Table18[Employer Name]</f>
        <v>#VALUE!</v>
      </c>
      <c r="J782" s="3" cm="1">
        <f t="array" ref="J78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82" s="25" t="str">
        <f>_xlfn.XLOOKUP(tblPayrollMaster[[#This Row],[Employee Position]],tblPositionandPayRate[Employee Position],tblPositionandPayRate[Overtime], " ")</f>
        <v xml:space="preserve"> </v>
      </c>
      <c r="L782" s="25">
        <f>_xlfn.XLOOKUP(tblPayrollMaster[[#This Row],[Employee Position]],tblPositionandPayRate[Employee Position],tblPositionandPayRate[Allowance 1],0)*tblPayrollMaster[[#This Row],[Pay Factor]]</f>
        <v>0</v>
      </c>
      <c r="M782" s="25">
        <f>_xlfn.XLOOKUP(tblPayrollMaster[[#This Row],[Employee Position]],tblPositionandPayRate[Employee Position],tblPositionandPayRate[Allowance 2],0)*tblPayrollMaster[[#This Row],[Pay Factor]]</f>
        <v>0</v>
      </c>
      <c r="N782" s="25">
        <f>_xlfn.XLOOKUP(tblPayrollMaster[[#This Row],[Employee Position]],tblPositionandPayRate[Employee Position],tblPositionandPayRate[Allowance 3],0)*tblPayrollMaster[[#This Row],[Pay Factor]]</f>
        <v>0</v>
      </c>
      <c r="O782" s="25">
        <f>_xlfn.XLOOKUP(tblPayrollMaster[[#This Row],[Employee Position]],tblPositionandPayRate[Employee Position],tblPositionandPayRate[Allowance 4],0)*tblPayrollMaster[[#This Row],[Pay Factor]]</f>
        <v>0</v>
      </c>
      <c r="P782" s="25">
        <f>_xlfn.XLOOKUP(tblPayrollMaster[[#This Row],[Employee Position]],tblPositionandPayRate[Employee Position],tblPositionandPayRate[Allowance 5],0)*tblPayrollMaster[[#This Row],[Pay Factor]]</f>
        <v>0</v>
      </c>
      <c r="Q782" s="25">
        <f>SUM(tblPayrollMaster[[#This Row],[Basic Pay]:[Allowance 5]])</f>
        <v>0</v>
      </c>
      <c r="R78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82" s="51" cm="1">
        <f t="array" ref="S7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82" s="3" cm="1">
        <f t="array" ref="T7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82" s="25">
        <f>_xlfn.LET(
_xlpm.tos, _xlfn.XLOOKUP(tblPayrollMaster[[#This Row],[Employee ID]], tblEmployee[Employee ID], tblEmployee[Type of Service], ""),
IF(_xlpm.tos="Contract of Service", 8.25, 0)
)</f>
        <v>0</v>
      </c>
      <c r="V782" s="25">
        <f>tblPayrollMaster[[#This Row],[Basic Earnings]]-tblPayrollMaster[[#This Row],[Tax]]-tblPayrollMaster[[#This Row],[NIS - Employee]]-tblPayrollMaster[[#This Row],[Health Surcharge]]</f>
        <v>0</v>
      </c>
      <c r="W782" s="25">
        <f>tblPayrollMaster[[#This Row],[Net Pay]]</f>
        <v>0</v>
      </c>
      <c r="X782" s="25"/>
    </row>
    <row r="783" spans="1:24" x14ac:dyDescent="0.25">
      <c r="A783" s="24"/>
      <c r="B783" s="24" t="str">
        <f>_xlfn.XLOOKUP(tblPayrollMaster[[#This Row],[Employee ID]],tblEmployee[Employee ID],tblEmployee[Employee Name],"")</f>
        <v/>
      </c>
      <c r="C783" s="24" t="str">
        <f>_xlfn.XLOOKUP(tblPayrollMaster[[#This Row],[Employee ID]],tblEmployee[Employee ID],tblEmployee[Employee Position],"")</f>
        <v/>
      </c>
      <c r="D783" s="24" t="str">
        <f>_xlfn.XLOOKUP(tblPayrollMaster[[#This Row],[Employee ID]], tblEmployee[Employee ID], tblEmployee[Pay Status], "Pay")</f>
        <v>Pay</v>
      </c>
      <c r="E783" s="24" t="str">
        <f>_xlfn.XLOOKUP(tblPayrollMaster[[#This Row],[Employee ID]], tblEmployee[Employee ID], tblEmployee[Payable Flag], "Y")</f>
        <v>Y</v>
      </c>
      <c r="F783" s="45">
        <f>IF(tblPayrollMaster[[#This Row],[Payable Flag]]="N",0,_xlfn.XLOOKUP(tblPayrollMaster[[#This Row],[Employee ID]],tblEmployee[Employee ID],tblEmployee[Pay Factor],1))</f>
        <v>1</v>
      </c>
      <c r="G783" s="26" t="str" cm="1">
        <f t="array" ref="G783">IF(tblPayrollMaster[[#This Row],[Employee ID]]="","",_xlfn.XLOOKUP(selPayPeriodID,tblPayCalendar[PayPeriodID],tblPayCalendar[PeriodStart],""))</f>
        <v/>
      </c>
      <c r="H783" s="26" t="str" cm="1">
        <f t="array" ref="H783">IF(tblPayrollMaster[[#This Row],[Employee ID]]="","",_xlfn.XLOOKUP(selPayPeriodID,tblPayCalendar[PayPeriodID],tblPayCalendar[PeriodEnd],""))</f>
        <v/>
      </c>
      <c r="I783" s="24" t="e" cm="1" vm="1">
        <f t="array" aca="1" ref="I783" ca="1">Table18[Employer Name]</f>
        <v>#VALUE!</v>
      </c>
      <c r="J783" s="3" cm="1">
        <f t="array" ref="J78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83" s="25" t="str">
        <f>_xlfn.XLOOKUP(tblPayrollMaster[[#This Row],[Employee Position]],tblPositionandPayRate[Employee Position],tblPositionandPayRate[Overtime], " ")</f>
        <v xml:space="preserve"> </v>
      </c>
      <c r="L783" s="25">
        <f>_xlfn.XLOOKUP(tblPayrollMaster[[#This Row],[Employee Position]],tblPositionandPayRate[Employee Position],tblPositionandPayRate[Allowance 1],0)*tblPayrollMaster[[#This Row],[Pay Factor]]</f>
        <v>0</v>
      </c>
      <c r="M783" s="25">
        <f>_xlfn.XLOOKUP(tblPayrollMaster[[#This Row],[Employee Position]],tblPositionandPayRate[Employee Position],tblPositionandPayRate[Allowance 2],0)*tblPayrollMaster[[#This Row],[Pay Factor]]</f>
        <v>0</v>
      </c>
      <c r="N783" s="25">
        <f>_xlfn.XLOOKUP(tblPayrollMaster[[#This Row],[Employee Position]],tblPositionandPayRate[Employee Position],tblPositionandPayRate[Allowance 3],0)*tblPayrollMaster[[#This Row],[Pay Factor]]</f>
        <v>0</v>
      </c>
      <c r="O783" s="25">
        <f>_xlfn.XLOOKUP(tblPayrollMaster[[#This Row],[Employee Position]],tblPositionandPayRate[Employee Position],tblPositionandPayRate[Allowance 4],0)*tblPayrollMaster[[#This Row],[Pay Factor]]</f>
        <v>0</v>
      </c>
      <c r="P783" s="25">
        <f>_xlfn.XLOOKUP(tblPayrollMaster[[#This Row],[Employee Position]],tblPositionandPayRate[Employee Position],tblPositionandPayRate[Allowance 5],0)*tblPayrollMaster[[#This Row],[Pay Factor]]</f>
        <v>0</v>
      </c>
      <c r="Q783" s="25">
        <f>SUM(tblPayrollMaster[[#This Row],[Basic Pay]:[Allowance 5]])</f>
        <v>0</v>
      </c>
      <c r="R78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83" s="51" cm="1">
        <f t="array" ref="S7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83" s="3" cm="1">
        <f t="array" ref="T7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83" s="25">
        <f>_xlfn.LET(
_xlpm.tos, _xlfn.XLOOKUP(tblPayrollMaster[[#This Row],[Employee ID]], tblEmployee[Employee ID], tblEmployee[Type of Service], ""),
IF(_xlpm.tos="Contract of Service", 8.25, 0)
)</f>
        <v>0</v>
      </c>
      <c r="V783" s="25">
        <f>tblPayrollMaster[[#This Row],[Basic Earnings]]-tblPayrollMaster[[#This Row],[Tax]]-tblPayrollMaster[[#This Row],[NIS - Employee]]-tblPayrollMaster[[#This Row],[Health Surcharge]]</f>
        <v>0</v>
      </c>
      <c r="W783" s="25">
        <f>tblPayrollMaster[[#This Row],[Net Pay]]</f>
        <v>0</v>
      </c>
      <c r="X783" s="25"/>
    </row>
    <row r="784" spans="1:24" x14ac:dyDescent="0.25">
      <c r="A784" s="24"/>
      <c r="B784" s="24" t="str">
        <f>_xlfn.XLOOKUP(tblPayrollMaster[[#This Row],[Employee ID]],tblEmployee[Employee ID],tblEmployee[Employee Name],"")</f>
        <v/>
      </c>
      <c r="C784" s="24" t="str">
        <f>_xlfn.XLOOKUP(tblPayrollMaster[[#This Row],[Employee ID]],tblEmployee[Employee ID],tblEmployee[Employee Position],"")</f>
        <v/>
      </c>
      <c r="D784" s="24" t="str">
        <f>_xlfn.XLOOKUP(tblPayrollMaster[[#This Row],[Employee ID]], tblEmployee[Employee ID], tblEmployee[Pay Status], "Pay")</f>
        <v>Pay</v>
      </c>
      <c r="E784" s="24" t="str">
        <f>_xlfn.XLOOKUP(tblPayrollMaster[[#This Row],[Employee ID]], tblEmployee[Employee ID], tblEmployee[Payable Flag], "Y")</f>
        <v>Y</v>
      </c>
      <c r="F784" s="45">
        <f>IF(tblPayrollMaster[[#This Row],[Payable Flag]]="N",0,_xlfn.XLOOKUP(tblPayrollMaster[[#This Row],[Employee ID]],tblEmployee[Employee ID],tblEmployee[Pay Factor],1))</f>
        <v>1</v>
      </c>
      <c r="G784" s="26" t="str" cm="1">
        <f t="array" ref="G784">IF(tblPayrollMaster[[#This Row],[Employee ID]]="","",_xlfn.XLOOKUP(selPayPeriodID,tblPayCalendar[PayPeriodID],tblPayCalendar[PeriodStart],""))</f>
        <v/>
      </c>
      <c r="H784" s="26" t="str" cm="1">
        <f t="array" ref="H784">IF(tblPayrollMaster[[#This Row],[Employee ID]]="","",_xlfn.XLOOKUP(selPayPeriodID,tblPayCalendar[PayPeriodID],tblPayCalendar[PeriodEnd],""))</f>
        <v/>
      </c>
      <c r="I784" s="24" t="e" cm="1" vm="1">
        <f t="array" aca="1" ref="I784" ca="1">Table18[Employer Name]</f>
        <v>#VALUE!</v>
      </c>
      <c r="J784" s="3" cm="1">
        <f t="array" ref="J78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84" s="25" t="str">
        <f>_xlfn.XLOOKUP(tblPayrollMaster[[#This Row],[Employee Position]],tblPositionandPayRate[Employee Position],tblPositionandPayRate[Overtime], " ")</f>
        <v xml:space="preserve"> </v>
      </c>
      <c r="L784" s="25">
        <f>_xlfn.XLOOKUP(tblPayrollMaster[[#This Row],[Employee Position]],tblPositionandPayRate[Employee Position],tblPositionandPayRate[Allowance 1],0)*tblPayrollMaster[[#This Row],[Pay Factor]]</f>
        <v>0</v>
      </c>
      <c r="M784" s="25">
        <f>_xlfn.XLOOKUP(tblPayrollMaster[[#This Row],[Employee Position]],tblPositionandPayRate[Employee Position],tblPositionandPayRate[Allowance 2],0)*tblPayrollMaster[[#This Row],[Pay Factor]]</f>
        <v>0</v>
      </c>
      <c r="N784" s="25">
        <f>_xlfn.XLOOKUP(tblPayrollMaster[[#This Row],[Employee Position]],tblPositionandPayRate[Employee Position],tblPositionandPayRate[Allowance 3],0)*tblPayrollMaster[[#This Row],[Pay Factor]]</f>
        <v>0</v>
      </c>
      <c r="O784" s="25">
        <f>_xlfn.XLOOKUP(tblPayrollMaster[[#This Row],[Employee Position]],tblPositionandPayRate[Employee Position],tblPositionandPayRate[Allowance 4],0)*tblPayrollMaster[[#This Row],[Pay Factor]]</f>
        <v>0</v>
      </c>
      <c r="P784" s="25">
        <f>_xlfn.XLOOKUP(tblPayrollMaster[[#This Row],[Employee Position]],tblPositionandPayRate[Employee Position],tblPositionandPayRate[Allowance 5],0)*tblPayrollMaster[[#This Row],[Pay Factor]]</f>
        <v>0</v>
      </c>
      <c r="Q784" s="25">
        <f>SUM(tblPayrollMaster[[#This Row],[Basic Pay]:[Allowance 5]])</f>
        <v>0</v>
      </c>
      <c r="R78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84" s="51" cm="1">
        <f t="array" ref="S7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84" s="3" cm="1">
        <f t="array" ref="T7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84" s="25">
        <f>_xlfn.LET(
_xlpm.tos, _xlfn.XLOOKUP(tblPayrollMaster[[#This Row],[Employee ID]], tblEmployee[Employee ID], tblEmployee[Type of Service], ""),
IF(_xlpm.tos="Contract of Service", 8.25, 0)
)</f>
        <v>0</v>
      </c>
      <c r="V784" s="25">
        <f>tblPayrollMaster[[#This Row],[Basic Earnings]]-tblPayrollMaster[[#This Row],[Tax]]-tblPayrollMaster[[#This Row],[NIS - Employee]]-tblPayrollMaster[[#This Row],[Health Surcharge]]</f>
        <v>0</v>
      </c>
      <c r="W784" s="25">
        <f>tblPayrollMaster[[#This Row],[Net Pay]]</f>
        <v>0</v>
      </c>
      <c r="X784" s="25"/>
    </row>
    <row r="785" spans="1:24" x14ac:dyDescent="0.25">
      <c r="A785" s="24"/>
      <c r="B785" s="24" t="str">
        <f>_xlfn.XLOOKUP(tblPayrollMaster[[#This Row],[Employee ID]],tblEmployee[Employee ID],tblEmployee[Employee Name],"")</f>
        <v/>
      </c>
      <c r="C785" s="24" t="str">
        <f>_xlfn.XLOOKUP(tblPayrollMaster[[#This Row],[Employee ID]],tblEmployee[Employee ID],tblEmployee[Employee Position],"")</f>
        <v/>
      </c>
      <c r="D785" s="24" t="str">
        <f>_xlfn.XLOOKUP(tblPayrollMaster[[#This Row],[Employee ID]], tblEmployee[Employee ID], tblEmployee[Pay Status], "Pay")</f>
        <v>Pay</v>
      </c>
      <c r="E785" s="24" t="str">
        <f>_xlfn.XLOOKUP(tblPayrollMaster[[#This Row],[Employee ID]], tblEmployee[Employee ID], tblEmployee[Payable Flag], "Y")</f>
        <v>Y</v>
      </c>
      <c r="F785" s="45">
        <f>IF(tblPayrollMaster[[#This Row],[Payable Flag]]="N",0,_xlfn.XLOOKUP(tblPayrollMaster[[#This Row],[Employee ID]],tblEmployee[Employee ID],tblEmployee[Pay Factor],1))</f>
        <v>1</v>
      </c>
      <c r="G785" s="26" t="str" cm="1">
        <f t="array" ref="G785">IF(tblPayrollMaster[[#This Row],[Employee ID]]="","",_xlfn.XLOOKUP(selPayPeriodID,tblPayCalendar[PayPeriodID],tblPayCalendar[PeriodStart],""))</f>
        <v/>
      </c>
      <c r="H785" s="26" t="str" cm="1">
        <f t="array" ref="H785">IF(tblPayrollMaster[[#This Row],[Employee ID]]="","",_xlfn.XLOOKUP(selPayPeriodID,tblPayCalendar[PayPeriodID],tblPayCalendar[PeriodEnd],""))</f>
        <v/>
      </c>
      <c r="I785" s="24" t="e" cm="1" vm="1">
        <f t="array" aca="1" ref="I785" ca="1">Table18[Employer Name]</f>
        <v>#VALUE!</v>
      </c>
      <c r="J785" s="3" cm="1">
        <f t="array" ref="J78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85" s="25" t="str">
        <f>_xlfn.XLOOKUP(tblPayrollMaster[[#This Row],[Employee Position]],tblPositionandPayRate[Employee Position],tblPositionandPayRate[Overtime], " ")</f>
        <v xml:space="preserve"> </v>
      </c>
      <c r="L785" s="25">
        <f>_xlfn.XLOOKUP(tblPayrollMaster[[#This Row],[Employee Position]],tblPositionandPayRate[Employee Position],tblPositionandPayRate[Allowance 1],0)*tblPayrollMaster[[#This Row],[Pay Factor]]</f>
        <v>0</v>
      </c>
      <c r="M785" s="25">
        <f>_xlfn.XLOOKUP(tblPayrollMaster[[#This Row],[Employee Position]],tblPositionandPayRate[Employee Position],tblPositionandPayRate[Allowance 2],0)*tblPayrollMaster[[#This Row],[Pay Factor]]</f>
        <v>0</v>
      </c>
      <c r="N785" s="25">
        <f>_xlfn.XLOOKUP(tblPayrollMaster[[#This Row],[Employee Position]],tblPositionandPayRate[Employee Position],tblPositionandPayRate[Allowance 3],0)*tblPayrollMaster[[#This Row],[Pay Factor]]</f>
        <v>0</v>
      </c>
      <c r="O785" s="25">
        <f>_xlfn.XLOOKUP(tblPayrollMaster[[#This Row],[Employee Position]],tblPositionandPayRate[Employee Position],tblPositionandPayRate[Allowance 4],0)*tblPayrollMaster[[#This Row],[Pay Factor]]</f>
        <v>0</v>
      </c>
      <c r="P785" s="25">
        <f>_xlfn.XLOOKUP(tblPayrollMaster[[#This Row],[Employee Position]],tblPositionandPayRate[Employee Position],tblPositionandPayRate[Allowance 5],0)*tblPayrollMaster[[#This Row],[Pay Factor]]</f>
        <v>0</v>
      </c>
      <c r="Q785" s="25">
        <f>SUM(tblPayrollMaster[[#This Row],[Basic Pay]:[Allowance 5]])</f>
        <v>0</v>
      </c>
      <c r="R78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85" s="51" cm="1">
        <f t="array" ref="S7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85" s="3" cm="1">
        <f t="array" ref="T7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85" s="25">
        <f>_xlfn.LET(
_xlpm.tos, _xlfn.XLOOKUP(tblPayrollMaster[[#This Row],[Employee ID]], tblEmployee[Employee ID], tblEmployee[Type of Service], ""),
IF(_xlpm.tos="Contract of Service", 8.25, 0)
)</f>
        <v>0</v>
      </c>
      <c r="V785" s="25">
        <f>tblPayrollMaster[[#This Row],[Basic Earnings]]-tblPayrollMaster[[#This Row],[Tax]]-tblPayrollMaster[[#This Row],[NIS - Employee]]-tblPayrollMaster[[#This Row],[Health Surcharge]]</f>
        <v>0</v>
      </c>
      <c r="W785" s="25">
        <f>tblPayrollMaster[[#This Row],[Net Pay]]</f>
        <v>0</v>
      </c>
      <c r="X785" s="25"/>
    </row>
    <row r="786" spans="1:24" x14ac:dyDescent="0.25">
      <c r="A786" s="24"/>
      <c r="B786" s="24" t="str">
        <f>_xlfn.XLOOKUP(tblPayrollMaster[[#This Row],[Employee ID]],tblEmployee[Employee ID],tblEmployee[Employee Name],"")</f>
        <v/>
      </c>
      <c r="C786" s="24" t="str">
        <f>_xlfn.XLOOKUP(tblPayrollMaster[[#This Row],[Employee ID]],tblEmployee[Employee ID],tblEmployee[Employee Position],"")</f>
        <v/>
      </c>
      <c r="D786" s="24" t="str">
        <f>_xlfn.XLOOKUP(tblPayrollMaster[[#This Row],[Employee ID]], tblEmployee[Employee ID], tblEmployee[Pay Status], "Pay")</f>
        <v>Pay</v>
      </c>
      <c r="E786" s="24" t="str">
        <f>_xlfn.XLOOKUP(tblPayrollMaster[[#This Row],[Employee ID]], tblEmployee[Employee ID], tblEmployee[Payable Flag], "Y")</f>
        <v>Y</v>
      </c>
      <c r="F786" s="45">
        <f>IF(tblPayrollMaster[[#This Row],[Payable Flag]]="N",0,_xlfn.XLOOKUP(tblPayrollMaster[[#This Row],[Employee ID]],tblEmployee[Employee ID],tblEmployee[Pay Factor],1))</f>
        <v>1</v>
      </c>
      <c r="G786" s="26" t="str" cm="1">
        <f t="array" ref="G786">IF(tblPayrollMaster[[#This Row],[Employee ID]]="","",_xlfn.XLOOKUP(selPayPeriodID,tblPayCalendar[PayPeriodID],tblPayCalendar[PeriodStart],""))</f>
        <v/>
      </c>
      <c r="H786" s="26" t="str" cm="1">
        <f t="array" ref="H786">IF(tblPayrollMaster[[#This Row],[Employee ID]]="","",_xlfn.XLOOKUP(selPayPeriodID,tblPayCalendar[PayPeriodID],tblPayCalendar[PeriodEnd],""))</f>
        <v/>
      </c>
      <c r="I786" s="24" t="e" cm="1" vm="1">
        <f t="array" aca="1" ref="I786" ca="1">Table18[Employer Name]</f>
        <v>#VALUE!</v>
      </c>
      <c r="J786" s="3" cm="1">
        <f t="array" ref="J78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86" s="25" t="str">
        <f>_xlfn.XLOOKUP(tblPayrollMaster[[#This Row],[Employee Position]],tblPositionandPayRate[Employee Position],tblPositionandPayRate[Overtime], " ")</f>
        <v xml:space="preserve"> </v>
      </c>
      <c r="L786" s="25">
        <f>_xlfn.XLOOKUP(tblPayrollMaster[[#This Row],[Employee Position]],tblPositionandPayRate[Employee Position],tblPositionandPayRate[Allowance 1],0)*tblPayrollMaster[[#This Row],[Pay Factor]]</f>
        <v>0</v>
      </c>
      <c r="M786" s="25">
        <f>_xlfn.XLOOKUP(tblPayrollMaster[[#This Row],[Employee Position]],tblPositionandPayRate[Employee Position],tblPositionandPayRate[Allowance 2],0)*tblPayrollMaster[[#This Row],[Pay Factor]]</f>
        <v>0</v>
      </c>
      <c r="N786" s="25">
        <f>_xlfn.XLOOKUP(tblPayrollMaster[[#This Row],[Employee Position]],tblPositionandPayRate[Employee Position],tblPositionandPayRate[Allowance 3],0)*tblPayrollMaster[[#This Row],[Pay Factor]]</f>
        <v>0</v>
      </c>
      <c r="O786" s="25">
        <f>_xlfn.XLOOKUP(tblPayrollMaster[[#This Row],[Employee Position]],tblPositionandPayRate[Employee Position],tblPositionandPayRate[Allowance 4],0)*tblPayrollMaster[[#This Row],[Pay Factor]]</f>
        <v>0</v>
      </c>
      <c r="P786" s="25">
        <f>_xlfn.XLOOKUP(tblPayrollMaster[[#This Row],[Employee Position]],tblPositionandPayRate[Employee Position],tblPositionandPayRate[Allowance 5],0)*tblPayrollMaster[[#This Row],[Pay Factor]]</f>
        <v>0</v>
      </c>
      <c r="Q786" s="25">
        <f>SUM(tblPayrollMaster[[#This Row],[Basic Pay]:[Allowance 5]])</f>
        <v>0</v>
      </c>
      <c r="R78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86" s="51" cm="1">
        <f t="array" ref="S7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86" s="3" cm="1">
        <f t="array" ref="T7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86" s="25">
        <f>_xlfn.LET(
_xlpm.tos, _xlfn.XLOOKUP(tblPayrollMaster[[#This Row],[Employee ID]], tblEmployee[Employee ID], tblEmployee[Type of Service], ""),
IF(_xlpm.tos="Contract of Service", 8.25, 0)
)</f>
        <v>0</v>
      </c>
      <c r="V786" s="25">
        <f>tblPayrollMaster[[#This Row],[Basic Earnings]]-tblPayrollMaster[[#This Row],[Tax]]-tblPayrollMaster[[#This Row],[NIS - Employee]]-tblPayrollMaster[[#This Row],[Health Surcharge]]</f>
        <v>0</v>
      </c>
      <c r="W786" s="25">
        <f>tblPayrollMaster[[#This Row],[Net Pay]]</f>
        <v>0</v>
      </c>
      <c r="X786" s="25"/>
    </row>
    <row r="787" spans="1:24" x14ac:dyDescent="0.25">
      <c r="A787" s="24"/>
      <c r="B787" s="24" t="str">
        <f>_xlfn.XLOOKUP(tblPayrollMaster[[#This Row],[Employee ID]],tblEmployee[Employee ID],tblEmployee[Employee Name],"")</f>
        <v/>
      </c>
      <c r="C787" s="24" t="str">
        <f>_xlfn.XLOOKUP(tblPayrollMaster[[#This Row],[Employee ID]],tblEmployee[Employee ID],tblEmployee[Employee Position],"")</f>
        <v/>
      </c>
      <c r="D787" s="24" t="str">
        <f>_xlfn.XLOOKUP(tblPayrollMaster[[#This Row],[Employee ID]], tblEmployee[Employee ID], tblEmployee[Pay Status], "Pay")</f>
        <v>Pay</v>
      </c>
      <c r="E787" s="24" t="str">
        <f>_xlfn.XLOOKUP(tblPayrollMaster[[#This Row],[Employee ID]], tblEmployee[Employee ID], tblEmployee[Payable Flag], "Y")</f>
        <v>Y</v>
      </c>
      <c r="F787" s="45">
        <f>IF(tblPayrollMaster[[#This Row],[Payable Flag]]="N",0,_xlfn.XLOOKUP(tblPayrollMaster[[#This Row],[Employee ID]],tblEmployee[Employee ID],tblEmployee[Pay Factor],1))</f>
        <v>1</v>
      </c>
      <c r="G787" s="26" t="str" cm="1">
        <f t="array" ref="G787">IF(tblPayrollMaster[[#This Row],[Employee ID]]="","",_xlfn.XLOOKUP(selPayPeriodID,tblPayCalendar[PayPeriodID],tblPayCalendar[PeriodStart],""))</f>
        <v/>
      </c>
      <c r="H787" s="26" t="str" cm="1">
        <f t="array" ref="H787">IF(tblPayrollMaster[[#This Row],[Employee ID]]="","",_xlfn.XLOOKUP(selPayPeriodID,tblPayCalendar[PayPeriodID],tblPayCalendar[PeriodEnd],""))</f>
        <v/>
      </c>
      <c r="I787" s="24" t="e" cm="1" vm="1">
        <f t="array" aca="1" ref="I787" ca="1">Table18[Employer Name]</f>
        <v>#VALUE!</v>
      </c>
      <c r="J787" s="3" cm="1">
        <f t="array" ref="J78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87" s="25" t="str">
        <f>_xlfn.XLOOKUP(tblPayrollMaster[[#This Row],[Employee Position]],tblPositionandPayRate[Employee Position],tblPositionandPayRate[Overtime], " ")</f>
        <v xml:space="preserve"> </v>
      </c>
      <c r="L787" s="25">
        <f>_xlfn.XLOOKUP(tblPayrollMaster[[#This Row],[Employee Position]],tblPositionandPayRate[Employee Position],tblPositionandPayRate[Allowance 1],0)*tblPayrollMaster[[#This Row],[Pay Factor]]</f>
        <v>0</v>
      </c>
      <c r="M787" s="25">
        <f>_xlfn.XLOOKUP(tblPayrollMaster[[#This Row],[Employee Position]],tblPositionandPayRate[Employee Position],tblPositionandPayRate[Allowance 2],0)*tblPayrollMaster[[#This Row],[Pay Factor]]</f>
        <v>0</v>
      </c>
      <c r="N787" s="25">
        <f>_xlfn.XLOOKUP(tblPayrollMaster[[#This Row],[Employee Position]],tblPositionandPayRate[Employee Position],tblPositionandPayRate[Allowance 3],0)*tblPayrollMaster[[#This Row],[Pay Factor]]</f>
        <v>0</v>
      </c>
      <c r="O787" s="25">
        <f>_xlfn.XLOOKUP(tblPayrollMaster[[#This Row],[Employee Position]],tblPositionandPayRate[Employee Position],tblPositionandPayRate[Allowance 4],0)*tblPayrollMaster[[#This Row],[Pay Factor]]</f>
        <v>0</v>
      </c>
      <c r="P787" s="25">
        <f>_xlfn.XLOOKUP(tblPayrollMaster[[#This Row],[Employee Position]],tblPositionandPayRate[Employee Position],tblPositionandPayRate[Allowance 5],0)*tblPayrollMaster[[#This Row],[Pay Factor]]</f>
        <v>0</v>
      </c>
      <c r="Q787" s="25">
        <f>SUM(tblPayrollMaster[[#This Row],[Basic Pay]:[Allowance 5]])</f>
        <v>0</v>
      </c>
      <c r="R78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87" s="51" cm="1">
        <f t="array" ref="S7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87" s="3" cm="1">
        <f t="array" ref="T7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87" s="25">
        <f>_xlfn.LET(
_xlpm.tos, _xlfn.XLOOKUP(tblPayrollMaster[[#This Row],[Employee ID]], tblEmployee[Employee ID], tblEmployee[Type of Service], ""),
IF(_xlpm.tos="Contract of Service", 8.25, 0)
)</f>
        <v>0</v>
      </c>
      <c r="V787" s="25">
        <f>tblPayrollMaster[[#This Row],[Basic Earnings]]-tblPayrollMaster[[#This Row],[Tax]]-tblPayrollMaster[[#This Row],[NIS - Employee]]-tblPayrollMaster[[#This Row],[Health Surcharge]]</f>
        <v>0</v>
      </c>
      <c r="W787" s="25">
        <f>tblPayrollMaster[[#This Row],[Net Pay]]</f>
        <v>0</v>
      </c>
      <c r="X787" s="25"/>
    </row>
    <row r="788" spans="1:24" x14ac:dyDescent="0.25">
      <c r="A788" s="24"/>
      <c r="B788" s="24" t="str">
        <f>_xlfn.XLOOKUP(tblPayrollMaster[[#This Row],[Employee ID]],tblEmployee[Employee ID],tblEmployee[Employee Name],"")</f>
        <v/>
      </c>
      <c r="C788" s="24" t="str">
        <f>_xlfn.XLOOKUP(tblPayrollMaster[[#This Row],[Employee ID]],tblEmployee[Employee ID],tblEmployee[Employee Position],"")</f>
        <v/>
      </c>
      <c r="D788" s="24" t="str">
        <f>_xlfn.XLOOKUP(tblPayrollMaster[[#This Row],[Employee ID]], tblEmployee[Employee ID], tblEmployee[Pay Status], "Pay")</f>
        <v>Pay</v>
      </c>
      <c r="E788" s="24" t="str">
        <f>_xlfn.XLOOKUP(tblPayrollMaster[[#This Row],[Employee ID]], tblEmployee[Employee ID], tblEmployee[Payable Flag], "Y")</f>
        <v>Y</v>
      </c>
      <c r="F788" s="45">
        <f>IF(tblPayrollMaster[[#This Row],[Payable Flag]]="N",0,_xlfn.XLOOKUP(tblPayrollMaster[[#This Row],[Employee ID]],tblEmployee[Employee ID],tblEmployee[Pay Factor],1))</f>
        <v>1</v>
      </c>
      <c r="G788" s="26" t="str" cm="1">
        <f t="array" ref="G788">IF(tblPayrollMaster[[#This Row],[Employee ID]]="","",_xlfn.XLOOKUP(selPayPeriodID,tblPayCalendar[PayPeriodID],tblPayCalendar[PeriodStart],""))</f>
        <v/>
      </c>
      <c r="H788" s="26" t="str" cm="1">
        <f t="array" ref="H788">IF(tblPayrollMaster[[#This Row],[Employee ID]]="","",_xlfn.XLOOKUP(selPayPeriodID,tblPayCalendar[PayPeriodID],tblPayCalendar[PeriodEnd],""))</f>
        <v/>
      </c>
      <c r="I788" s="24" t="e" cm="1" vm="1">
        <f t="array" aca="1" ref="I788" ca="1">Table18[Employer Name]</f>
        <v>#VALUE!</v>
      </c>
      <c r="J788" s="3" cm="1">
        <f t="array" ref="J78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88" s="25" t="str">
        <f>_xlfn.XLOOKUP(tblPayrollMaster[[#This Row],[Employee Position]],tblPositionandPayRate[Employee Position],tblPositionandPayRate[Overtime], " ")</f>
        <v xml:space="preserve"> </v>
      </c>
      <c r="L788" s="25">
        <f>_xlfn.XLOOKUP(tblPayrollMaster[[#This Row],[Employee Position]],tblPositionandPayRate[Employee Position],tblPositionandPayRate[Allowance 1],0)*tblPayrollMaster[[#This Row],[Pay Factor]]</f>
        <v>0</v>
      </c>
      <c r="M788" s="25">
        <f>_xlfn.XLOOKUP(tblPayrollMaster[[#This Row],[Employee Position]],tblPositionandPayRate[Employee Position],tblPositionandPayRate[Allowance 2],0)*tblPayrollMaster[[#This Row],[Pay Factor]]</f>
        <v>0</v>
      </c>
      <c r="N788" s="25">
        <f>_xlfn.XLOOKUP(tblPayrollMaster[[#This Row],[Employee Position]],tblPositionandPayRate[Employee Position],tblPositionandPayRate[Allowance 3],0)*tblPayrollMaster[[#This Row],[Pay Factor]]</f>
        <v>0</v>
      </c>
      <c r="O788" s="25">
        <f>_xlfn.XLOOKUP(tblPayrollMaster[[#This Row],[Employee Position]],tblPositionandPayRate[Employee Position],tblPositionandPayRate[Allowance 4],0)*tblPayrollMaster[[#This Row],[Pay Factor]]</f>
        <v>0</v>
      </c>
      <c r="P788" s="25">
        <f>_xlfn.XLOOKUP(tblPayrollMaster[[#This Row],[Employee Position]],tblPositionandPayRate[Employee Position],tblPositionandPayRate[Allowance 5],0)*tblPayrollMaster[[#This Row],[Pay Factor]]</f>
        <v>0</v>
      </c>
      <c r="Q788" s="25">
        <f>SUM(tblPayrollMaster[[#This Row],[Basic Pay]:[Allowance 5]])</f>
        <v>0</v>
      </c>
      <c r="R78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88" s="51" cm="1">
        <f t="array" ref="S7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88" s="3" cm="1">
        <f t="array" ref="T7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88" s="25">
        <f>_xlfn.LET(
_xlpm.tos, _xlfn.XLOOKUP(tblPayrollMaster[[#This Row],[Employee ID]], tblEmployee[Employee ID], tblEmployee[Type of Service], ""),
IF(_xlpm.tos="Contract of Service", 8.25, 0)
)</f>
        <v>0</v>
      </c>
      <c r="V788" s="25">
        <f>tblPayrollMaster[[#This Row],[Basic Earnings]]-tblPayrollMaster[[#This Row],[Tax]]-tblPayrollMaster[[#This Row],[NIS - Employee]]-tblPayrollMaster[[#This Row],[Health Surcharge]]</f>
        <v>0</v>
      </c>
      <c r="W788" s="25">
        <f>tblPayrollMaster[[#This Row],[Net Pay]]</f>
        <v>0</v>
      </c>
      <c r="X788" s="25"/>
    </row>
    <row r="789" spans="1:24" x14ac:dyDescent="0.25">
      <c r="A789" s="24"/>
      <c r="B789" s="24" t="str">
        <f>_xlfn.XLOOKUP(tblPayrollMaster[[#This Row],[Employee ID]],tblEmployee[Employee ID],tblEmployee[Employee Name],"")</f>
        <v/>
      </c>
      <c r="C789" s="24" t="str">
        <f>_xlfn.XLOOKUP(tblPayrollMaster[[#This Row],[Employee ID]],tblEmployee[Employee ID],tblEmployee[Employee Position],"")</f>
        <v/>
      </c>
      <c r="D789" s="24" t="str">
        <f>_xlfn.XLOOKUP(tblPayrollMaster[[#This Row],[Employee ID]], tblEmployee[Employee ID], tblEmployee[Pay Status], "Pay")</f>
        <v>Pay</v>
      </c>
      <c r="E789" s="24" t="str">
        <f>_xlfn.XLOOKUP(tblPayrollMaster[[#This Row],[Employee ID]], tblEmployee[Employee ID], tblEmployee[Payable Flag], "Y")</f>
        <v>Y</v>
      </c>
      <c r="F789" s="45">
        <f>IF(tblPayrollMaster[[#This Row],[Payable Flag]]="N",0,_xlfn.XLOOKUP(tblPayrollMaster[[#This Row],[Employee ID]],tblEmployee[Employee ID],tblEmployee[Pay Factor],1))</f>
        <v>1</v>
      </c>
      <c r="G789" s="26" t="str" cm="1">
        <f t="array" ref="G789">IF(tblPayrollMaster[[#This Row],[Employee ID]]="","",_xlfn.XLOOKUP(selPayPeriodID,tblPayCalendar[PayPeriodID],tblPayCalendar[PeriodStart],""))</f>
        <v/>
      </c>
      <c r="H789" s="26" t="str" cm="1">
        <f t="array" ref="H789">IF(tblPayrollMaster[[#This Row],[Employee ID]]="","",_xlfn.XLOOKUP(selPayPeriodID,tblPayCalendar[PayPeriodID],tblPayCalendar[PeriodEnd],""))</f>
        <v/>
      </c>
      <c r="I789" s="24" t="e" cm="1" vm="1">
        <f t="array" aca="1" ref="I789" ca="1">Table18[Employer Name]</f>
        <v>#VALUE!</v>
      </c>
      <c r="J789" s="3" cm="1">
        <f t="array" ref="J78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89" s="25" t="str">
        <f>_xlfn.XLOOKUP(tblPayrollMaster[[#This Row],[Employee Position]],tblPositionandPayRate[Employee Position],tblPositionandPayRate[Overtime], " ")</f>
        <v xml:space="preserve"> </v>
      </c>
      <c r="L789" s="25">
        <f>_xlfn.XLOOKUP(tblPayrollMaster[[#This Row],[Employee Position]],tblPositionandPayRate[Employee Position],tblPositionandPayRate[Allowance 1],0)*tblPayrollMaster[[#This Row],[Pay Factor]]</f>
        <v>0</v>
      </c>
      <c r="M789" s="25">
        <f>_xlfn.XLOOKUP(tblPayrollMaster[[#This Row],[Employee Position]],tblPositionandPayRate[Employee Position],tblPositionandPayRate[Allowance 2],0)*tblPayrollMaster[[#This Row],[Pay Factor]]</f>
        <v>0</v>
      </c>
      <c r="N789" s="25">
        <f>_xlfn.XLOOKUP(tblPayrollMaster[[#This Row],[Employee Position]],tblPositionandPayRate[Employee Position],tblPositionandPayRate[Allowance 3],0)*tblPayrollMaster[[#This Row],[Pay Factor]]</f>
        <v>0</v>
      </c>
      <c r="O789" s="25">
        <f>_xlfn.XLOOKUP(tblPayrollMaster[[#This Row],[Employee Position]],tblPositionandPayRate[Employee Position],tblPositionandPayRate[Allowance 4],0)*tblPayrollMaster[[#This Row],[Pay Factor]]</f>
        <v>0</v>
      </c>
      <c r="P789" s="25">
        <f>_xlfn.XLOOKUP(tblPayrollMaster[[#This Row],[Employee Position]],tblPositionandPayRate[Employee Position],tblPositionandPayRate[Allowance 5],0)*tblPayrollMaster[[#This Row],[Pay Factor]]</f>
        <v>0</v>
      </c>
      <c r="Q789" s="25">
        <f>SUM(tblPayrollMaster[[#This Row],[Basic Pay]:[Allowance 5]])</f>
        <v>0</v>
      </c>
      <c r="R78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89" s="51" cm="1">
        <f t="array" ref="S7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89" s="3" cm="1">
        <f t="array" ref="T7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89" s="25">
        <f>_xlfn.LET(
_xlpm.tos, _xlfn.XLOOKUP(tblPayrollMaster[[#This Row],[Employee ID]], tblEmployee[Employee ID], tblEmployee[Type of Service], ""),
IF(_xlpm.tos="Contract of Service", 8.25, 0)
)</f>
        <v>0</v>
      </c>
      <c r="V789" s="25">
        <f>tblPayrollMaster[[#This Row],[Basic Earnings]]-tblPayrollMaster[[#This Row],[Tax]]-tblPayrollMaster[[#This Row],[NIS - Employee]]-tblPayrollMaster[[#This Row],[Health Surcharge]]</f>
        <v>0</v>
      </c>
      <c r="W789" s="25">
        <f>tblPayrollMaster[[#This Row],[Net Pay]]</f>
        <v>0</v>
      </c>
      <c r="X789" s="25"/>
    </row>
    <row r="790" spans="1:24" x14ac:dyDescent="0.25">
      <c r="A790" s="24"/>
      <c r="B790" s="24" t="str">
        <f>_xlfn.XLOOKUP(tblPayrollMaster[[#This Row],[Employee ID]],tblEmployee[Employee ID],tblEmployee[Employee Name],"")</f>
        <v/>
      </c>
      <c r="C790" s="24" t="str">
        <f>_xlfn.XLOOKUP(tblPayrollMaster[[#This Row],[Employee ID]],tblEmployee[Employee ID],tblEmployee[Employee Position],"")</f>
        <v/>
      </c>
      <c r="D790" s="24" t="str">
        <f>_xlfn.XLOOKUP(tblPayrollMaster[[#This Row],[Employee ID]], tblEmployee[Employee ID], tblEmployee[Pay Status], "Pay")</f>
        <v>Pay</v>
      </c>
      <c r="E790" s="24" t="str">
        <f>_xlfn.XLOOKUP(tblPayrollMaster[[#This Row],[Employee ID]], tblEmployee[Employee ID], tblEmployee[Payable Flag], "Y")</f>
        <v>Y</v>
      </c>
      <c r="F790" s="45">
        <f>IF(tblPayrollMaster[[#This Row],[Payable Flag]]="N",0,_xlfn.XLOOKUP(tblPayrollMaster[[#This Row],[Employee ID]],tblEmployee[Employee ID],tblEmployee[Pay Factor],1))</f>
        <v>1</v>
      </c>
      <c r="G790" s="26" t="str" cm="1">
        <f t="array" ref="G790">IF(tblPayrollMaster[[#This Row],[Employee ID]]="","",_xlfn.XLOOKUP(selPayPeriodID,tblPayCalendar[PayPeriodID],tblPayCalendar[PeriodStart],""))</f>
        <v/>
      </c>
      <c r="H790" s="26" t="str" cm="1">
        <f t="array" ref="H790">IF(tblPayrollMaster[[#This Row],[Employee ID]]="","",_xlfn.XLOOKUP(selPayPeriodID,tblPayCalendar[PayPeriodID],tblPayCalendar[PeriodEnd],""))</f>
        <v/>
      </c>
      <c r="I790" s="24" t="e" cm="1" vm="1">
        <f t="array" aca="1" ref="I790" ca="1">Table18[Employer Name]</f>
        <v>#VALUE!</v>
      </c>
      <c r="J790" s="3" cm="1">
        <f t="array" ref="J79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90" s="25" t="str">
        <f>_xlfn.XLOOKUP(tblPayrollMaster[[#This Row],[Employee Position]],tblPositionandPayRate[Employee Position],tblPositionandPayRate[Overtime], " ")</f>
        <v xml:space="preserve"> </v>
      </c>
      <c r="L790" s="25">
        <f>_xlfn.XLOOKUP(tblPayrollMaster[[#This Row],[Employee Position]],tblPositionandPayRate[Employee Position],tblPositionandPayRate[Allowance 1],0)*tblPayrollMaster[[#This Row],[Pay Factor]]</f>
        <v>0</v>
      </c>
      <c r="M790" s="25">
        <f>_xlfn.XLOOKUP(tblPayrollMaster[[#This Row],[Employee Position]],tblPositionandPayRate[Employee Position],tblPositionandPayRate[Allowance 2],0)*tblPayrollMaster[[#This Row],[Pay Factor]]</f>
        <v>0</v>
      </c>
      <c r="N790" s="25">
        <f>_xlfn.XLOOKUP(tblPayrollMaster[[#This Row],[Employee Position]],tblPositionandPayRate[Employee Position],tblPositionandPayRate[Allowance 3],0)*tblPayrollMaster[[#This Row],[Pay Factor]]</f>
        <v>0</v>
      </c>
      <c r="O790" s="25">
        <f>_xlfn.XLOOKUP(tblPayrollMaster[[#This Row],[Employee Position]],tblPositionandPayRate[Employee Position],tblPositionandPayRate[Allowance 4],0)*tblPayrollMaster[[#This Row],[Pay Factor]]</f>
        <v>0</v>
      </c>
      <c r="P790" s="25">
        <f>_xlfn.XLOOKUP(tblPayrollMaster[[#This Row],[Employee Position]],tblPositionandPayRate[Employee Position],tblPositionandPayRate[Allowance 5],0)*tblPayrollMaster[[#This Row],[Pay Factor]]</f>
        <v>0</v>
      </c>
      <c r="Q790" s="25">
        <f>SUM(tblPayrollMaster[[#This Row],[Basic Pay]:[Allowance 5]])</f>
        <v>0</v>
      </c>
      <c r="R79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90" s="51" cm="1">
        <f t="array" ref="S7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90" s="3" cm="1">
        <f t="array" ref="T7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90" s="25">
        <f>_xlfn.LET(
_xlpm.tos, _xlfn.XLOOKUP(tblPayrollMaster[[#This Row],[Employee ID]], tblEmployee[Employee ID], tblEmployee[Type of Service], ""),
IF(_xlpm.tos="Contract of Service", 8.25, 0)
)</f>
        <v>0</v>
      </c>
      <c r="V790" s="25">
        <f>tblPayrollMaster[[#This Row],[Basic Earnings]]-tblPayrollMaster[[#This Row],[Tax]]-tblPayrollMaster[[#This Row],[NIS - Employee]]-tblPayrollMaster[[#This Row],[Health Surcharge]]</f>
        <v>0</v>
      </c>
      <c r="W790" s="25">
        <f>tblPayrollMaster[[#This Row],[Net Pay]]</f>
        <v>0</v>
      </c>
      <c r="X790" s="25"/>
    </row>
    <row r="791" spans="1:24" x14ac:dyDescent="0.25">
      <c r="A791" s="24"/>
      <c r="B791" s="24" t="str">
        <f>_xlfn.XLOOKUP(tblPayrollMaster[[#This Row],[Employee ID]],tblEmployee[Employee ID],tblEmployee[Employee Name],"")</f>
        <v/>
      </c>
      <c r="C791" s="24" t="str">
        <f>_xlfn.XLOOKUP(tblPayrollMaster[[#This Row],[Employee ID]],tblEmployee[Employee ID],tblEmployee[Employee Position],"")</f>
        <v/>
      </c>
      <c r="D791" s="24" t="str">
        <f>_xlfn.XLOOKUP(tblPayrollMaster[[#This Row],[Employee ID]], tblEmployee[Employee ID], tblEmployee[Pay Status], "Pay")</f>
        <v>Pay</v>
      </c>
      <c r="E791" s="24" t="str">
        <f>_xlfn.XLOOKUP(tblPayrollMaster[[#This Row],[Employee ID]], tblEmployee[Employee ID], tblEmployee[Payable Flag], "Y")</f>
        <v>Y</v>
      </c>
      <c r="F791" s="45">
        <f>IF(tblPayrollMaster[[#This Row],[Payable Flag]]="N",0,_xlfn.XLOOKUP(tblPayrollMaster[[#This Row],[Employee ID]],tblEmployee[Employee ID],tblEmployee[Pay Factor],1))</f>
        <v>1</v>
      </c>
      <c r="G791" s="26" t="str" cm="1">
        <f t="array" ref="G791">IF(tblPayrollMaster[[#This Row],[Employee ID]]="","",_xlfn.XLOOKUP(selPayPeriodID,tblPayCalendar[PayPeriodID],tblPayCalendar[PeriodStart],""))</f>
        <v/>
      </c>
      <c r="H791" s="26" t="str" cm="1">
        <f t="array" ref="H791">IF(tblPayrollMaster[[#This Row],[Employee ID]]="","",_xlfn.XLOOKUP(selPayPeriodID,tblPayCalendar[PayPeriodID],tblPayCalendar[PeriodEnd],""))</f>
        <v/>
      </c>
      <c r="I791" s="24" t="e" cm="1" vm="1">
        <f t="array" aca="1" ref="I791" ca="1">Table18[Employer Name]</f>
        <v>#VALUE!</v>
      </c>
      <c r="J791" s="3" cm="1">
        <f t="array" ref="J79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91" s="25" t="str">
        <f>_xlfn.XLOOKUP(tblPayrollMaster[[#This Row],[Employee Position]],tblPositionandPayRate[Employee Position],tblPositionandPayRate[Overtime], " ")</f>
        <v xml:space="preserve"> </v>
      </c>
      <c r="L791" s="25">
        <f>_xlfn.XLOOKUP(tblPayrollMaster[[#This Row],[Employee Position]],tblPositionandPayRate[Employee Position],tblPositionandPayRate[Allowance 1],0)*tblPayrollMaster[[#This Row],[Pay Factor]]</f>
        <v>0</v>
      </c>
      <c r="M791" s="25">
        <f>_xlfn.XLOOKUP(tblPayrollMaster[[#This Row],[Employee Position]],tblPositionandPayRate[Employee Position],tblPositionandPayRate[Allowance 2],0)*tblPayrollMaster[[#This Row],[Pay Factor]]</f>
        <v>0</v>
      </c>
      <c r="N791" s="25">
        <f>_xlfn.XLOOKUP(tblPayrollMaster[[#This Row],[Employee Position]],tblPositionandPayRate[Employee Position],tblPositionandPayRate[Allowance 3],0)*tblPayrollMaster[[#This Row],[Pay Factor]]</f>
        <v>0</v>
      </c>
      <c r="O791" s="25">
        <f>_xlfn.XLOOKUP(tblPayrollMaster[[#This Row],[Employee Position]],tblPositionandPayRate[Employee Position],tblPositionandPayRate[Allowance 4],0)*tblPayrollMaster[[#This Row],[Pay Factor]]</f>
        <v>0</v>
      </c>
      <c r="P791" s="25">
        <f>_xlfn.XLOOKUP(tblPayrollMaster[[#This Row],[Employee Position]],tblPositionandPayRate[Employee Position],tblPositionandPayRate[Allowance 5],0)*tblPayrollMaster[[#This Row],[Pay Factor]]</f>
        <v>0</v>
      </c>
      <c r="Q791" s="25">
        <f>SUM(tblPayrollMaster[[#This Row],[Basic Pay]:[Allowance 5]])</f>
        <v>0</v>
      </c>
      <c r="R79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91" s="51" cm="1">
        <f t="array" ref="S7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91" s="3" cm="1">
        <f t="array" ref="T7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91" s="25">
        <f>_xlfn.LET(
_xlpm.tos, _xlfn.XLOOKUP(tblPayrollMaster[[#This Row],[Employee ID]], tblEmployee[Employee ID], tblEmployee[Type of Service], ""),
IF(_xlpm.tos="Contract of Service", 8.25, 0)
)</f>
        <v>0</v>
      </c>
      <c r="V791" s="25">
        <f>tblPayrollMaster[[#This Row],[Basic Earnings]]-tblPayrollMaster[[#This Row],[Tax]]-tblPayrollMaster[[#This Row],[NIS - Employee]]-tblPayrollMaster[[#This Row],[Health Surcharge]]</f>
        <v>0</v>
      </c>
      <c r="W791" s="25">
        <f>tblPayrollMaster[[#This Row],[Net Pay]]</f>
        <v>0</v>
      </c>
      <c r="X791" s="25"/>
    </row>
    <row r="792" spans="1:24" x14ac:dyDescent="0.25">
      <c r="A792" s="24"/>
      <c r="B792" s="24" t="str">
        <f>_xlfn.XLOOKUP(tblPayrollMaster[[#This Row],[Employee ID]],tblEmployee[Employee ID],tblEmployee[Employee Name],"")</f>
        <v/>
      </c>
      <c r="C792" s="24" t="str">
        <f>_xlfn.XLOOKUP(tblPayrollMaster[[#This Row],[Employee ID]],tblEmployee[Employee ID],tblEmployee[Employee Position],"")</f>
        <v/>
      </c>
      <c r="D792" s="24" t="str">
        <f>_xlfn.XLOOKUP(tblPayrollMaster[[#This Row],[Employee ID]], tblEmployee[Employee ID], tblEmployee[Pay Status], "Pay")</f>
        <v>Pay</v>
      </c>
      <c r="E792" s="24" t="str">
        <f>_xlfn.XLOOKUP(tblPayrollMaster[[#This Row],[Employee ID]], tblEmployee[Employee ID], tblEmployee[Payable Flag], "Y")</f>
        <v>Y</v>
      </c>
      <c r="F792" s="45">
        <f>IF(tblPayrollMaster[[#This Row],[Payable Flag]]="N",0,_xlfn.XLOOKUP(tblPayrollMaster[[#This Row],[Employee ID]],tblEmployee[Employee ID],tblEmployee[Pay Factor],1))</f>
        <v>1</v>
      </c>
      <c r="G792" s="26" t="str" cm="1">
        <f t="array" ref="G792">IF(tblPayrollMaster[[#This Row],[Employee ID]]="","",_xlfn.XLOOKUP(selPayPeriodID,tblPayCalendar[PayPeriodID],tblPayCalendar[PeriodStart],""))</f>
        <v/>
      </c>
      <c r="H792" s="26" t="str" cm="1">
        <f t="array" ref="H792">IF(tblPayrollMaster[[#This Row],[Employee ID]]="","",_xlfn.XLOOKUP(selPayPeriodID,tblPayCalendar[PayPeriodID],tblPayCalendar[PeriodEnd],""))</f>
        <v/>
      </c>
      <c r="I792" s="24" t="e" cm="1" vm="1">
        <f t="array" aca="1" ref="I792" ca="1">Table18[Employer Name]</f>
        <v>#VALUE!</v>
      </c>
      <c r="J792" s="3" cm="1">
        <f t="array" ref="J79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92" s="25" t="str">
        <f>_xlfn.XLOOKUP(tblPayrollMaster[[#This Row],[Employee Position]],tblPositionandPayRate[Employee Position],tblPositionandPayRate[Overtime], " ")</f>
        <v xml:space="preserve"> </v>
      </c>
      <c r="L792" s="25">
        <f>_xlfn.XLOOKUP(tblPayrollMaster[[#This Row],[Employee Position]],tblPositionandPayRate[Employee Position],tblPositionandPayRate[Allowance 1],0)*tblPayrollMaster[[#This Row],[Pay Factor]]</f>
        <v>0</v>
      </c>
      <c r="M792" s="25">
        <f>_xlfn.XLOOKUP(tblPayrollMaster[[#This Row],[Employee Position]],tblPositionandPayRate[Employee Position],tblPositionandPayRate[Allowance 2],0)*tblPayrollMaster[[#This Row],[Pay Factor]]</f>
        <v>0</v>
      </c>
      <c r="N792" s="25">
        <f>_xlfn.XLOOKUP(tblPayrollMaster[[#This Row],[Employee Position]],tblPositionandPayRate[Employee Position],tblPositionandPayRate[Allowance 3],0)*tblPayrollMaster[[#This Row],[Pay Factor]]</f>
        <v>0</v>
      </c>
      <c r="O792" s="25">
        <f>_xlfn.XLOOKUP(tblPayrollMaster[[#This Row],[Employee Position]],tblPositionandPayRate[Employee Position],tblPositionandPayRate[Allowance 4],0)*tblPayrollMaster[[#This Row],[Pay Factor]]</f>
        <v>0</v>
      </c>
      <c r="P792" s="25">
        <f>_xlfn.XLOOKUP(tblPayrollMaster[[#This Row],[Employee Position]],tblPositionandPayRate[Employee Position],tblPositionandPayRate[Allowance 5],0)*tblPayrollMaster[[#This Row],[Pay Factor]]</f>
        <v>0</v>
      </c>
      <c r="Q792" s="25">
        <f>SUM(tblPayrollMaster[[#This Row],[Basic Pay]:[Allowance 5]])</f>
        <v>0</v>
      </c>
      <c r="R79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92" s="51" cm="1">
        <f t="array" ref="S7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92" s="3" cm="1">
        <f t="array" ref="T7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92" s="25">
        <f>_xlfn.LET(
_xlpm.tos, _xlfn.XLOOKUP(tblPayrollMaster[[#This Row],[Employee ID]], tblEmployee[Employee ID], tblEmployee[Type of Service], ""),
IF(_xlpm.tos="Contract of Service", 8.25, 0)
)</f>
        <v>0</v>
      </c>
      <c r="V792" s="25">
        <f>tblPayrollMaster[[#This Row],[Basic Earnings]]-tblPayrollMaster[[#This Row],[Tax]]-tblPayrollMaster[[#This Row],[NIS - Employee]]-tblPayrollMaster[[#This Row],[Health Surcharge]]</f>
        <v>0</v>
      </c>
      <c r="W792" s="25">
        <f>tblPayrollMaster[[#This Row],[Net Pay]]</f>
        <v>0</v>
      </c>
      <c r="X792" s="25"/>
    </row>
    <row r="793" spans="1:24" x14ac:dyDescent="0.25">
      <c r="A793" s="24"/>
      <c r="B793" s="24" t="str">
        <f>_xlfn.XLOOKUP(tblPayrollMaster[[#This Row],[Employee ID]],tblEmployee[Employee ID],tblEmployee[Employee Name],"")</f>
        <v/>
      </c>
      <c r="C793" s="24" t="str">
        <f>_xlfn.XLOOKUP(tblPayrollMaster[[#This Row],[Employee ID]],tblEmployee[Employee ID],tblEmployee[Employee Position],"")</f>
        <v/>
      </c>
      <c r="D793" s="24" t="str">
        <f>_xlfn.XLOOKUP(tblPayrollMaster[[#This Row],[Employee ID]], tblEmployee[Employee ID], tblEmployee[Pay Status], "Pay")</f>
        <v>Pay</v>
      </c>
      <c r="E793" s="24" t="str">
        <f>_xlfn.XLOOKUP(tblPayrollMaster[[#This Row],[Employee ID]], tblEmployee[Employee ID], tblEmployee[Payable Flag], "Y")</f>
        <v>Y</v>
      </c>
      <c r="F793" s="45">
        <f>IF(tblPayrollMaster[[#This Row],[Payable Flag]]="N",0,_xlfn.XLOOKUP(tblPayrollMaster[[#This Row],[Employee ID]],tblEmployee[Employee ID],tblEmployee[Pay Factor],1))</f>
        <v>1</v>
      </c>
      <c r="G793" s="26" t="str" cm="1">
        <f t="array" ref="G793">IF(tblPayrollMaster[[#This Row],[Employee ID]]="","",_xlfn.XLOOKUP(selPayPeriodID,tblPayCalendar[PayPeriodID],tblPayCalendar[PeriodStart],""))</f>
        <v/>
      </c>
      <c r="H793" s="26" t="str" cm="1">
        <f t="array" ref="H793">IF(tblPayrollMaster[[#This Row],[Employee ID]]="","",_xlfn.XLOOKUP(selPayPeriodID,tblPayCalendar[PayPeriodID],tblPayCalendar[PeriodEnd],""))</f>
        <v/>
      </c>
      <c r="I793" s="24" t="e" cm="1" vm="1">
        <f t="array" aca="1" ref="I793" ca="1">Table18[Employer Name]</f>
        <v>#VALUE!</v>
      </c>
      <c r="J793" s="3" cm="1">
        <f t="array" ref="J79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93" s="25" t="str">
        <f>_xlfn.XLOOKUP(tblPayrollMaster[[#This Row],[Employee Position]],tblPositionandPayRate[Employee Position],tblPositionandPayRate[Overtime], " ")</f>
        <v xml:space="preserve"> </v>
      </c>
      <c r="L793" s="25">
        <f>_xlfn.XLOOKUP(tblPayrollMaster[[#This Row],[Employee Position]],tblPositionandPayRate[Employee Position],tblPositionandPayRate[Allowance 1],0)*tblPayrollMaster[[#This Row],[Pay Factor]]</f>
        <v>0</v>
      </c>
      <c r="M793" s="25">
        <f>_xlfn.XLOOKUP(tblPayrollMaster[[#This Row],[Employee Position]],tblPositionandPayRate[Employee Position],tblPositionandPayRate[Allowance 2],0)*tblPayrollMaster[[#This Row],[Pay Factor]]</f>
        <v>0</v>
      </c>
      <c r="N793" s="25">
        <f>_xlfn.XLOOKUP(tblPayrollMaster[[#This Row],[Employee Position]],tblPositionandPayRate[Employee Position],tblPositionandPayRate[Allowance 3],0)*tblPayrollMaster[[#This Row],[Pay Factor]]</f>
        <v>0</v>
      </c>
      <c r="O793" s="25">
        <f>_xlfn.XLOOKUP(tblPayrollMaster[[#This Row],[Employee Position]],tblPositionandPayRate[Employee Position],tblPositionandPayRate[Allowance 4],0)*tblPayrollMaster[[#This Row],[Pay Factor]]</f>
        <v>0</v>
      </c>
      <c r="P793" s="25">
        <f>_xlfn.XLOOKUP(tblPayrollMaster[[#This Row],[Employee Position]],tblPositionandPayRate[Employee Position],tblPositionandPayRate[Allowance 5],0)*tblPayrollMaster[[#This Row],[Pay Factor]]</f>
        <v>0</v>
      </c>
      <c r="Q793" s="25">
        <f>SUM(tblPayrollMaster[[#This Row],[Basic Pay]:[Allowance 5]])</f>
        <v>0</v>
      </c>
      <c r="R79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93" s="51" cm="1">
        <f t="array" ref="S7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93" s="3" cm="1">
        <f t="array" ref="T7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93" s="25">
        <f>_xlfn.LET(
_xlpm.tos, _xlfn.XLOOKUP(tblPayrollMaster[[#This Row],[Employee ID]], tblEmployee[Employee ID], tblEmployee[Type of Service], ""),
IF(_xlpm.tos="Contract of Service", 8.25, 0)
)</f>
        <v>0</v>
      </c>
      <c r="V793" s="25">
        <f>tblPayrollMaster[[#This Row],[Basic Earnings]]-tblPayrollMaster[[#This Row],[Tax]]-tblPayrollMaster[[#This Row],[NIS - Employee]]-tblPayrollMaster[[#This Row],[Health Surcharge]]</f>
        <v>0</v>
      </c>
      <c r="W793" s="25">
        <f>tblPayrollMaster[[#This Row],[Net Pay]]</f>
        <v>0</v>
      </c>
      <c r="X793" s="25"/>
    </row>
    <row r="794" spans="1:24" x14ac:dyDescent="0.25">
      <c r="A794" s="24"/>
      <c r="B794" s="24" t="str">
        <f>_xlfn.XLOOKUP(tblPayrollMaster[[#This Row],[Employee ID]],tblEmployee[Employee ID],tblEmployee[Employee Name],"")</f>
        <v/>
      </c>
      <c r="C794" s="24" t="str">
        <f>_xlfn.XLOOKUP(tblPayrollMaster[[#This Row],[Employee ID]],tblEmployee[Employee ID],tblEmployee[Employee Position],"")</f>
        <v/>
      </c>
      <c r="D794" s="24" t="str">
        <f>_xlfn.XLOOKUP(tblPayrollMaster[[#This Row],[Employee ID]], tblEmployee[Employee ID], tblEmployee[Pay Status], "Pay")</f>
        <v>Pay</v>
      </c>
      <c r="E794" s="24" t="str">
        <f>_xlfn.XLOOKUP(tblPayrollMaster[[#This Row],[Employee ID]], tblEmployee[Employee ID], tblEmployee[Payable Flag], "Y")</f>
        <v>Y</v>
      </c>
      <c r="F794" s="45">
        <f>IF(tblPayrollMaster[[#This Row],[Payable Flag]]="N",0,_xlfn.XLOOKUP(tblPayrollMaster[[#This Row],[Employee ID]],tblEmployee[Employee ID],tblEmployee[Pay Factor],1))</f>
        <v>1</v>
      </c>
      <c r="G794" s="26" t="str" cm="1">
        <f t="array" ref="G794">IF(tblPayrollMaster[[#This Row],[Employee ID]]="","",_xlfn.XLOOKUP(selPayPeriodID,tblPayCalendar[PayPeriodID],tblPayCalendar[PeriodStart],""))</f>
        <v/>
      </c>
      <c r="H794" s="26" t="str" cm="1">
        <f t="array" ref="H794">IF(tblPayrollMaster[[#This Row],[Employee ID]]="","",_xlfn.XLOOKUP(selPayPeriodID,tblPayCalendar[PayPeriodID],tblPayCalendar[PeriodEnd],""))</f>
        <v/>
      </c>
      <c r="I794" s="24" t="e" cm="1" vm="1">
        <f t="array" aca="1" ref="I794" ca="1">Table18[Employer Name]</f>
        <v>#VALUE!</v>
      </c>
      <c r="J794" s="3" cm="1">
        <f t="array" ref="J79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94" s="25" t="str">
        <f>_xlfn.XLOOKUP(tblPayrollMaster[[#This Row],[Employee Position]],tblPositionandPayRate[Employee Position],tblPositionandPayRate[Overtime], " ")</f>
        <v xml:space="preserve"> </v>
      </c>
      <c r="L794" s="25">
        <f>_xlfn.XLOOKUP(tblPayrollMaster[[#This Row],[Employee Position]],tblPositionandPayRate[Employee Position],tblPositionandPayRate[Allowance 1],0)*tblPayrollMaster[[#This Row],[Pay Factor]]</f>
        <v>0</v>
      </c>
      <c r="M794" s="25">
        <f>_xlfn.XLOOKUP(tblPayrollMaster[[#This Row],[Employee Position]],tblPositionandPayRate[Employee Position],tblPositionandPayRate[Allowance 2],0)*tblPayrollMaster[[#This Row],[Pay Factor]]</f>
        <v>0</v>
      </c>
      <c r="N794" s="25">
        <f>_xlfn.XLOOKUP(tblPayrollMaster[[#This Row],[Employee Position]],tblPositionandPayRate[Employee Position],tblPositionandPayRate[Allowance 3],0)*tblPayrollMaster[[#This Row],[Pay Factor]]</f>
        <v>0</v>
      </c>
      <c r="O794" s="25">
        <f>_xlfn.XLOOKUP(tblPayrollMaster[[#This Row],[Employee Position]],tblPositionandPayRate[Employee Position],tblPositionandPayRate[Allowance 4],0)*tblPayrollMaster[[#This Row],[Pay Factor]]</f>
        <v>0</v>
      </c>
      <c r="P794" s="25">
        <f>_xlfn.XLOOKUP(tblPayrollMaster[[#This Row],[Employee Position]],tblPositionandPayRate[Employee Position],tblPositionandPayRate[Allowance 5],0)*tblPayrollMaster[[#This Row],[Pay Factor]]</f>
        <v>0</v>
      </c>
      <c r="Q794" s="25">
        <f>SUM(tblPayrollMaster[[#This Row],[Basic Pay]:[Allowance 5]])</f>
        <v>0</v>
      </c>
      <c r="R79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94" s="51" cm="1">
        <f t="array" ref="S7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94" s="3" cm="1">
        <f t="array" ref="T7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94" s="25">
        <f>_xlfn.LET(
_xlpm.tos, _xlfn.XLOOKUP(tblPayrollMaster[[#This Row],[Employee ID]], tblEmployee[Employee ID], tblEmployee[Type of Service], ""),
IF(_xlpm.tos="Contract of Service", 8.25, 0)
)</f>
        <v>0</v>
      </c>
      <c r="V794" s="25">
        <f>tblPayrollMaster[[#This Row],[Basic Earnings]]-tblPayrollMaster[[#This Row],[Tax]]-tblPayrollMaster[[#This Row],[NIS - Employee]]-tblPayrollMaster[[#This Row],[Health Surcharge]]</f>
        <v>0</v>
      </c>
      <c r="W794" s="25">
        <f>tblPayrollMaster[[#This Row],[Net Pay]]</f>
        <v>0</v>
      </c>
      <c r="X794" s="25"/>
    </row>
    <row r="795" spans="1:24" x14ac:dyDescent="0.25">
      <c r="A795" s="24"/>
      <c r="B795" s="24" t="str">
        <f>_xlfn.XLOOKUP(tblPayrollMaster[[#This Row],[Employee ID]],tblEmployee[Employee ID],tblEmployee[Employee Name],"")</f>
        <v/>
      </c>
      <c r="C795" s="24" t="str">
        <f>_xlfn.XLOOKUP(tblPayrollMaster[[#This Row],[Employee ID]],tblEmployee[Employee ID],tblEmployee[Employee Position],"")</f>
        <v/>
      </c>
      <c r="D795" s="24" t="str">
        <f>_xlfn.XLOOKUP(tblPayrollMaster[[#This Row],[Employee ID]], tblEmployee[Employee ID], tblEmployee[Pay Status], "Pay")</f>
        <v>Pay</v>
      </c>
      <c r="E795" s="24" t="str">
        <f>_xlfn.XLOOKUP(tblPayrollMaster[[#This Row],[Employee ID]], tblEmployee[Employee ID], tblEmployee[Payable Flag], "Y")</f>
        <v>Y</v>
      </c>
      <c r="F795" s="45">
        <f>IF(tblPayrollMaster[[#This Row],[Payable Flag]]="N",0,_xlfn.XLOOKUP(tblPayrollMaster[[#This Row],[Employee ID]],tblEmployee[Employee ID],tblEmployee[Pay Factor],1))</f>
        <v>1</v>
      </c>
      <c r="G795" s="26" t="str" cm="1">
        <f t="array" ref="G795">IF(tblPayrollMaster[[#This Row],[Employee ID]]="","",_xlfn.XLOOKUP(selPayPeriodID,tblPayCalendar[PayPeriodID],tblPayCalendar[PeriodStart],""))</f>
        <v/>
      </c>
      <c r="H795" s="26" t="str" cm="1">
        <f t="array" ref="H795">IF(tblPayrollMaster[[#This Row],[Employee ID]]="","",_xlfn.XLOOKUP(selPayPeriodID,tblPayCalendar[PayPeriodID],tblPayCalendar[PeriodEnd],""))</f>
        <v/>
      </c>
      <c r="I795" s="24" t="e" cm="1" vm="1">
        <f t="array" aca="1" ref="I795" ca="1">Table18[Employer Name]</f>
        <v>#VALUE!</v>
      </c>
      <c r="J795" s="3" cm="1">
        <f t="array" ref="J79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95" s="25" t="str">
        <f>_xlfn.XLOOKUP(tblPayrollMaster[[#This Row],[Employee Position]],tblPositionandPayRate[Employee Position],tblPositionandPayRate[Overtime], " ")</f>
        <v xml:space="preserve"> </v>
      </c>
      <c r="L795" s="25">
        <f>_xlfn.XLOOKUP(tblPayrollMaster[[#This Row],[Employee Position]],tblPositionandPayRate[Employee Position],tblPositionandPayRate[Allowance 1],0)*tblPayrollMaster[[#This Row],[Pay Factor]]</f>
        <v>0</v>
      </c>
      <c r="M795" s="25">
        <f>_xlfn.XLOOKUP(tblPayrollMaster[[#This Row],[Employee Position]],tblPositionandPayRate[Employee Position],tblPositionandPayRate[Allowance 2],0)*tblPayrollMaster[[#This Row],[Pay Factor]]</f>
        <v>0</v>
      </c>
      <c r="N795" s="25">
        <f>_xlfn.XLOOKUP(tblPayrollMaster[[#This Row],[Employee Position]],tblPositionandPayRate[Employee Position],tblPositionandPayRate[Allowance 3],0)*tblPayrollMaster[[#This Row],[Pay Factor]]</f>
        <v>0</v>
      </c>
      <c r="O795" s="25">
        <f>_xlfn.XLOOKUP(tblPayrollMaster[[#This Row],[Employee Position]],tblPositionandPayRate[Employee Position],tblPositionandPayRate[Allowance 4],0)*tblPayrollMaster[[#This Row],[Pay Factor]]</f>
        <v>0</v>
      </c>
      <c r="P795" s="25">
        <f>_xlfn.XLOOKUP(tblPayrollMaster[[#This Row],[Employee Position]],tblPositionandPayRate[Employee Position],tblPositionandPayRate[Allowance 5],0)*tblPayrollMaster[[#This Row],[Pay Factor]]</f>
        <v>0</v>
      </c>
      <c r="Q795" s="25">
        <f>SUM(tblPayrollMaster[[#This Row],[Basic Pay]:[Allowance 5]])</f>
        <v>0</v>
      </c>
      <c r="R79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95" s="51" cm="1">
        <f t="array" ref="S7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95" s="3" cm="1">
        <f t="array" ref="T7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95" s="25">
        <f>_xlfn.LET(
_xlpm.tos, _xlfn.XLOOKUP(tblPayrollMaster[[#This Row],[Employee ID]], tblEmployee[Employee ID], tblEmployee[Type of Service], ""),
IF(_xlpm.tos="Contract of Service", 8.25, 0)
)</f>
        <v>0</v>
      </c>
      <c r="V795" s="25">
        <f>tblPayrollMaster[[#This Row],[Basic Earnings]]-tblPayrollMaster[[#This Row],[Tax]]-tblPayrollMaster[[#This Row],[NIS - Employee]]-tblPayrollMaster[[#This Row],[Health Surcharge]]</f>
        <v>0</v>
      </c>
      <c r="W795" s="25">
        <f>tblPayrollMaster[[#This Row],[Net Pay]]</f>
        <v>0</v>
      </c>
      <c r="X795" s="25"/>
    </row>
    <row r="796" spans="1:24" x14ac:dyDescent="0.25">
      <c r="A796" s="24"/>
      <c r="B796" s="24" t="str">
        <f>_xlfn.XLOOKUP(tblPayrollMaster[[#This Row],[Employee ID]],tblEmployee[Employee ID],tblEmployee[Employee Name],"")</f>
        <v/>
      </c>
      <c r="C796" s="24" t="str">
        <f>_xlfn.XLOOKUP(tblPayrollMaster[[#This Row],[Employee ID]],tblEmployee[Employee ID],tblEmployee[Employee Position],"")</f>
        <v/>
      </c>
      <c r="D796" s="24" t="str">
        <f>_xlfn.XLOOKUP(tblPayrollMaster[[#This Row],[Employee ID]], tblEmployee[Employee ID], tblEmployee[Pay Status], "Pay")</f>
        <v>Pay</v>
      </c>
      <c r="E796" s="24" t="str">
        <f>_xlfn.XLOOKUP(tblPayrollMaster[[#This Row],[Employee ID]], tblEmployee[Employee ID], tblEmployee[Payable Flag], "Y")</f>
        <v>Y</v>
      </c>
      <c r="F796" s="45">
        <f>IF(tblPayrollMaster[[#This Row],[Payable Flag]]="N",0,_xlfn.XLOOKUP(tblPayrollMaster[[#This Row],[Employee ID]],tblEmployee[Employee ID],tblEmployee[Pay Factor],1))</f>
        <v>1</v>
      </c>
      <c r="G796" s="26" t="str" cm="1">
        <f t="array" ref="G796">IF(tblPayrollMaster[[#This Row],[Employee ID]]="","",_xlfn.XLOOKUP(selPayPeriodID,tblPayCalendar[PayPeriodID],tblPayCalendar[PeriodStart],""))</f>
        <v/>
      </c>
      <c r="H796" s="26" t="str" cm="1">
        <f t="array" ref="H796">IF(tblPayrollMaster[[#This Row],[Employee ID]]="","",_xlfn.XLOOKUP(selPayPeriodID,tblPayCalendar[PayPeriodID],tblPayCalendar[PeriodEnd],""))</f>
        <v/>
      </c>
      <c r="I796" s="24" t="e" cm="1" vm="1">
        <f t="array" aca="1" ref="I796" ca="1">Table18[Employer Name]</f>
        <v>#VALUE!</v>
      </c>
      <c r="J796" s="3" cm="1">
        <f t="array" ref="J79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96" s="25" t="str">
        <f>_xlfn.XLOOKUP(tblPayrollMaster[[#This Row],[Employee Position]],tblPositionandPayRate[Employee Position],tblPositionandPayRate[Overtime], " ")</f>
        <v xml:space="preserve"> </v>
      </c>
      <c r="L796" s="25">
        <f>_xlfn.XLOOKUP(tblPayrollMaster[[#This Row],[Employee Position]],tblPositionandPayRate[Employee Position],tblPositionandPayRate[Allowance 1],0)*tblPayrollMaster[[#This Row],[Pay Factor]]</f>
        <v>0</v>
      </c>
      <c r="M796" s="25">
        <f>_xlfn.XLOOKUP(tblPayrollMaster[[#This Row],[Employee Position]],tblPositionandPayRate[Employee Position],tblPositionandPayRate[Allowance 2],0)*tblPayrollMaster[[#This Row],[Pay Factor]]</f>
        <v>0</v>
      </c>
      <c r="N796" s="25">
        <f>_xlfn.XLOOKUP(tblPayrollMaster[[#This Row],[Employee Position]],tblPositionandPayRate[Employee Position],tblPositionandPayRate[Allowance 3],0)*tblPayrollMaster[[#This Row],[Pay Factor]]</f>
        <v>0</v>
      </c>
      <c r="O796" s="25">
        <f>_xlfn.XLOOKUP(tblPayrollMaster[[#This Row],[Employee Position]],tblPositionandPayRate[Employee Position],tblPositionandPayRate[Allowance 4],0)*tblPayrollMaster[[#This Row],[Pay Factor]]</f>
        <v>0</v>
      </c>
      <c r="P796" s="25">
        <f>_xlfn.XLOOKUP(tblPayrollMaster[[#This Row],[Employee Position]],tblPositionandPayRate[Employee Position],tblPositionandPayRate[Allowance 5],0)*tblPayrollMaster[[#This Row],[Pay Factor]]</f>
        <v>0</v>
      </c>
      <c r="Q796" s="25">
        <f>SUM(tblPayrollMaster[[#This Row],[Basic Pay]:[Allowance 5]])</f>
        <v>0</v>
      </c>
      <c r="R79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96" s="51" cm="1">
        <f t="array" ref="S7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96" s="3" cm="1">
        <f t="array" ref="T7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96" s="25">
        <f>_xlfn.LET(
_xlpm.tos, _xlfn.XLOOKUP(tblPayrollMaster[[#This Row],[Employee ID]], tblEmployee[Employee ID], tblEmployee[Type of Service], ""),
IF(_xlpm.tos="Contract of Service", 8.25, 0)
)</f>
        <v>0</v>
      </c>
      <c r="V796" s="25">
        <f>tblPayrollMaster[[#This Row],[Basic Earnings]]-tblPayrollMaster[[#This Row],[Tax]]-tblPayrollMaster[[#This Row],[NIS - Employee]]-tblPayrollMaster[[#This Row],[Health Surcharge]]</f>
        <v>0</v>
      </c>
      <c r="W796" s="25">
        <f>tblPayrollMaster[[#This Row],[Net Pay]]</f>
        <v>0</v>
      </c>
      <c r="X796" s="25"/>
    </row>
    <row r="797" spans="1:24" x14ac:dyDescent="0.25">
      <c r="A797" s="24"/>
      <c r="B797" s="24" t="str">
        <f>_xlfn.XLOOKUP(tblPayrollMaster[[#This Row],[Employee ID]],tblEmployee[Employee ID],tblEmployee[Employee Name],"")</f>
        <v/>
      </c>
      <c r="C797" s="24" t="str">
        <f>_xlfn.XLOOKUP(tblPayrollMaster[[#This Row],[Employee ID]],tblEmployee[Employee ID],tblEmployee[Employee Position],"")</f>
        <v/>
      </c>
      <c r="D797" s="24" t="str">
        <f>_xlfn.XLOOKUP(tblPayrollMaster[[#This Row],[Employee ID]], tblEmployee[Employee ID], tblEmployee[Pay Status], "Pay")</f>
        <v>Pay</v>
      </c>
      <c r="E797" s="24" t="str">
        <f>_xlfn.XLOOKUP(tblPayrollMaster[[#This Row],[Employee ID]], tblEmployee[Employee ID], tblEmployee[Payable Flag], "Y")</f>
        <v>Y</v>
      </c>
      <c r="F797" s="45">
        <f>IF(tblPayrollMaster[[#This Row],[Payable Flag]]="N",0,_xlfn.XLOOKUP(tblPayrollMaster[[#This Row],[Employee ID]],tblEmployee[Employee ID],tblEmployee[Pay Factor],1))</f>
        <v>1</v>
      </c>
      <c r="G797" s="26" t="str" cm="1">
        <f t="array" ref="G797">IF(tblPayrollMaster[[#This Row],[Employee ID]]="","",_xlfn.XLOOKUP(selPayPeriodID,tblPayCalendar[PayPeriodID],tblPayCalendar[PeriodStart],""))</f>
        <v/>
      </c>
      <c r="H797" s="26" t="str" cm="1">
        <f t="array" ref="H797">IF(tblPayrollMaster[[#This Row],[Employee ID]]="","",_xlfn.XLOOKUP(selPayPeriodID,tblPayCalendar[PayPeriodID],tblPayCalendar[PeriodEnd],""))</f>
        <v/>
      </c>
      <c r="I797" s="24" t="e" cm="1" vm="1">
        <f t="array" aca="1" ref="I797" ca="1">Table18[Employer Name]</f>
        <v>#VALUE!</v>
      </c>
      <c r="J797" s="3" cm="1">
        <f t="array" ref="J79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97" s="25" t="str">
        <f>_xlfn.XLOOKUP(tblPayrollMaster[[#This Row],[Employee Position]],tblPositionandPayRate[Employee Position],tblPositionandPayRate[Overtime], " ")</f>
        <v xml:space="preserve"> </v>
      </c>
      <c r="L797" s="25">
        <f>_xlfn.XLOOKUP(tblPayrollMaster[[#This Row],[Employee Position]],tblPositionandPayRate[Employee Position],tblPositionandPayRate[Allowance 1],0)*tblPayrollMaster[[#This Row],[Pay Factor]]</f>
        <v>0</v>
      </c>
      <c r="M797" s="25">
        <f>_xlfn.XLOOKUP(tblPayrollMaster[[#This Row],[Employee Position]],tblPositionandPayRate[Employee Position],tblPositionandPayRate[Allowance 2],0)*tblPayrollMaster[[#This Row],[Pay Factor]]</f>
        <v>0</v>
      </c>
      <c r="N797" s="25">
        <f>_xlfn.XLOOKUP(tblPayrollMaster[[#This Row],[Employee Position]],tblPositionandPayRate[Employee Position],tblPositionandPayRate[Allowance 3],0)*tblPayrollMaster[[#This Row],[Pay Factor]]</f>
        <v>0</v>
      </c>
      <c r="O797" s="25">
        <f>_xlfn.XLOOKUP(tblPayrollMaster[[#This Row],[Employee Position]],tblPositionandPayRate[Employee Position],tblPositionandPayRate[Allowance 4],0)*tblPayrollMaster[[#This Row],[Pay Factor]]</f>
        <v>0</v>
      </c>
      <c r="P797" s="25">
        <f>_xlfn.XLOOKUP(tblPayrollMaster[[#This Row],[Employee Position]],tblPositionandPayRate[Employee Position],tblPositionandPayRate[Allowance 5],0)*tblPayrollMaster[[#This Row],[Pay Factor]]</f>
        <v>0</v>
      </c>
      <c r="Q797" s="25">
        <f>SUM(tblPayrollMaster[[#This Row],[Basic Pay]:[Allowance 5]])</f>
        <v>0</v>
      </c>
      <c r="R79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97" s="51" cm="1">
        <f t="array" ref="S7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97" s="3" cm="1">
        <f t="array" ref="T7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97" s="25">
        <f>_xlfn.LET(
_xlpm.tos, _xlfn.XLOOKUP(tblPayrollMaster[[#This Row],[Employee ID]], tblEmployee[Employee ID], tblEmployee[Type of Service], ""),
IF(_xlpm.tos="Contract of Service", 8.25, 0)
)</f>
        <v>0</v>
      </c>
      <c r="V797" s="25">
        <f>tblPayrollMaster[[#This Row],[Basic Earnings]]-tblPayrollMaster[[#This Row],[Tax]]-tblPayrollMaster[[#This Row],[NIS - Employee]]-tblPayrollMaster[[#This Row],[Health Surcharge]]</f>
        <v>0</v>
      </c>
      <c r="W797" s="25">
        <f>tblPayrollMaster[[#This Row],[Net Pay]]</f>
        <v>0</v>
      </c>
      <c r="X797" s="25"/>
    </row>
    <row r="798" spans="1:24" x14ac:dyDescent="0.25">
      <c r="A798" s="24"/>
      <c r="B798" s="24" t="str">
        <f>_xlfn.XLOOKUP(tblPayrollMaster[[#This Row],[Employee ID]],tblEmployee[Employee ID],tblEmployee[Employee Name],"")</f>
        <v/>
      </c>
      <c r="C798" s="24" t="str">
        <f>_xlfn.XLOOKUP(tblPayrollMaster[[#This Row],[Employee ID]],tblEmployee[Employee ID],tblEmployee[Employee Position],"")</f>
        <v/>
      </c>
      <c r="D798" s="24" t="str">
        <f>_xlfn.XLOOKUP(tblPayrollMaster[[#This Row],[Employee ID]], tblEmployee[Employee ID], tblEmployee[Pay Status], "Pay")</f>
        <v>Pay</v>
      </c>
      <c r="E798" s="24" t="str">
        <f>_xlfn.XLOOKUP(tblPayrollMaster[[#This Row],[Employee ID]], tblEmployee[Employee ID], tblEmployee[Payable Flag], "Y")</f>
        <v>Y</v>
      </c>
      <c r="F798" s="45">
        <f>IF(tblPayrollMaster[[#This Row],[Payable Flag]]="N",0,_xlfn.XLOOKUP(tblPayrollMaster[[#This Row],[Employee ID]],tblEmployee[Employee ID],tblEmployee[Pay Factor],1))</f>
        <v>1</v>
      </c>
      <c r="G798" s="26" t="str" cm="1">
        <f t="array" ref="G798">IF(tblPayrollMaster[[#This Row],[Employee ID]]="","",_xlfn.XLOOKUP(selPayPeriodID,tblPayCalendar[PayPeriodID],tblPayCalendar[PeriodStart],""))</f>
        <v/>
      </c>
      <c r="H798" s="26" t="str" cm="1">
        <f t="array" ref="H798">IF(tblPayrollMaster[[#This Row],[Employee ID]]="","",_xlfn.XLOOKUP(selPayPeriodID,tblPayCalendar[PayPeriodID],tblPayCalendar[PeriodEnd],""))</f>
        <v/>
      </c>
      <c r="I798" s="24" t="e" cm="1" vm="1">
        <f t="array" aca="1" ref="I798" ca="1">Table18[Employer Name]</f>
        <v>#VALUE!</v>
      </c>
      <c r="J798" s="3" cm="1">
        <f t="array" ref="J79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98" s="25" t="str">
        <f>_xlfn.XLOOKUP(tblPayrollMaster[[#This Row],[Employee Position]],tblPositionandPayRate[Employee Position],tblPositionandPayRate[Overtime], " ")</f>
        <v xml:space="preserve"> </v>
      </c>
      <c r="L798" s="25">
        <f>_xlfn.XLOOKUP(tblPayrollMaster[[#This Row],[Employee Position]],tblPositionandPayRate[Employee Position],tblPositionandPayRate[Allowance 1],0)*tblPayrollMaster[[#This Row],[Pay Factor]]</f>
        <v>0</v>
      </c>
      <c r="M798" s="25">
        <f>_xlfn.XLOOKUP(tblPayrollMaster[[#This Row],[Employee Position]],tblPositionandPayRate[Employee Position],tblPositionandPayRate[Allowance 2],0)*tblPayrollMaster[[#This Row],[Pay Factor]]</f>
        <v>0</v>
      </c>
      <c r="N798" s="25">
        <f>_xlfn.XLOOKUP(tblPayrollMaster[[#This Row],[Employee Position]],tblPositionandPayRate[Employee Position],tblPositionandPayRate[Allowance 3],0)*tblPayrollMaster[[#This Row],[Pay Factor]]</f>
        <v>0</v>
      </c>
      <c r="O798" s="25">
        <f>_xlfn.XLOOKUP(tblPayrollMaster[[#This Row],[Employee Position]],tblPositionandPayRate[Employee Position],tblPositionandPayRate[Allowance 4],0)*tblPayrollMaster[[#This Row],[Pay Factor]]</f>
        <v>0</v>
      </c>
      <c r="P798" s="25">
        <f>_xlfn.XLOOKUP(tblPayrollMaster[[#This Row],[Employee Position]],tblPositionandPayRate[Employee Position],tblPositionandPayRate[Allowance 5],0)*tblPayrollMaster[[#This Row],[Pay Factor]]</f>
        <v>0</v>
      </c>
      <c r="Q798" s="25">
        <f>SUM(tblPayrollMaster[[#This Row],[Basic Pay]:[Allowance 5]])</f>
        <v>0</v>
      </c>
      <c r="R79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98" s="51" cm="1">
        <f t="array" ref="S7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98" s="3" cm="1">
        <f t="array" ref="T7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98" s="25">
        <f>_xlfn.LET(
_xlpm.tos, _xlfn.XLOOKUP(tblPayrollMaster[[#This Row],[Employee ID]], tblEmployee[Employee ID], tblEmployee[Type of Service], ""),
IF(_xlpm.tos="Contract of Service", 8.25, 0)
)</f>
        <v>0</v>
      </c>
      <c r="V798" s="25">
        <f>tblPayrollMaster[[#This Row],[Basic Earnings]]-tblPayrollMaster[[#This Row],[Tax]]-tblPayrollMaster[[#This Row],[NIS - Employee]]-tblPayrollMaster[[#This Row],[Health Surcharge]]</f>
        <v>0</v>
      </c>
      <c r="W798" s="25">
        <f>tblPayrollMaster[[#This Row],[Net Pay]]</f>
        <v>0</v>
      </c>
      <c r="X798" s="25"/>
    </row>
    <row r="799" spans="1:24" x14ac:dyDescent="0.25">
      <c r="A799" s="24"/>
      <c r="B799" s="24" t="str">
        <f>_xlfn.XLOOKUP(tblPayrollMaster[[#This Row],[Employee ID]],tblEmployee[Employee ID],tblEmployee[Employee Name],"")</f>
        <v/>
      </c>
      <c r="C799" s="24" t="str">
        <f>_xlfn.XLOOKUP(tblPayrollMaster[[#This Row],[Employee ID]],tblEmployee[Employee ID],tblEmployee[Employee Position],"")</f>
        <v/>
      </c>
      <c r="D799" s="24" t="str">
        <f>_xlfn.XLOOKUP(tblPayrollMaster[[#This Row],[Employee ID]], tblEmployee[Employee ID], tblEmployee[Pay Status], "Pay")</f>
        <v>Pay</v>
      </c>
      <c r="E799" s="24" t="str">
        <f>_xlfn.XLOOKUP(tblPayrollMaster[[#This Row],[Employee ID]], tblEmployee[Employee ID], tblEmployee[Payable Flag], "Y")</f>
        <v>Y</v>
      </c>
      <c r="F799" s="45">
        <f>IF(tblPayrollMaster[[#This Row],[Payable Flag]]="N",0,_xlfn.XLOOKUP(tblPayrollMaster[[#This Row],[Employee ID]],tblEmployee[Employee ID],tblEmployee[Pay Factor],1))</f>
        <v>1</v>
      </c>
      <c r="G799" s="26" t="str" cm="1">
        <f t="array" ref="G799">IF(tblPayrollMaster[[#This Row],[Employee ID]]="","",_xlfn.XLOOKUP(selPayPeriodID,tblPayCalendar[PayPeriodID],tblPayCalendar[PeriodStart],""))</f>
        <v/>
      </c>
      <c r="H799" s="26" t="str" cm="1">
        <f t="array" ref="H799">IF(tblPayrollMaster[[#This Row],[Employee ID]]="","",_xlfn.XLOOKUP(selPayPeriodID,tblPayCalendar[PayPeriodID],tblPayCalendar[PeriodEnd],""))</f>
        <v/>
      </c>
      <c r="I799" s="24" t="e" cm="1" vm="1">
        <f t="array" aca="1" ref="I799" ca="1">Table18[Employer Name]</f>
        <v>#VALUE!</v>
      </c>
      <c r="J799" s="3" cm="1">
        <f t="array" ref="J79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799" s="25" t="str">
        <f>_xlfn.XLOOKUP(tblPayrollMaster[[#This Row],[Employee Position]],tblPositionandPayRate[Employee Position],tblPositionandPayRate[Overtime], " ")</f>
        <v xml:space="preserve"> </v>
      </c>
      <c r="L799" s="25">
        <f>_xlfn.XLOOKUP(tblPayrollMaster[[#This Row],[Employee Position]],tblPositionandPayRate[Employee Position],tblPositionandPayRate[Allowance 1],0)*tblPayrollMaster[[#This Row],[Pay Factor]]</f>
        <v>0</v>
      </c>
      <c r="M799" s="25">
        <f>_xlfn.XLOOKUP(tblPayrollMaster[[#This Row],[Employee Position]],tblPositionandPayRate[Employee Position],tblPositionandPayRate[Allowance 2],0)*tblPayrollMaster[[#This Row],[Pay Factor]]</f>
        <v>0</v>
      </c>
      <c r="N799" s="25">
        <f>_xlfn.XLOOKUP(tblPayrollMaster[[#This Row],[Employee Position]],tblPositionandPayRate[Employee Position],tblPositionandPayRate[Allowance 3],0)*tblPayrollMaster[[#This Row],[Pay Factor]]</f>
        <v>0</v>
      </c>
      <c r="O799" s="25">
        <f>_xlfn.XLOOKUP(tblPayrollMaster[[#This Row],[Employee Position]],tblPositionandPayRate[Employee Position],tblPositionandPayRate[Allowance 4],0)*tblPayrollMaster[[#This Row],[Pay Factor]]</f>
        <v>0</v>
      </c>
      <c r="P799" s="25">
        <f>_xlfn.XLOOKUP(tblPayrollMaster[[#This Row],[Employee Position]],tblPositionandPayRate[Employee Position],tblPositionandPayRate[Allowance 5],0)*tblPayrollMaster[[#This Row],[Pay Factor]]</f>
        <v>0</v>
      </c>
      <c r="Q799" s="25">
        <f>SUM(tblPayrollMaster[[#This Row],[Basic Pay]:[Allowance 5]])</f>
        <v>0</v>
      </c>
      <c r="R79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799" s="51" cm="1">
        <f t="array" ref="S7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799" s="3" cm="1">
        <f t="array" ref="T7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799" s="25">
        <f>_xlfn.LET(
_xlpm.tos, _xlfn.XLOOKUP(tblPayrollMaster[[#This Row],[Employee ID]], tblEmployee[Employee ID], tblEmployee[Type of Service], ""),
IF(_xlpm.tos="Contract of Service", 8.25, 0)
)</f>
        <v>0</v>
      </c>
      <c r="V799" s="25">
        <f>tblPayrollMaster[[#This Row],[Basic Earnings]]-tblPayrollMaster[[#This Row],[Tax]]-tblPayrollMaster[[#This Row],[NIS - Employee]]-tblPayrollMaster[[#This Row],[Health Surcharge]]</f>
        <v>0</v>
      </c>
      <c r="W799" s="25">
        <f>tblPayrollMaster[[#This Row],[Net Pay]]</f>
        <v>0</v>
      </c>
      <c r="X799" s="25"/>
    </row>
    <row r="800" spans="1:24" x14ac:dyDescent="0.25">
      <c r="A800" s="24"/>
      <c r="B800" s="24" t="str">
        <f>_xlfn.XLOOKUP(tblPayrollMaster[[#This Row],[Employee ID]],tblEmployee[Employee ID],tblEmployee[Employee Name],"")</f>
        <v/>
      </c>
      <c r="C800" s="24" t="str">
        <f>_xlfn.XLOOKUP(tblPayrollMaster[[#This Row],[Employee ID]],tblEmployee[Employee ID],tblEmployee[Employee Position],"")</f>
        <v/>
      </c>
      <c r="D800" s="24" t="str">
        <f>_xlfn.XLOOKUP(tblPayrollMaster[[#This Row],[Employee ID]], tblEmployee[Employee ID], tblEmployee[Pay Status], "Pay")</f>
        <v>Pay</v>
      </c>
      <c r="E800" s="24" t="str">
        <f>_xlfn.XLOOKUP(tblPayrollMaster[[#This Row],[Employee ID]], tblEmployee[Employee ID], tblEmployee[Payable Flag], "Y")</f>
        <v>Y</v>
      </c>
      <c r="F800" s="45">
        <f>IF(tblPayrollMaster[[#This Row],[Payable Flag]]="N",0,_xlfn.XLOOKUP(tblPayrollMaster[[#This Row],[Employee ID]],tblEmployee[Employee ID],tblEmployee[Pay Factor],1))</f>
        <v>1</v>
      </c>
      <c r="G800" s="26" t="str" cm="1">
        <f t="array" ref="G800">IF(tblPayrollMaster[[#This Row],[Employee ID]]="","",_xlfn.XLOOKUP(selPayPeriodID,tblPayCalendar[PayPeriodID],tblPayCalendar[PeriodStart],""))</f>
        <v/>
      </c>
      <c r="H800" s="26" t="str" cm="1">
        <f t="array" ref="H800">IF(tblPayrollMaster[[#This Row],[Employee ID]]="","",_xlfn.XLOOKUP(selPayPeriodID,tblPayCalendar[PayPeriodID],tblPayCalendar[PeriodEnd],""))</f>
        <v/>
      </c>
      <c r="I800" s="24" t="e" cm="1" vm="1">
        <f t="array" aca="1" ref="I800" ca="1">Table18[Employer Name]</f>
        <v>#VALUE!</v>
      </c>
      <c r="J800" s="3" cm="1">
        <f t="array" ref="J80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00" s="25" t="str">
        <f>_xlfn.XLOOKUP(tblPayrollMaster[[#This Row],[Employee Position]],tblPositionandPayRate[Employee Position],tblPositionandPayRate[Overtime], " ")</f>
        <v xml:space="preserve"> </v>
      </c>
      <c r="L800" s="25">
        <f>_xlfn.XLOOKUP(tblPayrollMaster[[#This Row],[Employee Position]],tblPositionandPayRate[Employee Position],tblPositionandPayRate[Allowance 1],0)*tblPayrollMaster[[#This Row],[Pay Factor]]</f>
        <v>0</v>
      </c>
      <c r="M800" s="25">
        <f>_xlfn.XLOOKUP(tblPayrollMaster[[#This Row],[Employee Position]],tblPositionandPayRate[Employee Position],tblPositionandPayRate[Allowance 2],0)*tblPayrollMaster[[#This Row],[Pay Factor]]</f>
        <v>0</v>
      </c>
      <c r="N800" s="25">
        <f>_xlfn.XLOOKUP(tblPayrollMaster[[#This Row],[Employee Position]],tblPositionandPayRate[Employee Position],tblPositionandPayRate[Allowance 3],0)*tblPayrollMaster[[#This Row],[Pay Factor]]</f>
        <v>0</v>
      </c>
      <c r="O800" s="25">
        <f>_xlfn.XLOOKUP(tblPayrollMaster[[#This Row],[Employee Position]],tblPositionandPayRate[Employee Position],tblPositionandPayRate[Allowance 4],0)*tblPayrollMaster[[#This Row],[Pay Factor]]</f>
        <v>0</v>
      </c>
      <c r="P800" s="25">
        <f>_xlfn.XLOOKUP(tblPayrollMaster[[#This Row],[Employee Position]],tblPositionandPayRate[Employee Position],tblPositionandPayRate[Allowance 5],0)*tblPayrollMaster[[#This Row],[Pay Factor]]</f>
        <v>0</v>
      </c>
      <c r="Q800" s="25">
        <f>SUM(tblPayrollMaster[[#This Row],[Basic Pay]:[Allowance 5]])</f>
        <v>0</v>
      </c>
      <c r="R80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00" s="51" cm="1">
        <f t="array" ref="S8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00" s="3" cm="1">
        <f t="array" ref="T8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00" s="25">
        <f>_xlfn.LET(
_xlpm.tos, _xlfn.XLOOKUP(tblPayrollMaster[[#This Row],[Employee ID]], tblEmployee[Employee ID], tblEmployee[Type of Service], ""),
IF(_xlpm.tos="Contract of Service", 8.25, 0)
)</f>
        <v>0</v>
      </c>
      <c r="V800" s="25">
        <f>tblPayrollMaster[[#This Row],[Basic Earnings]]-tblPayrollMaster[[#This Row],[Tax]]-tblPayrollMaster[[#This Row],[NIS - Employee]]-tblPayrollMaster[[#This Row],[Health Surcharge]]</f>
        <v>0</v>
      </c>
      <c r="W800" s="25">
        <f>tblPayrollMaster[[#This Row],[Net Pay]]</f>
        <v>0</v>
      </c>
      <c r="X800" s="25"/>
    </row>
    <row r="801" spans="1:24" x14ac:dyDescent="0.25">
      <c r="A801" s="24"/>
      <c r="B801" s="24" t="str">
        <f>_xlfn.XLOOKUP(tblPayrollMaster[[#This Row],[Employee ID]],tblEmployee[Employee ID],tblEmployee[Employee Name],"")</f>
        <v/>
      </c>
      <c r="C801" s="24" t="str">
        <f>_xlfn.XLOOKUP(tblPayrollMaster[[#This Row],[Employee ID]],tblEmployee[Employee ID],tblEmployee[Employee Position],"")</f>
        <v/>
      </c>
      <c r="D801" s="24" t="str">
        <f>_xlfn.XLOOKUP(tblPayrollMaster[[#This Row],[Employee ID]], tblEmployee[Employee ID], tblEmployee[Pay Status], "Pay")</f>
        <v>Pay</v>
      </c>
      <c r="E801" s="24" t="str">
        <f>_xlfn.XLOOKUP(tblPayrollMaster[[#This Row],[Employee ID]], tblEmployee[Employee ID], tblEmployee[Payable Flag], "Y")</f>
        <v>Y</v>
      </c>
      <c r="F801" s="45">
        <f>IF(tblPayrollMaster[[#This Row],[Payable Flag]]="N",0,_xlfn.XLOOKUP(tblPayrollMaster[[#This Row],[Employee ID]],tblEmployee[Employee ID],tblEmployee[Pay Factor],1))</f>
        <v>1</v>
      </c>
      <c r="G801" s="26" t="str" cm="1">
        <f t="array" ref="G801">IF(tblPayrollMaster[[#This Row],[Employee ID]]="","",_xlfn.XLOOKUP(selPayPeriodID,tblPayCalendar[PayPeriodID],tblPayCalendar[PeriodStart],""))</f>
        <v/>
      </c>
      <c r="H801" s="26" t="str" cm="1">
        <f t="array" ref="H801">IF(tblPayrollMaster[[#This Row],[Employee ID]]="","",_xlfn.XLOOKUP(selPayPeriodID,tblPayCalendar[PayPeriodID],tblPayCalendar[PeriodEnd],""))</f>
        <v/>
      </c>
      <c r="I801" s="24" t="e" cm="1" vm="1">
        <f t="array" aca="1" ref="I801" ca="1">Table18[Employer Name]</f>
        <v>#VALUE!</v>
      </c>
      <c r="J801" s="3" cm="1">
        <f t="array" ref="J80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01" s="25" t="str">
        <f>_xlfn.XLOOKUP(tblPayrollMaster[[#This Row],[Employee Position]],tblPositionandPayRate[Employee Position],tblPositionandPayRate[Overtime], " ")</f>
        <v xml:space="preserve"> </v>
      </c>
      <c r="L801" s="25">
        <f>_xlfn.XLOOKUP(tblPayrollMaster[[#This Row],[Employee Position]],tblPositionandPayRate[Employee Position],tblPositionandPayRate[Allowance 1],0)*tblPayrollMaster[[#This Row],[Pay Factor]]</f>
        <v>0</v>
      </c>
      <c r="M801" s="25">
        <f>_xlfn.XLOOKUP(tblPayrollMaster[[#This Row],[Employee Position]],tblPositionandPayRate[Employee Position],tblPositionandPayRate[Allowance 2],0)*tblPayrollMaster[[#This Row],[Pay Factor]]</f>
        <v>0</v>
      </c>
      <c r="N801" s="25">
        <f>_xlfn.XLOOKUP(tblPayrollMaster[[#This Row],[Employee Position]],tblPositionandPayRate[Employee Position],tblPositionandPayRate[Allowance 3],0)*tblPayrollMaster[[#This Row],[Pay Factor]]</f>
        <v>0</v>
      </c>
      <c r="O801" s="25">
        <f>_xlfn.XLOOKUP(tblPayrollMaster[[#This Row],[Employee Position]],tblPositionandPayRate[Employee Position],tblPositionandPayRate[Allowance 4],0)*tblPayrollMaster[[#This Row],[Pay Factor]]</f>
        <v>0</v>
      </c>
      <c r="P801" s="25">
        <f>_xlfn.XLOOKUP(tblPayrollMaster[[#This Row],[Employee Position]],tblPositionandPayRate[Employee Position],tblPositionandPayRate[Allowance 5],0)*tblPayrollMaster[[#This Row],[Pay Factor]]</f>
        <v>0</v>
      </c>
      <c r="Q801" s="25">
        <f>SUM(tblPayrollMaster[[#This Row],[Basic Pay]:[Allowance 5]])</f>
        <v>0</v>
      </c>
      <c r="R80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01" s="51" cm="1">
        <f t="array" ref="S8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01" s="3" cm="1">
        <f t="array" ref="T8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01" s="25">
        <f>_xlfn.LET(
_xlpm.tos, _xlfn.XLOOKUP(tblPayrollMaster[[#This Row],[Employee ID]], tblEmployee[Employee ID], tblEmployee[Type of Service], ""),
IF(_xlpm.tos="Contract of Service", 8.25, 0)
)</f>
        <v>0</v>
      </c>
      <c r="V801" s="25">
        <f>tblPayrollMaster[[#This Row],[Basic Earnings]]-tblPayrollMaster[[#This Row],[Tax]]-tblPayrollMaster[[#This Row],[NIS - Employee]]-tblPayrollMaster[[#This Row],[Health Surcharge]]</f>
        <v>0</v>
      </c>
      <c r="W801" s="25">
        <f>tblPayrollMaster[[#This Row],[Net Pay]]</f>
        <v>0</v>
      </c>
      <c r="X801" s="25"/>
    </row>
    <row r="802" spans="1:24" x14ac:dyDescent="0.25">
      <c r="A802" s="24"/>
      <c r="B802" s="24" t="str">
        <f>_xlfn.XLOOKUP(tblPayrollMaster[[#This Row],[Employee ID]],tblEmployee[Employee ID],tblEmployee[Employee Name],"")</f>
        <v/>
      </c>
      <c r="C802" s="24" t="str">
        <f>_xlfn.XLOOKUP(tblPayrollMaster[[#This Row],[Employee ID]],tblEmployee[Employee ID],tblEmployee[Employee Position],"")</f>
        <v/>
      </c>
      <c r="D802" s="24" t="str">
        <f>_xlfn.XLOOKUP(tblPayrollMaster[[#This Row],[Employee ID]], tblEmployee[Employee ID], tblEmployee[Pay Status], "Pay")</f>
        <v>Pay</v>
      </c>
      <c r="E802" s="24" t="str">
        <f>_xlfn.XLOOKUP(tblPayrollMaster[[#This Row],[Employee ID]], tblEmployee[Employee ID], tblEmployee[Payable Flag], "Y")</f>
        <v>Y</v>
      </c>
      <c r="F802" s="45">
        <f>IF(tblPayrollMaster[[#This Row],[Payable Flag]]="N",0,_xlfn.XLOOKUP(tblPayrollMaster[[#This Row],[Employee ID]],tblEmployee[Employee ID],tblEmployee[Pay Factor],1))</f>
        <v>1</v>
      </c>
      <c r="G802" s="26" t="str" cm="1">
        <f t="array" ref="G802">IF(tblPayrollMaster[[#This Row],[Employee ID]]="","",_xlfn.XLOOKUP(selPayPeriodID,tblPayCalendar[PayPeriodID],tblPayCalendar[PeriodStart],""))</f>
        <v/>
      </c>
      <c r="H802" s="26" t="str" cm="1">
        <f t="array" ref="H802">IF(tblPayrollMaster[[#This Row],[Employee ID]]="","",_xlfn.XLOOKUP(selPayPeriodID,tblPayCalendar[PayPeriodID],tblPayCalendar[PeriodEnd],""))</f>
        <v/>
      </c>
      <c r="I802" s="24" t="e" cm="1" vm="1">
        <f t="array" aca="1" ref="I802" ca="1">Table18[Employer Name]</f>
        <v>#VALUE!</v>
      </c>
      <c r="J802" s="3" cm="1">
        <f t="array" ref="J80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02" s="25" t="str">
        <f>_xlfn.XLOOKUP(tblPayrollMaster[[#This Row],[Employee Position]],tblPositionandPayRate[Employee Position],tblPositionandPayRate[Overtime], " ")</f>
        <v xml:space="preserve"> </v>
      </c>
      <c r="L802" s="25">
        <f>_xlfn.XLOOKUP(tblPayrollMaster[[#This Row],[Employee Position]],tblPositionandPayRate[Employee Position],tblPositionandPayRate[Allowance 1],0)*tblPayrollMaster[[#This Row],[Pay Factor]]</f>
        <v>0</v>
      </c>
      <c r="M802" s="25">
        <f>_xlfn.XLOOKUP(tblPayrollMaster[[#This Row],[Employee Position]],tblPositionandPayRate[Employee Position],tblPositionandPayRate[Allowance 2],0)*tblPayrollMaster[[#This Row],[Pay Factor]]</f>
        <v>0</v>
      </c>
      <c r="N802" s="25">
        <f>_xlfn.XLOOKUP(tblPayrollMaster[[#This Row],[Employee Position]],tblPositionandPayRate[Employee Position],tblPositionandPayRate[Allowance 3],0)*tblPayrollMaster[[#This Row],[Pay Factor]]</f>
        <v>0</v>
      </c>
      <c r="O802" s="25">
        <f>_xlfn.XLOOKUP(tblPayrollMaster[[#This Row],[Employee Position]],tblPositionandPayRate[Employee Position],tblPositionandPayRate[Allowance 4],0)*tblPayrollMaster[[#This Row],[Pay Factor]]</f>
        <v>0</v>
      </c>
      <c r="P802" s="25">
        <f>_xlfn.XLOOKUP(tblPayrollMaster[[#This Row],[Employee Position]],tblPositionandPayRate[Employee Position],tblPositionandPayRate[Allowance 5],0)*tblPayrollMaster[[#This Row],[Pay Factor]]</f>
        <v>0</v>
      </c>
      <c r="Q802" s="25">
        <f>SUM(tblPayrollMaster[[#This Row],[Basic Pay]:[Allowance 5]])</f>
        <v>0</v>
      </c>
      <c r="R80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02" s="51" cm="1">
        <f t="array" ref="S8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02" s="3" cm="1">
        <f t="array" ref="T8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02" s="25">
        <f>_xlfn.LET(
_xlpm.tos, _xlfn.XLOOKUP(tblPayrollMaster[[#This Row],[Employee ID]], tblEmployee[Employee ID], tblEmployee[Type of Service], ""),
IF(_xlpm.tos="Contract of Service", 8.25, 0)
)</f>
        <v>0</v>
      </c>
      <c r="V802" s="25">
        <f>tblPayrollMaster[[#This Row],[Basic Earnings]]-tblPayrollMaster[[#This Row],[Tax]]-tblPayrollMaster[[#This Row],[NIS - Employee]]-tblPayrollMaster[[#This Row],[Health Surcharge]]</f>
        <v>0</v>
      </c>
      <c r="W802" s="25">
        <f>tblPayrollMaster[[#This Row],[Net Pay]]</f>
        <v>0</v>
      </c>
      <c r="X802" s="25"/>
    </row>
    <row r="803" spans="1:24" x14ac:dyDescent="0.25">
      <c r="A803" s="24"/>
      <c r="B803" s="24" t="str">
        <f>_xlfn.XLOOKUP(tblPayrollMaster[[#This Row],[Employee ID]],tblEmployee[Employee ID],tblEmployee[Employee Name],"")</f>
        <v/>
      </c>
      <c r="C803" s="24" t="str">
        <f>_xlfn.XLOOKUP(tblPayrollMaster[[#This Row],[Employee ID]],tblEmployee[Employee ID],tblEmployee[Employee Position],"")</f>
        <v/>
      </c>
      <c r="D803" s="24" t="str">
        <f>_xlfn.XLOOKUP(tblPayrollMaster[[#This Row],[Employee ID]], tblEmployee[Employee ID], tblEmployee[Pay Status], "Pay")</f>
        <v>Pay</v>
      </c>
      <c r="E803" s="24" t="str">
        <f>_xlfn.XLOOKUP(tblPayrollMaster[[#This Row],[Employee ID]], tblEmployee[Employee ID], tblEmployee[Payable Flag], "Y")</f>
        <v>Y</v>
      </c>
      <c r="F803" s="45">
        <f>IF(tblPayrollMaster[[#This Row],[Payable Flag]]="N",0,_xlfn.XLOOKUP(tblPayrollMaster[[#This Row],[Employee ID]],tblEmployee[Employee ID],tblEmployee[Pay Factor],1))</f>
        <v>1</v>
      </c>
      <c r="G803" s="26" t="str" cm="1">
        <f t="array" ref="G803">IF(tblPayrollMaster[[#This Row],[Employee ID]]="","",_xlfn.XLOOKUP(selPayPeriodID,tblPayCalendar[PayPeriodID],tblPayCalendar[PeriodStart],""))</f>
        <v/>
      </c>
      <c r="H803" s="26" t="str" cm="1">
        <f t="array" ref="H803">IF(tblPayrollMaster[[#This Row],[Employee ID]]="","",_xlfn.XLOOKUP(selPayPeriodID,tblPayCalendar[PayPeriodID],tblPayCalendar[PeriodEnd],""))</f>
        <v/>
      </c>
      <c r="I803" s="24" t="e" cm="1" vm="1">
        <f t="array" aca="1" ref="I803" ca="1">Table18[Employer Name]</f>
        <v>#VALUE!</v>
      </c>
      <c r="J803" s="3" cm="1">
        <f t="array" ref="J80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03" s="25" t="str">
        <f>_xlfn.XLOOKUP(tblPayrollMaster[[#This Row],[Employee Position]],tblPositionandPayRate[Employee Position],tblPositionandPayRate[Overtime], " ")</f>
        <v xml:space="preserve"> </v>
      </c>
      <c r="L803" s="25">
        <f>_xlfn.XLOOKUP(tblPayrollMaster[[#This Row],[Employee Position]],tblPositionandPayRate[Employee Position],tblPositionandPayRate[Allowance 1],0)*tblPayrollMaster[[#This Row],[Pay Factor]]</f>
        <v>0</v>
      </c>
      <c r="M803" s="25">
        <f>_xlfn.XLOOKUP(tblPayrollMaster[[#This Row],[Employee Position]],tblPositionandPayRate[Employee Position],tblPositionandPayRate[Allowance 2],0)*tblPayrollMaster[[#This Row],[Pay Factor]]</f>
        <v>0</v>
      </c>
      <c r="N803" s="25">
        <f>_xlfn.XLOOKUP(tblPayrollMaster[[#This Row],[Employee Position]],tblPositionandPayRate[Employee Position],tblPositionandPayRate[Allowance 3],0)*tblPayrollMaster[[#This Row],[Pay Factor]]</f>
        <v>0</v>
      </c>
      <c r="O803" s="25">
        <f>_xlfn.XLOOKUP(tblPayrollMaster[[#This Row],[Employee Position]],tblPositionandPayRate[Employee Position],tblPositionandPayRate[Allowance 4],0)*tblPayrollMaster[[#This Row],[Pay Factor]]</f>
        <v>0</v>
      </c>
      <c r="P803" s="25">
        <f>_xlfn.XLOOKUP(tblPayrollMaster[[#This Row],[Employee Position]],tblPositionandPayRate[Employee Position],tblPositionandPayRate[Allowance 5],0)*tblPayrollMaster[[#This Row],[Pay Factor]]</f>
        <v>0</v>
      </c>
      <c r="Q803" s="25">
        <f>SUM(tblPayrollMaster[[#This Row],[Basic Pay]:[Allowance 5]])</f>
        <v>0</v>
      </c>
      <c r="R80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03" s="51" cm="1">
        <f t="array" ref="S8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03" s="3" cm="1">
        <f t="array" ref="T8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03" s="25">
        <f>_xlfn.LET(
_xlpm.tos, _xlfn.XLOOKUP(tblPayrollMaster[[#This Row],[Employee ID]], tblEmployee[Employee ID], tblEmployee[Type of Service], ""),
IF(_xlpm.tos="Contract of Service", 8.25, 0)
)</f>
        <v>0</v>
      </c>
      <c r="V803" s="25">
        <f>tblPayrollMaster[[#This Row],[Basic Earnings]]-tblPayrollMaster[[#This Row],[Tax]]-tblPayrollMaster[[#This Row],[NIS - Employee]]-tblPayrollMaster[[#This Row],[Health Surcharge]]</f>
        <v>0</v>
      </c>
      <c r="W803" s="25">
        <f>tblPayrollMaster[[#This Row],[Net Pay]]</f>
        <v>0</v>
      </c>
      <c r="X803" s="25"/>
    </row>
    <row r="804" spans="1:24" x14ac:dyDescent="0.25">
      <c r="A804" s="24"/>
      <c r="B804" s="24" t="str">
        <f>_xlfn.XLOOKUP(tblPayrollMaster[[#This Row],[Employee ID]],tblEmployee[Employee ID],tblEmployee[Employee Name],"")</f>
        <v/>
      </c>
      <c r="C804" s="24" t="str">
        <f>_xlfn.XLOOKUP(tblPayrollMaster[[#This Row],[Employee ID]],tblEmployee[Employee ID],tblEmployee[Employee Position],"")</f>
        <v/>
      </c>
      <c r="D804" s="24" t="str">
        <f>_xlfn.XLOOKUP(tblPayrollMaster[[#This Row],[Employee ID]], tblEmployee[Employee ID], tblEmployee[Pay Status], "Pay")</f>
        <v>Pay</v>
      </c>
      <c r="E804" s="24" t="str">
        <f>_xlfn.XLOOKUP(tblPayrollMaster[[#This Row],[Employee ID]], tblEmployee[Employee ID], tblEmployee[Payable Flag], "Y")</f>
        <v>Y</v>
      </c>
      <c r="F804" s="45">
        <f>IF(tblPayrollMaster[[#This Row],[Payable Flag]]="N",0,_xlfn.XLOOKUP(tblPayrollMaster[[#This Row],[Employee ID]],tblEmployee[Employee ID],tblEmployee[Pay Factor],1))</f>
        <v>1</v>
      </c>
      <c r="G804" s="26" t="str" cm="1">
        <f t="array" ref="G804">IF(tblPayrollMaster[[#This Row],[Employee ID]]="","",_xlfn.XLOOKUP(selPayPeriodID,tblPayCalendar[PayPeriodID],tblPayCalendar[PeriodStart],""))</f>
        <v/>
      </c>
      <c r="H804" s="26" t="str" cm="1">
        <f t="array" ref="H804">IF(tblPayrollMaster[[#This Row],[Employee ID]]="","",_xlfn.XLOOKUP(selPayPeriodID,tblPayCalendar[PayPeriodID],tblPayCalendar[PeriodEnd],""))</f>
        <v/>
      </c>
      <c r="I804" s="24" t="e" cm="1" vm="1">
        <f t="array" aca="1" ref="I804" ca="1">Table18[Employer Name]</f>
        <v>#VALUE!</v>
      </c>
      <c r="J804" s="3" cm="1">
        <f t="array" ref="J80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04" s="25" t="str">
        <f>_xlfn.XLOOKUP(tblPayrollMaster[[#This Row],[Employee Position]],tblPositionandPayRate[Employee Position],tblPositionandPayRate[Overtime], " ")</f>
        <v xml:space="preserve"> </v>
      </c>
      <c r="L804" s="25">
        <f>_xlfn.XLOOKUP(tblPayrollMaster[[#This Row],[Employee Position]],tblPositionandPayRate[Employee Position],tblPositionandPayRate[Allowance 1],0)*tblPayrollMaster[[#This Row],[Pay Factor]]</f>
        <v>0</v>
      </c>
      <c r="M804" s="25">
        <f>_xlfn.XLOOKUP(tblPayrollMaster[[#This Row],[Employee Position]],tblPositionandPayRate[Employee Position],tblPositionandPayRate[Allowance 2],0)*tblPayrollMaster[[#This Row],[Pay Factor]]</f>
        <v>0</v>
      </c>
      <c r="N804" s="25">
        <f>_xlfn.XLOOKUP(tblPayrollMaster[[#This Row],[Employee Position]],tblPositionandPayRate[Employee Position],tblPositionandPayRate[Allowance 3],0)*tblPayrollMaster[[#This Row],[Pay Factor]]</f>
        <v>0</v>
      </c>
      <c r="O804" s="25">
        <f>_xlfn.XLOOKUP(tblPayrollMaster[[#This Row],[Employee Position]],tblPositionandPayRate[Employee Position],tblPositionandPayRate[Allowance 4],0)*tblPayrollMaster[[#This Row],[Pay Factor]]</f>
        <v>0</v>
      </c>
      <c r="P804" s="25">
        <f>_xlfn.XLOOKUP(tblPayrollMaster[[#This Row],[Employee Position]],tblPositionandPayRate[Employee Position],tblPositionandPayRate[Allowance 5],0)*tblPayrollMaster[[#This Row],[Pay Factor]]</f>
        <v>0</v>
      </c>
      <c r="Q804" s="25">
        <f>SUM(tblPayrollMaster[[#This Row],[Basic Pay]:[Allowance 5]])</f>
        <v>0</v>
      </c>
      <c r="R80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04" s="51" cm="1">
        <f t="array" ref="S8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04" s="3" cm="1">
        <f t="array" ref="T8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04" s="25">
        <f>_xlfn.LET(
_xlpm.tos, _xlfn.XLOOKUP(tblPayrollMaster[[#This Row],[Employee ID]], tblEmployee[Employee ID], tblEmployee[Type of Service], ""),
IF(_xlpm.tos="Contract of Service", 8.25, 0)
)</f>
        <v>0</v>
      </c>
      <c r="V804" s="25">
        <f>tblPayrollMaster[[#This Row],[Basic Earnings]]-tblPayrollMaster[[#This Row],[Tax]]-tblPayrollMaster[[#This Row],[NIS - Employee]]-tblPayrollMaster[[#This Row],[Health Surcharge]]</f>
        <v>0</v>
      </c>
      <c r="W804" s="25">
        <f>tblPayrollMaster[[#This Row],[Net Pay]]</f>
        <v>0</v>
      </c>
      <c r="X804" s="25"/>
    </row>
    <row r="805" spans="1:24" x14ac:dyDescent="0.25">
      <c r="A805" s="24"/>
      <c r="B805" s="24" t="str">
        <f>_xlfn.XLOOKUP(tblPayrollMaster[[#This Row],[Employee ID]],tblEmployee[Employee ID],tblEmployee[Employee Name],"")</f>
        <v/>
      </c>
      <c r="C805" s="24" t="str">
        <f>_xlfn.XLOOKUP(tblPayrollMaster[[#This Row],[Employee ID]],tblEmployee[Employee ID],tblEmployee[Employee Position],"")</f>
        <v/>
      </c>
      <c r="D805" s="24" t="str">
        <f>_xlfn.XLOOKUP(tblPayrollMaster[[#This Row],[Employee ID]], tblEmployee[Employee ID], tblEmployee[Pay Status], "Pay")</f>
        <v>Pay</v>
      </c>
      <c r="E805" s="24" t="str">
        <f>_xlfn.XLOOKUP(tblPayrollMaster[[#This Row],[Employee ID]], tblEmployee[Employee ID], tblEmployee[Payable Flag], "Y")</f>
        <v>Y</v>
      </c>
      <c r="F805" s="45">
        <f>IF(tblPayrollMaster[[#This Row],[Payable Flag]]="N",0,_xlfn.XLOOKUP(tblPayrollMaster[[#This Row],[Employee ID]],tblEmployee[Employee ID],tblEmployee[Pay Factor],1))</f>
        <v>1</v>
      </c>
      <c r="G805" s="26" t="str" cm="1">
        <f t="array" ref="G805">IF(tblPayrollMaster[[#This Row],[Employee ID]]="","",_xlfn.XLOOKUP(selPayPeriodID,tblPayCalendar[PayPeriodID],tblPayCalendar[PeriodStart],""))</f>
        <v/>
      </c>
      <c r="H805" s="26" t="str" cm="1">
        <f t="array" ref="H805">IF(tblPayrollMaster[[#This Row],[Employee ID]]="","",_xlfn.XLOOKUP(selPayPeriodID,tblPayCalendar[PayPeriodID],tblPayCalendar[PeriodEnd],""))</f>
        <v/>
      </c>
      <c r="I805" s="24" t="e" cm="1" vm="1">
        <f t="array" aca="1" ref="I805" ca="1">Table18[Employer Name]</f>
        <v>#VALUE!</v>
      </c>
      <c r="J805" s="3" cm="1">
        <f t="array" ref="J80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05" s="25" t="str">
        <f>_xlfn.XLOOKUP(tblPayrollMaster[[#This Row],[Employee Position]],tblPositionandPayRate[Employee Position],tblPositionandPayRate[Overtime], " ")</f>
        <v xml:space="preserve"> </v>
      </c>
      <c r="L805" s="25">
        <f>_xlfn.XLOOKUP(tblPayrollMaster[[#This Row],[Employee Position]],tblPositionandPayRate[Employee Position],tblPositionandPayRate[Allowance 1],0)*tblPayrollMaster[[#This Row],[Pay Factor]]</f>
        <v>0</v>
      </c>
      <c r="M805" s="25">
        <f>_xlfn.XLOOKUP(tblPayrollMaster[[#This Row],[Employee Position]],tblPositionandPayRate[Employee Position],tblPositionandPayRate[Allowance 2],0)*tblPayrollMaster[[#This Row],[Pay Factor]]</f>
        <v>0</v>
      </c>
      <c r="N805" s="25">
        <f>_xlfn.XLOOKUP(tblPayrollMaster[[#This Row],[Employee Position]],tblPositionandPayRate[Employee Position],tblPositionandPayRate[Allowance 3],0)*tblPayrollMaster[[#This Row],[Pay Factor]]</f>
        <v>0</v>
      </c>
      <c r="O805" s="25">
        <f>_xlfn.XLOOKUP(tblPayrollMaster[[#This Row],[Employee Position]],tblPositionandPayRate[Employee Position],tblPositionandPayRate[Allowance 4],0)*tblPayrollMaster[[#This Row],[Pay Factor]]</f>
        <v>0</v>
      </c>
      <c r="P805" s="25">
        <f>_xlfn.XLOOKUP(tblPayrollMaster[[#This Row],[Employee Position]],tblPositionandPayRate[Employee Position],tblPositionandPayRate[Allowance 5],0)*tblPayrollMaster[[#This Row],[Pay Factor]]</f>
        <v>0</v>
      </c>
      <c r="Q805" s="25">
        <f>SUM(tblPayrollMaster[[#This Row],[Basic Pay]:[Allowance 5]])</f>
        <v>0</v>
      </c>
      <c r="R80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05" s="51" cm="1">
        <f t="array" ref="S8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05" s="3" cm="1">
        <f t="array" ref="T8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05" s="25">
        <f>_xlfn.LET(
_xlpm.tos, _xlfn.XLOOKUP(tblPayrollMaster[[#This Row],[Employee ID]], tblEmployee[Employee ID], tblEmployee[Type of Service], ""),
IF(_xlpm.tos="Contract of Service", 8.25, 0)
)</f>
        <v>0</v>
      </c>
      <c r="V805" s="25">
        <f>tblPayrollMaster[[#This Row],[Basic Earnings]]-tblPayrollMaster[[#This Row],[Tax]]-tblPayrollMaster[[#This Row],[NIS - Employee]]-tblPayrollMaster[[#This Row],[Health Surcharge]]</f>
        <v>0</v>
      </c>
      <c r="W805" s="25">
        <f>tblPayrollMaster[[#This Row],[Net Pay]]</f>
        <v>0</v>
      </c>
      <c r="X805" s="25"/>
    </row>
    <row r="806" spans="1:24" x14ac:dyDescent="0.25">
      <c r="A806" s="24"/>
      <c r="B806" s="24" t="str">
        <f>_xlfn.XLOOKUP(tblPayrollMaster[[#This Row],[Employee ID]],tblEmployee[Employee ID],tblEmployee[Employee Name],"")</f>
        <v/>
      </c>
      <c r="C806" s="24" t="str">
        <f>_xlfn.XLOOKUP(tblPayrollMaster[[#This Row],[Employee ID]],tblEmployee[Employee ID],tblEmployee[Employee Position],"")</f>
        <v/>
      </c>
      <c r="D806" s="24" t="str">
        <f>_xlfn.XLOOKUP(tblPayrollMaster[[#This Row],[Employee ID]], tblEmployee[Employee ID], tblEmployee[Pay Status], "Pay")</f>
        <v>Pay</v>
      </c>
      <c r="E806" s="24" t="str">
        <f>_xlfn.XLOOKUP(tblPayrollMaster[[#This Row],[Employee ID]], tblEmployee[Employee ID], tblEmployee[Payable Flag], "Y")</f>
        <v>Y</v>
      </c>
      <c r="F806" s="45">
        <f>IF(tblPayrollMaster[[#This Row],[Payable Flag]]="N",0,_xlfn.XLOOKUP(tblPayrollMaster[[#This Row],[Employee ID]],tblEmployee[Employee ID],tblEmployee[Pay Factor],1))</f>
        <v>1</v>
      </c>
      <c r="G806" s="26" t="str" cm="1">
        <f t="array" ref="G806">IF(tblPayrollMaster[[#This Row],[Employee ID]]="","",_xlfn.XLOOKUP(selPayPeriodID,tblPayCalendar[PayPeriodID],tblPayCalendar[PeriodStart],""))</f>
        <v/>
      </c>
      <c r="H806" s="26" t="str" cm="1">
        <f t="array" ref="H806">IF(tblPayrollMaster[[#This Row],[Employee ID]]="","",_xlfn.XLOOKUP(selPayPeriodID,tblPayCalendar[PayPeriodID],tblPayCalendar[PeriodEnd],""))</f>
        <v/>
      </c>
      <c r="I806" s="24" t="e" cm="1" vm="1">
        <f t="array" aca="1" ref="I806" ca="1">Table18[Employer Name]</f>
        <v>#VALUE!</v>
      </c>
      <c r="J806" s="3" cm="1">
        <f t="array" ref="J80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06" s="25" t="str">
        <f>_xlfn.XLOOKUP(tblPayrollMaster[[#This Row],[Employee Position]],tblPositionandPayRate[Employee Position],tblPositionandPayRate[Overtime], " ")</f>
        <v xml:space="preserve"> </v>
      </c>
      <c r="L806" s="25">
        <f>_xlfn.XLOOKUP(tblPayrollMaster[[#This Row],[Employee Position]],tblPositionandPayRate[Employee Position],tblPositionandPayRate[Allowance 1],0)*tblPayrollMaster[[#This Row],[Pay Factor]]</f>
        <v>0</v>
      </c>
      <c r="M806" s="25">
        <f>_xlfn.XLOOKUP(tblPayrollMaster[[#This Row],[Employee Position]],tblPositionandPayRate[Employee Position],tblPositionandPayRate[Allowance 2],0)*tblPayrollMaster[[#This Row],[Pay Factor]]</f>
        <v>0</v>
      </c>
      <c r="N806" s="25">
        <f>_xlfn.XLOOKUP(tblPayrollMaster[[#This Row],[Employee Position]],tblPositionandPayRate[Employee Position],tblPositionandPayRate[Allowance 3],0)*tblPayrollMaster[[#This Row],[Pay Factor]]</f>
        <v>0</v>
      </c>
      <c r="O806" s="25">
        <f>_xlfn.XLOOKUP(tblPayrollMaster[[#This Row],[Employee Position]],tblPositionandPayRate[Employee Position],tblPositionandPayRate[Allowance 4],0)*tblPayrollMaster[[#This Row],[Pay Factor]]</f>
        <v>0</v>
      </c>
      <c r="P806" s="25">
        <f>_xlfn.XLOOKUP(tblPayrollMaster[[#This Row],[Employee Position]],tblPositionandPayRate[Employee Position],tblPositionandPayRate[Allowance 5],0)*tblPayrollMaster[[#This Row],[Pay Factor]]</f>
        <v>0</v>
      </c>
      <c r="Q806" s="25">
        <f>SUM(tblPayrollMaster[[#This Row],[Basic Pay]:[Allowance 5]])</f>
        <v>0</v>
      </c>
      <c r="R80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06" s="51" cm="1">
        <f t="array" ref="S8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06" s="3" cm="1">
        <f t="array" ref="T8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06" s="25">
        <f>_xlfn.LET(
_xlpm.tos, _xlfn.XLOOKUP(tblPayrollMaster[[#This Row],[Employee ID]], tblEmployee[Employee ID], tblEmployee[Type of Service], ""),
IF(_xlpm.tos="Contract of Service", 8.25, 0)
)</f>
        <v>0</v>
      </c>
      <c r="V806" s="25">
        <f>tblPayrollMaster[[#This Row],[Basic Earnings]]-tblPayrollMaster[[#This Row],[Tax]]-tblPayrollMaster[[#This Row],[NIS - Employee]]-tblPayrollMaster[[#This Row],[Health Surcharge]]</f>
        <v>0</v>
      </c>
      <c r="W806" s="25">
        <f>tblPayrollMaster[[#This Row],[Net Pay]]</f>
        <v>0</v>
      </c>
      <c r="X806" s="25"/>
    </row>
    <row r="807" spans="1:24" x14ac:dyDescent="0.25">
      <c r="A807" s="24"/>
      <c r="B807" s="24" t="str">
        <f>_xlfn.XLOOKUP(tblPayrollMaster[[#This Row],[Employee ID]],tblEmployee[Employee ID],tblEmployee[Employee Name],"")</f>
        <v/>
      </c>
      <c r="C807" s="24" t="str">
        <f>_xlfn.XLOOKUP(tblPayrollMaster[[#This Row],[Employee ID]],tblEmployee[Employee ID],tblEmployee[Employee Position],"")</f>
        <v/>
      </c>
      <c r="D807" s="24" t="str">
        <f>_xlfn.XLOOKUP(tblPayrollMaster[[#This Row],[Employee ID]], tblEmployee[Employee ID], tblEmployee[Pay Status], "Pay")</f>
        <v>Pay</v>
      </c>
      <c r="E807" s="24" t="str">
        <f>_xlfn.XLOOKUP(tblPayrollMaster[[#This Row],[Employee ID]], tblEmployee[Employee ID], tblEmployee[Payable Flag], "Y")</f>
        <v>Y</v>
      </c>
      <c r="F807" s="45">
        <f>IF(tblPayrollMaster[[#This Row],[Payable Flag]]="N",0,_xlfn.XLOOKUP(tblPayrollMaster[[#This Row],[Employee ID]],tblEmployee[Employee ID],tblEmployee[Pay Factor],1))</f>
        <v>1</v>
      </c>
      <c r="G807" s="26" t="str" cm="1">
        <f t="array" ref="G807">IF(tblPayrollMaster[[#This Row],[Employee ID]]="","",_xlfn.XLOOKUP(selPayPeriodID,tblPayCalendar[PayPeriodID],tblPayCalendar[PeriodStart],""))</f>
        <v/>
      </c>
      <c r="H807" s="26" t="str" cm="1">
        <f t="array" ref="H807">IF(tblPayrollMaster[[#This Row],[Employee ID]]="","",_xlfn.XLOOKUP(selPayPeriodID,tblPayCalendar[PayPeriodID],tblPayCalendar[PeriodEnd],""))</f>
        <v/>
      </c>
      <c r="I807" s="24" t="e" cm="1" vm="1">
        <f t="array" aca="1" ref="I807" ca="1">Table18[Employer Name]</f>
        <v>#VALUE!</v>
      </c>
      <c r="J807" s="3" cm="1">
        <f t="array" ref="J80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07" s="25" t="str">
        <f>_xlfn.XLOOKUP(tblPayrollMaster[[#This Row],[Employee Position]],tblPositionandPayRate[Employee Position],tblPositionandPayRate[Overtime], " ")</f>
        <v xml:space="preserve"> </v>
      </c>
      <c r="L807" s="25">
        <f>_xlfn.XLOOKUP(tblPayrollMaster[[#This Row],[Employee Position]],tblPositionandPayRate[Employee Position],tblPositionandPayRate[Allowance 1],0)*tblPayrollMaster[[#This Row],[Pay Factor]]</f>
        <v>0</v>
      </c>
      <c r="M807" s="25">
        <f>_xlfn.XLOOKUP(tblPayrollMaster[[#This Row],[Employee Position]],tblPositionandPayRate[Employee Position],tblPositionandPayRate[Allowance 2],0)*tblPayrollMaster[[#This Row],[Pay Factor]]</f>
        <v>0</v>
      </c>
      <c r="N807" s="25">
        <f>_xlfn.XLOOKUP(tblPayrollMaster[[#This Row],[Employee Position]],tblPositionandPayRate[Employee Position],tblPositionandPayRate[Allowance 3],0)*tblPayrollMaster[[#This Row],[Pay Factor]]</f>
        <v>0</v>
      </c>
      <c r="O807" s="25">
        <f>_xlfn.XLOOKUP(tblPayrollMaster[[#This Row],[Employee Position]],tblPositionandPayRate[Employee Position],tblPositionandPayRate[Allowance 4],0)*tblPayrollMaster[[#This Row],[Pay Factor]]</f>
        <v>0</v>
      </c>
      <c r="P807" s="25">
        <f>_xlfn.XLOOKUP(tblPayrollMaster[[#This Row],[Employee Position]],tblPositionandPayRate[Employee Position],tblPositionandPayRate[Allowance 5],0)*tblPayrollMaster[[#This Row],[Pay Factor]]</f>
        <v>0</v>
      </c>
      <c r="Q807" s="25">
        <f>SUM(tblPayrollMaster[[#This Row],[Basic Pay]:[Allowance 5]])</f>
        <v>0</v>
      </c>
      <c r="R80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07" s="51" cm="1">
        <f t="array" ref="S8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07" s="3" cm="1">
        <f t="array" ref="T8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07" s="25">
        <f>_xlfn.LET(
_xlpm.tos, _xlfn.XLOOKUP(tblPayrollMaster[[#This Row],[Employee ID]], tblEmployee[Employee ID], tblEmployee[Type of Service], ""),
IF(_xlpm.tos="Contract of Service", 8.25, 0)
)</f>
        <v>0</v>
      </c>
      <c r="V807" s="25">
        <f>tblPayrollMaster[[#This Row],[Basic Earnings]]-tblPayrollMaster[[#This Row],[Tax]]-tblPayrollMaster[[#This Row],[NIS - Employee]]-tblPayrollMaster[[#This Row],[Health Surcharge]]</f>
        <v>0</v>
      </c>
      <c r="W807" s="25">
        <f>tblPayrollMaster[[#This Row],[Net Pay]]</f>
        <v>0</v>
      </c>
      <c r="X807" s="25"/>
    </row>
    <row r="808" spans="1:24" x14ac:dyDescent="0.25">
      <c r="A808" s="24"/>
      <c r="B808" s="24" t="str">
        <f>_xlfn.XLOOKUP(tblPayrollMaster[[#This Row],[Employee ID]],tblEmployee[Employee ID],tblEmployee[Employee Name],"")</f>
        <v/>
      </c>
      <c r="C808" s="24" t="str">
        <f>_xlfn.XLOOKUP(tblPayrollMaster[[#This Row],[Employee ID]],tblEmployee[Employee ID],tblEmployee[Employee Position],"")</f>
        <v/>
      </c>
      <c r="D808" s="24" t="str">
        <f>_xlfn.XLOOKUP(tblPayrollMaster[[#This Row],[Employee ID]], tblEmployee[Employee ID], tblEmployee[Pay Status], "Pay")</f>
        <v>Pay</v>
      </c>
      <c r="E808" s="24" t="str">
        <f>_xlfn.XLOOKUP(tblPayrollMaster[[#This Row],[Employee ID]], tblEmployee[Employee ID], tblEmployee[Payable Flag], "Y")</f>
        <v>Y</v>
      </c>
      <c r="F808" s="45">
        <f>IF(tblPayrollMaster[[#This Row],[Payable Flag]]="N",0,_xlfn.XLOOKUP(tblPayrollMaster[[#This Row],[Employee ID]],tblEmployee[Employee ID],tblEmployee[Pay Factor],1))</f>
        <v>1</v>
      </c>
      <c r="G808" s="26" t="str" cm="1">
        <f t="array" ref="G808">IF(tblPayrollMaster[[#This Row],[Employee ID]]="","",_xlfn.XLOOKUP(selPayPeriodID,tblPayCalendar[PayPeriodID],tblPayCalendar[PeriodStart],""))</f>
        <v/>
      </c>
      <c r="H808" s="26" t="str" cm="1">
        <f t="array" ref="H808">IF(tblPayrollMaster[[#This Row],[Employee ID]]="","",_xlfn.XLOOKUP(selPayPeriodID,tblPayCalendar[PayPeriodID],tblPayCalendar[PeriodEnd],""))</f>
        <v/>
      </c>
      <c r="I808" s="24" t="e" cm="1" vm="1">
        <f t="array" aca="1" ref="I808" ca="1">Table18[Employer Name]</f>
        <v>#VALUE!</v>
      </c>
      <c r="J808" s="3" cm="1">
        <f t="array" ref="J80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08" s="25" t="str">
        <f>_xlfn.XLOOKUP(tblPayrollMaster[[#This Row],[Employee Position]],tblPositionandPayRate[Employee Position],tblPositionandPayRate[Overtime], " ")</f>
        <v xml:space="preserve"> </v>
      </c>
      <c r="L808" s="25">
        <f>_xlfn.XLOOKUP(tblPayrollMaster[[#This Row],[Employee Position]],tblPositionandPayRate[Employee Position],tblPositionandPayRate[Allowance 1],0)*tblPayrollMaster[[#This Row],[Pay Factor]]</f>
        <v>0</v>
      </c>
      <c r="M808" s="25">
        <f>_xlfn.XLOOKUP(tblPayrollMaster[[#This Row],[Employee Position]],tblPositionandPayRate[Employee Position],tblPositionandPayRate[Allowance 2],0)*tblPayrollMaster[[#This Row],[Pay Factor]]</f>
        <v>0</v>
      </c>
      <c r="N808" s="25">
        <f>_xlfn.XLOOKUP(tblPayrollMaster[[#This Row],[Employee Position]],tblPositionandPayRate[Employee Position],tblPositionandPayRate[Allowance 3],0)*tblPayrollMaster[[#This Row],[Pay Factor]]</f>
        <v>0</v>
      </c>
      <c r="O808" s="25">
        <f>_xlfn.XLOOKUP(tblPayrollMaster[[#This Row],[Employee Position]],tblPositionandPayRate[Employee Position],tblPositionandPayRate[Allowance 4],0)*tblPayrollMaster[[#This Row],[Pay Factor]]</f>
        <v>0</v>
      </c>
      <c r="P808" s="25">
        <f>_xlfn.XLOOKUP(tblPayrollMaster[[#This Row],[Employee Position]],tblPositionandPayRate[Employee Position],tblPositionandPayRate[Allowance 5],0)*tblPayrollMaster[[#This Row],[Pay Factor]]</f>
        <v>0</v>
      </c>
      <c r="Q808" s="25">
        <f>SUM(tblPayrollMaster[[#This Row],[Basic Pay]:[Allowance 5]])</f>
        <v>0</v>
      </c>
      <c r="R80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08" s="51" cm="1">
        <f t="array" ref="S8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08" s="3" cm="1">
        <f t="array" ref="T8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08" s="25">
        <f>_xlfn.LET(
_xlpm.tos, _xlfn.XLOOKUP(tblPayrollMaster[[#This Row],[Employee ID]], tblEmployee[Employee ID], tblEmployee[Type of Service], ""),
IF(_xlpm.tos="Contract of Service", 8.25, 0)
)</f>
        <v>0</v>
      </c>
      <c r="V808" s="25">
        <f>tblPayrollMaster[[#This Row],[Basic Earnings]]-tblPayrollMaster[[#This Row],[Tax]]-tblPayrollMaster[[#This Row],[NIS - Employee]]-tblPayrollMaster[[#This Row],[Health Surcharge]]</f>
        <v>0</v>
      </c>
      <c r="W808" s="25">
        <f>tblPayrollMaster[[#This Row],[Net Pay]]</f>
        <v>0</v>
      </c>
      <c r="X808" s="25"/>
    </row>
    <row r="809" spans="1:24" x14ac:dyDescent="0.25">
      <c r="A809" s="24"/>
      <c r="B809" s="24" t="str">
        <f>_xlfn.XLOOKUP(tblPayrollMaster[[#This Row],[Employee ID]],tblEmployee[Employee ID],tblEmployee[Employee Name],"")</f>
        <v/>
      </c>
      <c r="C809" s="24" t="str">
        <f>_xlfn.XLOOKUP(tblPayrollMaster[[#This Row],[Employee ID]],tblEmployee[Employee ID],tblEmployee[Employee Position],"")</f>
        <v/>
      </c>
      <c r="D809" s="24" t="str">
        <f>_xlfn.XLOOKUP(tblPayrollMaster[[#This Row],[Employee ID]], tblEmployee[Employee ID], tblEmployee[Pay Status], "Pay")</f>
        <v>Pay</v>
      </c>
      <c r="E809" s="24" t="str">
        <f>_xlfn.XLOOKUP(tblPayrollMaster[[#This Row],[Employee ID]], tblEmployee[Employee ID], tblEmployee[Payable Flag], "Y")</f>
        <v>Y</v>
      </c>
      <c r="F809" s="45">
        <f>IF(tblPayrollMaster[[#This Row],[Payable Flag]]="N",0,_xlfn.XLOOKUP(tblPayrollMaster[[#This Row],[Employee ID]],tblEmployee[Employee ID],tblEmployee[Pay Factor],1))</f>
        <v>1</v>
      </c>
      <c r="G809" s="26" t="str" cm="1">
        <f t="array" ref="G809">IF(tblPayrollMaster[[#This Row],[Employee ID]]="","",_xlfn.XLOOKUP(selPayPeriodID,tblPayCalendar[PayPeriodID],tblPayCalendar[PeriodStart],""))</f>
        <v/>
      </c>
      <c r="H809" s="26" t="str" cm="1">
        <f t="array" ref="H809">IF(tblPayrollMaster[[#This Row],[Employee ID]]="","",_xlfn.XLOOKUP(selPayPeriodID,tblPayCalendar[PayPeriodID],tblPayCalendar[PeriodEnd],""))</f>
        <v/>
      </c>
      <c r="I809" s="24" t="e" cm="1" vm="1">
        <f t="array" aca="1" ref="I809" ca="1">Table18[Employer Name]</f>
        <v>#VALUE!</v>
      </c>
      <c r="J809" s="3" cm="1">
        <f t="array" ref="J80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09" s="25" t="str">
        <f>_xlfn.XLOOKUP(tblPayrollMaster[[#This Row],[Employee Position]],tblPositionandPayRate[Employee Position],tblPositionandPayRate[Overtime], " ")</f>
        <v xml:space="preserve"> </v>
      </c>
      <c r="L809" s="25">
        <f>_xlfn.XLOOKUP(tblPayrollMaster[[#This Row],[Employee Position]],tblPositionandPayRate[Employee Position],tblPositionandPayRate[Allowance 1],0)*tblPayrollMaster[[#This Row],[Pay Factor]]</f>
        <v>0</v>
      </c>
      <c r="M809" s="25">
        <f>_xlfn.XLOOKUP(tblPayrollMaster[[#This Row],[Employee Position]],tblPositionandPayRate[Employee Position],tblPositionandPayRate[Allowance 2],0)*tblPayrollMaster[[#This Row],[Pay Factor]]</f>
        <v>0</v>
      </c>
      <c r="N809" s="25">
        <f>_xlfn.XLOOKUP(tblPayrollMaster[[#This Row],[Employee Position]],tblPositionandPayRate[Employee Position],tblPositionandPayRate[Allowance 3],0)*tblPayrollMaster[[#This Row],[Pay Factor]]</f>
        <v>0</v>
      </c>
      <c r="O809" s="25">
        <f>_xlfn.XLOOKUP(tblPayrollMaster[[#This Row],[Employee Position]],tblPositionandPayRate[Employee Position],tblPositionandPayRate[Allowance 4],0)*tblPayrollMaster[[#This Row],[Pay Factor]]</f>
        <v>0</v>
      </c>
      <c r="P809" s="25">
        <f>_xlfn.XLOOKUP(tblPayrollMaster[[#This Row],[Employee Position]],tblPositionandPayRate[Employee Position],tblPositionandPayRate[Allowance 5],0)*tblPayrollMaster[[#This Row],[Pay Factor]]</f>
        <v>0</v>
      </c>
      <c r="Q809" s="25">
        <f>SUM(tblPayrollMaster[[#This Row],[Basic Pay]:[Allowance 5]])</f>
        <v>0</v>
      </c>
      <c r="R80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09" s="51" cm="1">
        <f t="array" ref="S8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09" s="3" cm="1">
        <f t="array" ref="T8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09" s="25">
        <f>_xlfn.LET(
_xlpm.tos, _xlfn.XLOOKUP(tblPayrollMaster[[#This Row],[Employee ID]], tblEmployee[Employee ID], tblEmployee[Type of Service], ""),
IF(_xlpm.tos="Contract of Service", 8.25, 0)
)</f>
        <v>0</v>
      </c>
      <c r="V809" s="25">
        <f>tblPayrollMaster[[#This Row],[Basic Earnings]]-tblPayrollMaster[[#This Row],[Tax]]-tblPayrollMaster[[#This Row],[NIS - Employee]]-tblPayrollMaster[[#This Row],[Health Surcharge]]</f>
        <v>0</v>
      </c>
      <c r="W809" s="25">
        <f>tblPayrollMaster[[#This Row],[Net Pay]]</f>
        <v>0</v>
      </c>
      <c r="X809" s="25"/>
    </row>
    <row r="810" spans="1:24" x14ac:dyDescent="0.25">
      <c r="A810" s="24"/>
      <c r="B810" s="24" t="str">
        <f>_xlfn.XLOOKUP(tblPayrollMaster[[#This Row],[Employee ID]],tblEmployee[Employee ID],tblEmployee[Employee Name],"")</f>
        <v/>
      </c>
      <c r="C810" s="24" t="str">
        <f>_xlfn.XLOOKUP(tblPayrollMaster[[#This Row],[Employee ID]],tblEmployee[Employee ID],tblEmployee[Employee Position],"")</f>
        <v/>
      </c>
      <c r="D810" s="24" t="str">
        <f>_xlfn.XLOOKUP(tblPayrollMaster[[#This Row],[Employee ID]], tblEmployee[Employee ID], tblEmployee[Pay Status], "Pay")</f>
        <v>Pay</v>
      </c>
      <c r="E810" s="24" t="str">
        <f>_xlfn.XLOOKUP(tblPayrollMaster[[#This Row],[Employee ID]], tblEmployee[Employee ID], tblEmployee[Payable Flag], "Y")</f>
        <v>Y</v>
      </c>
      <c r="F810" s="45">
        <f>IF(tblPayrollMaster[[#This Row],[Payable Flag]]="N",0,_xlfn.XLOOKUP(tblPayrollMaster[[#This Row],[Employee ID]],tblEmployee[Employee ID],tblEmployee[Pay Factor],1))</f>
        <v>1</v>
      </c>
      <c r="G810" s="26" t="str" cm="1">
        <f t="array" ref="G810">IF(tblPayrollMaster[[#This Row],[Employee ID]]="","",_xlfn.XLOOKUP(selPayPeriodID,tblPayCalendar[PayPeriodID],tblPayCalendar[PeriodStart],""))</f>
        <v/>
      </c>
      <c r="H810" s="26" t="str" cm="1">
        <f t="array" ref="H810">IF(tblPayrollMaster[[#This Row],[Employee ID]]="","",_xlfn.XLOOKUP(selPayPeriodID,tblPayCalendar[PayPeriodID],tblPayCalendar[PeriodEnd],""))</f>
        <v/>
      </c>
      <c r="I810" s="24" t="e" cm="1" vm="1">
        <f t="array" aca="1" ref="I810" ca="1">Table18[Employer Name]</f>
        <v>#VALUE!</v>
      </c>
      <c r="J810" s="3" cm="1">
        <f t="array" ref="J81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10" s="25" t="str">
        <f>_xlfn.XLOOKUP(tblPayrollMaster[[#This Row],[Employee Position]],tblPositionandPayRate[Employee Position],tblPositionandPayRate[Overtime], " ")</f>
        <v xml:space="preserve"> </v>
      </c>
      <c r="L810" s="25">
        <f>_xlfn.XLOOKUP(tblPayrollMaster[[#This Row],[Employee Position]],tblPositionandPayRate[Employee Position],tblPositionandPayRate[Allowance 1],0)*tblPayrollMaster[[#This Row],[Pay Factor]]</f>
        <v>0</v>
      </c>
      <c r="M810" s="25">
        <f>_xlfn.XLOOKUP(tblPayrollMaster[[#This Row],[Employee Position]],tblPositionandPayRate[Employee Position],tblPositionandPayRate[Allowance 2],0)*tblPayrollMaster[[#This Row],[Pay Factor]]</f>
        <v>0</v>
      </c>
      <c r="N810" s="25">
        <f>_xlfn.XLOOKUP(tblPayrollMaster[[#This Row],[Employee Position]],tblPositionandPayRate[Employee Position],tblPositionandPayRate[Allowance 3],0)*tblPayrollMaster[[#This Row],[Pay Factor]]</f>
        <v>0</v>
      </c>
      <c r="O810" s="25">
        <f>_xlfn.XLOOKUP(tblPayrollMaster[[#This Row],[Employee Position]],tblPositionandPayRate[Employee Position],tblPositionandPayRate[Allowance 4],0)*tblPayrollMaster[[#This Row],[Pay Factor]]</f>
        <v>0</v>
      </c>
      <c r="P810" s="25">
        <f>_xlfn.XLOOKUP(tblPayrollMaster[[#This Row],[Employee Position]],tblPositionandPayRate[Employee Position],tblPositionandPayRate[Allowance 5],0)*tblPayrollMaster[[#This Row],[Pay Factor]]</f>
        <v>0</v>
      </c>
      <c r="Q810" s="25">
        <f>SUM(tblPayrollMaster[[#This Row],[Basic Pay]:[Allowance 5]])</f>
        <v>0</v>
      </c>
      <c r="R81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10" s="51" cm="1">
        <f t="array" ref="S8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10" s="3" cm="1">
        <f t="array" ref="T8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10" s="25">
        <f>_xlfn.LET(
_xlpm.tos, _xlfn.XLOOKUP(tblPayrollMaster[[#This Row],[Employee ID]], tblEmployee[Employee ID], tblEmployee[Type of Service], ""),
IF(_xlpm.tos="Contract of Service", 8.25, 0)
)</f>
        <v>0</v>
      </c>
      <c r="V810" s="25">
        <f>tblPayrollMaster[[#This Row],[Basic Earnings]]-tblPayrollMaster[[#This Row],[Tax]]-tblPayrollMaster[[#This Row],[NIS - Employee]]-tblPayrollMaster[[#This Row],[Health Surcharge]]</f>
        <v>0</v>
      </c>
      <c r="W810" s="25">
        <f>tblPayrollMaster[[#This Row],[Net Pay]]</f>
        <v>0</v>
      </c>
      <c r="X810" s="25"/>
    </row>
    <row r="811" spans="1:24" x14ac:dyDescent="0.25">
      <c r="A811" s="24"/>
      <c r="B811" s="24" t="str">
        <f>_xlfn.XLOOKUP(tblPayrollMaster[[#This Row],[Employee ID]],tblEmployee[Employee ID],tblEmployee[Employee Name],"")</f>
        <v/>
      </c>
      <c r="C811" s="24" t="str">
        <f>_xlfn.XLOOKUP(tblPayrollMaster[[#This Row],[Employee ID]],tblEmployee[Employee ID],tblEmployee[Employee Position],"")</f>
        <v/>
      </c>
      <c r="D811" s="24" t="str">
        <f>_xlfn.XLOOKUP(tblPayrollMaster[[#This Row],[Employee ID]], tblEmployee[Employee ID], tblEmployee[Pay Status], "Pay")</f>
        <v>Pay</v>
      </c>
      <c r="E811" s="24" t="str">
        <f>_xlfn.XLOOKUP(tblPayrollMaster[[#This Row],[Employee ID]], tblEmployee[Employee ID], tblEmployee[Payable Flag], "Y")</f>
        <v>Y</v>
      </c>
      <c r="F811" s="45">
        <f>IF(tblPayrollMaster[[#This Row],[Payable Flag]]="N",0,_xlfn.XLOOKUP(tblPayrollMaster[[#This Row],[Employee ID]],tblEmployee[Employee ID],tblEmployee[Pay Factor],1))</f>
        <v>1</v>
      </c>
      <c r="G811" s="26" t="str" cm="1">
        <f t="array" ref="G811">IF(tblPayrollMaster[[#This Row],[Employee ID]]="","",_xlfn.XLOOKUP(selPayPeriodID,tblPayCalendar[PayPeriodID],tblPayCalendar[PeriodStart],""))</f>
        <v/>
      </c>
      <c r="H811" s="26" t="str" cm="1">
        <f t="array" ref="H811">IF(tblPayrollMaster[[#This Row],[Employee ID]]="","",_xlfn.XLOOKUP(selPayPeriodID,tblPayCalendar[PayPeriodID],tblPayCalendar[PeriodEnd],""))</f>
        <v/>
      </c>
      <c r="I811" s="24" t="e" cm="1" vm="1">
        <f t="array" aca="1" ref="I811" ca="1">Table18[Employer Name]</f>
        <v>#VALUE!</v>
      </c>
      <c r="J811" s="3" cm="1">
        <f t="array" ref="J81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11" s="25" t="str">
        <f>_xlfn.XLOOKUP(tblPayrollMaster[[#This Row],[Employee Position]],tblPositionandPayRate[Employee Position],tblPositionandPayRate[Overtime], " ")</f>
        <v xml:space="preserve"> </v>
      </c>
      <c r="L811" s="25">
        <f>_xlfn.XLOOKUP(tblPayrollMaster[[#This Row],[Employee Position]],tblPositionandPayRate[Employee Position],tblPositionandPayRate[Allowance 1],0)*tblPayrollMaster[[#This Row],[Pay Factor]]</f>
        <v>0</v>
      </c>
      <c r="M811" s="25">
        <f>_xlfn.XLOOKUP(tblPayrollMaster[[#This Row],[Employee Position]],tblPositionandPayRate[Employee Position],tblPositionandPayRate[Allowance 2],0)*tblPayrollMaster[[#This Row],[Pay Factor]]</f>
        <v>0</v>
      </c>
      <c r="N811" s="25">
        <f>_xlfn.XLOOKUP(tblPayrollMaster[[#This Row],[Employee Position]],tblPositionandPayRate[Employee Position],tblPositionandPayRate[Allowance 3],0)*tblPayrollMaster[[#This Row],[Pay Factor]]</f>
        <v>0</v>
      </c>
      <c r="O811" s="25">
        <f>_xlfn.XLOOKUP(tblPayrollMaster[[#This Row],[Employee Position]],tblPositionandPayRate[Employee Position],tblPositionandPayRate[Allowance 4],0)*tblPayrollMaster[[#This Row],[Pay Factor]]</f>
        <v>0</v>
      </c>
      <c r="P811" s="25">
        <f>_xlfn.XLOOKUP(tblPayrollMaster[[#This Row],[Employee Position]],tblPositionandPayRate[Employee Position],tblPositionandPayRate[Allowance 5],0)*tblPayrollMaster[[#This Row],[Pay Factor]]</f>
        <v>0</v>
      </c>
      <c r="Q811" s="25">
        <f>SUM(tblPayrollMaster[[#This Row],[Basic Pay]:[Allowance 5]])</f>
        <v>0</v>
      </c>
      <c r="R81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11" s="51" cm="1">
        <f t="array" ref="S8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11" s="3" cm="1">
        <f t="array" ref="T8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11" s="25">
        <f>_xlfn.LET(
_xlpm.tos, _xlfn.XLOOKUP(tblPayrollMaster[[#This Row],[Employee ID]], tblEmployee[Employee ID], tblEmployee[Type of Service], ""),
IF(_xlpm.tos="Contract of Service", 8.25, 0)
)</f>
        <v>0</v>
      </c>
      <c r="V811" s="25">
        <f>tblPayrollMaster[[#This Row],[Basic Earnings]]-tblPayrollMaster[[#This Row],[Tax]]-tblPayrollMaster[[#This Row],[NIS - Employee]]-tblPayrollMaster[[#This Row],[Health Surcharge]]</f>
        <v>0</v>
      </c>
      <c r="W811" s="25">
        <f>tblPayrollMaster[[#This Row],[Net Pay]]</f>
        <v>0</v>
      </c>
      <c r="X811" s="25"/>
    </row>
    <row r="812" spans="1:24" x14ac:dyDescent="0.25">
      <c r="A812" s="24"/>
      <c r="B812" s="24" t="str">
        <f>_xlfn.XLOOKUP(tblPayrollMaster[[#This Row],[Employee ID]],tblEmployee[Employee ID],tblEmployee[Employee Name],"")</f>
        <v/>
      </c>
      <c r="C812" s="24" t="str">
        <f>_xlfn.XLOOKUP(tblPayrollMaster[[#This Row],[Employee ID]],tblEmployee[Employee ID],tblEmployee[Employee Position],"")</f>
        <v/>
      </c>
      <c r="D812" s="24" t="str">
        <f>_xlfn.XLOOKUP(tblPayrollMaster[[#This Row],[Employee ID]], tblEmployee[Employee ID], tblEmployee[Pay Status], "Pay")</f>
        <v>Pay</v>
      </c>
      <c r="E812" s="24" t="str">
        <f>_xlfn.XLOOKUP(tblPayrollMaster[[#This Row],[Employee ID]], tblEmployee[Employee ID], tblEmployee[Payable Flag], "Y")</f>
        <v>Y</v>
      </c>
      <c r="F812" s="45">
        <f>IF(tblPayrollMaster[[#This Row],[Payable Flag]]="N",0,_xlfn.XLOOKUP(tblPayrollMaster[[#This Row],[Employee ID]],tblEmployee[Employee ID],tblEmployee[Pay Factor],1))</f>
        <v>1</v>
      </c>
      <c r="G812" s="26" t="str" cm="1">
        <f t="array" ref="G812">IF(tblPayrollMaster[[#This Row],[Employee ID]]="","",_xlfn.XLOOKUP(selPayPeriodID,tblPayCalendar[PayPeriodID],tblPayCalendar[PeriodStart],""))</f>
        <v/>
      </c>
      <c r="H812" s="26" t="str" cm="1">
        <f t="array" ref="H812">IF(tblPayrollMaster[[#This Row],[Employee ID]]="","",_xlfn.XLOOKUP(selPayPeriodID,tblPayCalendar[PayPeriodID],tblPayCalendar[PeriodEnd],""))</f>
        <v/>
      </c>
      <c r="I812" s="24" t="e" cm="1" vm="1">
        <f t="array" aca="1" ref="I812" ca="1">Table18[Employer Name]</f>
        <v>#VALUE!</v>
      </c>
      <c r="J812" s="3" cm="1">
        <f t="array" ref="J81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12" s="25" t="str">
        <f>_xlfn.XLOOKUP(tblPayrollMaster[[#This Row],[Employee Position]],tblPositionandPayRate[Employee Position],tblPositionandPayRate[Overtime], " ")</f>
        <v xml:space="preserve"> </v>
      </c>
      <c r="L812" s="25">
        <f>_xlfn.XLOOKUP(tblPayrollMaster[[#This Row],[Employee Position]],tblPositionandPayRate[Employee Position],tblPositionandPayRate[Allowance 1],0)*tblPayrollMaster[[#This Row],[Pay Factor]]</f>
        <v>0</v>
      </c>
      <c r="M812" s="25">
        <f>_xlfn.XLOOKUP(tblPayrollMaster[[#This Row],[Employee Position]],tblPositionandPayRate[Employee Position],tblPositionandPayRate[Allowance 2],0)*tblPayrollMaster[[#This Row],[Pay Factor]]</f>
        <v>0</v>
      </c>
      <c r="N812" s="25">
        <f>_xlfn.XLOOKUP(tblPayrollMaster[[#This Row],[Employee Position]],tblPositionandPayRate[Employee Position],tblPositionandPayRate[Allowance 3],0)*tblPayrollMaster[[#This Row],[Pay Factor]]</f>
        <v>0</v>
      </c>
      <c r="O812" s="25">
        <f>_xlfn.XLOOKUP(tblPayrollMaster[[#This Row],[Employee Position]],tblPositionandPayRate[Employee Position],tblPositionandPayRate[Allowance 4],0)*tblPayrollMaster[[#This Row],[Pay Factor]]</f>
        <v>0</v>
      </c>
      <c r="P812" s="25">
        <f>_xlfn.XLOOKUP(tblPayrollMaster[[#This Row],[Employee Position]],tblPositionandPayRate[Employee Position],tblPositionandPayRate[Allowance 5],0)*tblPayrollMaster[[#This Row],[Pay Factor]]</f>
        <v>0</v>
      </c>
      <c r="Q812" s="25">
        <f>SUM(tblPayrollMaster[[#This Row],[Basic Pay]:[Allowance 5]])</f>
        <v>0</v>
      </c>
      <c r="R81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12" s="51" cm="1">
        <f t="array" ref="S8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12" s="3" cm="1">
        <f t="array" ref="T8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12" s="25">
        <f>_xlfn.LET(
_xlpm.tos, _xlfn.XLOOKUP(tblPayrollMaster[[#This Row],[Employee ID]], tblEmployee[Employee ID], tblEmployee[Type of Service], ""),
IF(_xlpm.tos="Contract of Service", 8.25, 0)
)</f>
        <v>0</v>
      </c>
      <c r="V812" s="25">
        <f>tblPayrollMaster[[#This Row],[Basic Earnings]]-tblPayrollMaster[[#This Row],[Tax]]-tblPayrollMaster[[#This Row],[NIS - Employee]]-tblPayrollMaster[[#This Row],[Health Surcharge]]</f>
        <v>0</v>
      </c>
      <c r="W812" s="25">
        <f>tblPayrollMaster[[#This Row],[Net Pay]]</f>
        <v>0</v>
      </c>
      <c r="X812" s="25"/>
    </row>
    <row r="813" spans="1:24" x14ac:dyDescent="0.25">
      <c r="A813" s="24"/>
      <c r="B813" s="24" t="str">
        <f>_xlfn.XLOOKUP(tblPayrollMaster[[#This Row],[Employee ID]],tblEmployee[Employee ID],tblEmployee[Employee Name],"")</f>
        <v/>
      </c>
      <c r="C813" s="24" t="str">
        <f>_xlfn.XLOOKUP(tblPayrollMaster[[#This Row],[Employee ID]],tblEmployee[Employee ID],tblEmployee[Employee Position],"")</f>
        <v/>
      </c>
      <c r="D813" s="24" t="str">
        <f>_xlfn.XLOOKUP(tblPayrollMaster[[#This Row],[Employee ID]], tblEmployee[Employee ID], tblEmployee[Pay Status], "Pay")</f>
        <v>Pay</v>
      </c>
      <c r="E813" s="24" t="str">
        <f>_xlfn.XLOOKUP(tblPayrollMaster[[#This Row],[Employee ID]], tblEmployee[Employee ID], tblEmployee[Payable Flag], "Y")</f>
        <v>Y</v>
      </c>
      <c r="F813" s="45">
        <f>IF(tblPayrollMaster[[#This Row],[Payable Flag]]="N",0,_xlfn.XLOOKUP(tblPayrollMaster[[#This Row],[Employee ID]],tblEmployee[Employee ID],tblEmployee[Pay Factor],1))</f>
        <v>1</v>
      </c>
      <c r="G813" s="26" t="str" cm="1">
        <f t="array" ref="G813">IF(tblPayrollMaster[[#This Row],[Employee ID]]="","",_xlfn.XLOOKUP(selPayPeriodID,tblPayCalendar[PayPeriodID],tblPayCalendar[PeriodStart],""))</f>
        <v/>
      </c>
      <c r="H813" s="26" t="str" cm="1">
        <f t="array" ref="H813">IF(tblPayrollMaster[[#This Row],[Employee ID]]="","",_xlfn.XLOOKUP(selPayPeriodID,tblPayCalendar[PayPeriodID],tblPayCalendar[PeriodEnd],""))</f>
        <v/>
      </c>
      <c r="I813" s="24" t="e" cm="1" vm="1">
        <f t="array" aca="1" ref="I813" ca="1">Table18[Employer Name]</f>
        <v>#VALUE!</v>
      </c>
      <c r="J813" s="3" cm="1">
        <f t="array" ref="J81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13" s="25" t="str">
        <f>_xlfn.XLOOKUP(tblPayrollMaster[[#This Row],[Employee Position]],tblPositionandPayRate[Employee Position],tblPositionandPayRate[Overtime], " ")</f>
        <v xml:space="preserve"> </v>
      </c>
      <c r="L813" s="25">
        <f>_xlfn.XLOOKUP(tblPayrollMaster[[#This Row],[Employee Position]],tblPositionandPayRate[Employee Position],tblPositionandPayRate[Allowance 1],0)*tblPayrollMaster[[#This Row],[Pay Factor]]</f>
        <v>0</v>
      </c>
      <c r="M813" s="25">
        <f>_xlfn.XLOOKUP(tblPayrollMaster[[#This Row],[Employee Position]],tblPositionandPayRate[Employee Position],tblPositionandPayRate[Allowance 2],0)*tblPayrollMaster[[#This Row],[Pay Factor]]</f>
        <v>0</v>
      </c>
      <c r="N813" s="25">
        <f>_xlfn.XLOOKUP(tblPayrollMaster[[#This Row],[Employee Position]],tblPositionandPayRate[Employee Position],tblPositionandPayRate[Allowance 3],0)*tblPayrollMaster[[#This Row],[Pay Factor]]</f>
        <v>0</v>
      </c>
      <c r="O813" s="25">
        <f>_xlfn.XLOOKUP(tblPayrollMaster[[#This Row],[Employee Position]],tblPositionandPayRate[Employee Position],tblPositionandPayRate[Allowance 4],0)*tblPayrollMaster[[#This Row],[Pay Factor]]</f>
        <v>0</v>
      </c>
      <c r="P813" s="25">
        <f>_xlfn.XLOOKUP(tblPayrollMaster[[#This Row],[Employee Position]],tblPositionandPayRate[Employee Position],tblPositionandPayRate[Allowance 5],0)*tblPayrollMaster[[#This Row],[Pay Factor]]</f>
        <v>0</v>
      </c>
      <c r="Q813" s="25">
        <f>SUM(tblPayrollMaster[[#This Row],[Basic Pay]:[Allowance 5]])</f>
        <v>0</v>
      </c>
      <c r="R81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13" s="51" cm="1">
        <f t="array" ref="S8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13" s="3" cm="1">
        <f t="array" ref="T8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13" s="25">
        <f>_xlfn.LET(
_xlpm.tos, _xlfn.XLOOKUP(tblPayrollMaster[[#This Row],[Employee ID]], tblEmployee[Employee ID], tblEmployee[Type of Service], ""),
IF(_xlpm.tos="Contract of Service", 8.25, 0)
)</f>
        <v>0</v>
      </c>
      <c r="V813" s="25">
        <f>tblPayrollMaster[[#This Row],[Basic Earnings]]-tblPayrollMaster[[#This Row],[Tax]]-tblPayrollMaster[[#This Row],[NIS - Employee]]-tblPayrollMaster[[#This Row],[Health Surcharge]]</f>
        <v>0</v>
      </c>
      <c r="W813" s="25">
        <f>tblPayrollMaster[[#This Row],[Net Pay]]</f>
        <v>0</v>
      </c>
      <c r="X813" s="25"/>
    </row>
    <row r="814" spans="1:24" x14ac:dyDescent="0.25">
      <c r="A814" s="24"/>
      <c r="B814" s="24" t="str">
        <f>_xlfn.XLOOKUP(tblPayrollMaster[[#This Row],[Employee ID]],tblEmployee[Employee ID],tblEmployee[Employee Name],"")</f>
        <v/>
      </c>
      <c r="C814" s="24" t="str">
        <f>_xlfn.XLOOKUP(tblPayrollMaster[[#This Row],[Employee ID]],tblEmployee[Employee ID],tblEmployee[Employee Position],"")</f>
        <v/>
      </c>
      <c r="D814" s="24" t="str">
        <f>_xlfn.XLOOKUP(tblPayrollMaster[[#This Row],[Employee ID]], tblEmployee[Employee ID], tblEmployee[Pay Status], "Pay")</f>
        <v>Pay</v>
      </c>
      <c r="E814" s="24" t="str">
        <f>_xlfn.XLOOKUP(tblPayrollMaster[[#This Row],[Employee ID]], tblEmployee[Employee ID], tblEmployee[Payable Flag], "Y")</f>
        <v>Y</v>
      </c>
      <c r="F814" s="45">
        <f>IF(tblPayrollMaster[[#This Row],[Payable Flag]]="N",0,_xlfn.XLOOKUP(tblPayrollMaster[[#This Row],[Employee ID]],tblEmployee[Employee ID],tblEmployee[Pay Factor],1))</f>
        <v>1</v>
      </c>
      <c r="G814" s="26" t="str" cm="1">
        <f t="array" ref="G814">IF(tblPayrollMaster[[#This Row],[Employee ID]]="","",_xlfn.XLOOKUP(selPayPeriodID,tblPayCalendar[PayPeriodID],tblPayCalendar[PeriodStart],""))</f>
        <v/>
      </c>
      <c r="H814" s="26" t="str" cm="1">
        <f t="array" ref="H814">IF(tblPayrollMaster[[#This Row],[Employee ID]]="","",_xlfn.XLOOKUP(selPayPeriodID,tblPayCalendar[PayPeriodID],tblPayCalendar[PeriodEnd],""))</f>
        <v/>
      </c>
      <c r="I814" s="24" t="e" cm="1" vm="1">
        <f t="array" aca="1" ref="I814" ca="1">Table18[Employer Name]</f>
        <v>#VALUE!</v>
      </c>
      <c r="J814" s="3" cm="1">
        <f t="array" ref="J81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14" s="25" t="str">
        <f>_xlfn.XLOOKUP(tblPayrollMaster[[#This Row],[Employee Position]],tblPositionandPayRate[Employee Position],tblPositionandPayRate[Overtime], " ")</f>
        <v xml:space="preserve"> </v>
      </c>
      <c r="L814" s="25">
        <f>_xlfn.XLOOKUP(tblPayrollMaster[[#This Row],[Employee Position]],tblPositionandPayRate[Employee Position],tblPositionandPayRate[Allowance 1],0)*tblPayrollMaster[[#This Row],[Pay Factor]]</f>
        <v>0</v>
      </c>
      <c r="M814" s="25">
        <f>_xlfn.XLOOKUP(tblPayrollMaster[[#This Row],[Employee Position]],tblPositionandPayRate[Employee Position],tblPositionandPayRate[Allowance 2],0)*tblPayrollMaster[[#This Row],[Pay Factor]]</f>
        <v>0</v>
      </c>
      <c r="N814" s="25">
        <f>_xlfn.XLOOKUP(tblPayrollMaster[[#This Row],[Employee Position]],tblPositionandPayRate[Employee Position],tblPositionandPayRate[Allowance 3],0)*tblPayrollMaster[[#This Row],[Pay Factor]]</f>
        <v>0</v>
      </c>
      <c r="O814" s="25">
        <f>_xlfn.XLOOKUP(tblPayrollMaster[[#This Row],[Employee Position]],tblPositionandPayRate[Employee Position],tblPositionandPayRate[Allowance 4],0)*tblPayrollMaster[[#This Row],[Pay Factor]]</f>
        <v>0</v>
      </c>
      <c r="P814" s="25">
        <f>_xlfn.XLOOKUP(tblPayrollMaster[[#This Row],[Employee Position]],tblPositionandPayRate[Employee Position],tblPositionandPayRate[Allowance 5],0)*tblPayrollMaster[[#This Row],[Pay Factor]]</f>
        <v>0</v>
      </c>
      <c r="Q814" s="25">
        <f>SUM(tblPayrollMaster[[#This Row],[Basic Pay]:[Allowance 5]])</f>
        <v>0</v>
      </c>
      <c r="R81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14" s="51" cm="1">
        <f t="array" ref="S8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14" s="3" cm="1">
        <f t="array" ref="T8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14" s="25">
        <f>_xlfn.LET(
_xlpm.tos, _xlfn.XLOOKUP(tblPayrollMaster[[#This Row],[Employee ID]], tblEmployee[Employee ID], tblEmployee[Type of Service], ""),
IF(_xlpm.tos="Contract of Service", 8.25, 0)
)</f>
        <v>0</v>
      </c>
      <c r="V814" s="25">
        <f>tblPayrollMaster[[#This Row],[Basic Earnings]]-tblPayrollMaster[[#This Row],[Tax]]-tblPayrollMaster[[#This Row],[NIS - Employee]]-tblPayrollMaster[[#This Row],[Health Surcharge]]</f>
        <v>0</v>
      </c>
      <c r="W814" s="25">
        <f>tblPayrollMaster[[#This Row],[Net Pay]]</f>
        <v>0</v>
      </c>
      <c r="X814" s="25"/>
    </row>
    <row r="815" spans="1:24" x14ac:dyDescent="0.25">
      <c r="A815" s="24"/>
      <c r="B815" s="24" t="str">
        <f>_xlfn.XLOOKUP(tblPayrollMaster[[#This Row],[Employee ID]],tblEmployee[Employee ID],tblEmployee[Employee Name],"")</f>
        <v/>
      </c>
      <c r="C815" s="24" t="str">
        <f>_xlfn.XLOOKUP(tblPayrollMaster[[#This Row],[Employee ID]],tblEmployee[Employee ID],tblEmployee[Employee Position],"")</f>
        <v/>
      </c>
      <c r="D815" s="24" t="str">
        <f>_xlfn.XLOOKUP(tblPayrollMaster[[#This Row],[Employee ID]], tblEmployee[Employee ID], tblEmployee[Pay Status], "Pay")</f>
        <v>Pay</v>
      </c>
      <c r="E815" s="24" t="str">
        <f>_xlfn.XLOOKUP(tblPayrollMaster[[#This Row],[Employee ID]], tblEmployee[Employee ID], tblEmployee[Payable Flag], "Y")</f>
        <v>Y</v>
      </c>
      <c r="F815" s="45">
        <f>IF(tblPayrollMaster[[#This Row],[Payable Flag]]="N",0,_xlfn.XLOOKUP(tblPayrollMaster[[#This Row],[Employee ID]],tblEmployee[Employee ID],tblEmployee[Pay Factor],1))</f>
        <v>1</v>
      </c>
      <c r="G815" s="26" t="str" cm="1">
        <f t="array" ref="G815">IF(tblPayrollMaster[[#This Row],[Employee ID]]="","",_xlfn.XLOOKUP(selPayPeriodID,tblPayCalendar[PayPeriodID],tblPayCalendar[PeriodStart],""))</f>
        <v/>
      </c>
      <c r="H815" s="26" t="str" cm="1">
        <f t="array" ref="H815">IF(tblPayrollMaster[[#This Row],[Employee ID]]="","",_xlfn.XLOOKUP(selPayPeriodID,tblPayCalendar[PayPeriodID],tblPayCalendar[PeriodEnd],""))</f>
        <v/>
      </c>
      <c r="I815" s="24" t="e" cm="1" vm="1">
        <f t="array" aca="1" ref="I815" ca="1">Table18[Employer Name]</f>
        <v>#VALUE!</v>
      </c>
      <c r="J815" s="3" cm="1">
        <f t="array" ref="J81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15" s="25" t="str">
        <f>_xlfn.XLOOKUP(tblPayrollMaster[[#This Row],[Employee Position]],tblPositionandPayRate[Employee Position],tblPositionandPayRate[Overtime], " ")</f>
        <v xml:space="preserve"> </v>
      </c>
      <c r="L815" s="25">
        <f>_xlfn.XLOOKUP(tblPayrollMaster[[#This Row],[Employee Position]],tblPositionandPayRate[Employee Position],tblPositionandPayRate[Allowance 1],0)*tblPayrollMaster[[#This Row],[Pay Factor]]</f>
        <v>0</v>
      </c>
      <c r="M815" s="25">
        <f>_xlfn.XLOOKUP(tblPayrollMaster[[#This Row],[Employee Position]],tblPositionandPayRate[Employee Position],tblPositionandPayRate[Allowance 2],0)*tblPayrollMaster[[#This Row],[Pay Factor]]</f>
        <v>0</v>
      </c>
      <c r="N815" s="25">
        <f>_xlfn.XLOOKUP(tblPayrollMaster[[#This Row],[Employee Position]],tblPositionandPayRate[Employee Position],tblPositionandPayRate[Allowance 3],0)*tblPayrollMaster[[#This Row],[Pay Factor]]</f>
        <v>0</v>
      </c>
      <c r="O815" s="25">
        <f>_xlfn.XLOOKUP(tblPayrollMaster[[#This Row],[Employee Position]],tblPositionandPayRate[Employee Position],tblPositionandPayRate[Allowance 4],0)*tblPayrollMaster[[#This Row],[Pay Factor]]</f>
        <v>0</v>
      </c>
      <c r="P815" s="25">
        <f>_xlfn.XLOOKUP(tblPayrollMaster[[#This Row],[Employee Position]],tblPositionandPayRate[Employee Position],tblPositionandPayRate[Allowance 5],0)*tblPayrollMaster[[#This Row],[Pay Factor]]</f>
        <v>0</v>
      </c>
      <c r="Q815" s="25">
        <f>SUM(tblPayrollMaster[[#This Row],[Basic Pay]:[Allowance 5]])</f>
        <v>0</v>
      </c>
      <c r="R81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15" s="51" cm="1">
        <f t="array" ref="S8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15" s="3" cm="1">
        <f t="array" ref="T8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15" s="25">
        <f>_xlfn.LET(
_xlpm.tos, _xlfn.XLOOKUP(tblPayrollMaster[[#This Row],[Employee ID]], tblEmployee[Employee ID], tblEmployee[Type of Service], ""),
IF(_xlpm.tos="Contract of Service", 8.25, 0)
)</f>
        <v>0</v>
      </c>
      <c r="V815" s="25">
        <f>tblPayrollMaster[[#This Row],[Basic Earnings]]-tblPayrollMaster[[#This Row],[Tax]]-tblPayrollMaster[[#This Row],[NIS - Employee]]-tblPayrollMaster[[#This Row],[Health Surcharge]]</f>
        <v>0</v>
      </c>
      <c r="W815" s="25">
        <f>tblPayrollMaster[[#This Row],[Net Pay]]</f>
        <v>0</v>
      </c>
      <c r="X815" s="25"/>
    </row>
    <row r="816" spans="1:24" x14ac:dyDescent="0.25">
      <c r="A816" s="24"/>
      <c r="B816" s="24" t="str">
        <f>_xlfn.XLOOKUP(tblPayrollMaster[[#This Row],[Employee ID]],tblEmployee[Employee ID],tblEmployee[Employee Name],"")</f>
        <v/>
      </c>
      <c r="C816" s="24" t="str">
        <f>_xlfn.XLOOKUP(tblPayrollMaster[[#This Row],[Employee ID]],tblEmployee[Employee ID],tblEmployee[Employee Position],"")</f>
        <v/>
      </c>
      <c r="D816" s="24" t="str">
        <f>_xlfn.XLOOKUP(tblPayrollMaster[[#This Row],[Employee ID]], tblEmployee[Employee ID], tblEmployee[Pay Status], "Pay")</f>
        <v>Pay</v>
      </c>
      <c r="E816" s="24" t="str">
        <f>_xlfn.XLOOKUP(tblPayrollMaster[[#This Row],[Employee ID]], tblEmployee[Employee ID], tblEmployee[Payable Flag], "Y")</f>
        <v>Y</v>
      </c>
      <c r="F816" s="45">
        <f>IF(tblPayrollMaster[[#This Row],[Payable Flag]]="N",0,_xlfn.XLOOKUP(tblPayrollMaster[[#This Row],[Employee ID]],tblEmployee[Employee ID],tblEmployee[Pay Factor],1))</f>
        <v>1</v>
      </c>
      <c r="G816" s="26" t="str" cm="1">
        <f t="array" ref="G816">IF(tblPayrollMaster[[#This Row],[Employee ID]]="","",_xlfn.XLOOKUP(selPayPeriodID,tblPayCalendar[PayPeriodID],tblPayCalendar[PeriodStart],""))</f>
        <v/>
      </c>
      <c r="H816" s="26" t="str" cm="1">
        <f t="array" ref="H816">IF(tblPayrollMaster[[#This Row],[Employee ID]]="","",_xlfn.XLOOKUP(selPayPeriodID,tblPayCalendar[PayPeriodID],tblPayCalendar[PeriodEnd],""))</f>
        <v/>
      </c>
      <c r="I816" s="24" t="e" cm="1" vm="1">
        <f t="array" aca="1" ref="I816" ca="1">Table18[Employer Name]</f>
        <v>#VALUE!</v>
      </c>
      <c r="J816" s="3" cm="1">
        <f t="array" ref="J81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16" s="25" t="str">
        <f>_xlfn.XLOOKUP(tblPayrollMaster[[#This Row],[Employee Position]],tblPositionandPayRate[Employee Position],tblPositionandPayRate[Overtime], " ")</f>
        <v xml:space="preserve"> </v>
      </c>
      <c r="L816" s="25">
        <f>_xlfn.XLOOKUP(tblPayrollMaster[[#This Row],[Employee Position]],tblPositionandPayRate[Employee Position],tblPositionandPayRate[Allowance 1],0)*tblPayrollMaster[[#This Row],[Pay Factor]]</f>
        <v>0</v>
      </c>
      <c r="M816" s="25">
        <f>_xlfn.XLOOKUP(tblPayrollMaster[[#This Row],[Employee Position]],tblPositionandPayRate[Employee Position],tblPositionandPayRate[Allowance 2],0)*tblPayrollMaster[[#This Row],[Pay Factor]]</f>
        <v>0</v>
      </c>
      <c r="N816" s="25">
        <f>_xlfn.XLOOKUP(tblPayrollMaster[[#This Row],[Employee Position]],tblPositionandPayRate[Employee Position],tblPositionandPayRate[Allowance 3],0)*tblPayrollMaster[[#This Row],[Pay Factor]]</f>
        <v>0</v>
      </c>
      <c r="O816" s="25">
        <f>_xlfn.XLOOKUP(tblPayrollMaster[[#This Row],[Employee Position]],tblPositionandPayRate[Employee Position],tblPositionandPayRate[Allowance 4],0)*tblPayrollMaster[[#This Row],[Pay Factor]]</f>
        <v>0</v>
      </c>
      <c r="P816" s="25">
        <f>_xlfn.XLOOKUP(tblPayrollMaster[[#This Row],[Employee Position]],tblPositionandPayRate[Employee Position],tblPositionandPayRate[Allowance 5],0)*tblPayrollMaster[[#This Row],[Pay Factor]]</f>
        <v>0</v>
      </c>
      <c r="Q816" s="25">
        <f>SUM(tblPayrollMaster[[#This Row],[Basic Pay]:[Allowance 5]])</f>
        <v>0</v>
      </c>
      <c r="R81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16" s="51" cm="1">
        <f t="array" ref="S8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16" s="3" cm="1">
        <f t="array" ref="T8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16" s="25">
        <f>_xlfn.LET(
_xlpm.tos, _xlfn.XLOOKUP(tblPayrollMaster[[#This Row],[Employee ID]], tblEmployee[Employee ID], tblEmployee[Type of Service], ""),
IF(_xlpm.tos="Contract of Service", 8.25, 0)
)</f>
        <v>0</v>
      </c>
      <c r="V816" s="25">
        <f>tblPayrollMaster[[#This Row],[Basic Earnings]]-tblPayrollMaster[[#This Row],[Tax]]-tblPayrollMaster[[#This Row],[NIS - Employee]]-tblPayrollMaster[[#This Row],[Health Surcharge]]</f>
        <v>0</v>
      </c>
      <c r="W816" s="25">
        <f>tblPayrollMaster[[#This Row],[Net Pay]]</f>
        <v>0</v>
      </c>
      <c r="X816" s="25"/>
    </row>
    <row r="817" spans="1:24" x14ac:dyDescent="0.25">
      <c r="A817" s="24"/>
      <c r="B817" s="24" t="str">
        <f>_xlfn.XLOOKUP(tblPayrollMaster[[#This Row],[Employee ID]],tblEmployee[Employee ID],tblEmployee[Employee Name],"")</f>
        <v/>
      </c>
      <c r="C817" s="24" t="str">
        <f>_xlfn.XLOOKUP(tblPayrollMaster[[#This Row],[Employee ID]],tblEmployee[Employee ID],tblEmployee[Employee Position],"")</f>
        <v/>
      </c>
      <c r="D817" s="24" t="str">
        <f>_xlfn.XLOOKUP(tblPayrollMaster[[#This Row],[Employee ID]], tblEmployee[Employee ID], tblEmployee[Pay Status], "Pay")</f>
        <v>Pay</v>
      </c>
      <c r="E817" s="24" t="str">
        <f>_xlfn.XLOOKUP(tblPayrollMaster[[#This Row],[Employee ID]], tblEmployee[Employee ID], tblEmployee[Payable Flag], "Y")</f>
        <v>Y</v>
      </c>
      <c r="F817" s="45">
        <f>IF(tblPayrollMaster[[#This Row],[Payable Flag]]="N",0,_xlfn.XLOOKUP(tblPayrollMaster[[#This Row],[Employee ID]],tblEmployee[Employee ID],tblEmployee[Pay Factor],1))</f>
        <v>1</v>
      </c>
      <c r="G817" s="26" t="str" cm="1">
        <f t="array" ref="G817">IF(tblPayrollMaster[[#This Row],[Employee ID]]="","",_xlfn.XLOOKUP(selPayPeriodID,tblPayCalendar[PayPeriodID],tblPayCalendar[PeriodStart],""))</f>
        <v/>
      </c>
      <c r="H817" s="26" t="str" cm="1">
        <f t="array" ref="H817">IF(tblPayrollMaster[[#This Row],[Employee ID]]="","",_xlfn.XLOOKUP(selPayPeriodID,tblPayCalendar[PayPeriodID],tblPayCalendar[PeriodEnd],""))</f>
        <v/>
      </c>
      <c r="I817" s="24" t="e" cm="1" vm="1">
        <f t="array" aca="1" ref="I817" ca="1">Table18[Employer Name]</f>
        <v>#VALUE!</v>
      </c>
      <c r="J817" s="3" cm="1">
        <f t="array" ref="J81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17" s="25" t="str">
        <f>_xlfn.XLOOKUP(tblPayrollMaster[[#This Row],[Employee Position]],tblPositionandPayRate[Employee Position],tblPositionandPayRate[Overtime], " ")</f>
        <v xml:space="preserve"> </v>
      </c>
      <c r="L817" s="25">
        <f>_xlfn.XLOOKUP(tblPayrollMaster[[#This Row],[Employee Position]],tblPositionandPayRate[Employee Position],tblPositionandPayRate[Allowance 1],0)*tblPayrollMaster[[#This Row],[Pay Factor]]</f>
        <v>0</v>
      </c>
      <c r="M817" s="25">
        <f>_xlfn.XLOOKUP(tblPayrollMaster[[#This Row],[Employee Position]],tblPositionandPayRate[Employee Position],tblPositionandPayRate[Allowance 2],0)*tblPayrollMaster[[#This Row],[Pay Factor]]</f>
        <v>0</v>
      </c>
      <c r="N817" s="25">
        <f>_xlfn.XLOOKUP(tblPayrollMaster[[#This Row],[Employee Position]],tblPositionandPayRate[Employee Position],tblPositionandPayRate[Allowance 3],0)*tblPayrollMaster[[#This Row],[Pay Factor]]</f>
        <v>0</v>
      </c>
      <c r="O817" s="25">
        <f>_xlfn.XLOOKUP(tblPayrollMaster[[#This Row],[Employee Position]],tblPositionandPayRate[Employee Position],tblPositionandPayRate[Allowance 4],0)*tblPayrollMaster[[#This Row],[Pay Factor]]</f>
        <v>0</v>
      </c>
      <c r="P817" s="25">
        <f>_xlfn.XLOOKUP(tblPayrollMaster[[#This Row],[Employee Position]],tblPositionandPayRate[Employee Position],tblPositionandPayRate[Allowance 5],0)*tblPayrollMaster[[#This Row],[Pay Factor]]</f>
        <v>0</v>
      </c>
      <c r="Q817" s="25">
        <f>SUM(tblPayrollMaster[[#This Row],[Basic Pay]:[Allowance 5]])</f>
        <v>0</v>
      </c>
      <c r="R81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17" s="51" cm="1">
        <f t="array" ref="S8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17" s="3" cm="1">
        <f t="array" ref="T8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17" s="25">
        <f>_xlfn.LET(
_xlpm.tos, _xlfn.XLOOKUP(tblPayrollMaster[[#This Row],[Employee ID]], tblEmployee[Employee ID], tblEmployee[Type of Service], ""),
IF(_xlpm.tos="Contract of Service", 8.25, 0)
)</f>
        <v>0</v>
      </c>
      <c r="V817" s="25">
        <f>tblPayrollMaster[[#This Row],[Basic Earnings]]-tblPayrollMaster[[#This Row],[Tax]]-tblPayrollMaster[[#This Row],[NIS - Employee]]-tblPayrollMaster[[#This Row],[Health Surcharge]]</f>
        <v>0</v>
      </c>
      <c r="W817" s="25">
        <f>tblPayrollMaster[[#This Row],[Net Pay]]</f>
        <v>0</v>
      </c>
      <c r="X817" s="25"/>
    </row>
    <row r="818" spans="1:24" x14ac:dyDescent="0.25">
      <c r="A818" s="24"/>
      <c r="B818" s="24" t="str">
        <f>_xlfn.XLOOKUP(tblPayrollMaster[[#This Row],[Employee ID]],tblEmployee[Employee ID],tblEmployee[Employee Name],"")</f>
        <v/>
      </c>
      <c r="C818" s="24" t="str">
        <f>_xlfn.XLOOKUP(tblPayrollMaster[[#This Row],[Employee ID]],tblEmployee[Employee ID],tblEmployee[Employee Position],"")</f>
        <v/>
      </c>
      <c r="D818" s="24" t="str">
        <f>_xlfn.XLOOKUP(tblPayrollMaster[[#This Row],[Employee ID]], tblEmployee[Employee ID], tblEmployee[Pay Status], "Pay")</f>
        <v>Pay</v>
      </c>
      <c r="E818" s="24" t="str">
        <f>_xlfn.XLOOKUP(tblPayrollMaster[[#This Row],[Employee ID]], tblEmployee[Employee ID], tblEmployee[Payable Flag], "Y")</f>
        <v>Y</v>
      </c>
      <c r="F818" s="45">
        <f>IF(tblPayrollMaster[[#This Row],[Payable Flag]]="N",0,_xlfn.XLOOKUP(tblPayrollMaster[[#This Row],[Employee ID]],tblEmployee[Employee ID],tblEmployee[Pay Factor],1))</f>
        <v>1</v>
      </c>
      <c r="G818" s="26" t="str" cm="1">
        <f t="array" ref="G818">IF(tblPayrollMaster[[#This Row],[Employee ID]]="","",_xlfn.XLOOKUP(selPayPeriodID,tblPayCalendar[PayPeriodID],tblPayCalendar[PeriodStart],""))</f>
        <v/>
      </c>
      <c r="H818" s="26" t="str" cm="1">
        <f t="array" ref="H818">IF(tblPayrollMaster[[#This Row],[Employee ID]]="","",_xlfn.XLOOKUP(selPayPeriodID,tblPayCalendar[PayPeriodID],tblPayCalendar[PeriodEnd],""))</f>
        <v/>
      </c>
      <c r="I818" s="24" t="e" cm="1" vm="1">
        <f t="array" aca="1" ref="I818" ca="1">Table18[Employer Name]</f>
        <v>#VALUE!</v>
      </c>
      <c r="J818" s="3" cm="1">
        <f t="array" ref="J81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18" s="25" t="str">
        <f>_xlfn.XLOOKUP(tblPayrollMaster[[#This Row],[Employee Position]],tblPositionandPayRate[Employee Position],tblPositionandPayRate[Overtime], " ")</f>
        <v xml:space="preserve"> </v>
      </c>
      <c r="L818" s="25">
        <f>_xlfn.XLOOKUP(tblPayrollMaster[[#This Row],[Employee Position]],tblPositionandPayRate[Employee Position],tblPositionandPayRate[Allowance 1],0)*tblPayrollMaster[[#This Row],[Pay Factor]]</f>
        <v>0</v>
      </c>
      <c r="M818" s="25">
        <f>_xlfn.XLOOKUP(tblPayrollMaster[[#This Row],[Employee Position]],tblPositionandPayRate[Employee Position],tblPositionandPayRate[Allowance 2],0)*tblPayrollMaster[[#This Row],[Pay Factor]]</f>
        <v>0</v>
      </c>
      <c r="N818" s="25">
        <f>_xlfn.XLOOKUP(tblPayrollMaster[[#This Row],[Employee Position]],tblPositionandPayRate[Employee Position],tblPositionandPayRate[Allowance 3],0)*tblPayrollMaster[[#This Row],[Pay Factor]]</f>
        <v>0</v>
      </c>
      <c r="O818" s="25">
        <f>_xlfn.XLOOKUP(tblPayrollMaster[[#This Row],[Employee Position]],tblPositionandPayRate[Employee Position],tblPositionandPayRate[Allowance 4],0)*tblPayrollMaster[[#This Row],[Pay Factor]]</f>
        <v>0</v>
      </c>
      <c r="P818" s="25">
        <f>_xlfn.XLOOKUP(tblPayrollMaster[[#This Row],[Employee Position]],tblPositionandPayRate[Employee Position],tblPositionandPayRate[Allowance 5],0)*tblPayrollMaster[[#This Row],[Pay Factor]]</f>
        <v>0</v>
      </c>
      <c r="Q818" s="25">
        <f>SUM(tblPayrollMaster[[#This Row],[Basic Pay]:[Allowance 5]])</f>
        <v>0</v>
      </c>
      <c r="R81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18" s="51" cm="1">
        <f t="array" ref="S8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18" s="3" cm="1">
        <f t="array" ref="T8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18" s="25">
        <f>_xlfn.LET(
_xlpm.tos, _xlfn.XLOOKUP(tblPayrollMaster[[#This Row],[Employee ID]], tblEmployee[Employee ID], tblEmployee[Type of Service], ""),
IF(_xlpm.tos="Contract of Service", 8.25, 0)
)</f>
        <v>0</v>
      </c>
      <c r="V818" s="25">
        <f>tblPayrollMaster[[#This Row],[Basic Earnings]]-tblPayrollMaster[[#This Row],[Tax]]-tblPayrollMaster[[#This Row],[NIS - Employee]]-tblPayrollMaster[[#This Row],[Health Surcharge]]</f>
        <v>0</v>
      </c>
      <c r="W818" s="25">
        <f>tblPayrollMaster[[#This Row],[Net Pay]]</f>
        <v>0</v>
      </c>
      <c r="X818" s="25"/>
    </row>
    <row r="819" spans="1:24" x14ac:dyDescent="0.25">
      <c r="A819" s="24"/>
      <c r="B819" s="24" t="str">
        <f>_xlfn.XLOOKUP(tblPayrollMaster[[#This Row],[Employee ID]],tblEmployee[Employee ID],tblEmployee[Employee Name],"")</f>
        <v/>
      </c>
      <c r="C819" s="24" t="str">
        <f>_xlfn.XLOOKUP(tblPayrollMaster[[#This Row],[Employee ID]],tblEmployee[Employee ID],tblEmployee[Employee Position],"")</f>
        <v/>
      </c>
      <c r="D819" s="24" t="str">
        <f>_xlfn.XLOOKUP(tblPayrollMaster[[#This Row],[Employee ID]], tblEmployee[Employee ID], tblEmployee[Pay Status], "Pay")</f>
        <v>Pay</v>
      </c>
      <c r="E819" s="24" t="str">
        <f>_xlfn.XLOOKUP(tblPayrollMaster[[#This Row],[Employee ID]], tblEmployee[Employee ID], tblEmployee[Payable Flag], "Y")</f>
        <v>Y</v>
      </c>
      <c r="F819" s="45">
        <f>IF(tblPayrollMaster[[#This Row],[Payable Flag]]="N",0,_xlfn.XLOOKUP(tblPayrollMaster[[#This Row],[Employee ID]],tblEmployee[Employee ID],tblEmployee[Pay Factor],1))</f>
        <v>1</v>
      </c>
      <c r="G819" s="26" t="str" cm="1">
        <f t="array" ref="G819">IF(tblPayrollMaster[[#This Row],[Employee ID]]="","",_xlfn.XLOOKUP(selPayPeriodID,tblPayCalendar[PayPeriodID],tblPayCalendar[PeriodStart],""))</f>
        <v/>
      </c>
      <c r="H819" s="26" t="str" cm="1">
        <f t="array" ref="H819">IF(tblPayrollMaster[[#This Row],[Employee ID]]="","",_xlfn.XLOOKUP(selPayPeriodID,tblPayCalendar[PayPeriodID],tblPayCalendar[PeriodEnd],""))</f>
        <v/>
      </c>
      <c r="I819" s="24" t="e" cm="1" vm="1">
        <f t="array" aca="1" ref="I819" ca="1">Table18[Employer Name]</f>
        <v>#VALUE!</v>
      </c>
      <c r="J819" s="3" cm="1">
        <f t="array" ref="J81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19" s="25" t="str">
        <f>_xlfn.XLOOKUP(tblPayrollMaster[[#This Row],[Employee Position]],tblPositionandPayRate[Employee Position],tblPositionandPayRate[Overtime], " ")</f>
        <v xml:space="preserve"> </v>
      </c>
      <c r="L819" s="25">
        <f>_xlfn.XLOOKUP(tblPayrollMaster[[#This Row],[Employee Position]],tblPositionandPayRate[Employee Position],tblPositionandPayRate[Allowance 1],0)*tblPayrollMaster[[#This Row],[Pay Factor]]</f>
        <v>0</v>
      </c>
      <c r="M819" s="25">
        <f>_xlfn.XLOOKUP(tblPayrollMaster[[#This Row],[Employee Position]],tblPositionandPayRate[Employee Position],tblPositionandPayRate[Allowance 2],0)*tblPayrollMaster[[#This Row],[Pay Factor]]</f>
        <v>0</v>
      </c>
      <c r="N819" s="25">
        <f>_xlfn.XLOOKUP(tblPayrollMaster[[#This Row],[Employee Position]],tblPositionandPayRate[Employee Position],tblPositionandPayRate[Allowance 3],0)*tblPayrollMaster[[#This Row],[Pay Factor]]</f>
        <v>0</v>
      </c>
      <c r="O819" s="25">
        <f>_xlfn.XLOOKUP(tblPayrollMaster[[#This Row],[Employee Position]],tblPositionandPayRate[Employee Position],tblPositionandPayRate[Allowance 4],0)*tblPayrollMaster[[#This Row],[Pay Factor]]</f>
        <v>0</v>
      </c>
      <c r="P819" s="25">
        <f>_xlfn.XLOOKUP(tblPayrollMaster[[#This Row],[Employee Position]],tblPositionandPayRate[Employee Position],tblPositionandPayRate[Allowance 5],0)*tblPayrollMaster[[#This Row],[Pay Factor]]</f>
        <v>0</v>
      </c>
      <c r="Q819" s="25">
        <f>SUM(tblPayrollMaster[[#This Row],[Basic Pay]:[Allowance 5]])</f>
        <v>0</v>
      </c>
      <c r="R81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19" s="51" cm="1">
        <f t="array" ref="S8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19" s="3" cm="1">
        <f t="array" ref="T8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19" s="25">
        <f>_xlfn.LET(
_xlpm.tos, _xlfn.XLOOKUP(tblPayrollMaster[[#This Row],[Employee ID]], tblEmployee[Employee ID], tblEmployee[Type of Service], ""),
IF(_xlpm.tos="Contract of Service", 8.25, 0)
)</f>
        <v>0</v>
      </c>
      <c r="V819" s="25">
        <f>tblPayrollMaster[[#This Row],[Basic Earnings]]-tblPayrollMaster[[#This Row],[Tax]]-tblPayrollMaster[[#This Row],[NIS - Employee]]-tblPayrollMaster[[#This Row],[Health Surcharge]]</f>
        <v>0</v>
      </c>
      <c r="W819" s="25">
        <f>tblPayrollMaster[[#This Row],[Net Pay]]</f>
        <v>0</v>
      </c>
      <c r="X819" s="25"/>
    </row>
    <row r="820" spans="1:24" x14ac:dyDescent="0.25">
      <c r="A820" s="24"/>
      <c r="B820" s="24" t="str">
        <f>_xlfn.XLOOKUP(tblPayrollMaster[[#This Row],[Employee ID]],tblEmployee[Employee ID],tblEmployee[Employee Name],"")</f>
        <v/>
      </c>
      <c r="C820" s="24" t="str">
        <f>_xlfn.XLOOKUP(tblPayrollMaster[[#This Row],[Employee ID]],tblEmployee[Employee ID],tblEmployee[Employee Position],"")</f>
        <v/>
      </c>
      <c r="D820" s="24" t="str">
        <f>_xlfn.XLOOKUP(tblPayrollMaster[[#This Row],[Employee ID]], tblEmployee[Employee ID], tblEmployee[Pay Status], "Pay")</f>
        <v>Pay</v>
      </c>
      <c r="E820" s="24" t="str">
        <f>_xlfn.XLOOKUP(tblPayrollMaster[[#This Row],[Employee ID]], tblEmployee[Employee ID], tblEmployee[Payable Flag], "Y")</f>
        <v>Y</v>
      </c>
      <c r="F820" s="45">
        <f>IF(tblPayrollMaster[[#This Row],[Payable Flag]]="N",0,_xlfn.XLOOKUP(tblPayrollMaster[[#This Row],[Employee ID]],tblEmployee[Employee ID],tblEmployee[Pay Factor],1))</f>
        <v>1</v>
      </c>
      <c r="G820" s="26" t="str" cm="1">
        <f t="array" ref="G820">IF(tblPayrollMaster[[#This Row],[Employee ID]]="","",_xlfn.XLOOKUP(selPayPeriodID,tblPayCalendar[PayPeriodID],tblPayCalendar[PeriodStart],""))</f>
        <v/>
      </c>
      <c r="H820" s="26" t="str" cm="1">
        <f t="array" ref="H820">IF(tblPayrollMaster[[#This Row],[Employee ID]]="","",_xlfn.XLOOKUP(selPayPeriodID,tblPayCalendar[PayPeriodID],tblPayCalendar[PeriodEnd],""))</f>
        <v/>
      </c>
      <c r="I820" s="24" t="e" cm="1" vm="1">
        <f t="array" aca="1" ref="I820" ca="1">Table18[Employer Name]</f>
        <v>#VALUE!</v>
      </c>
      <c r="J820" s="3" cm="1">
        <f t="array" ref="J82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20" s="25" t="str">
        <f>_xlfn.XLOOKUP(tblPayrollMaster[[#This Row],[Employee Position]],tblPositionandPayRate[Employee Position],tblPositionandPayRate[Overtime], " ")</f>
        <v xml:space="preserve"> </v>
      </c>
      <c r="L820" s="25">
        <f>_xlfn.XLOOKUP(tblPayrollMaster[[#This Row],[Employee Position]],tblPositionandPayRate[Employee Position],tblPositionandPayRate[Allowance 1],0)*tblPayrollMaster[[#This Row],[Pay Factor]]</f>
        <v>0</v>
      </c>
      <c r="M820" s="25">
        <f>_xlfn.XLOOKUP(tblPayrollMaster[[#This Row],[Employee Position]],tblPositionandPayRate[Employee Position],tblPositionandPayRate[Allowance 2],0)*tblPayrollMaster[[#This Row],[Pay Factor]]</f>
        <v>0</v>
      </c>
      <c r="N820" s="25">
        <f>_xlfn.XLOOKUP(tblPayrollMaster[[#This Row],[Employee Position]],tblPositionandPayRate[Employee Position],tblPositionandPayRate[Allowance 3],0)*tblPayrollMaster[[#This Row],[Pay Factor]]</f>
        <v>0</v>
      </c>
      <c r="O820" s="25">
        <f>_xlfn.XLOOKUP(tblPayrollMaster[[#This Row],[Employee Position]],tblPositionandPayRate[Employee Position],tblPositionandPayRate[Allowance 4],0)*tblPayrollMaster[[#This Row],[Pay Factor]]</f>
        <v>0</v>
      </c>
      <c r="P820" s="25">
        <f>_xlfn.XLOOKUP(tblPayrollMaster[[#This Row],[Employee Position]],tblPositionandPayRate[Employee Position],tblPositionandPayRate[Allowance 5],0)*tblPayrollMaster[[#This Row],[Pay Factor]]</f>
        <v>0</v>
      </c>
      <c r="Q820" s="25">
        <f>SUM(tblPayrollMaster[[#This Row],[Basic Pay]:[Allowance 5]])</f>
        <v>0</v>
      </c>
      <c r="R82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20" s="51" cm="1">
        <f t="array" ref="S8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20" s="3" cm="1">
        <f t="array" ref="T8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20" s="25">
        <f>_xlfn.LET(
_xlpm.tos, _xlfn.XLOOKUP(tblPayrollMaster[[#This Row],[Employee ID]], tblEmployee[Employee ID], tblEmployee[Type of Service], ""),
IF(_xlpm.tos="Contract of Service", 8.25, 0)
)</f>
        <v>0</v>
      </c>
      <c r="V820" s="25">
        <f>tblPayrollMaster[[#This Row],[Basic Earnings]]-tblPayrollMaster[[#This Row],[Tax]]-tblPayrollMaster[[#This Row],[NIS - Employee]]-tblPayrollMaster[[#This Row],[Health Surcharge]]</f>
        <v>0</v>
      </c>
      <c r="W820" s="25">
        <f>tblPayrollMaster[[#This Row],[Net Pay]]</f>
        <v>0</v>
      </c>
      <c r="X820" s="25"/>
    </row>
    <row r="821" spans="1:24" x14ac:dyDescent="0.25">
      <c r="A821" s="24"/>
      <c r="B821" s="24" t="str">
        <f>_xlfn.XLOOKUP(tblPayrollMaster[[#This Row],[Employee ID]],tblEmployee[Employee ID],tblEmployee[Employee Name],"")</f>
        <v/>
      </c>
      <c r="C821" s="24" t="str">
        <f>_xlfn.XLOOKUP(tblPayrollMaster[[#This Row],[Employee ID]],tblEmployee[Employee ID],tblEmployee[Employee Position],"")</f>
        <v/>
      </c>
      <c r="D821" s="24" t="str">
        <f>_xlfn.XLOOKUP(tblPayrollMaster[[#This Row],[Employee ID]], tblEmployee[Employee ID], tblEmployee[Pay Status], "Pay")</f>
        <v>Pay</v>
      </c>
      <c r="E821" s="24" t="str">
        <f>_xlfn.XLOOKUP(tblPayrollMaster[[#This Row],[Employee ID]], tblEmployee[Employee ID], tblEmployee[Payable Flag], "Y")</f>
        <v>Y</v>
      </c>
      <c r="F821" s="45">
        <f>IF(tblPayrollMaster[[#This Row],[Payable Flag]]="N",0,_xlfn.XLOOKUP(tblPayrollMaster[[#This Row],[Employee ID]],tblEmployee[Employee ID],tblEmployee[Pay Factor],1))</f>
        <v>1</v>
      </c>
      <c r="G821" s="26" t="str" cm="1">
        <f t="array" ref="G821">IF(tblPayrollMaster[[#This Row],[Employee ID]]="","",_xlfn.XLOOKUP(selPayPeriodID,tblPayCalendar[PayPeriodID],tblPayCalendar[PeriodStart],""))</f>
        <v/>
      </c>
      <c r="H821" s="26" t="str" cm="1">
        <f t="array" ref="H821">IF(tblPayrollMaster[[#This Row],[Employee ID]]="","",_xlfn.XLOOKUP(selPayPeriodID,tblPayCalendar[PayPeriodID],tblPayCalendar[PeriodEnd],""))</f>
        <v/>
      </c>
      <c r="I821" s="24" t="e" cm="1" vm="1">
        <f t="array" aca="1" ref="I821" ca="1">Table18[Employer Name]</f>
        <v>#VALUE!</v>
      </c>
      <c r="J821" s="3" cm="1">
        <f t="array" ref="J82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21" s="25" t="str">
        <f>_xlfn.XLOOKUP(tblPayrollMaster[[#This Row],[Employee Position]],tblPositionandPayRate[Employee Position],tblPositionandPayRate[Overtime], " ")</f>
        <v xml:space="preserve"> </v>
      </c>
      <c r="L821" s="25">
        <f>_xlfn.XLOOKUP(tblPayrollMaster[[#This Row],[Employee Position]],tblPositionandPayRate[Employee Position],tblPositionandPayRate[Allowance 1],0)*tblPayrollMaster[[#This Row],[Pay Factor]]</f>
        <v>0</v>
      </c>
      <c r="M821" s="25">
        <f>_xlfn.XLOOKUP(tblPayrollMaster[[#This Row],[Employee Position]],tblPositionandPayRate[Employee Position],tblPositionandPayRate[Allowance 2],0)*tblPayrollMaster[[#This Row],[Pay Factor]]</f>
        <v>0</v>
      </c>
      <c r="N821" s="25">
        <f>_xlfn.XLOOKUP(tblPayrollMaster[[#This Row],[Employee Position]],tblPositionandPayRate[Employee Position],tblPositionandPayRate[Allowance 3],0)*tblPayrollMaster[[#This Row],[Pay Factor]]</f>
        <v>0</v>
      </c>
      <c r="O821" s="25">
        <f>_xlfn.XLOOKUP(tblPayrollMaster[[#This Row],[Employee Position]],tblPositionandPayRate[Employee Position],tblPositionandPayRate[Allowance 4],0)*tblPayrollMaster[[#This Row],[Pay Factor]]</f>
        <v>0</v>
      </c>
      <c r="P821" s="25">
        <f>_xlfn.XLOOKUP(tblPayrollMaster[[#This Row],[Employee Position]],tblPositionandPayRate[Employee Position],tblPositionandPayRate[Allowance 5],0)*tblPayrollMaster[[#This Row],[Pay Factor]]</f>
        <v>0</v>
      </c>
      <c r="Q821" s="25">
        <f>SUM(tblPayrollMaster[[#This Row],[Basic Pay]:[Allowance 5]])</f>
        <v>0</v>
      </c>
      <c r="R82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21" s="51" cm="1">
        <f t="array" ref="S8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21" s="3" cm="1">
        <f t="array" ref="T8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21" s="25">
        <f>_xlfn.LET(
_xlpm.tos, _xlfn.XLOOKUP(tblPayrollMaster[[#This Row],[Employee ID]], tblEmployee[Employee ID], tblEmployee[Type of Service], ""),
IF(_xlpm.tos="Contract of Service", 8.25, 0)
)</f>
        <v>0</v>
      </c>
      <c r="V821" s="25">
        <f>tblPayrollMaster[[#This Row],[Basic Earnings]]-tblPayrollMaster[[#This Row],[Tax]]-tblPayrollMaster[[#This Row],[NIS - Employee]]-tblPayrollMaster[[#This Row],[Health Surcharge]]</f>
        <v>0</v>
      </c>
      <c r="W821" s="25">
        <f>tblPayrollMaster[[#This Row],[Net Pay]]</f>
        <v>0</v>
      </c>
      <c r="X821" s="25"/>
    </row>
    <row r="822" spans="1:24" x14ac:dyDescent="0.25">
      <c r="A822" s="24"/>
      <c r="B822" s="24" t="str">
        <f>_xlfn.XLOOKUP(tblPayrollMaster[[#This Row],[Employee ID]],tblEmployee[Employee ID],tblEmployee[Employee Name],"")</f>
        <v/>
      </c>
      <c r="C822" s="24" t="str">
        <f>_xlfn.XLOOKUP(tblPayrollMaster[[#This Row],[Employee ID]],tblEmployee[Employee ID],tblEmployee[Employee Position],"")</f>
        <v/>
      </c>
      <c r="D822" s="24" t="str">
        <f>_xlfn.XLOOKUP(tblPayrollMaster[[#This Row],[Employee ID]], tblEmployee[Employee ID], tblEmployee[Pay Status], "Pay")</f>
        <v>Pay</v>
      </c>
      <c r="E822" s="24" t="str">
        <f>_xlfn.XLOOKUP(tblPayrollMaster[[#This Row],[Employee ID]], tblEmployee[Employee ID], tblEmployee[Payable Flag], "Y")</f>
        <v>Y</v>
      </c>
      <c r="F822" s="45">
        <f>IF(tblPayrollMaster[[#This Row],[Payable Flag]]="N",0,_xlfn.XLOOKUP(tblPayrollMaster[[#This Row],[Employee ID]],tblEmployee[Employee ID],tblEmployee[Pay Factor],1))</f>
        <v>1</v>
      </c>
      <c r="G822" s="26" t="str" cm="1">
        <f t="array" ref="G822">IF(tblPayrollMaster[[#This Row],[Employee ID]]="","",_xlfn.XLOOKUP(selPayPeriodID,tblPayCalendar[PayPeriodID],tblPayCalendar[PeriodStart],""))</f>
        <v/>
      </c>
      <c r="H822" s="26" t="str" cm="1">
        <f t="array" ref="H822">IF(tblPayrollMaster[[#This Row],[Employee ID]]="","",_xlfn.XLOOKUP(selPayPeriodID,tblPayCalendar[PayPeriodID],tblPayCalendar[PeriodEnd],""))</f>
        <v/>
      </c>
      <c r="I822" s="24" t="e" cm="1" vm="1">
        <f t="array" aca="1" ref="I822" ca="1">Table18[Employer Name]</f>
        <v>#VALUE!</v>
      </c>
      <c r="J822" s="3" cm="1">
        <f t="array" ref="J82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22" s="25" t="str">
        <f>_xlfn.XLOOKUP(tblPayrollMaster[[#This Row],[Employee Position]],tblPositionandPayRate[Employee Position],tblPositionandPayRate[Overtime], " ")</f>
        <v xml:space="preserve"> </v>
      </c>
      <c r="L822" s="25">
        <f>_xlfn.XLOOKUP(tblPayrollMaster[[#This Row],[Employee Position]],tblPositionandPayRate[Employee Position],tblPositionandPayRate[Allowance 1],0)*tblPayrollMaster[[#This Row],[Pay Factor]]</f>
        <v>0</v>
      </c>
      <c r="M822" s="25">
        <f>_xlfn.XLOOKUP(tblPayrollMaster[[#This Row],[Employee Position]],tblPositionandPayRate[Employee Position],tblPositionandPayRate[Allowance 2],0)*tblPayrollMaster[[#This Row],[Pay Factor]]</f>
        <v>0</v>
      </c>
      <c r="N822" s="25">
        <f>_xlfn.XLOOKUP(tblPayrollMaster[[#This Row],[Employee Position]],tblPositionandPayRate[Employee Position],tblPositionandPayRate[Allowance 3],0)*tblPayrollMaster[[#This Row],[Pay Factor]]</f>
        <v>0</v>
      </c>
      <c r="O822" s="25">
        <f>_xlfn.XLOOKUP(tblPayrollMaster[[#This Row],[Employee Position]],tblPositionandPayRate[Employee Position],tblPositionandPayRate[Allowance 4],0)*tblPayrollMaster[[#This Row],[Pay Factor]]</f>
        <v>0</v>
      </c>
      <c r="P822" s="25">
        <f>_xlfn.XLOOKUP(tblPayrollMaster[[#This Row],[Employee Position]],tblPositionandPayRate[Employee Position],tblPositionandPayRate[Allowance 5],0)*tblPayrollMaster[[#This Row],[Pay Factor]]</f>
        <v>0</v>
      </c>
      <c r="Q822" s="25">
        <f>SUM(tblPayrollMaster[[#This Row],[Basic Pay]:[Allowance 5]])</f>
        <v>0</v>
      </c>
      <c r="R82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22" s="51" cm="1">
        <f t="array" ref="S8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22" s="3" cm="1">
        <f t="array" ref="T8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22" s="25">
        <f>_xlfn.LET(
_xlpm.tos, _xlfn.XLOOKUP(tblPayrollMaster[[#This Row],[Employee ID]], tblEmployee[Employee ID], tblEmployee[Type of Service], ""),
IF(_xlpm.tos="Contract of Service", 8.25, 0)
)</f>
        <v>0</v>
      </c>
      <c r="V822" s="25">
        <f>tblPayrollMaster[[#This Row],[Basic Earnings]]-tblPayrollMaster[[#This Row],[Tax]]-tblPayrollMaster[[#This Row],[NIS - Employee]]-tblPayrollMaster[[#This Row],[Health Surcharge]]</f>
        <v>0</v>
      </c>
      <c r="W822" s="25">
        <f>tblPayrollMaster[[#This Row],[Net Pay]]</f>
        <v>0</v>
      </c>
      <c r="X822" s="25"/>
    </row>
    <row r="823" spans="1:24" x14ac:dyDescent="0.25">
      <c r="A823" s="24"/>
      <c r="B823" s="24" t="str">
        <f>_xlfn.XLOOKUP(tblPayrollMaster[[#This Row],[Employee ID]],tblEmployee[Employee ID],tblEmployee[Employee Name],"")</f>
        <v/>
      </c>
      <c r="C823" s="24" t="str">
        <f>_xlfn.XLOOKUP(tblPayrollMaster[[#This Row],[Employee ID]],tblEmployee[Employee ID],tblEmployee[Employee Position],"")</f>
        <v/>
      </c>
      <c r="D823" s="24" t="str">
        <f>_xlfn.XLOOKUP(tblPayrollMaster[[#This Row],[Employee ID]], tblEmployee[Employee ID], tblEmployee[Pay Status], "Pay")</f>
        <v>Pay</v>
      </c>
      <c r="E823" s="24" t="str">
        <f>_xlfn.XLOOKUP(tblPayrollMaster[[#This Row],[Employee ID]], tblEmployee[Employee ID], tblEmployee[Payable Flag], "Y")</f>
        <v>Y</v>
      </c>
      <c r="F823" s="45">
        <f>IF(tblPayrollMaster[[#This Row],[Payable Flag]]="N",0,_xlfn.XLOOKUP(tblPayrollMaster[[#This Row],[Employee ID]],tblEmployee[Employee ID],tblEmployee[Pay Factor],1))</f>
        <v>1</v>
      </c>
      <c r="G823" s="26" t="str" cm="1">
        <f t="array" ref="G823">IF(tblPayrollMaster[[#This Row],[Employee ID]]="","",_xlfn.XLOOKUP(selPayPeriodID,tblPayCalendar[PayPeriodID],tblPayCalendar[PeriodStart],""))</f>
        <v/>
      </c>
      <c r="H823" s="26" t="str" cm="1">
        <f t="array" ref="H823">IF(tblPayrollMaster[[#This Row],[Employee ID]]="","",_xlfn.XLOOKUP(selPayPeriodID,tblPayCalendar[PayPeriodID],tblPayCalendar[PeriodEnd],""))</f>
        <v/>
      </c>
      <c r="I823" s="24" t="e" cm="1" vm="1">
        <f t="array" aca="1" ref="I823" ca="1">Table18[Employer Name]</f>
        <v>#VALUE!</v>
      </c>
      <c r="J823" s="3" cm="1">
        <f t="array" ref="J82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23" s="25" t="str">
        <f>_xlfn.XLOOKUP(tblPayrollMaster[[#This Row],[Employee Position]],tblPositionandPayRate[Employee Position],tblPositionandPayRate[Overtime], " ")</f>
        <v xml:space="preserve"> </v>
      </c>
      <c r="L823" s="25">
        <f>_xlfn.XLOOKUP(tblPayrollMaster[[#This Row],[Employee Position]],tblPositionandPayRate[Employee Position],tblPositionandPayRate[Allowance 1],0)*tblPayrollMaster[[#This Row],[Pay Factor]]</f>
        <v>0</v>
      </c>
      <c r="M823" s="25">
        <f>_xlfn.XLOOKUP(tblPayrollMaster[[#This Row],[Employee Position]],tblPositionandPayRate[Employee Position],tblPositionandPayRate[Allowance 2],0)*tblPayrollMaster[[#This Row],[Pay Factor]]</f>
        <v>0</v>
      </c>
      <c r="N823" s="25">
        <f>_xlfn.XLOOKUP(tblPayrollMaster[[#This Row],[Employee Position]],tblPositionandPayRate[Employee Position],tblPositionandPayRate[Allowance 3],0)*tblPayrollMaster[[#This Row],[Pay Factor]]</f>
        <v>0</v>
      </c>
      <c r="O823" s="25">
        <f>_xlfn.XLOOKUP(tblPayrollMaster[[#This Row],[Employee Position]],tblPositionandPayRate[Employee Position],tblPositionandPayRate[Allowance 4],0)*tblPayrollMaster[[#This Row],[Pay Factor]]</f>
        <v>0</v>
      </c>
      <c r="P823" s="25">
        <f>_xlfn.XLOOKUP(tblPayrollMaster[[#This Row],[Employee Position]],tblPositionandPayRate[Employee Position],tblPositionandPayRate[Allowance 5],0)*tblPayrollMaster[[#This Row],[Pay Factor]]</f>
        <v>0</v>
      </c>
      <c r="Q823" s="25">
        <f>SUM(tblPayrollMaster[[#This Row],[Basic Pay]:[Allowance 5]])</f>
        <v>0</v>
      </c>
      <c r="R82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23" s="51" cm="1">
        <f t="array" ref="S8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23" s="3" cm="1">
        <f t="array" ref="T8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23" s="25">
        <f>_xlfn.LET(
_xlpm.tos, _xlfn.XLOOKUP(tblPayrollMaster[[#This Row],[Employee ID]], tblEmployee[Employee ID], tblEmployee[Type of Service], ""),
IF(_xlpm.tos="Contract of Service", 8.25, 0)
)</f>
        <v>0</v>
      </c>
      <c r="V823" s="25">
        <f>tblPayrollMaster[[#This Row],[Basic Earnings]]-tblPayrollMaster[[#This Row],[Tax]]-tblPayrollMaster[[#This Row],[NIS - Employee]]-tblPayrollMaster[[#This Row],[Health Surcharge]]</f>
        <v>0</v>
      </c>
      <c r="W823" s="25">
        <f>tblPayrollMaster[[#This Row],[Net Pay]]</f>
        <v>0</v>
      </c>
      <c r="X823" s="25"/>
    </row>
    <row r="824" spans="1:24" x14ac:dyDescent="0.25">
      <c r="A824" s="24"/>
      <c r="B824" s="24" t="str">
        <f>_xlfn.XLOOKUP(tblPayrollMaster[[#This Row],[Employee ID]],tblEmployee[Employee ID],tblEmployee[Employee Name],"")</f>
        <v/>
      </c>
      <c r="C824" s="24" t="str">
        <f>_xlfn.XLOOKUP(tblPayrollMaster[[#This Row],[Employee ID]],tblEmployee[Employee ID],tblEmployee[Employee Position],"")</f>
        <v/>
      </c>
      <c r="D824" s="24" t="str">
        <f>_xlfn.XLOOKUP(tblPayrollMaster[[#This Row],[Employee ID]], tblEmployee[Employee ID], tblEmployee[Pay Status], "Pay")</f>
        <v>Pay</v>
      </c>
      <c r="E824" s="24" t="str">
        <f>_xlfn.XLOOKUP(tblPayrollMaster[[#This Row],[Employee ID]], tblEmployee[Employee ID], tblEmployee[Payable Flag], "Y")</f>
        <v>Y</v>
      </c>
      <c r="F824" s="45">
        <f>IF(tblPayrollMaster[[#This Row],[Payable Flag]]="N",0,_xlfn.XLOOKUP(tblPayrollMaster[[#This Row],[Employee ID]],tblEmployee[Employee ID],tblEmployee[Pay Factor],1))</f>
        <v>1</v>
      </c>
      <c r="G824" s="26" t="str" cm="1">
        <f t="array" ref="G824">IF(tblPayrollMaster[[#This Row],[Employee ID]]="","",_xlfn.XLOOKUP(selPayPeriodID,tblPayCalendar[PayPeriodID],tblPayCalendar[PeriodStart],""))</f>
        <v/>
      </c>
      <c r="H824" s="26" t="str" cm="1">
        <f t="array" ref="H824">IF(tblPayrollMaster[[#This Row],[Employee ID]]="","",_xlfn.XLOOKUP(selPayPeriodID,tblPayCalendar[PayPeriodID],tblPayCalendar[PeriodEnd],""))</f>
        <v/>
      </c>
      <c r="I824" s="24" t="e" cm="1" vm="1">
        <f t="array" aca="1" ref="I824" ca="1">Table18[Employer Name]</f>
        <v>#VALUE!</v>
      </c>
      <c r="J824" s="3" cm="1">
        <f t="array" ref="J82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24" s="25" t="str">
        <f>_xlfn.XLOOKUP(tblPayrollMaster[[#This Row],[Employee Position]],tblPositionandPayRate[Employee Position],tblPositionandPayRate[Overtime], " ")</f>
        <v xml:space="preserve"> </v>
      </c>
      <c r="L824" s="25">
        <f>_xlfn.XLOOKUP(tblPayrollMaster[[#This Row],[Employee Position]],tblPositionandPayRate[Employee Position],tblPositionandPayRate[Allowance 1],0)*tblPayrollMaster[[#This Row],[Pay Factor]]</f>
        <v>0</v>
      </c>
      <c r="M824" s="25">
        <f>_xlfn.XLOOKUP(tblPayrollMaster[[#This Row],[Employee Position]],tblPositionandPayRate[Employee Position],tblPositionandPayRate[Allowance 2],0)*tblPayrollMaster[[#This Row],[Pay Factor]]</f>
        <v>0</v>
      </c>
      <c r="N824" s="25">
        <f>_xlfn.XLOOKUP(tblPayrollMaster[[#This Row],[Employee Position]],tblPositionandPayRate[Employee Position],tblPositionandPayRate[Allowance 3],0)*tblPayrollMaster[[#This Row],[Pay Factor]]</f>
        <v>0</v>
      </c>
      <c r="O824" s="25">
        <f>_xlfn.XLOOKUP(tblPayrollMaster[[#This Row],[Employee Position]],tblPositionandPayRate[Employee Position],tblPositionandPayRate[Allowance 4],0)*tblPayrollMaster[[#This Row],[Pay Factor]]</f>
        <v>0</v>
      </c>
      <c r="P824" s="25">
        <f>_xlfn.XLOOKUP(tblPayrollMaster[[#This Row],[Employee Position]],tblPositionandPayRate[Employee Position],tblPositionandPayRate[Allowance 5],0)*tblPayrollMaster[[#This Row],[Pay Factor]]</f>
        <v>0</v>
      </c>
      <c r="Q824" s="25">
        <f>SUM(tblPayrollMaster[[#This Row],[Basic Pay]:[Allowance 5]])</f>
        <v>0</v>
      </c>
      <c r="R82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24" s="51" cm="1">
        <f t="array" ref="S8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24" s="3" cm="1">
        <f t="array" ref="T8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24" s="25">
        <f>_xlfn.LET(
_xlpm.tos, _xlfn.XLOOKUP(tblPayrollMaster[[#This Row],[Employee ID]], tblEmployee[Employee ID], tblEmployee[Type of Service], ""),
IF(_xlpm.tos="Contract of Service", 8.25, 0)
)</f>
        <v>0</v>
      </c>
      <c r="V824" s="25">
        <f>tblPayrollMaster[[#This Row],[Basic Earnings]]-tblPayrollMaster[[#This Row],[Tax]]-tblPayrollMaster[[#This Row],[NIS - Employee]]-tblPayrollMaster[[#This Row],[Health Surcharge]]</f>
        <v>0</v>
      </c>
      <c r="W824" s="25">
        <f>tblPayrollMaster[[#This Row],[Net Pay]]</f>
        <v>0</v>
      </c>
      <c r="X824" s="25"/>
    </row>
    <row r="825" spans="1:24" x14ac:dyDescent="0.25">
      <c r="A825" s="24"/>
      <c r="B825" s="24" t="str">
        <f>_xlfn.XLOOKUP(tblPayrollMaster[[#This Row],[Employee ID]],tblEmployee[Employee ID],tblEmployee[Employee Name],"")</f>
        <v/>
      </c>
      <c r="C825" s="24" t="str">
        <f>_xlfn.XLOOKUP(tblPayrollMaster[[#This Row],[Employee ID]],tblEmployee[Employee ID],tblEmployee[Employee Position],"")</f>
        <v/>
      </c>
      <c r="D825" s="24" t="str">
        <f>_xlfn.XLOOKUP(tblPayrollMaster[[#This Row],[Employee ID]], tblEmployee[Employee ID], tblEmployee[Pay Status], "Pay")</f>
        <v>Pay</v>
      </c>
      <c r="E825" s="24" t="str">
        <f>_xlfn.XLOOKUP(tblPayrollMaster[[#This Row],[Employee ID]], tblEmployee[Employee ID], tblEmployee[Payable Flag], "Y")</f>
        <v>Y</v>
      </c>
      <c r="F825" s="45">
        <f>IF(tblPayrollMaster[[#This Row],[Payable Flag]]="N",0,_xlfn.XLOOKUP(tblPayrollMaster[[#This Row],[Employee ID]],tblEmployee[Employee ID],tblEmployee[Pay Factor],1))</f>
        <v>1</v>
      </c>
      <c r="G825" s="26" t="str" cm="1">
        <f t="array" ref="G825">IF(tblPayrollMaster[[#This Row],[Employee ID]]="","",_xlfn.XLOOKUP(selPayPeriodID,tblPayCalendar[PayPeriodID],tblPayCalendar[PeriodStart],""))</f>
        <v/>
      </c>
      <c r="H825" s="26" t="str" cm="1">
        <f t="array" ref="H825">IF(tblPayrollMaster[[#This Row],[Employee ID]]="","",_xlfn.XLOOKUP(selPayPeriodID,tblPayCalendar[PayPeriodID],tblPayCalendar[PeriodEnd],""))</f>
        <v/>
      </c>
      <c r="I825" s="24" t="e" cm="1" vm="1">
        <f t="array" aca="1" ref="I825" ca="1">Table18[Employer Name]</f>
        <v>#VALUE!</v>
      </c>
      <c r="J825" s="3" cm="1">
        <f t="array" ref="J82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25" s="25" t="str">
        <f>_xlfn.XLOOKUP(tblPayrollMaster[[#This Row],[Employee Position]],tblPositionandPayRate[Employee Position],tblPositionandPayRate[Overtime], " ")</f>
        <v xml:space="preserve"> </v>
      </c>
      <c r="L825" s="25">
        <f>_xlfn.XLOOKUP(tblPayrollMaster[[#This Row],[Employee Position]],tblPositionandPayRate[Employee Position],tblPositionandPayRate[Allowance 1],0)*tblPayrollMaster[[#This Row],[Pay Factor]]</f>
        <v>0</v>
      </c>
      <c r="M825" s="25">
        <f>_xlfn.XLOOKUP(tblPayrollMaster[[#This Row],[Employee Position]],tblPositionandPayRate[Employee Position],tblPositionandPayRate[Allowance 2],0)*tblPayrollMaster[[#This Row],[Pay Factor]]</f>
        <v>0</v>
      </c>
      <c r="N825" s="25">
        <f>_xlfn.XLOOKUP(tblPayrollMaster[[#This Row],[Employee Position]],tblPositionandPayRate[Employee Position],tblPositionandPayRate[Allowance 3],0)*tblPayrollMaster[[#This Row],[Pay Factor]]</f>
        <v>0</v>
      </c>
      <c r="O825" s="25">
        <f>_xlfn.XLOOKUP(tblPayrollMaster[[#This Row],[Employee Position]],tblPositionandPayRate[Employee Position],tblPositionandPayRate[Allowance 4],0)*tblPayrollMaster[[#This Row],[Pay Factor]]</f>
        <v>0</v>
      </c>
      <c r="P825" s="25">
        <f>_xlfn.XLOOKUP(tblPayrollMaster[[#This Row],[Employee Position]],tblPositionandPayRate[Employee Position],tblPositionandPayRate[Allowance 5],0)*tblPayrollMaster[[#This Row],[Pay Factor]]</f>
        <v>0</v>
      </c>
      <c r="Q825" s="25">
        <f>SUM(tblPayrollMaster[[#This Row],[Basic Pay]:[Allowance 5]])</f>
        <v>0</v>
      </c>
      <c r="R82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25" s="51" cm="1">
        <f t="array" ref="S8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25" s="3" cm="1">
        <f t="array" ref="T8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25" s="25">
        <f>_xlfn.LET(
_xlpm.tos, _xlfn.XLOOKUP(tblPayrollMaster[[#This Row],[Employee ID]], tblEmployee[Employee ID], tblEmployee[Type of Service], ""),
IF(_xlpm.tos="Contract of Service", 8.25, 0)
)</f>
        <v>0</v>
      </c>
      <c r="V825" s="25">
        <f>tblPayrollMaster[[#This Row],[Basic Earnings]]-tblPayrollMaster[[#This Row],[Tax]]-tblPayrollMaster[[#This Row],[NIS - Employee]]-tblPayrollMaster[[#This Row],[Health Surcharge]]</f>
        <v>0</v>
      </c>
      <c r="W825" s="25">
        <f>tblPayrollMaster[[#This Row],[Net Pay]]</f>
        <v>0</v>
      </c>
      <c r="X825" s="25"/>
    </row>
    <row r="826" spans="1:24" x14ac:dyDescent="0.25">
      <c r="A826" s="24"/>
      <c r="B826" s="24" t="str">
        <f>_xlfn.XLOOKUP(tblPayrollMaster[[#This Row],[Employee ID]],tblEmployee[Employee ID],tblEmployee[Employee Name],"")</f>
        <v/>
      </c>
      <c r="C826" s="24" t="str">
        <f>_xlfn.XLOOKUP(tblPayrollMaster[[#This Row],[Employee ID]],tblEmployee[Employee ID],tblEmployee[Employee Position],"")</f>
        <v/>
      </c>
      <c r="D826" s="24" t="str">
        <f>_xlfn.XLOOKUP(tblPayrollMaster[[#This Row],[Employee ID]], tblEmployee[Employee ID], tblEmployee[Pay Status], "Pay")</f>
        <v>Pay</v>
      </c>
      <c r="E826" s="24" t="str">
        <f>_xlfn.XLOOKUP(tblPayrollMaster[[#This Row],[Employee ID]], tblEmployee[Employee ID], tblEmployee[Payable Flag], "Y")</f>
        <v>Y</v>
      </c>
      <c r="F826" s="45">
        <f>IF(tblPayrollMaster[[#This Row],[Payable Flag]]="N",0,_xlfn.XLOOKUP(tblPayrollMaster[[#This Row],[Employee ID]],tblEmployee[Employee ID],tblEmployee[Pay Factor],1))</f>
        <v>1</v>
      </c>
      <c r="G826" s="26" t="str" cm="1">
        <f t="array" ref="G826">IF(tblPayrollMaster[[#This Row],[Employee ID]]="","",_xlfn.XLOOKUP(selPayPeriodID,tblPayCalendar[PayPeriodID],tblPayCalendar[PeriodStart],""))</f>
        <v/>
      </c>
      <c r="H826" s="26" t="str" cm="1">
        <f t="array" ref="H826">IF(tblPayrollMaster[[#This Row],[Employee ID]]="","",_xlfn.XLOOKUP(selPayPeriodID,tblPayCalendar[PayPeriodID],tblPayCalendar[PeriodEnd],""))</f>
        <v/>
      </c>
      <c r="I826" s="24" t="e" cm="1" vm="1">
        <f t="array" aca="1" ref="I826" ca="1">Table18[Employer Name]</f>
        <v>#VALUE!</v>
      </c>
      <c r="J826" s="3" cm="1">
        <f t="array" ref="J82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26" s="25" t="str">
        <f>_xlfn.XLOOKUP(tblPayrollMaster[[#This Row],[Employee Position]],tblPositionandPayRate[Employee Position],tblPositionandPayRate[Overtime], " ")</f>
        <v xml:space="preserve"> </v>
      </c>
      <c r="L826" s="25">
        <f>_xlfn.XLOOKUP(tblPayrollMaster[[#This Row],[Employee Position]],tblPositionandPayRate[Employee Position],tblPositionandPayRate[Allowance 1],0)*tblPayrollMaster[[#This Row],[Pay Factor]]</f>
        <v>0</v>
      </c>
      <c r="M826" s="25">
        <f>_xlfn.XLOOKUP(tblPayrollMaster[[#This Row],[Employee Position]],tblPositionandPayRate[Employee Position],tblPositionandPayRate[Allowance 2],0)*tblPayrollMaster[[#This Row],[Pay Factor]]</f>
        <v>0</v>
      </c>
      <c r="N826" s="25">
        <f>_xlfn.XLOOKUP(tblPayrollMaster[[#This Row],[Employee Position]],tblPositionandPayRate[Employee Position],tblPositionandPayRate[Allowance 3],0)*tblPayrollMaster[[#This Row],[Pay Factor]]</f>
        <v>0</v>
      </c>
      <c r="O826" s="25">
        <f>_xlfn.XLOOKUP(tblPayrollMaster[[#This Row],[Employee Position]],tblPositionandPayRate[Employee Position],tblPositionandPayRate[Allowance 4],0)*tblPayrollMaster[[#This Row],[Pay Factor]]</f>
        <v>0</v>
      </c>
      <c r="P826" s="25">
        <f>_xlfn.XLOOKUP(tblPayrollMaster[[#This Row],[Employee Position]],tblPositionandPayRate[Employee Position],tblPositionandPayRate[Allowance 5],0)*tblPayrollMaster[[#This Row],[Pay Factor]]</f>
        <v>0</v>
      </c>
      <c r="Q826" s="25">
        <f>SUM(tblPayrollMaster[[#This Row],[Basic Pay]:[Allowance 5]])</f>
        <v>0</v>
      </c>
      <c r="R82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26" s="51" cm="1">
        <f t="array" ref="S8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26" s="3" cm="1">
        <f t="array" ref="T8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26" s="25">
        <f>_xlfn.LET(
_xlpm.tos, _xlfn.XLOOKUP(tblPayrollMaster[[#This Row],[Employee ID]], tblEmployee[Employee ID], tblEmployee[Type of Service], ""),
IF(_xlpm.tos="Contract of Service", 8.25, 0)
)</f>
        <v>0</v>
      </c>
      <c r="V826" s="25">
        <f>tblPayrollMaster[[#This Row],[Basic Earnings]]-tblPayrollMaster[[#This Row],[Tax]]-tblPayrollMaster[[#This Row],[NIS - Employee]]-tblPayrollMaster[[#This Row],[Health Surcharge]]</f>
        <v>0</v>
      </c>
      <c r="W826" s="25">
        <f>tblPayrollMaster[[#This Row],[Net Pay]]</f>
        <v>0</v>
      </c>
      <c r="X826" s="25"/>
    </row>
    <row r="827" spans="1:24" x14ac:dyDescent="0.25">
      <c r="A827" s="24"/>
      <c r="B827" s="24" t="str">
        <f>_xlfn.XLOOKUP(tblPayrollMaster[[#This Row],[Employee ID]],tblEmployee[Employee ID],tblEmployee[Employee Name],"")</f>
        <v/>
      </c>
      <c r="C827" s="24" t="str">
        <f>_xlfn.XLOOKUP(tblPayrollMaster[[#This Row],[Employee ID]],tblEmployee[Employee ID],tblEmployee[Employee Position],"")</f>
        <v/>
      </c>
      <c r="D827" s="24" t="str">
        <f>_xlfn.XLOOKUP(tblPayrollMaster[[#This Row],[Employee ID]], tblEmployee[Employee ID], tblEmployee[Pay Status], "Pay")</f>
        <v>Pay</v>
      </c>
      <c r="E827" s="24" t="str">
        <f>_xlfn.XLOOKUP(tblPayrollMaster[[#This Row],[Employee ID]], tblEmployee[Employee ID], tblEmployee[Payable Flag], "Y")</f>
        <v>Y</v>
      </c>
      <c r="F827" s="45">
        <f>IF(tblPayrollMaster[[#This Row],[Payable Flag]]="N",0,_xlfn.XLOOKUP(tblPayrollMaster[[#This Row],[Employee ID]],tblEmployee[Employee ID],tblEmployee[Pay Factor],1))</f>
        <v>1</v>
      </c>
      <c r="G827" s="26" t="str" cm="1">
        <f t="array" ref="G827">IF(tblPayrollMaster[[#This Row],[Employee ID]]="","",_xlfn.XLOOKUP(selPayPeriodID,tblPayCalendar[PayPeriodID],tblPayCalendar[PeriodStart],""))</f>
        <v/>
      </c>
      <c r="H827" s="26" t="str" cm="1">
        <f t="array" ref="H827">IF(tblPayrollMaster[[#This Row],[Employee ID]]="","",_xlfn.XLOOKUP(selPayPeriodID,tblPayCalendar[PayPeriodID],tblPayCalendar[PeriodEnd],""))</f>
        <v/>
      </c>
      <c r="I827" s="24" t="e" cm="1" vm="1">
        <f t="array" aca="1" ref="I827" ca="1">Table18[Employer Name]</f>
        <v>#VALUE!</v>
      </c>
      <c r="J827" s="3" cm="1">
        <f t="array" ref="J82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27" s="25" t="str">
        <f>_xlfn.XLOOKUP(tblPayrollMaster[[#This Row],[Employee Position]],tblPositionandPayRate[Employee Position],tblPositionandPayRate[Overtime], " ")</f>
        <v xml:space="preserve"> </v>
      </c>
      <c r="L827" s="25">
        <f>_xlfn.XLOOKUP(tblPayrollMaster[[#This Row],[Employee Position]],tblPositionandPayRate[Employee Position],tblPositionandPayRate[Allowance 1],0)*tblPayrollMaster[[#This Row],[Pay Factor]]</f>
        <v>0</v>
      </c>
      <c r="M827" s="25">
        <f>_xlfn.XLOOKUP(tblPayrollMaster[[#This Row],[Employee Position]],tblPositionandPayRate[Employee Position],tblPositionandPayRate[Allowance 2],0)*tblPayrollMaster[[#This Row],[Pay Factor]]</f>
        <v>0</v>
      </c>
      <c r="N827" s="25">
        <f>_xlfn.XLOOKUP(tblPayrollMaster[[#This Row],[Employee Position]],tblPositionandPayRate[Employee Position],tblPositionandPayRate[Allowance 3],0)*tblPayrollMaster[[#This Row],[Pay Factor]]</f>
        <v>0</v>
      </c>
      <c r="O827" s="25">
        <f>_xlfn.XLOOKUP(tblPayrollMaster[[#This Row],[Employee Position]],tblPositionandPayRate[Employee Position],tblPositionandPayRate[Allowance 4],0)*tblPayrollMaster[[#This Row],[Pay Factor]]</f>
        <v>0</v>
      </c>
      <c r="P827" s="25">
        <f>_xlfn.XLOOKUP(tblPayrollMaster[[#This Row],[Employee Position]],tblPositionandPayRate[Employee Position],tblPositionandPayRate[Allowance 5],0)*tblPayrollMaster[[#This Row],[Pay Factor]]</f>
        <v>0</v>
      </c>
      <c r="Q827" s="25">
        <f>SUM(tblPayrollMaster[[#This Row],[Basic Pay]:[Allowance 5]])</f>
        <v>0</v>
      </c>
      <c r="R82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27" s="51" cm="1">
        <f t="array" ref="S8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27" s="3" cm="1">
        <f t="array" ref="T8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27" s="25">
        <f>_xlfn.LET(
_xlpm.tos, _xlfn.XLOOKUP(tblPayrollMaster[[#This Row],[Employee ID]], tblEmployee[Employee ID], tblEmployee[Type of Service], ""),
IF(_xlpm.tos="Contract of Service", 8.25, 0)
)</f>
        <v>0</v>
      </c>
      <c r="V827" s="25">
        <f>tblPayrollMaster[[#This Row],[Basic Earnings]]-tblPayrollMaster[[#This Row],[Tax]]-tblPayrollMaster[[#This Row],[NIS - Employee]]-tblPayrollMaster[[#This Row],[Health Surcharge]]</f>
        <v>0</v>
      </c>
      <c r="W827" s="25">
        <f>tblPayrollMaster[[#This Row],[Net Pay]]</f>
        <v>0</v>
      </c>
      <c r="X827" s="25"/>
    </row>
    <row r="828" spans="1:24" x14ac:dyDescent="0.25">
      <c r="A828" s="24"/>
      <c r="B828" s="24" t="str">
        <f>_xlfn.XLOOKUP(tblPayrollMaster[[#This Row],[Employee ID]],tblEmployee[Employee ID],tblEmployee[Employee Name],"")</f>
        <v/>
      </c>
      <c r="C828" s="24" t="str">
        <f>_xlfn.XLOOKUP(tblPayrollMaster[[#This Row],[Employee ID]],tblEmployee[Employee ID],tblEmployee[Employee Position],"")</f>
        <v/>
      </c>
      <c r="D828" s="24" t="str">
        <f>_xlfn.XLOOKUP(tblPayrollMaster[[#This Row],[Employee ID]], tblEmployee[Employee ID], tblEmployee[Pay Status], "Pay")</f>
        <v>Pay</v>
      </c>
      <c r="E828" s="24" t="str">
        <f>_xlfn.XLOOKUP(tblPayrollMaster[[#This Row],[Employee ID]], tblEmployee[Employee ID], tblEmployee[Payable Flag], "Y")</f>
        <v>Y</v>
      </c>
      <c r="F828" s="45">
        <f>IF(tblPayrollMaster[[#This Row],[Payable Flag]]="N",0,_xlfn.XLOOKUP(tblPayrollMaster[[#This Row],[Employee ID]],tblEmployee[Employee ID],tblEmployee[Pay Factor],1))</f>
        <v>1</v>
      </c>
      <c r="G828" s="26" t="str" cm="1">
        <f t="array" ref="G828">IF(tblPayrollMaster[[#This Row],[Employee ID]]="","",_xlfn.XLOOKUP(selPayPeriodID,tblPayCalendar[PayPeriodID],tblPayCalendar[PeriodStart],""))</f>
        <v/>
      </c>
      <c r="H828" s="26" t="str" cm="1">
        <f t="array" ref="H828">IF(tblPayrollMaster[[#This Row],[Employee ID]]="","",_xlfn.XLOOKUP(selPayPeriodID,tblPayCalendar[PayPeriodID],tblPayCalendar[PeriodEnd],""))</f>
        <v/>
      </c>
      <c r="I828" s="24" t="e" cm="1" vm="1">
        <f t="array" aca="1" ref="I828" ca="1">Table18[Employer Name]</f>
        <v>#VALUE!</v>
      </c>
      <c r="J828" s="3" cm="1">
        <f t="array" ref="J82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28" s="25" t="str">
        <f>_xlfn.XLOOKUP(tblPayrollMaster[[#This Row],[Employee Position]],tblPositionandPayRate[Employee Position],tblPositionandPayRate[Overtime], " ")</f>
        <v xml:space="preserve"> </v>
      </c>
      <c r="L828" s="25">
        <f>_xlfn.XLOOKUP(tblPayrollMaster[[#This Row],[Employee Position]],tblPositionandPayRate[Employee Position],tblPositionandPayRate[Allowance 1],0)*tblPayrollMaster[[#This Row],[Pay Factor]]</f>
        <v>0</v>
      </c>
      <c r="M828" s="25">
        <f>_xlfn.XLOOKUP(tblPayrollMaster[[#This Row],[Employee Position]],tblPositionandPayRate[Employee Position],tblPositionandPayRate[Allowance 2],0)*tblPayrollMaster[[#This Row],[Pay Factor]]</f>
        <v>0</v>
      </c>
      <c r="N828" s="25">
        <f>_xlfn.XLOOKUP(tblPayrollMaster[[#This Row],[Employee Position]],tblPositionandPayRate[Employee Position],tblPositionandPayRate[Allowance 3],0)*tblPayrollMaster[[#This Row],[Pay Factor]]</f>
        <v>0</v>
      </c>
      <c r="O828" s="25">
        <f>_xlfn.XLOOKUP(tblPayrollMaster[[#This Row],[Employee Position]],tblPositionandPayRate[Employee Position],tblPositionandPayRate[Allowance 4],0)*tblPayrollMaster[[#This Row],[Pay Factor]]</f>
        <v>0</v>
      </c>
      <c r="P828" s="25">
        <f>_xlfn.XLOOKUP(tblPayrollMaster[[#This Row],[Employee Position]],tblPositionandPayRate[Employee Position],tblPositionandPayRate[Allowance 5],0)*tblPayrollMaster[[#This Row],[Pay Factor]]</f>
        <v>0</v>
      </c>
      <c r="Q828" s="25">
        <f>SUM(tblPayrollMaster[[#This Row],[Basic Pay]:[Allowance 5]])</f>
        <v>0</v>
      </c>
      <c r="R82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28" s="51" cm="1">
        <f t="array" ref="S8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28" s="3" cm="1">
        <f t="array" ref="T8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28" s="25">
        <f>_xlfn.LET(
_xlpm.tos, _xlfn.XLOOKUP(tblPayrollMaster[[#This Row],[Employee ID]], tblEmployee[Employee ID], tblEmployee[Type of Service], ""),
IF(_xlpm.tos="Contract of Service", 8.25, 0)
)</f>
        <v>0</v>
      </c>
      <c r="V828" s="25">
        <f>tblPayrollMaster[[#This Row],[Basic Earnings]]-tblPayrollMaster[[#This Row],[Tax]]-tblPayrollMaster[[#This Row],[NIS - Employee]]-tblPayrollMaster[[#This Row],[Health Surcharge]]</f>
        <v>0</v>
      </c>
      <c r="W828" s="25">
        <f>tblPayrollMaster[[#This Row],[Net Pay]]</f>
        <v>0</v>
      </c>
      <c r="X828" s="25"/>
    </row>
    <row r="829" spans="1:24" x14ac:dyDescent="0.25">
      <c r="A829" s="24"/>
      <c r="B829" s="24" t="str">
        <f>_xlfn.XLOOKUP(tblPayrollMaster[[#This Row],[Employee ID]],tblEmployee[Employee ID],tblEmployee[Employee Name],"")</f>
        <v/>
      </c>
      <c r="C829" s="24" t="str">
        <f>_xlfn.XLOOKUP(tblPayrollMaster[[#This Row],[Employee ID]],tblEmployee[Employee ID],tblEmployee[Employee Position],"")</f>
        <v/>
      </c>
      <c r="D829" s="24" t="str">
        <f>_xlfn.XLOOKUP(tblPayrollMaster[[#This Row],[Employee ID]], tblEmployee[Employee ID], tblEmployee[Pay Status], "Pay")</f>
        <v>Pay</v>
      </c>
      <c r="E829" s="24" t="str">
        <f>_xlfn.XLOOKUP(tblPayrollMaster[[#This Row],[Employee ID]], tblEmployee[Employee ID], tblEmployee[Payable Flag], "Y")</f>
        <v>Y</v>
      </c>
      <c r="F829" s="45">
        <f>IF(tblPayrollMaster[[#This Row],[Payable Flag]]="N",0,_xlfn.XLOOKUP(tblPayrollMaster[[#This Row],[Employee ID]],tblEmployee[Employee ID],tblEmployee[Pay Factor],1))</f>
        <v>1</v>
      </c>
      <c r="G829" s="26" t="str" cm="1">
        <f t="array" ref="G829">IF(tblPayrollMaster[[#This Row],[Employee ID]]="","",_xlfn.XLOOKUP(selPayPeriodID,tblPayCalendar[PayPeriodID],tblPayCalendar[PeriodStart],""))</f>
        <v/>
      </c>
      <c r="H829" s="26" t="str" cm="1">
        <f t="array" ref="H829">IF(tblPayrollMaster[[#This Row],[Employee ID]]="","",_xlfn.XLOOKUP(selPayPeriodID,tblPayCalendar[PayPeriodID],tblPayCalendar[PeriodEnd],""))</f>
        <v/>
      </c>
      <c r="I829" s="24" t="e" cm="1" vm="1">
        <f t="array" aca="1" ref="I829" ca="1">Table18[Employer Name]</f>
        <v>#VALUE!</v>
      </c>
      <c r="J829" s="3" cm="1">
        <f t="array" ref="J82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29" s="25" t="str">
        <f>_xlfn.XLOOKUP(tblPayrollMaster[[#This Row],[Employee Position]],tblPositionandPayRate[Employee Position],tblPositionandPayRate[Overtime], " ")</f>
        <v xml:space="preserve"> </v>
      </c>
      <c r="L829" s="25">
        <f>_xlfn.XLOOKUP(tblPayrollMaster[[#This Row],[Employee Position]],tblPositionandPayRate[Employee Position],tblPositionandPayRate[Allowance 1],0)*tblPayrollMaster[[#This Row],[Pay Factor]]</f>
        <v>0</v>
      </c>
      <c r="M829" s="25">
        <f>_xlfn.XLOOKUP(tblPayrollMaster[[#This Row],[Employee Position]],tblPositionandPayRate[Employee Position],tblPositionandPayRate[Allowance 2],0)*tblPayrollMaster[[#This Row],[Pay Factor]]</f>
        <v>0</v>
      </c>
      <c r="N829" s="25">
        <f>_xlfn.XLOOKUP(tblPayrollMaster[[#This Row],[Employee Position]],tblPositionandPayRate[Employee Position],tblPositionandPayRate[Allowance 3],0)*tblPayrollMaster[[#This Row],[Pay Factor]]</f>
        <v>0</v>
      </c>
      <c r="O829" s="25">
        <f>_xlfn.XLOOKUP(tblPayrollMaster[[#This Row],[Employee Position]],tblPositionandPayRate[Employee Position],tblPositionandPayRate[Allowance 4],0)*tblPayrollMaster[[#This Row],[Pay Factor]]</f>
        <v>0</v>
      </c>
      <c r="P829" s="25">
        <f>_xlfn.XLOOKUP(tblPayrollMaster[[#This Row],[Employee Position]],tblPositionandPayRate[Employee Position],tblPositionandPayRate[Allowance 5],0)*tblPayrollMaster[[#This Row],[Pay Factor]]</f>
        <v>0</v>
      </c>
      <c r="Q829" s="25">
        <f>SUM(tblPayrollMaster[[#This Row],[Basic Pay]:[Allowance 5]])</f>
        <v>0</v>
      </c>
      <c r="R82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29" s="51" cm="1">
        <f t="array" ref="S8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29" s="3" cm="1">
        <f t="array" ref="T8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29" s="25">
        <f>_xlfn.LET(
_xlpm.tos, _xlfn.XLOOKUP(tblPayrollMaster[[#This Row],[Employee ID]], tblEmployee[Employee ID], tblEmployee[Type of Service], ""),
IF(_xlpm.tos="Contract of Service", 8.25, 0)
)</f>
        <v>0</v>
      </c>
      <c r="V829" s="25">
        <f>tblPayrollMaster[[#This Row],[Basic Earnings]]-tblPayrollMaster[[#This Row],[Tax]]-tblPayrollMaster[[#This Row],[NIS - Employee]]-tblPayrollMaster[[#This Row],[Health Surcharge]]</f>
        <v>0</v>
      </c>
      <c r="W829" s="25">
        <f>tblPayrollMaster[[#This Row],[Net Pay]]</f>
        <v>0</v>
      </c>
      <c r="X829" s="25"/>
    </row>
    <row r="830" spans="1:24" x14ac:dyDescent="0.25">
      <c r="A830" s="24"/>
      <c r="B830" s="24" t="str">
        <f>_xlfn.XLOOKUP(tblPayrollMaster[[#This Row],[Employee ID]],tblEmployee[Employee ID],tblEmployee[Employee Name],"")</f>
        <v/>
      </c>
      <c r="C830" s="24" t="str">
        <f>_xlfn.XLOOKUP(tblPayrollMaster[[#This Row],[Employee ID]],tblEmployee[Employee ID],tblEmployee[Employee Position],"")</f>
        <v/>
      </c>
      <c r="D830" s="24" t="str">
        <f>_xlfn.XLOOKUP(tblPayrollMaster[[#This Row],[Employee ID]], tblEmployee[Employee ID], tblEmployee[Pay Status], "Pay")</f>
        <v>Pay</v>
      </c>
      <c r="E830" s="24" t="str">
        <f>_xlfn.XLOOKUP(tblPayrollMaster[[#This Row],[Employee ID]], tblEmployee[Employee ID], tblEmployee[Payable Flag], "Y")</f>
        <v>Y</v>
      </c>
      <c r="F830" s="45">
        <f>IF(tblPayrollMaster[[#This Row],[Payable Flag]]="N",0,_xlfn.XLOOKUP(tblPayrollMaster[[#This Row],[Employee ID]],tblEmployee[Employee ID],tblEmployee[Pay Factor],1))</f>
        <v>1</v>
      </c>
      <c r="G830" s="26" t="str" cm="1">
        <f t="array" ref="G830">IF(tblPayrollMaster[[#This Row],[Employee ID]]="","",_xlfn.XLOOKUP(selPayPeriodID,tblPayCalendar[PayPeriodID],tblPayCalendar[PeriodStart],""))</f>
        <v/>
      </c>
      <c r="H830" s="26" t="str" cm="1">
        <f t="array" ref="H830">IF(tblPayrollMaster[[#This Row],[Employee ID]]="","",_xlfn.XLOOKUP(selPayPeriodID,tblPayCalendar[PayPeriodID],tblPayCalendar[PeriodEnd],""))</f>
        <v/>
      </c>
      <c r="I830" s="24" t="e" cm="1" vm="1">
        <f t="array" aca="1" ref="I830" ca="1">Table18[Employer Name]</f>
        <v>#VALUE!</v>
      </c>
      <c r="J830" s="3" cm="1">
        <f t="array" ref="J83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30" s="25" t="str">
        <f>_xlfn.XLOOKUP(tblPayrollMaster[[#This Row],[Employee Position]],tblPositionandPayRate[Employee Position],tblPositionandPayRate[Overtime], " ")</f>
        <v xml:space="preserve"> </v>
      </c>
      <c r="L830" s="25">
        <f>_xlfn.XLOOKUP(tblPayrollMaster[[#This Row],[Employee Position]],tblPositionandPayRate[Employee Position],tblPositionandPayRate[Allowance 1],0)*tblPayrollMaster[[#This Row],[Pay Factor]]</f>
        <v>0</v>
      </c>
      <c r="M830" s="25">
        <f>_xlfn.XLOOKUP(tblPayrollMaster[[#This Row],[Employee Position]],tblPositionandPayRate[Employee Position],tblPositionandPayRate[Allowance 2],0)*tblPayrollMaster[[#This Row],[Pay Factor]]</f>
        <v>0</v>
      </c>
      <c r="N830" s="25">
        <f>_xlfn.XLOOKUP(tblPayrollMaster[[#This Row],[Employee Position]],tblPositionandPayRate[Employee Position],tblPositionandPayRate[Allowance 3],0)*tblPayrollMaster[[#This Row],[Pay Factor]]</f>
        <v>0</v>
      </c>
      <c r="O830" s="25">
        <f>_xlfn.XLOOKUP(tblPayrollMaster[[#This Row],[Employee Position]],tblPositionandPayRate[Employee Position],tblPositionandPayRate[Allowance 4],0)*tblPayrollMaster[[#This Row],[Pay Factor]]</f>
        <v>0</v>
      </c>
      <c r="P830" s="25">
        <f>_xlfn.XLOOKUP(tblPayrollMaster[[#This Row],[Employee Position]],tblPositionandPayRate[Employee Position],tblPositionandPayRate[Allowance 5],0)*tblPayrollMaster[[#This Row],[Pay Factor]]</f>
        <v>0</v>
      </c>
      <c r="Q830" s="25">
        <f>SUM(tblPayrollMaster[[#This Row],[Basic Pay]:[Allowance 5]])</f>
        <v>0</v>
      </c>
      <c r="R83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30" s="51" cm="1">
        <f t="array" ref="S8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30" s="3" cm="1">
        <f t="array" ref="T8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30" s="25">
        <f>_xlfn.LET(
_xlpm.tos, _xlfn.XLOOKUP(tblPayrollMaster[[#This Row],[Employee ID]], tblEmployee[Employee ID], tblEmployee[Type of Service], ""),
IF(_xlpm.tos="Contract of Service", 8.25, 0)
)</f>
        <v>0</v>
      </c>
      <c r="V830" s="25">
        <f>tblPayrollMaster[[#This Row],[Basic Earnings]]-tblPayrollMaster[[#This Row],[Tax]]-tblPayrollMaster[[#This Row],[NIS - Employee]]-tblPayrollMaster[[#This Row],[Health Surcharge]]</f>
        <v>0</v>
      </c>
      <c r="W830" s="25">
        <f>tblPayrollMaster[[#This Row],[Net Pay]]</f>
        <v>0</v>
      </c>
      <c r="X830" s="25"/>
    </row>
    <row r="831" spans="1:24" x14ac:dyDescent="0.25">
      <c r="A831" s="24"/>
      <c r="B831" s="24" t="str">
        <f>_xlfn.XLOOKUP(tblPayrollMaster[[#This Row],[Employee ID]],tblEmployee[Employee ID],tblEmployee[Employee Name],"")</f>
        <v/>
      </c>
      <c r="C831" s="24" t="str">
        <f>_xlfn.XLOOKUP(tblPayrollMaster[[#This Row],[Employee ID]],tblEmployee[Employee ID],tblEmployee[Employee Position],"")</f>
        <v/>
      </c>
      <c r="D831" s="24" t="str">
        <f>_xlfn.XLOOKUP(tblPayrollMaster[[#This Row],[Employee ID]], tblEmployee[Employee ID], tblEmployee[Pay Status], "Pay")</f>
        <v>Pay</v>
      </c>
      <c r="E831" s="24" t="str">
        <f>_xlfn.XLOOKUP(tblPayrollMaster[[#This Row],[Employee ID]], tblEmployee[Employee ID], tblEmployee[Payable Flag], "Y")</f>
        <v>Y</v>
      </c>
      <c r="F831" s="45">
        <f>IF(tblPayrollMaster[[#This Row],[Payable Flag]]="N",0,_xlfn.XLOOKUP(tblPayrollMaster[[#This Row],[Employee ID]],tblEmployee[Employee ID],tblEmployee[Pay Factor],1))</f>
        <v>1</v>
      </c>
      <c r="G831" s="26" t="str" cm="1">
        <f t="array" ref="G831">IF(tblPayrollMaster[[#This Row],[Employee ID]]="","",_xlfn.XLOOKUP(selPayPeriodID,tblPayCalendar[PayPeriodID],tblPayCalendar[PeriodStart],""))</f>
        <v/>
      </c>
      <c r="H831" s="26" t="str" cm="1">
        <f t="array" ref="H831">IF(tblPayrollMaster[[#This Row],[Employee ID]]="","",_xlfn.XLOOKUP(selPayPeriodID,tblPayCalendar[PayPeriodID],tblPayCalendar[PeriodEnd],""))</f>
        <v/>
      </c>
      <c r="I831" s="24" t="e" cm="1" vm="1">
        <f t="array" aca="1" ref="I831" ca="1">Table18[Employer Name]</f>
        <v>#VALUE!</v>
      </c>
      <c r="J831" s="3" cm="1">
        <f t="array" ref="J83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31" s="25" t="str">
        <f>_xlfn.XLOOKUP(tblPayrollMaster[[#This Row],[Employee Position]],tblPositionandPayRate[Employee Position],tblPositionandPayRate[Overtime], " ")</f>
        <v xml:space="preserve"> </v>
      </c>
      <c r="L831" s="25">
        <f>_xlfn.XLOOKUP(tblPayrollMaster[[#This Row],[Employee Position]],tblPositionandPayRate[Employee Position],tblPositionandPayRate[Allowance 1],0)*tblPayrollMaster[[#This Row],[Pay Factor]]</f>
        <v>0</v>
      </c>
      <c r="M831" s="25">
        <f>_xlfn.XLOOKUP(tblPayrollMaster[[#This Row],[Employee Position]],tblPositionandPayRate[Employee Position],tblPositionandPayRate[Allowance 2],0)*tblPayrollMaster[[#This Row],[Pay Factor]]</f>
        <v>0</v>
      </c>
      <c r="N831" s="25">
        <f>_xlfn.XLOOKUP(tblPayrollMaster[[#This Row],[Employee Position]],tblPositionandPayRate[Employee Position],tblPositionandPayRate[Allowance 3],0)*tblPayrollMaster[[#This Row],[Pay Factor]]</f>
        <v>0</v>
      </c>
      <c r="O831" s="25">
        <f>_xlfn.XLOOKUP(tblPayrollMaster[[#This Row],[Employee Position]],tblPositionandPayRate[Employee Position],tblPositionandPayRate[Allowance 4],0)*tblPayrollMaster[[#This Row],[Pay Factor]]</f>
        <v>0</v>
      </c>
      <c r="P831" s="25">
        <f>_xlfn.XLOOKUP(tblPayrollMaster[[#This Row],[Employee Position]],tblPositionandPayRate[Employee Position],tblPositionandPayRate[Allowance 5],0)*tblPayrollMaster[[#This Row],[Pay Factor]]</f>
        <v>0</v>
      </c>
      <c r="Q831" s="25">
        <f>SUM(tblPayrollMaster[[#This Row],[Basic Pay]:[Allowance 5]])</f>
        <v>0</v>
      </c>
      <c r="R83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31" s="51" cm="1">
        <f t="array" ref="S8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31" s="3" cm="1">
        <f t="array" ref="T8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31" s="25">
        <f>_xlfn.LET(
_xlpm.tos, _xlfn.XLOOKUP(tblPayrollMaster[[#This Row],[Employee ID]], tblEmployee[Employee ID], tblEmployee[Type of Service], ""),
IF(_xlpm.tos="Contract of Service", 8.25, 0)
)</f>
        <v>0</v>
      </c>
      <c r="V831" s="25">
        <f>tblPayrollMaster[[#This Row],[Basic Earnings]]-tblPayrollMaster[[#This Row],[Tax]]-tblPayrollMaster[[#This Row],[NIS - Employee]]-tblPayrollMaster[[#This Row],[Health Surcharge]]</f>
        <v>0</v>
      </c>
      <c r="W831" s="25">
        <f>tblPayrollMaster[[#This Row],[Net Pay]]</f>
        <v>0</v>
      </c>
      <c r="X831" s="25"/>
    </row>
    <row r="832" spans="1:24" x14ac:dyDescent="0.25">
      <c r="A832" s="24"/>
      <c r="B832" s="24" t="str">
        <f>_xlfn.XLOOKUP(tblPayrollMaster[[#This Row],[Employee ID]],tblEmployee[Employee ID],tblEmployee[Employee Name],"")</f>
        <v/>
      </c>
      <c r="C832" s="24" t="str">
        <f>_xlfn.XLOOKUP(tblPayrollMaster[[#This Row],[Employee ID]],tblEmployee[Employee ID],tblEmployee[Employee Position],"")</f>
        <v/>
      </c>
      <c r="D832" s="24" t="str">
        <f>_xlfn.XLOOKUP(tblPayrollMaster[[#This Row],[Employee ID]], tblEmployee[Employee ID], tblEmployee[Pay Status], "Pay")</f>
        <v>Pay</v>
      </c>
      <c r="E832" s="24" t="str">
        <f>_xlfn.XLOOKUP(tblPayrollMaster[[#This Row],[Employee ID]], tblEmployee[Employee ID], tblEmployee[Payable Flag], "Y")</f>
        <v>Y</v>
      </c>
      <c r="F832" s="45">
        <f>IF(tblPayrollMaster[[#This Row],[Payable Flag]]="N",0,_xlfn.XLOOKUP(tblPayrollMaster[[#This Row],[Employee ID]],tblEmployee[Employee ID],tblEmployee[Pay Factor],1))</f>
        <v>1</v>
      </c>
      <c r="G832" s="26" t="str" cm="1">
        <f t="array" ref="G832">IF(tblPayrollMaster[[#This Row],[Employee ID]]="","",_xlfn.XLOOKUP(selPayPeriodID,tblPayCalendar[PayPeriodID],tblPayCalendar[PeriodStart],""))</f>
        <v/>
      </c>
      <c r="H832" s="26" t="str" cm="1">
        <f t="array" ref="H832">IF(tblPayrollMaster[[#This Row],[Employee ID]]="","",_xlfn.XLOOKUP(selPayPeriodID,tblPayCalendar[PayPeriodID],tblPayCalendar[PeriodEnd],""))</f>
        <v/>
      </c>
      <c r="I832" s="24" t="e" cm="1" vm="1">
        <f t="array" aca="1" ref="I832" ca="1">Table18[Employer Name]</f>
        <v>#VALUE!</v>
      </c>
      <c r="J832" s="3" cm="1">
        <f t="array" ref="J83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32" s="25" t="str">
        <f>_xlfn.XLOOKUP(tblPayrollMaster[[#This Row],[Employee Position]],tblPositionandPayRate[Employee Position],tblPositionandPayRate[Overtime], " ")</f>
        <v xml:space="preserve"> </v>
      </c>
      <c r="L832" s="25">
        <f>_xlfn.XLOOKUP(tblPayrollMaster[[#This Row],[Employee Position]],tblPositionandPayRate[Employee Position],tblPositionandPayRate[Allowance 1],0)*tblPayrollMaster[[#This Row],[Pay Factor]]</f>
        <v>0</v>
      </c>
      <c r="M832" s="25">
        <f>_xlfn.XLOOKUP(tblPayrollMaster[[#This Row],[Employee Position]],tblPositionandPayRate[Employee Position],tblPositionandPayRate[Allowance 2],0)*tblPayrollMaster[[#This Row],[Pay Factor]]</f>
        <v>0</v>
      </c>
      <c r="N832" s="25">
        <f>_xlfn.XLOOKUP(tblPayrollMaster[[#This Row],[Employee Position]],tblPositionandPayRate[Employee Position],tblPositionandPayRate[Allowance 3],0)*tblPayrollMaster[[#This Row],[Pay Factor]]</f>
        <v>0</v>
      </c>
      <c r="O832" s="25">
        <f>_xlfn.XLOOKUP(tblPayrollMaster[[#This Row],[Employee Position]],tblPositionandPayRate[Employee Position],tblPositionandPayRate[Allowance 4],0)*tblPayrollMaster[[#This Row],[Pay Factor]]</f>
        <v>0</v>
      </c>
      <c r="P832" s="25">
        <f>_xlfn.XLOOKUP(tblPayrollMaster[[#This Row],[Employee Position]],tblPositionandPayRate[Employee Position],tblPositionandPayRate[Allowance 5],0)*tblPayrollMaster[[#This Row],[Pay Factor]]</f>
        <v>0</v>
      </c>
      <c r="Q832" s="25">
        <f>SUM(tblPayrollMaster[[#This Row],[Basic Pay]:[Allowance 5]])</f>
        <v>0</v>
      </c>
      <c r="R83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32" s="51" cm="1">
        <f t="array" ref="S8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32" s="3" cm="1">
        <f t="array" ref="T8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32" s="25">
        <f>_xlfn.LET(
_xlpm.tos, _xlfn.XLOOKUP(tblPayrollMaster[[#This Row],[Employee ID]], tblEmployee[Employee ID], tblEmployee[Type of Service], ""),
IF(_xlpm.tos="Contract of Service", 8.25, 0)
)</f>
        <v>0</v>
      </c>
      <c r="V832" s="25">
        <f>tblPayrollMaster[[#This Row],[Basic Earnings]]-tblPayrollMaster[[#This Row],[Tax]]-tblPayrollMaster[[#This Row],[NIS - Employee]]-tblPayrollMaster[[#This Row],[Health Surcharge]]</f>
        <v>0</v>
      </c>
      <c r="W832" s="25">
        <f>tblPayrollMaster[[#This Row],[Net Pay]]</f>
        <v>0</v>
      </c>
      <c r="X832" s="25"/>
    </row>
    <row r="833" spans="1:24" x14ac:dyDescent="0.25">
      <c r="A833" s="24"/>
      <c r="B833" s="24" t="str">
        <f>_xlfn.XLOOKUP(tblPayrollMaster[[#This Row],[Employee ID]],tblEmployee[Employee ID],tblEmployee[Employee Name],"")</f>
        <v/>
      </c>
      <c r="C833" s="24" t="str">
        <f>_xlfn.XLOOKUP(tblPayrollMaster[[#This Row],[Employee ID]],tblEmployee[Employee ID],tblEmployee[Employee Position],"")</f>
        <v/>
      </c>
      <c r="D833" s="24" t="str">
        <f>_xlfn.XLOOKUP(tblPayrollMaster[[#This Row],[Employee ID]], tblEmployee[Employee ID], tblEmployee[Pay Status], "Pay")</f>
        <v>Pay</v>
      </c>
      <c r="E833" s="24" t="str">
        <f>_xlfn.XLOOKUP(tblPayrollMaster[[#This Row],[Employee ID]], tblEmployee[Employee ID], tblEmployee[Payable Flag], "Y")</f>
        <v>Y</v>
      </c>
      <c r="F833" s="45">
        <f>IF(tblPayrollMaster[[#This Row],[Payable Flag]]="N",0,_xlfn.XLOOKUP(tblPayrollMaster[[#This Row],[Employee ID]],tblEmployee[Employee ID],tblEmployee[Pay Factor],1))</f>
        <v>1</v>
      </c>
      <c r="G833" s="26" t="str" cm="1">
        <f t="array" ref="G833">IF(tblPayrollMaster[[#This Row],[Employee ID]]="","",_xlfn.XLOOKUP(selPayPeriodID,tblPayCalendar[PayPeriodID],tblPayCalendar[PeriodStart],""))</f>
        <v/>
      </c>
      <c r="H833" s="26" t="str" cm="1">
        <f t="array" ref="H833">IF(tblPayrollMaster[[#This Row],[Employee ID]]="","",_xlfn.XLOOKUP(selPayPeriodID,tblPayCalendar[PayPeriodID],tblPayCalendar[PeriodEnd],""))</f>
        <v/>
      </c>
      <c r="I833" s="24" t="e" cm="1" vm="1">
        <f t="array" aca="1" ref="I833" ca="1">Table18[Employer Name]</f>
        <v>#VALUE!</v>
      </c>
      <c r="J833" s="3" cm="1">
        <f t="array" ref="J83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33" s="25" t="str">
        <f>_xlfn.XLOOKUP(tblPayrollMaster[[#This Row],[Employee Position]],tblPositionandPayRate[Employee Position],tblPositionandPayRate[Overtime], " ")</f>
        <v xml:space="preserve"> </v>
      </c>
      <c r="L833" s="25">
        <f>_xlfn.XLOOKUP(tblPayrollMaster[[#This Row],[Employee Position]],tblPositionandPayRate[Employee Position],tblPositionandPayRate[Allowance 1],0)*tblPayrollMaster[[#This Row],[Pay Factor]]</f>
        <v>0</v>
      </c>
      <c r="M833" s="25">
        <f>_xlfn.XLOOKUP(tblPayrollMaster[[#This Row],[Employee Position]],tblPositionandPayRate[Employee Position],tblPositionandPayRate[Allowance 2],0)*tblPayrollMaster[[#This Row],[Pay Factor]]</f>
        <v>0</v>
      </c>
      <c r="N833" s="25">
        <f>_xlfn.XLOOKUP(tblPayrollMaster[[#This Row],[Employee Position]],tblPositionandPayRate[Employee Position],tblPositionandPayRate[Allowance 3],0)*tblPayrollMaster[[#This Row],[Pay Factor]]</f>
        <v>0</v>
      </c>
      <c r="O833" s="25">
        <f>_xlfn.XLOOKUP(tblPayrollMaster[[#This Row],[Employee Position]],tblPositionandPayRate[Employee Position],tblPositionandPayRate[Allowance 4],0)*tblPayrollMaster[[#This Row],[Pay Factor]]</f>
        <v>0</v>
      </c>
      <c r="P833" s="25">
        <f>_xlfn.XLOOKUP(tblPayrollMaster[[#This Row],[Employee Position]],tblPositionandPayRate[Employee Position],tblPositionandPayRate[Allowance 5],0)*tblPayrollMaster[[#This Row],[Pay Factor]]</f>
        <v>0</v>
      </c>
      <c r="Q833" s="25">
        <f>SUM(tblPayrollMaster[[#This Row],[Basic Pay]:[Allowance 5]])</f>
        <v>0</v>
      </c>
      <c r="R83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33" s="51" cm="1">
        <f t="array" ref="S8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33" s="3" cm="1">
        <f t="array" ref="T8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33" s="25">
        <f>_xlfn.LET(
_xlpm.tos, _xlfn.XLOOKUP(tblPayrollMaster[[#This Row],[Employee ID]], tblEmployee[Employee ID], tblEmployee[Type of Service], ""),
IF(_xlpm.tos="Contract of Service", 8.25, 0)
)</f>
        <v>0</v>
      </c>
      <c r="V833" s="25">
        <f>tblPayrollMaster[[#This Row],[Basic Earnings]]-tblPayrollMaster[[#This Row],[Tax]]-tblPayrollMaster[[#This Row],[NIS - Employee]]-tblPayrollMaster[[#This Row],[Health Surcharge]]</f>
        <v>0</v>
      </c>
      <c r="W833" s="25">
        <f>tblPayrollMaster[[#This Row],[Net Pay]]</f>
        <v>0</v>
      </c>
      <c r="X833" s="25"/>
    </row>
    <row r="834" spans="1:24" x14ac:dyDescent="0.25">
      <c r="A834" s="24"/>
      <c r="B834" s="24" t="str">
        <f>_xlfn.XLOOKUP(tblPayrollMaster[[#This Row],[Employee ID]],tblEmployee[Employee ID],tblEmployee[Employee Name],"")</f>
        <v/>
      </c>
      <c r="C834" s="24" t="str">
        <f>_xlfn.XLOOKUP(tblPayrollMaster[[#This Row],[Employee ID]],tblEmployee[Employee ID],tblEmployee[Employee Position],"")</f>
        <v/>
      </c>
      <c r="D834" s="24" t="str">
        <f>_xlfn.XLOOKUP(tblPayrollMaster[[#This Row],[Employee ID]], tblEmployee[Employee ID], tblEmployee[Pay Status], "Pay")</f>
        <v>Pay</v>
      </c>
      <c r="E834" s="24" t="str">
        <f>_xlfn.XLOOKUP(tblPayrollMaster[[#This Row],[Employee ID]], tblEmployee[Employee ID], tblEmployee[Payable Flag], "Y")</f>
        <v>Y</v>
      </c>
      <c r="F834" s="45">
        <f>IF(tblPayrollMaster[[#This Row],[Payable Flag]]="N",0,_xlfn.XLOOKUP(tblPayrollMaster[[#This Row],[Employee ID]],tblEmployee[Employee ID],tblEmployee[Pay Factor],1))</f>
        <v>1</v>
      </c>
      <c r="G834" s="26" t="str" cm="1">
        <f t="array" ref="G834">IF(tblPayrollMaster[[#This Row],[Employee ID]]="","",_xlfn.XLOOKUP(selPayPeriodID,tblPayCalendar[PayPeriodID],tblPayCalendar[PeriodStart],""))</f>
        <v/>
      </c>
      <c r="H834" s="26" t="str" cm="1">
        <f t="array" ref="H834">IF(tblPayrollMaster[[#This Row],[Employee ID]]="","",_xlfn.XLOOKUP(selPayPeriodID,tblPayCalendar[PayPeriodID],tblPayCalendar[PeriodEnd],""))</f>
        <v/>
      </c>
      <c r="I834" s="24" t="e" cm="1" vm="1">
        <f t="array" aca="1" ref="I834" ca="1">Table18[Employer Name]</f>
        <v>#VALUE!</v>
      </c>
      <c r="J834" s="3" cm="1">
        <f t="array" ref="J83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34" s="25" t="str">
        <f>_xlfn.XLOOKUP(tblPayrollMaster[[#This Row],[Employee Position]],tblPositionandPayRate[Employee Position],tblPositionandPayRate[Overtime], " ")</f>
        <v xml:space="preserve"> </v>
      </c>
      <c r="L834" s="25">
        <f>_xlfn.XLOOKUP(tblPayrollMaster[[#This Row],[Employee Position]],tblPositionandPayRate[Employee Position],tblPositionandPayRate[Allowance 1],0)*tblPayrollMaster[[#This Row],[Pay Factor]]</f>
        <v>0</v>
      </c>
      <c r="M834" s="25">
        <f>_xlfn.XLOOKUP(tblPayrollMaster[[#This Row],[Employee Position]],tblPositionandPayRate[Employee Position],tblPositionandPayRate[Allowance 2],0)*tblPayrollMaster[[#This Row],[Pay Factor]]</f>
        <v>0</v>
      </c>
      <c r="N834" s="25">
        <f>_xlfn.XLOOKUP(tblPayrollMaster[[#This Row],[Employee Position]],tblPositionandPayRate[Employee Position],tblPositionandPayRate[Allowance 3],0)*tblPayrollMaster[[#This Row],[Pay Factor]]</f>
        <v>0</v>
      </c>
      <c r="O834" s="25">
        <f>_xlfn.XLOOKUP(tblPayrollMaster[[#This Row],[Employee Position]],tblPositionandPayRate[Employee Position],tblPositionandPayRate[Allowance 4],0)*tblPayrollMaster[[#This Row],[Pay Factor]]</f>
        <v>0</v>
      </c>
      <c r="P834" s="25">
        <f>_xlfn.XLOOKUP(tblPayrollMaster[[#This Row],[Employee Position]],tblPositionandPayRate[Employee Position],tblPositionandPayRate[Allowance 5],0)*tblPayrollMaster[[#This Row],[Pay Factor]]</f>
        <v>0</v>
      </c>
      <c r="Q834" s="25">
        <f>SUM(tblPayrollMaster[[#This Row],[Basic Pay]:[Allowance 5]])</f>
        <v>0</v>
      </c>
      <c r="R83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34" s="51" cm="1">
        <f t="array" ref="S8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34" s="3" cm="1">
        <f t="array" ref="T8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34" s="25">
        <f>_xlfn.LET(
_xlpm.tos, _xlfn.XLOOKUP(tblPayrollMaster[[#This Row],[Employee ID]], tblEmployee[Employee ID], tblEmployee[Type of Service], ""),
IF(_xlpm.tos="Contract of Service", 8.25, 0)
)</f>
        <v>0</v>
      </c>
      <c r="V834" s="25">
        <f>tblPayrollMaster[[#This Row],[Basic Earnings]]-tblPayrollMaster[[#This Row],[Tax]]-tblPayrollMaster[[#This Row],[NIS - Employee]]-tblPayrollMaster[[#This Row],[Health Surcharge]]</f>
        <v>0</v>
      </c>
      <c r="W834" s="25">
        <f>tblPayrollMaster[[#This Row],[Net Pay]]</f>
        <v>0</v>
      </c>
      <c r="X834" s="25"/>
    </row>
    <row r="835" spans="1:24" x14ac:dyDescent="0.25">
      <c r="A835" s="24"/>
      <c r="B835" s="24" t="str">
        <f>_xlfn.XLOOKUP(tblPayrollMaster[[#This Row],[Employee ID]],tblEmployee[Employee ID],tblEmployee[Employee Name],"")</f>
        <v/>
      </c>
      <c r="C835" s="24" t="str">
        <f>_xlfn.XLOOKUP(tblPayrollMaster[[#This Row],[Employee ID]],tblEmployee[Employee ID],tblEmployee[Employee Position],"")</f>
        <v/>
      </c>
      <c r="D835" s="24" t="str">
        <f>_xlfn.XLOOKUP(tblPayrollMaster[[#This Row],[Employee ID]], tblEmployee[Employee ID], tblEmployee[Pay Status], "Pay")</f>
        <v>Pay</v>
      </c>
      <c r="E835" s="24" t="str">
        <f>_xlfn.XLOOKUP(tblPayrollMaster[[#This Row],[Employee ID]], tblEmployee[Employee ID], tblEmployee[Payable Flag], "Y")</f>
        <v>Y</v>
      </c>
      <c r="F835" s="45">
        <f>IF(tblPayrollMaster[[#This Row],[Payable Flag]]="N",0,_xlfn.XLOOKUP(tblPayrollMaster[[#This Row],[Employee ID]],tblEmployee[Employee ID],tblEmployee[Pay Factor],1))</f>
        <v>1</v>
      </c>
      <c r="G835" s="26" t="str" cm="1">
        <f t="array" ref="G835">IF(tblPayrollMaster[[#This Row],[Employee ID]]="","",_xlfn.XLOOKUP(selPayPeriodID,tblPayCalendar[PayPeriodID],tblPayCalendar[PeriodStart],""))</f>
        <v/>
      </c>
      <c r="H835" s="26" t="str" cm="1">
        <f t="array" ref="H835">IF(tblPayrollMaster[[#This Row],[Employee ID]]="","",_xlfn.XLOOKUP(selPayPeriodID,tblPayCalendar[PayPeriodID],tblPayCalendar[PeriodEnd],""))</f>
        <v/>
      </c>
      <c r="I835" s="24" t="e" cm="1" vm="1">
        <f t="array" aca="1" ref="I835" ca="1">Table18[Employer Name]</f>
        <v>#VALUE!</v>
      </c>
      <c r="J835" s="3" cm="1">
        <f t="array" ref="J83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35" s="25" t="str">
        <f>_xlfn.XLOOKUP(tblPayrollMaster[[#This Row],[Employee Position]],tblPositionandPayRate[Employee Position],tblPositionandPayRate[Overtime], " ")</f>
        <v xml:space="preserve"> </v>
      </c>
      <c r="L835" s="25">
        <f>_xlfn.XLOOKUP(tblPayrollMaster[[#This Row],[Employee Position]],tblPositionandPayRate[Employee Position],tblPositionandPayRate[Allowance 1],0)*tblPayrollMaster[[#This Row],[Pay Factor]]</f>
        <v>0</v>
      </c>
      <c r="M835" s="25">
        <f>_xlfn.XLOOKUP(tblPayrollMaster[[#This Row],[Employee Position]],tblPositionandPayRate[Employee Position],tblPositionandPayRate[Allowance 2],0)*tblPayrollMaster[[#This Row],[Pay Factor]]</f>
        <v>0</v>
      </c>
      <c r="N835" s="25">
        <f>_xlfn.XLOOKUP(tblPayrollMaster[[#This Row],[Employee Position]],tblPositionandPayRate[Employee Position],tblPositionandPayRate[Allowance 3],0)*tblPayrollMaster[[#This Row],[Pay Factor]]</f>
        <v>0</v>
      </c>
      <c r="O835" s="25">
        <f>_xlfn.XLOOKUP(tblPayrollMaster[[#This Row],[Employee Position]],tblPositionandPayRate[Employee Position],tblPositionandPayRate[Allowance 4],0)*tblPayrollMaster[[#This Row],[Pay Factor]]</f>
        <v>0</v>
      </c>
      <c r="P835" s="25">
        <f>_xlfn.XLOOKUP(tblPayrollMaster[[#This Row],[Employee Position]],tblPositionandPayRate[Employee Position],tblPositionandPayRate[Allowance 5],0)*tblPayrollMaster[[#This Row],[Pay Factor]]</f>
        <v>0</v>
      </c>
      <c r="Q835" s="25">
        <f>SUM(tblPayrollMaster[[#This Row],[Basic Pay]:[Allowance 5]])</f>
        <v>0</v>
      </c>
      <c r="R83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35" s="51" cm="1">
        <f t="array" ref="S8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35" s="3" cm="1">
        <f t="array" ref="T8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35" s="25">
        <f>_xlfn.LET(
_xlpm.tos, _xlfn.XLOOKUP(tblPayrollMaster[[#This Row],[Employee ID]], tblEmployee[Employee ID], tblEmployee[Type of Service], ""),
IF(_xlpm.tos="Contract of Service", 8.25, 0)
)</f>
        <v>0</v>
      </c>
      <c r="V835" s="25">
        <f>tblPayrollMaster[[#This Row],[Basic Earnings]]-tblPayrollMaster[[#This Row],[Tax]]-tblPayrollMaster[[#This Row],[NIS - Employee]]-tblPayrollMaster[[#This Row],[Health Surcharge]]</f>
        <v>0</v>
      </c>
      <c r="W835" s="25">
        <f>tblPayrollMaster[[#This Row],[Net Pay]]</f>
        <v>0</v>
      </c>
      <c r="X835" s="25"/>
    </row>
    <row r="836" spans="1:24" x14ac:dyDescent="0.25">
      <c r="A836" s="24"/>
      <c r="B836" s="24" t="str">
        <f>_xlfn.XLOOKUP(tblPayrollMaster[[#This Row],[Employee ID]],tblEmployee[Employee ID],tblEmployee[Employee Name],"")</f>
        <v/>
      </c>
      <c r="C836" s="24" t="str">
        <f>_xlfn.XLOOKUP(tblPayrollMaster[[#This Row],[Employee ID]],tblEmployee[Employee ID],tblEmployee[Employee Position],"")</f>
        <v/>
      </c>
      <c r="D836" s="24" t="str">
        <f>_xlfn.XLOOKUP(tblPayrollMaster[[#This Row],[Employee ID]], tblEmployee[Employee ID], tblEmployee[Pay Status], "Pay")</f>
        <v>Pay</v>
      </c>
      <c r="E836" s="24" t="str">
        <f>_xlfn.XLOOKUP(tblPayrollMaster[[#This Row],[Employee ID]], tblEmployee[Employee ID], tblEmployee[Payable Flag], "Y")</f>
        <v>Y</v>
      </c>
      <c r="F836" s="45">
        <f>IF(tblPayrollMaster[[#This Row],[Payable Flag]]="N",0,_xlfn.XLOOKUP(tblPayrollMaster[[#This Row],[Employee ID]],tblEmployee[Employee ID],tblEmployee[Pay Factor],1))</f>
        <v>1</v>
      </c>
      <c r="G836" s="26" t="str" cm="1">
        <f t="array" ref="G836">IF(tblPayrollMaster[[#This Row],[Employee ID]]="","",_xlfn.XLOOKUP(selPayPeriodID,tblPayCalendar[PayPeriodID],tblPayCalendar[PeriodStart],""))</f>
        <v/>
      </c>
      <c r="H836" s="26" t="str" cm="1">
        <f t="array" ref="H836">IF(tblPayrollMaster[[#This Row],[Employee ID]]="","",_xlfn.XLOOKUP(selPayPeriodID,tblPayCalendar[PayPeriodID],tblPayCalendar[PeriodEnd],""))</f>
        <v/>
      </c>
      <c r="I836" s="24" t="e" cm="1" vm="1">
        <f t="array" aca="1" ref="I836" ca="1">Table18[Employer Name]</f>
        <v>#VALUE!</v>
      </c>
      <c r="J836" s="3" cm="1">
        <f t="array" ref="J83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36" s="25" t="str">
        <f>_xlfn.XLOOKUP(tblPayrollMaster[[#This Row],[Employee Position]],tblPositionandPayRate[Employee Position],tblPositionandPayRate[Overtime], " ")</f>
        <v xml:space="preserve"> </v>
      </c>
      <c r="L836" s="25">
        <f>_xlfn.XLOOKUP(tblPayrollMaster[[#This Row],[Employee Position]],tblPositionandPayRate[Employee Position],tblPositionandPayRate[Allowance 1],0)*tblPayrollMaster[[#This Row],[Pay Factor]]</f>
        <v>0</v>
      </c>
      <c r="M836" s="25">
        <f>_xlfn.XLOOKUP(tblPayrollMaster[[#This Row],[Employee Position]],tblPositionandPayRate[Employee Position],tblPositionandPayRate[Allowance 2],0)*tblPayrollMaster[[#This Row],[Pay Factor]]</f>
        <v>0</v>
      </c>
      <c r="N836" s="25">
        <f>_xlfn.XLOOKUP(tblPayrollMaster[[#This Row],[Employee Position]],tblPositionandPayRate[Employee Position],tblPositionandPayRate[Allowance 3],0)*tblPayrollMaster[[#This Row],[Pay Factor]]</f>
        <v>0</v>
      </c>
      <c r="O836" s="25">
        <f>_xlfn.XLOOKUP(tblPayrollMaster[[#This Row],[Employee Position]],tblPositionandPayRate[Employee Position],tblPositionandPayRate[Allowance 4],0)*tblPayrollMaster[[#This Row],[Pay Factor]]</f>
        <v>0</v>
      </c>
      <c r="P836" s="25">
        <f>_xlfn.XLOOKUP(tblPayrollMaster[[#This Row],[Employee Position]],tblPositionandPayRate[Employee Position],tblPositionandPayRate[Allowance 5],0)*tblPayrollMaster[[#This Row],[Pay Factor]]</f>
        <v>0</v>
      </c>
      <c r="Q836" s="25">
        <f>SUM(tblPayrollMaster[[#This Row],[Basic Pay]:[Allowance 5]])</f>
        <v>0</v>
      </c>
      <c r="R83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36" s="51" cm="1">
        <f t="array" ref="S8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36" s="3" cm="1">
        <f t="array" ref="T8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36" s="25">
        <f>_xlfn.LET(
_xlpm.tos, _xlfn.XLOOKUP(tblPayrollMaster[[#This Row],[Employee ID]], tblEmployee[Employee ID], tblEmployee[Type of Service], ""),
IF(_xlpm.tos="Contract of Service", 8.25, 0)
)</f>
        <v>0</v>
      </c>
      <c r="V836" s="25">
        <f>tblPayrollMaster[[#This Row],[Basic Earnings]]-tblPayrollMaster[[#This Row],[Tax]]-tblPayrollMaster[[#This Row],[NIS - Employee]]-tblPayrollMaster[[#This Row],[Health Surcharge]]</f>
        <v>0</v>
      </c>
      <c r="W836" s="25">
        <f>tblPayrollMaster[[#This Row],[Net Pay]]</f>
        <v>0</v>
      </c>
      <c r="X836" s="25"/>
    </row>
    <row r="837" spans="1:24" x14ac:dyDescent="0.25">
      <c r="A837" s="24"/>
      <c r="B837" s="24" t="str">
        <f>_xlfn.XLOOKUP(tblPayrollMaster[[#This Row],[Employee ID]],tblEmployee[Employee ID],tblEmployee[Employee Name],"")</f>
        <v/>
      </c>
      <c r="C837" s="24" t="str">
        <f>_xlfn.XLOOKUP(tblPayrollMaster[[#This Row],[Employee ID]],tblEmployee[Employee ID],tblEmployee[Employee Position],"")</f>
        <v/>
      </c>
      <c r="D837" s="24" t="str">
        <f>_xlfn.XLOOKUP(tblPayrollMaster[[#This Row],[Employee ID]], tblEmployee[Employee ID], tblEmployee[Pay Status], "Pay")</f>
        <v>Pay</v>
      </c>
      <c r="E837" s="24" t="str">
        <f>_xlfn.XLOOKUP(tblPayrollMaster[[#This Row],[Employee ID]], tblEmployee[Employee ID], tblEmployee[Payable Flag], "Y")</f>
        <v>Y</v>
      </c>
      <c r="F837" s="45">
        <f>IF(tblPayrollMaster[[#This Row],[Payable Flag]]="N",0,_xlfn.XLOOKUP(tblPayrollMaster[[#This Row],[Employee ID]],tblEmployee[Employee ID],tblEmployee[Pay Factor],1))</f>
        <v>1</v>
      </c>
      <c r="G837" s="26" t="str" cm="1">
        <f t="array" ref="G837">IF(tblPayrollMaster[[#This Row],[Employee ID]]="","",_xlfn.XLOOKUP(selPayPeriodID,tblPayCalendar[PayPeriodID],tblPayCalendar[PeriodStart],""))</f>
        <v/>
      </c>
      <c r="H837" s="26" t="str" cm="1">
        <f t="array" ref="H837">IF(tblPayrollMaster[[#This Row],[Employee ID]]="","",_xlfn.XLOOKUP(selPayPeriodID,tblPayCalendar[PayPeriodID],tblPayCalendar[PeriodEnd],""))</f>
        <v/>
      </c>
      <c r="I837" s="24" t="e" cm="1" vm="1">
        <f t="array" aca="1" ref="I837" ca="1">Table18[Employer Name]</f>
        <v>#VALUE!</v>
      </c>
      <c r="J837" s="3" cm="1">
        <f t="array" ref="J83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37" s="25" t="str">
        <f>_xlfn.XLOOKUP(tblPayrollMaster[[#This Row],[Employee Position]],tblPositionandPayRate[Employee Position],tblPositionandPayRate[Overtime], " ")</f>
        <v xml:space="preserve"> </v>
      </c>
      <c r="L837" s="25">
        <f>_xlfn.XLOOKUP(tblPayrollMaster[[#This Row],[Employee Position]],tblPositionandPayRate[Employee Position],tblPositionandPayRate[Allowance 1],0)*tblPayrollMaster[[#This Row],[Pay Factor]]</f>
        <v>0</v>
      </c>
      <c r="M837" s="25">
        <f>_xlfn.XLOOKUP(tblPayrollMaster[[#This Row],[Employee Position]],tblPositionandPayRate[Employee Position],tblPositionandPayRate[Allowance 2],0)*tblPayrollMaster[[#This Row],[Pay Factor]]</f>
        <v>0</v>
      </c>
      <c r="N837" s="25">
        <f>_xlfn.XLOOKUP(tblPayrollMaster[[#This Row],[Employee Position]],tblPositionandPayRate[Employee Position],tblPositionandPayRate[Allowance 3],0)*tblPayrollMaster[[#This Row],[Pay Factor]]</f>
        <v>0</v>
      </c>
      <c r="O837" s="25">
        <f>_xlfn.XLOOKUP(tblPayrollMaster[[#This Row],[Employee Position]],tblPositionandPayRate[Employee Position],tblPositionandPayRate[Allowance 4],0)*tblPayrollMaster[[#This Row],[Pay Factor]]</f>
        <v>0</v>
      </c>
      <c r="P837" s="25">
        <f>_xlfn.XLOOKUP(tblPayrollMaster[[#This Row],[Employee Position]],tblPositionandPayRate[Employee Position],tblPositionandPayRate[Allowance 5],0)*tblPayrollMaster[[#This Row],[Pay Factor]]</f>
        <v>0</v>
      </c>
      <c r="Q837" s="25">
        <f>SUM(tblPayrollMaster[[#This Row],[Basic Pay]:[Allowance 5]])</f>
        <v>0</v>
      </c>
      <c r="R83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37" s="51" cm="1">
        <f t="array" ref="S8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37" s="3" cm="1">
        <f t="array" ref="T8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37" s="25">
        <f>_xlfn.LET(
_xlpm.tos, _xlfn.XLOOKUP(tblPayrollMaster[[#This Row],[Employee ID]], tblEmployee[Employee ID], tblEmployee[Type of Service], ""),
IF(_xlpm.tos="Contract of Service", 8.25, 0)
)</f>
        <v>0</v>
      </c>
      <c r="V837" s="25">
        <f>tblPayrollMaster[[#This Row],[Basic Earnings]]-tblPayrollMaster[[#This Row],[Tax]]-tblPayrollMaster[[#This Row],[NIS - Employee]]-tblPayrollMaster[[#This Row],[Health Surcharge]]</f>
        <v>0</v>
      </c>
      <c r="W837" s="25">
        <f>tblPayrollMaster[[#This Row],[Net Pay]]</f>
        <v>0</v>
      </c>
      <c r="X837" s="25"/>
    </row>
    <row r="838" spans="1:24" x14ac:dyDescent="0.25">
      <c r="A838" s="24"/>
      <c r="B838" s="24" t="str">
        <f>_xlfn.XLOOKUP(tblPayrollMaster[[#This Row],[Employee ID]],tblEmployee[Employee ID],tblEmployee[Employee Name],"")</f>
        <v/>
      </c>
      <c r="C838" s="24" t="str">
        <f>_xlfn.XLOOKUP(tblPayrollMaster[[#This Row],[Employee ID]],tblEmployee[Employee ID],tblEmployee[Employee Position],"")</f>
        <v/>
      </c>
      <c r="D838" s="24" t="str">
        <f>_xlfn.XLOOKUP(tblPayrollMaster[[#This Row],[Employee ID]], tblEmployee[Employee ID], tblEmployee[Pay Status], "Pay")</f>
        <v>Pay</v>
      </c>
      <c r="E838" s="24" t="str">
        <f>_xlfn.XLOOKUP(tblPayrollMaster[[#This Row],[Employee ID]], tblEmployee[Employee ID], tblEmployee[Payable Flag], "Y")</f>
        <v>Y</v>
      </c>
      <c r="F838" s="45">
        <f>IF(tblPayrollMaster[[#This Row],[Payable Flag]]="N",0,_xlfn.XLOOKUP(tblPayrollMaster[[#This Row],[Employee ID]],tblEmployee[Employee ID],tblEmployee[Pay Factor],1))</f>
        <v>1</v>
      </c>
      <c r="G838" s="26" t="str" cm="1">
        <f t="array" ref="G838">IF(tblPayrollMaster[[#This Row],[Employee ID]]="","",_xlfn.XLOOKUP(selPayPeriodID,tblPayCalendar[PayPeriodID],tblPayCalendar[PeriodStart],""))</f>
        <v/>
      </c>
      <c r="H838" s="26" t="str" cm="1">
        <f t="array" ref="H838">IF(tblPayrollMaster[[#This Row],[Employee ID]]="","",_xlfn.XLOOKUP(selPayPeriodID,tblPayCalendar[PayPeriodID],tblPayCalendar[PeriodEnd],""))</f>
        <v/>
      </c>
      <c r="I838" s="24" t="e" cm="1" vm="1">
        <f t="array" aca="1" ref="I838" ca="1">Table18[Employer Name]</f>
        <v>#VALUE!</v>
      </c>
      <c r="J838" s="3" cm="1">
        <f t="array" ref="J83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38" s="25" t="str">
        <f>_xlfn.XLOOKUP(tblPayrollMaster[[#This Row],[Employee Position]],tblPositionandPayRate[Employee Position],tblPositionandPayRate[Overtime], " ")</f>
        <v xml:space="preserve"> </v>
      </c>
      <c r="L838" s="25">
        <f>_xlfn.XLOOKUP(tblPayrollMaster[[#This Row],[Employee Position]],tblPositionandPayRate[Employee Position],tblPositionandPayRate[Allowance 1],0)*tblPayrollMaster[[#This Row],[Pay Factor]]</f>
        <v>0</v>
      </c>
      <c r="M838" s="25">
        <f>_xlfn.XLOOKUP(tblPayrollMaster[[#This Row],[Employee Position]],tblPositionandPayRate[Employee Position],tblPositionandPayRate[Allowance 2],0)*tblPayrollMaster[[#This Row],[Pay Factor]]</f>
        <v>0</v>
      </c>
      <c r="N838" s="25">
        <f>_xlfn.XLOOKUP(tblPayrollMaster[[#This Row],[Employee Position]],tblPositionandPayRate[Employee Position],tblPositionandPayRate[Allowance 3],0)*tblPayrollMaster[[#This Row],[Pay Factor]]</f>
        <v>0</v>
      </c>
      <c r="O838" s="25">
        <f>_xlfn.XLOOKUP(tblPayrollMaster[[#This Row],[Employee Position]],tblPositionandPayRate[Employee Position],tblPositionandPayRate[Allowance 4],0)*tblPayrollMaster[[#This Row],[Pay Factor]]</f>
        <v>0</v>
      </c>
      <c r="P838" s="25">
        <f>_xlfn.XLOOKUP(tblPayrollMaster[[#This Row],[Employee Position]],tblPositionandPayRate[Employee Position],tblPositionandPayRate[Allowance 5],0)*tblPayrollMaster[[#This Row],[Pay Factor]]</f>
        <v>0</v>
      </c>
      <c r="Q838" s="25">
        <f>SUM(tblPayrollMaster[[#This Row],[Basic Pay]:[Allowance 5]])</f>
        <v>0</v>
      </c>
      <c r="R83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38" s="51" cm="1">
        <f t="array" ref="S8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38" s="3" cm="1">
        <f t="array" ref="T8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38" s="25">
        <f>_xlfn.LET(
_xlpm.tos, _xlfn.XLOOKUP(tblPayrollMaster[[#This Row],[Employee ID]], tblEmployee[Employee ID], tblEmployee[Type of Service], ""),
IF(_xlpm.tos="Contract of Service", 8.25, 0)
)</f>
        <v>0</v>
      </c>
      <c r="V838" s="25">
        <f>tblPayrollMaster[[#This Row],[Basic Earnings]]-tblPayrollMaster[[#This Row],[Tax]]-tblPayrollMaster[[#This Row],[NIS - Employee]]-tblPayrollMaster[[#This Row],[Health Surcharge]]</f>
        <v>0</v>
      </c>
      <c r="W838" s="25">
        <f>tblPayrollMaster[[#This Row],[Net Pay]]</f>
        <v>0</v>
      </c>
      <c r="X838" s="25"/>
    </row>
    <row r="839" spans="1:24" x14ac:dyDescent="0.25">
      <c r="A839" s="24"/>
      <c r="B839" s="24" t="str">
        <f>_xlfn.XLOOKUP(tblPayrollMaster[[#This Row],[Employee ID]],tblEmployee[Employee ID],tblEmployee[Employee Name],"")</f>
        <v/>
      </c>
      <c r="C839" s="24" t="str">
        <f>_xlfn.XLOOKUP(tblPayrollMaster[[#This Row],[Employee ID]],tblEmployee[Employee ID],tblEmployee[Employee Position],"")</f>
        <v/>
      </c>
      <c r="D839" s="24" t="str">
        <f>_xlfn.XLOOKUP(tblPayrollMaster[[#This Row],[Employee ID]], tblEmployee[Employee ID], tblEmployee[Pay Status], "Pay")</f>
        <v>Pay</v>
      </c>
      <c r="E839" s="24" t="str">
        <f>_xlfn.XLOOKUP(tblPayrollMaster[[#This Row],[Employee ID]], tblEmployee[Employee ID], tblEmployee[Payable Flag], "Y")</f>
        <v>Y</v>
      </c>
      <c r="F839" s="45">
        <f>IF(tblPayrollMaster[[#This Row],[Payable Flag]]="N",0,_xlfn.XLOOKUP(tblPayrollMaster[[#This Row],[Employee ID]],tblEmployee[Employee ID],tblEmployee[Pay Factor],1))</f>
        <v>1</v>
      </c>
      <c r="G839" s="26" t="str" cm="1">
        <f t="array" ref="G839">IF(tblPayrollMaster[[#This Row],[Employee ID]]="","",_xlfn.XLOOKUP(selPayPeriodID,tblPayCalendar[PayPeriodID],tblPayCalendar[PeriodStart],""))</f>
        <v/>
      </c>
      <c r="H839" s="26" t="str" cm="1">
        <f t="array" ref="H839">IF(tblPayrollMaster[[#This Row],[Employee ID]]="","",_xlfn.XLOOKUP(selPayPeriodID,tblPayCalendar[PayPeriodID],tblPayCalendar[PeriodEnd],""))</f>
        <v/>
      </c>
      <c r="I839" s="24" t="e" cm="1" vm="1">
        <f t="array" aca="1" ref="I839" ca="1">Table18[Employer Name]</f>
        <v>#VALUE!</v>
      </c>
      <c r="J839" s="3" cm="1">
        <f t="array" ref="J83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39" s="25" t="str">
        <f>_xlfn.XLOOKUP(tblPayrollMaster[[#This Row],[Employee Position]],tblPositionandPayRate[Employee Position],tblPositionandPayRate[Overtime], " ")</f>
        <v xml:space="preserve"> </v>
      </c>
      <c r="L839" s="25">
        <f>_xlfn.XLOOKUP(tblPayrollMaster[[#This Row],[Employee Position]],tblPositionandPayRate[Employee Position],tblPositionandPayRate[Allowance 1],0)*tblPayrollMaster[[#This Row],[Pay Factor]]</f>
        <v>0</v>
      </c>
      <c r="M839" s="25">
        <f>_xlfn.XLOOKUP(tblPayrollMaster[[#This Row],[Employee Position]],tblPositionandPayRate[Employee Position],tblPositionandPayRate[Allowance 2],0)*tblPayrollMaster[[#This Row],[Pay Factor]]</f>
        <v>0</v>
      </c>
      <c r="N839" s="25">
        <f>_xlfn.XLOOKUP(tblPayrollMaster[[#This Row],[Employee Position]],tblPositionandPayRate[Employee Position],tblPositionandPayRate[Allowance 3],0)*tblPayrollMaster[[#This Row],[Pay Factor]]</f>
        <v>0</v>
      </c>
      <c r="O839" s="25">
        <f>_xlfn.XLOOKUP(tblPayrollMaster[[#This Row],[Employee Position]],tblPositionandPayRate[Employee Position],tblPositionandPayRate[Allowance 4],0)*tblPayrollMaster[[#This Row],[Pay Factor]]</f>
        <v>0</v>
      </c>
      <c r="P839" s="25">
        <f>_xlfn.XLOOKUP(tblPayrollMaster[[#This Row],[Employee Position]],tblPositionandPayRate[Employee Position],tblPositionandPayRate[Allowance 5],0)*tblPayrollMaster[[#This Row],[Pay Factor]]</f>
        <v>0</v>
      </c>
      <c r="Q839" s="25">
        <f>SUM(tblPayrollMaster[[#This Row],[Basic Pay]:[Allowance 5]])</f>
        <v>0</v>
      </c>
      <c r="R83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39" s="51" cm="1">
        <f t="array" ref="S8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39" s="3" cm="1">
        <f t="array" ref="T8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39" s="25">
        <f>_xlfn.LET(
_xlpm.tos, _xlfn.XLOOKUP(tblPayrollMaster[[#This Row],[Employee ID]], tblEmployee[Employee ID], tblEmployee[Type of Service], ""),
IF(_xlpm.tos="Contract of Service", 8.25, 0)
)</f>
        <v>0</v>
      </c>
      <c r="V839" s="25">
        <f>tblPayrollMaster[[#This Row],[Basic Earnings]]-tblPayrollMaster[[#This Row],[Tax]]-tblPayrollMaster[[#This Row],[NIS - Employee]]-tblPayrollMaster[[#This Row],[Health Surcharge]]</f>
        <v>0</v>
      </c>
      <c r="W839" s="25">
        <f>tblPayrollMaster[[#This Row],[Net Pay]]</f>
        <v>0</v>
      </c>
      <c r="X839" s="25"/>
    </row>
    <row r="840" spans="1:24" x14ac:dyDescent="0.25">
      <c r="A840" s="24"/>
      <c r="B840" s="24" t="str">
        <f>_xlfn.XLOOKUP(tblPayrollMaster[[#This Row],[Employee ID]],tblEmployee[Employee ID],tblEmployee[Employee Name],"")</f>
        <v/>
      </c>
      <c r="C840" s="24" t="str">
        <f>_xlfn.XLOOKUP(tblPayrollMaster[[#This Row],[Employee ID]],tblEmployee[Employee ID],tblEmployee[Employee Position],"")</f>
        <v/>
      </c>
      <c r="D840" s="24" t="str">
        <f>_xlfn.XLOOKUP(tblPayrollMaster[[#This Row],[Employee ID]], tblEmployee[Employee ID], tblEmployee[Pay Status], "Pay")</f>
        <v>Pay</v>
      </c>
      <c r="E840" s="24" t="str">
        <f>_xlfn.XLOOKUP(tblPayrollMaster[[#This Row],[Employee ID]], tblEmployee[Employee ID], tblEmployee[Payable Flag], "Y")</f>
        <v>Y</v>
      </c>
      <c r="F840" s="45">
        <f>IF(tblPayrollMaster[[#This Row],[Payable Flag]]="N",0,_xlfn.XLOOKUP(tblPayrollMaster[[#This Row],[Employee ID]],tblEmployee[Employee ID],tblEmployee[Pay Factor],1))</f>
        <v>1</v>
      </c>
      <c r="G840" s="26" t="str" cm="1">
        <f t="array" ref="G840">IF(tblPayrollMaster[[#This Row],[Employee ID]]="","",_xlfn.XLOOKUP(selPayPeriodID,tblPayCalendar[PayPeriodID],tblPayCalendar[PeriodStart],""))</f>
        <v/>
      </c>
      <c r="H840" s="26" t="str" cm="1">
        <f t="array" ref="H840">IF(tblPayrollMaster[[#This Row],[Employee ID]]="","",_xlfn.XLOOKUP(selPayPeriodID,tblPayCalendar[PayPeriodID],tblPayCalendar[PeriodEnd],""))</f>
        <v/>
      </c>
      <c r="I840" s="24" t="e" cm="1" vm="1">
        <f t="array" aca="1" ref="I840" ca="1">Table18[Employer Name]</f>
        <v>#VALUE!</v>
      </c>
      <c r="J840" s="3" cm="1">
        <f t="array" ref="J84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40" s="25" t="str">
        <f>_xlfn.XLOOKUP(tblPayrollMaster[[#This Row],[Employee Position]],tblPositionandPayRate[Employee Position],tblPositionandPayRate[Overtime], " ")</f>
        <v xml:space="preserve"> </v>
      </c>
      <c r="L840" s="25">
        <f>_xlfn.XLOOKUP(tblPayrollMaster[[#This Row],[Employee Position]],tblPositionandPayRate[Employee Position],tblPositionandPayRate[Allowance 1],0)*tblPayrollMaster[[#This Row],[Pay Factor]]</f>
        <v>0</v>
      </c>
      <c r="M840" s="25">
        <f>_xlfn.XLOOKUP(tblPayrollMaster[[#This Row],[Employee Position]],tblPositionandPayRate[Employee Position],tblPositionandPayRate[Allowance 2],0)*tblPayrollMaster[[#This Row],[Pay Factor]]</f>
        <v>0</v>
      </c>
      <c r="N840" s="25">
        <f>_xlfn.XLOOKUP(tblPayrollMaster[[#This Row],[Employee Position]],tblPositionandPayRate[Employee Position],tblPositionandPayRate[Allowance 3],0)*tblPayrollMaster[[#This Row],[Pay Factor]]</f>
        <v>0</v>
      </c>
      <c r="O840" s="25">
        <f>_xlfn.XLOOKUP(tblPayrollMaster[[#This Row],[Employee Position]],tblPositionandPayRate[Employee Position],tblPositionandPayRate[Allowance 4],0)*tblPayrollMaster[[#This Row],[Pay Factor]]</f>
        <v>0</v>
      </c>
      <c r="P840" s="25">
        <f>_xlfn.XLOOKUP(tblPayrollMaster[[#This Row],[Employee Position]],tblPositionandPayRate[Employee Position],tblPositionandPayRate[Allowance 5],0)*tblPayrollMaster[[#This Row],[Pay Factor]]</f>
        <v>0</v>
      </c>
      <c r="Q840" s="25">
        <f>SUM(tblPayrollMaster[[#This Row],[Basic Pay]:[Allowance 5]])</f>
        <v>0</v>
      </c>
      <c r="R84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40" s="51" cm="1">
        <f t="array" ref="S8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40" s="3" cm="1">
        <f t="array" ref="T8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40" s="25">
        <f>_xlfn.LET(
_xlpm.tos, _xlfn.XLOOKUP(tblPayrollMaster[[#This Row],[Employee ID]], tblEmployee[Employee ID], tblEmployee[Type of Service], ""),
IF(_xlpm.tos="Contract of Service", 8.25, 0)
)</f>
        <v>0</v>
      </c>
      <c r="V840" s="25">
        <f>tblPayrollMaster[[#This Row],[Basic Earnings]]-tblPayrollMaster[[#This Row],[Tax]]-tblPayrollMaster[[#This Row],[NIS - Employee]]-tblPayrollMaster[[#This Row],[Health Surcharge]]</f>
        <v>0</v>
      </c>
      <c r="W840" s="25">
        <f>tblPayrollMaster[[#This Row],[Net Pay]]</f>
        <v>0</v>
      </c>
      <c r="X840" s="25"/>
    </row>
    <row r="841" spans="1:24" x14ac:dyDescent="0.25">
      <c r="A841" s="24"/>
      <c r="B841" s="24" t="str">
        <f>_xlfn.XLOOKUP(tblPayrollMaster[[#This Row],[Employee ID]],tblEmployee[Employee ID],tblEmployee[Employee Name],"")</f>
        <v/>
      </c>
      <c r="C841" s="24" t="str">
        <f>_xlfn.XLOOKUP(tblPayrollMaster[[#This Row],[Employee ID]],tblEmployee[Employee ID],tblEmployee[Employee Position],"")</f>
        <v/>
      </c>
      <c r="D841" s="24" t="str">
        <f>_xlfn.XLOOKUP(tblPayrollMaster[[#This Row],[Employee ID]], tblEmployee[Employee ID], tblEmployee[Pay Status], "Pay")</f>
        <v>Pay</v>
      </c>
      <c r="E841" s="24" t="str">
        <f>_xlfn.XLOOKUP(tblPayrollMaster[[#This Row],[Employee ID]], tblEmployee[Employee ID], tblEmployee[Payable Flag], "Y")</f>
        <v>Y</v>
      </c>
      <c r="F841" s="45">
        <f>IF(tblPayrollMaster[[#This Row],[Payable Flag]]="N",0,_xlfn.XLOOKUP(tblPayrollMaster[[#This Row],[Employee ID]],tblEmployee[Employee ID],tblEmployee[Pay Factor],1))</f>
        <v>1</v>
      </c>
      <c r="G841" s="26" t="str" cm="1">
        <f t="array" ref="G841">IF(tblPayrollMaster[[#This Row],[Employee ID]]="","",_xlfn.XLOOKUP(selPayPeriodID,tblPayCalendar[PayPeriodID],tblPayCalendar[PeriodStart],""))</f>
        <v/>
      </c>
      <c r="H841" s="26" t="str" cm="1">
        <f t="array" ref="H841">IF(tblPayrollMaster[[#This Row],[Employee ID]]="","",_xlfn.XLOOKUP(selPayPeriodID,tblPayCalendar[PayPeriodID],tblPayCalendar[PeriodEnd],""))</f>
        <v/>
      </c>
      <c r="I841" s="24" t="e" cm="1" vm="1">
        <f t="array" aca="1" ref="I841" ca="1">Table18[Employer Name]</f>
        <v>#VALUE!</v>
      </c>
      <c r="J841" s="3" cm="1">
        <f t="array" ref="J84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41" s="25" t="str">
        <f>_xlfn.XLOOKUP(tblPayrollMaster[[#This Row],[Employee Position]],tblPositionandPayRate[Employee Position],tblPositionandPayRate[Overtime], " ")</f>
        <v xml:space="preserve"> </v>
      </c>
      <c r="L841" s="25">
        <f>_xlfn.XLOOKUP(tblPayrollMaster[[#This Row],[Employee Position]],tblPositionandPayRate[Employee Position],tblPositionandPayRate[Allowance 1],0)*tblPayrollMaster[[#This Row],[Pay Factor]]</f>
        <v>0</v>
      </c>
      <c r="M841" s="25">
        <f>_xlfn.XLOOKUP(tblPayrollMaster[[#This Row],[Employee Position]],tblPositionandPayRate[Employee Position],tblPositionandPayRate[Allowance 2],0)*tblPayrollMaster[[#This Row],[Pay Factor]]</f>
        <v>0</v>
      </c>
      <c r="N841" s="25">
        <f>_xlfn.XLOOKUP(tblPayrollMaster[[#This Row],[Employee Position]],tblPositionandPayRate[Employee Position],tblPositionandPayRate[Allowance 3],0)*tblPayrollMaster[[#This Row],[Pay Factor]]</f>
        <v>0</v>
      </c>
      <c r="O841" s="25">
        <f>_xlfn.XLOOKUP(tblPayrollMaster[[#This Row],[Employee Position]],tblPositionandPayRate[Employee Position],tblPositionandPayRate[Allowance 4],0)*tblPayrollMaster[[#This Row],[Pay Factor]]</f>
        <v>0</v>
      </c>
      <c r="P841" s="25">
        <f>_xlfn.XLOOKUP(tblPayrollMaster[[#This Row],[Employee Position]],tblPositionandPayRate[Employee Position],tblPositionandPayRate[Allowance 5],0)*tblPayrollMaster[[#This Row],[Pay Factor]]</f>
        <v>0</v>
      </c>
      <c r="Q841" s="25">
        <f>SUM(tblPayrollMaster[[#This Row],[Basic Pay]:[Allowance 5]])</f>
        <v>0</v>
      </c>
      <c r="R84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41" s="51" cm="1">
        <f t="array" ref="S8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41" s="3" cm="1">
        <f t="array" ref="T8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41" s="25">
        <f>_xlfn.LET(
_xlpm.tos, _xlfn.XLOOKUP(tblPayrollMaster[[#This Row],[Employee ID]], tblEmployee[Employee ID], tblEmployee[Type of Service], ""),
IF(_xlpm.tos="Contract of Service", 8.25, 0)
)</f>
        <v>0</v>
      </c>
      <c r="V841" s="25">
        <f>tblPayrollMaster[[#This Row],[Basic Earnings]]-tblPayrollMaster[[#This Row],[Tax]]-tblPayrollMaster[[#This Row],[NIS - Employee]]-tblPayrollMaster[[#This Row],[Health Surcharge]]</f>
        <v>0</v>
      </c>
      <c r="W841" s="25">
        <f>tblPayrollMaster[[#This Row],[Net Pay]]</f>
        <v>0</v>
      </c>
      <c r="X841" s="25"/>
    </row>
    <row r="842" spans="1:24" x14ac:dyDescent="0.25">
      <c r="A842" s="24"/>
      <c r="B842" s="24" t="str">
        <f>_xlfn.XLOOKUP(tblPayrollMaster[[#This Row],[Employee ID]],tblEmployee[Employee ID],tblEmployee[Employee Name],"")</f>
        <v/>
      </c>
      <c r="C842" s="24" t="str">
        <f>_xlfn.XLOOKUP(tblPayrollMaster[[#This Row],[Employee ID]],tblEmployee[Employee ID],tblEmployee[Employee Position],"")</f>
        <v/>
      </c>
      <c r="D842" s="24" t="str">
        <f>_xlfn.XLOOKUP(tblPayrollMaster[[#This Row],[Employee ID]], tblEmployee[Employee ID], tblEmployee[Pay Status], "Pay")</f>
        <v>Pay</v>
      </c>
      <c r="E842" s="24" t="str">
        <f>_xlfn.XLOOKUP(tblPayrollMaster[[#This Row],[Employee ID]], tblEmployee[Employee ID], tblEmployee[Payable Flag], "Y")</f>
        <v>Y</v>
      </c>
      <c r="F842" s="45">
        <f>IF(tblPayrollMaster[[#This Row],[Payable Flag]]="N",0,_xlfn.XLOOKUP(tblPayrollMaster[[#This Row],[Employee ID]],tblEmployee[Employee ID],tblEmployee[Pay Factor],1))</f>
        <v>1</v>
      </c>
      <c r="G842" s="26" t="str" cm="1">
        <f t="array" ref="G842">IF(tblPayrollMaster[[#This Row],[Employee ID]]="","",_xlfn.XLOOKUP(selPayPeriodID,tblPayCalendar[PayPeriodID],tblPayCalendar[PeriodStart],""))</f>
        <v/>
      </c>
      <c r="H842" s="26" t="str" cm="1">
        <f t="array" ref="H842">IF(tblPayrollMaster[[#This Row],[Employee ID]]="","",_xlfn.XLOOKUP(selPayPeriodID,tblPayCalendar[PayPeriodID],tblPayCalendar[PeriodEnd],""))</f>
        <v/>
      </c>
      <c r="I842" s="24" t="e" cm="1" vm="1">
        <f t="array" aca="1" ref="I842" ca="1">Table18[Employer Name]</f>
        <v>#VALUE!</v>
      </c>
      <c r="J842" s="3" cm="1">
        <f t="array" ref="J84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42" s="25" t="str">
        <f>_xlfn.XLOOKUP(tblPayrollMaster[[#This Row],[Employee Position]],tblPositionandPayRate[Employee Position],tblPositionandPayRate[Overtime], " ")</f>
        <v xml:space="preserve"> </v>
      </c>
      <c r="L842" s="25">
        <f>_xlfn.XLOOKUP(tblPayrollMaster[[#This Row],[Employee Position]],tblPositionandPayRate[Employee Position],tblPositionandPayRate[Allowance 1],0)*tblPayrollMaster[[#This Row],[Pay Factor]]</f>
        <v>0</v>
      </c>
      <c r="M842" s="25">
        <f>_xlfn.XLOOKUP(tblPayrollMaster[[#This Row],[Employee Position]],tblPositionandPayRate[Employee Position],tblPositionandPayRate[Allowance 2],0)*tblPayrollMaster[[#This Row],[Pay Factor]]</f>
        <v>0</v>
      </c>
      <c r="N842" s="25">
        <f>_xlfn.XLOOKUP(tblPayrollMaster[[#This Row],[Employee Position]],tblPositionandPayRate[Employee Position],tblPositionandPayRate[Allowance 3],0)*tblPayrollMaster[[#This Row],[Pay Factor]]</f>
        <v>0</v>
      </c>
      <c r="O842" s="25">
        <f>_xlfn.XLOOKUP(tblPayrollMaster[[#This Row],[Employee Position]],tblPositionandPayRate[Employee Position],tblPositionandPayRate[Allowance 4],0)*tblPayrollMaster[[#This Row],[Pay Factor]]</f>
        <v>0</v>
      </c>
      <c r="P842" s="25">
        <f>_xlfn.XLOOKUP(tblPayrollMaster[[#This Row],[Employee Position]],tblPositionandPayRate[Employee Position],tblPositionandPayRate[Allowance 5],0)*tblPayrollMaster[[#This Row],[Pay Factor]]</f>
        <v>0</v>
      </c>
      <c r="Q842" s="25">
        <f>SUM(tblPayrollMaster[[#This Row],[Basic Pay]:[Allowance 5]])</f>
        <v>0</v>
      </c>
      <c r="R84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42" s="51" cm="1">
        <f t="array" ref="S8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42" s="3" cm="1">
        <f t="array" ref="T8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42" s="25">
        <f>_xlfn.LET(
_xlpm.tos, _xlfn.XLOOKUP(tblPayrollMaster[[#This Row],[Employee ID]], tblEmployee[Employee ID], tblEmployee[Type of Service], ""),
IF(_xlpm.tos="Contract of Service", 8.25, 0)
)</f>
        <v>0</v>
      </c>
      <c r="V842" s="25">
        <f>tblPayrollMaster[[#This Row],[Basic Earnings]]-tblPayrollMaster[[#This Row],[Tax]]-tblPayrollMaster[[#This Row],[NIS - Employee]]-tblPayrollMaster[[#This Row],[Health Surcharge]]</f>
        <v>0</v>
      </c>
      <c r="W842" s="25">
        <f>tblPayrollMaster[[#This Row],[Net Pay]]</f>
        <v>0</v>
      </c>
      <c r="X842" s="25"/>
    </row>
    <row r="843" spans="1:24" x14ac:dyDescent="0.25">
      <c r="A843" s="24"/>
      <c r="B843" s="24" t="str">
        <f>_xlfn.XLOOKUP(tblPayrollMaster[[#This Row],[Employee ID]],tblEmployee[Employee ID],tblEmployee[Employee Name],"")</f>
        <v/>
      </c>
      <c r="C843" s="24" t="str">
        <f>_xlfn.XLOOKUP(tblPayrollMaster[[#This Row],[Employee ID]],tblEmployee[Employee ID],tblEmployee[Employee Position],"")</f>
        <v/>
      </c>
      <c r="D843" s="24" t="str">
        <f>_xlfn.XLOOKUP(tblPayrollMaster[[#This Row],[Employee ID]], tblEmployee[Employee ID], tblEmployee[Pay Status], "Pay")</f>
        <v>Pay</v>
      </c>
      <c r="E843" s="24" t="str">
        <f>_xlfn.XLOOKUP(tblPayrollMaster[[#This Row],[Employee ID]], tblEmployee[Employee ID], tblEmployee[Payable Flag], "Y")</f>
        <v>Y</v>
      </c>
      <c r="F843" s="45">
        <f>IF(tblPayrollMaster[[#This Row],[Payable Flag]]="N",0,_xlfn.XLOOKUP(tblPayrollMaster[[#This Row],[Employee ID]],tblEmployee[Employee ID],tblEmployee[Pay Factor],1))</f>
        <v>1</v>
      </c>
      <c r="G843" s="26" t="str" cm="1">
        <f t="array" ref="G843">IF(tblPayrollMaster[[#This Row],[Employee ID]]="","",_xlfn.XLOOKUP(selPayPeriodID,tblPayCalendar[PayPeriodID],tblPayCalendar[PeriodStart],""))</f>
        <v/>
      </c>
      <c r="H843" s="26" t="str" cm="1">
        <f t="array" ref="H843">IF(tblPayrollMaster[[#This Row],[Employee ID]]="","",_xlfn.XLOOKUP(selPayPeriodID,tblPayCalendar[PayPeriodID],tblPayCalendar[PeriodEnd],""))</f>
        <v/>
      </c>
      <c r="I843" s="24" t="e" cm="1" vm="1">
        <f t="array" aca="1" ref="I843" ca="1">Table18[Employer Name]</f>
        <v>#VALUE!</v>
      </c>
      <c r="J843" s="3" cm="1">
        <f t="array" ref="J84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43" s="25" t="str">
        <f>_xlfn.XLOOKUP(tblPayrollMaster[[#This Row],[Employee Position]],tblPositionandPayRate[Employee Position],tblPositionandPayRate[Overtime], " ")</f>
        <v xml:space="preserve"> </v>
      </c>
      <c r="L843" s="25">
        <f>_xlfn.XLOOKUP(tblPayrollMaster[[#This Row],[Employee Position]],tblPositionandPayRate[Employee Position],tblPositionandPayRate[Allowance 1],0)*tblPayrollMaster[[#This Row],[Pay Factor]]</f>
        <v>0</v>
      </c>
      <c r="M843" s="25">
        <f>_xlfn.XLOOKUP(tblPayrollMaster[[#This Row],[Employee Position]],tblPositionandPayRate[Employee Position],tblPositionandPayRate[Allowance 2],0)*tblPayrollMaster[[#This Row],[Pay Factor]]</f>
        <v>0</v>
      </c>
      <c r="N843" s="25">
        <f>_xlfn.XLOOKUP(tblPayrollMaster[[#This Row],[Employee Position]],tblPositionandPayRate[Employee Position],tblPositionandPayRate[Allowance 3],0)*tblPayrollMaster[[#This Row],[Pay Factor]]</f>
        <v>0</v>
      </c>
      <c r="O843" s="25">
        <f>_xlfn.XLOOKUP(tblPayrollMaster[[#This Row],[Employee Position]],tblPositionandPayRate[Employee Position],tblPositionandPayRate[Allowance 4],0)*tblPayrollMaster[[#This Row],[Pay Factor]]</f>
        <v>0</v>
      </c>
      <c r="P843" s="25">
        <f>_xlfn.XLOOKUP(tblPayrollMaster[[#This Row],[Employee Position]],tblPositionandPayRate[Employee Position],tblPositionandPayRate[Allowance 5],0)*tblPayrollMaster[[#This Row],[Pay Factor]]</f>
        <v>0</v>
      </c>
      <c r="Q843" s="25">
        <f>SUM(tblPayrollMaster[[#This Row],[Basic Pay]:[Allowance 5]])</f>
        <v>0</v>
      </c>
      <c r="R84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43" s="51" cm="1">
        <f t="array" ref="S8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43" s="3" cm="1">
        <f t="array" ref="T8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43" s="25">
        <f>_xlfn.LET(
_xlpm.tos, _xlfn.XLOOKUP(tblPayrollMaster[[#This Row],[Employee ID]], tblEmployee[Employee ID], tblEmployee[Type of Service], ""),
IF(_xlpm.tos="Contract of Service", 8.25, 0)
)</f>
        <v>0</v>
      </c>
      <c r="V843" s="25">
        <f>tblPayrollMaster[[#This Row],[Basic Earnings]]-tblPayrollMaster[[#This Row],[Tax]]-tblPayrollMaster[[#This Row],[NIS - Employee]]-tblPayrollMaster[[#This Row],[Health Surcharge]]</f>
        <v>0</v>
      </c>
      <c r="W843" s="25">
        <f>tblPayrollMaster[[#This Row],[Net Pay]]</f>
        <v>0</v>
      </c>
      <c r="X843" s="25"/>
    </row>
    <row r="844" spans="1:24" x14ac:dyDescent="0.25">
      <c r="A844" s="24"/>
      <c r="B844" s="24" t="str">
        <f>_xlfn.XLOOKUP(tblPayrollMaster[[#This Row],[Employee ID]],tblEmployee[Employee ID],tblEmployee[Employee Name],"")</f>
        <v/>
      </c>
      <c r="C844" s="24" t="str">
        <f>_xlfn.XLOOKUP(tblPayrollMaster[[#This Row],[Employee ID]],tblEmployee[Employee ID],tblEmployee[Employee Position],"")</f>
        <v/>
      </c>
      <c r="D844" s="24" t="str">
        <f>_xlfn.XLOOKUP(tblPayrollMaster[[#This Row],[Employee ID]], tblEmployee[Employee ID], tblEmployee[Pay Status], "Pay")</f>
        <v>Pay</v>
      </c>
      <c r="E844" s="24" t="str">
        <f>_xlfn.XLOOKUP(tblPayrollMaster[[#This Row],[Employee ID]], tblEmployee[Employee ID], tblEmployee[Payable Flag], "Y")</f>
        <v>Y</v>
      </c>
      <c r="F844" s="45">
        <f>IF(tblPayrollMaster[[#This Row],[Payable Flag]]="N",0,_xlfn.XLOOKUP(tblPayrollMaster[[#This Row],[Employee ID]],tblEmployee[Employee ID],tblEmployee[Pay Factor],1))</f>
        <v>1</v>
      </c>
      <c r="G844" s="26" t="str" cm="1">
        <f t="array" ref="G844">IF(tblPayrollMaster[[#This Row],[Employee ID]]="","",_xlfn.XLOOKUP(selPayPeriodID,tblPayCalendar[PayPeriodID],tblPayCalendar[PeriodStart],""))</f>
        <v/>
      </c>
      <c r="H844" s="26" t="str" cm="1">
        <f t="array" ref="H844">IF(tblPayrollMaster[[#This Row],[Employee ID]]="","",_xlfn.XLOOKUP(selPayPeriodID,tblPayCalendar[PayPeriodID],tblPayCalendar[PeriodEnd],""))</f>
        <v/>
      </c>
      <c r="I844" s="24" t="e" cm="1" vm="1">
        <f t="array" aca="1" ref="I844" ca="1">Table18[Employer Name]</f>
        <v>#VALUE!</v>
      </c>
      <c r="J844" s="3" cm="1">
        <f t="array" ref="J84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44" s="25" t="str">
        <f>_xlfn.XLOOKUP(tblPayrollMaster[[#This Row],[Employee Position]],tblPositionandPayRate[Employee Position],tblPositionandPayRate[Overtime], " ")</f>
        <v xml:space="preserve"> </v>
      </c>
      <c r="L844" s="25">
        <f>_xlfn.XLOOKUP(tblPayrollMaster[[#This Row],[Employee Position]],tblPositionandPayRate[Employee Position],tblPositionandPayRate[Allowance 1],0)*tblPayrollMaster[[#This Row],[Pay Factor]]</f>
        <v>0</v>
      </c>
      <c r="M844" s="25">
        <f>_xlfn.XLOOKUP(tblPayrollMaster[[#This Row],[Employee Position]],tblPositionandPayRate[Employee Position],tblPositionandPayRate[Allowance 2],0)*tblPayrollMaster[[#This Row],[Pay Factor]]</f>
        <v>0</v>
      </c>
      <c r="N844" s="25">
        <f>_xlfn.XLOOKUP(tblPayrollMaster[[#This Row],[Employee Position]],tblPositionandPayRate[Employee Position],tblPositionandPayRate[Allowance 3],0)*tblPayrollMaster[[#This Row],[Pay Factor]]</f>
        <v>0</v>
      </c>
      <c r="O844" s="25">
        <f>_xlfn.XLOOKUP(tblPayrollMaster[[#This Row],[Employee Position]],tblPositionandPayRate[Employee Position],tblPositionandPayRate[Allowance 4],0)*tblPayrollMaster[[#This Row],[Pay Factor]]</f>
        <v>0</v>
      </c>
      <c r="P844" s="25">
        <f>_xlfn.XLOOKUP(tblPayrollMaster[[#This Row],[Employee Position]],tblPositionandPayRate[Employee Position],tblPositionandPayRate[Allowance 5],0)*tblPayrollMaster[[#This Row],[Pay Factor]]</f>
        <v>0</v>
      </c>
      <c r="Q844" s="25">
        <f>SUM(tblPayrollMaster[[#This Row],[Basic Pay]:[Allowance 5]])</f>
        <v>0</v>
      </c>
      <c r="R84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44" s="51" cm="1">
        <f t="array" ref="S8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44" s="3" cm="1">
        <f t="array" ref="T8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44" s="25">
        <f>_xlfn.LET(
_xlpm.tos, _xlfn.XLOOKUP(tblPayrollMaster[[#This Row],[Employee ID]], tblEmployee[Employee ID], tblEmployee[Type of Service], ""),
IF(_xlpm.tos="Contract of Service", 8.25, 0)
)</f>
        <v>0</v>
      </c>
      <c r="V844" s="25">
        <f>tblPayrollMaster[[#This Row],[Basic Earnings]]-tblPayrollMaster[[#This Row],[Tax]]-tblPayrollMaster[[#This Row],[NIS - Employee]]-tblPayrollMaster[[#This Row],[Health Surcharge]]</f>
        <v>0</v>
      </c>
      <c r="W844" s="25">
        <f>tblPayrollMaster[[#This Row],[Net Pay]]</f>
        <v>0</v>
      </c>
      <c r="X844" s="25"/>
    </row>
    <row r="845" spans="1:24" x14ac:dyDescent="0.25">
      <c r="A845" s="24"/>
      <c r="B845" s="24" t="str">
        <f>_xlfn.XLOOKUP(tblPayrollMaster[[#This Row],[Employee ID]],tblEmployee[Employee ID],tblEmployee[Employee Name],"")</f>
        <v/>
      </c>
      <c r="C845" s="24" t="str">
        <f>_xlfn.XLOOKUP(tblPayrollMaster[[#This Row],[Employee ID]],tblEmployee[Employee ID],tblEmployee[Employee Position],"")</f>
        <v/>
      </c>
      <c r="D845" s="24" t="str">
        <f>_xlfn.XLOOKUP(tblPayrollMaster[[#This Row],[Employee ID]], tblEmployee[Employee ID], tblEmployee[Pay Status], "Pay")</f>
        <v>Pay</v>
      </c>
      <c r="E845" s="24" t="str">
        <f>_xlfn.XLOOKUP(tblPayrollMaster[[#This Row],[Employee ID]], tblEmployee[Employee ID], tblEmployee[Payable Flag], "Y")</f>
        <v>Y</v>
      </c>
      <c r="F845" s="45">
        <f>IF(tblPayrollMaster[[#This Row],[Payable Flag]]="N",0,_xlfn.XLOOKUP(tblPayrollMaster[[#This Row],[Employee ID]],tblEmployee[Employee ID],tblEmployee[Pay Factor],1))</f>
        <v>1</v>
      </c>
      <c r="G845" s="26" t="str" cm="1">
        <f t="array" ref="G845">IF(tblPayrollMaster[[#This Row],[Employee ID]]="","",_xlfn.XLOOKUP(selPayPeriodID,tblPayCalendar[PayPeriodID],tblPayCalendar[PeriodStart],""))</f>
        <v/>
      </c>
      <c r="H845" s="26" t="str" cm="1">
        <f t="array" ref="H845">IF(tblPayrollMaster[[#This Row],[Employee ID]]="","",_xlfn.XLOOKUP(selPayPeriodID,tblPayCalendar[PayPeriodID],tblPayCalendar[PeriodEnd],""))</f>
        <v/>
      </c>
      <c r="I845" s="24" t="e" cm="1" vm="1">
        <f t="array" aca="1" ref="I845" ca="1">Table18[Employer Name]</f>
        <v>#VALUE!</v>
      </c>
      <c r="J845" s="3" cm="1">
        <f t="array" ref="J84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45" s="25" t="str">
        <f>_xlfn.XLOOKUP(tblPayrollMaster[[#This Row],[Employee Position]],tblPositionandPayRate[Employee Position],tblPositionandPayRate[Overtime], " ")</f>
        <v xml:space="preserve"> </v>
      </c>
      <c r="L845" s="25">
        <f>_xlfn.XLOOKUP(tblPayrollMaster[[#This Row],[Employee Position]],tblPositionandPayRate[Employee Position],tblPositionandPayRate[Allowance 1],0)*tblPayrollMaster[[#This Row],[Pay Factor]]</f>
        <v>0</v>
      </c>
      <c r="M845" s="25">
        <f>_xlfn.XLOOKUP(tblPayrollMaster[[#This Row],[Employee Position]],tblPositionandPayRate[Employee Position],tblPositionandPayRate[Allowance 2],0)*tblPayrollMaster[[#This Row],[Pay Factor]]</f>
        <v>0</v>
      </c>
      <c r="N845" s="25">
        <f>_xlfn.XLOOKUP(tblPayrollMaster[[#This Row],[Employee Position]],tblPositionandPayRate[Employee Position],tblPositionandPayRate[Allowance 3],0)*tblPayrollMaster[[#This Row],[Pay Factor]]</f>
        <v>0</v>
      </c>
      <c r="O845" s="25">
        <f>_xlfn.XLOOKUP(tblPayrollMaster[[#This Row],[Employee Position]],tblPositionandPayRate[Employee Position],tblPositionandPayRate[Allowance 4],0)*tblPayrollMaster[[#This Row],[Pay Factor]]</f>
        <v>0</v>
      </c>
      <c r="P845" s="25">
        <f>_xlfn.XLOOKUP(tblPayrollMaster[[#This Row],[Employee Position]],tblPositionandPayRate[Employee Position],tblPositionandPayRate[Allowance 5],0)*tblPayrollMaster[[#This Row],[Pay Factor]]</f>
        <v>0</v>
      </c>
      <c r="Q845" s="25">
        <f>SUM(tblPayrollMaster[[#This Row],[Basic Pay]:[Allowance 5]])</f>
        <v>0</v>
      </c>
      <c r="R84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45" s="51" cm="1">
        <f t="array" ref="S8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45" s="3" cm="1">
        <f t="array" ref="T8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45" s="25">
        <f>_xlfn.LET(
_xlpm.tos, _xlfn.XLOOKUP(tblPayrollMaster[[#This Row],[Employee ID]], tblEmployee[Employee ID], tblEmployee[Type of Service], ""),
IF(_xlpm.tos="Contract of Service", 8.25, 0)
)</f>
        <v>0</v>
      </c>
      <c r="V845" s="25">
        <f>tblPayrollMaster[[#This Row],[Basic Earnings]]-tblPayrollMaster[[#This Row],[Tax]]-tblPayrollMaster[[#This Row],[NIS - Employee]]-tblPayrollMaster[[#This Row],[Health Surcharge]]</f>
        <v>0</v>
      </c>
      <c r="W845" s="25">
        <f>tblPayrollMaster[[#This Row],[Net Pay]]</f>
        <v>0</v>
      </c>
      <c r="X845" s="25"/>
    </row>
    <row r="846" spans="1:24" x14ac:dyDescent="0.25">
      <c r="A846" s="24"/>
      <c r="B846" s="24" t="str">
        <f>_xlfn.XLOOKUP(tblPayrollMaster[[#This Row],[Employee ID]],tblEmployee[Employee ID],tblEmployee[Employee Name],"")</f>
        <v/>
      </c>
      <c r="C846" s="24" t="str">
        <f>_xlfn.XLOOKUP(tblPayrollMaster[[#This Row],[Employee ID]],tblEmployee[Employee ID],tblEmployee[Employee Position],"")</f>
        <v/>
      </c>
      <c r="D846" s="24" t="str">
        <f>_xlfn.XLOOKUP(tblPayrollMaster[[#This Row],[Employee ID]], tblEmployee[Employee ID], tblEmployee[Pay Status], "Pay")</f>
        <v>Pay</v>
      </c>
      <c r="E846" s="24" t="str">
        <f>_xlfn.XLOOKUP(tblPayrollMaster[[#This Row],[Employee ID]], tblEmployee[Employee ID], tblEmployee[Payable Flag], "Y")</f>
        <v>Y</v>
      </c>
      <c r="F846" s="45">
        <f>IF(tblPayrollMaster[[#This Row],[Payable Flag]]="N",0,_xlfn.XLOOKUP(tblPayrollMaster[[#This Row],[Employee ID]],tblEmployee[Employee ID],tblEmployee[Pay Factor],1))</f>
        <v>1</v>
      </c>
      <c r="G846" s="26" t="str" cm="1">
        <f t="array" ref="G846">IF(tblPayrollMaster[[#This Row],[Employee ID]]="","",_xlfn.XLOOKUP(selPayPeriodID,tblPayCalendar[PayPeriodID],tblPayCalendar[PeriodStart],""))</f>
        <v/>
      </c>
      <c r="H846" s="26" t="str" cm="1">
        <f t="array" ref="H846">IF(tblPayrollMaster[[#This Row],[Employee ID]]="","",_xlfn.XLOOKUP(selPayPeriodID,tblPayCalendar[PayPeriodID],tblPayCalendar[PeriodEnd],""))</f>
        <v/>
      </c>
      <c r="I846" s="24" t="e" cm="1" vm="1">
        <f t="array" aca="1" ref="I846" ca="1">Table18[Employer Name]</f>
        <v>#VALUE!</v>
      </c>
      <c r="J846" s="3" cm="1">
        <f t="array" ref="J84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46" s="25" t="str">
        <f>_xlfn.XLOOKUP(tblPayrollMaster[[#This Row],[Employee Position]],tblPositionandPayRate[Employee Position],tblPositionandPayRate[Overtime], " ")</f>
        <v xml:space="preserve"> </v>
      </c>
      <c r="L846" s="25">
        <f>_xlfn.XLOOKUP(tblPayrollMaster[[#This Row],[Employee Position]],tblPositionandPayRate[Employee Position],tblPositionandPayRate[Allowance 1],0)*tblPayrollMaster[[#This Row],[Pay Factor]]</f>
        <v>0</v>
      </c>
      <c r="M846" s="25">
        <f>_xlfn.XLOOKUP(tblPayrollMaster[[#This Row],[Employee Position]],tblPositionandPayRate[Employee Position],tblPositionandPayRate[Allowance 2],0)*tblPayrollMaster[[#This Row],[Pay Factor]]</f>
        <v>0</v>
      </c>
      <c r="N846" s="25">
        <f>_xlfn.XLOOKUP(tblPayrollMaster[[#This Row],[Employee Position]],tblPositionandPayRate[Employee Position],tblPositionandPayRate[Allowance 3],0)*tblPayrollMaster[[#This Row],[Pay Factor]]</f>
        <v>0</v>
      </c>
      <c r="O846" s="25">
        <f>_xlfn.XLOOKUP(tblPayrollMaster[[#This Row],[Employee Position]],tblPositionandPayRate[Employee Position],tblPositionandPayRate[Allowance 4],0)*tblPayrollMaster[[#This Row],[Pay Factor]]</f>
        <v>0</v>
      </c>
      <c r="P846" s="25">
        <f>_xlfn.XLOOKUP(tblPayrollMaster[[#This Row],[Employee Position]],tblPositionandPayRate[Employee Position],tblPositionandPayRate[Allowance 5],0)*tblPayrollMaster[[#This Row],[Pay Factor]]</f>
        <v>0</v>
      </c>
      <c r="Q846" s="25">
        <f>SUM(tblPayrollMaster[[#This Row],[Basic Pay]:[Allowance 5]])</f>
        <v>0</v>
      </c>
      <c r="R84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46" s="51" cm="1">
        <f t="array" ref="S8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46" s="3" cm="1">
        <f t="array" ref="T8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46" s="25">
        <f>_xlfn.LET(
_xlpm.tos, _xlfn.XLOOKUP(tblPayrollMaster[[#This Row],[Employee ID]], tblEmployee[Employee ID], tblEmployee[Type of Service], ""),
IF(_xlpm.tos="Contract of Service", 8.25, 0)
)</f>
        <v>0</v>
      </c>
      <c r="V846" s="25">
        <f>tblPayrollMaster[[#This Row],[Basic Earnings]]-tblPayrollMaster[[#This Row],[Tax]]-tblPayrollMaster[[#This Row],[NIS - Employee]]-tblPayrollMaster[[#This Row],[Health Surcharge]]</f>
        <v>0</v>
      </c>
      <c r="W846" s="25">
        <f>tblPayrollMaster[[#This Row],[Net Pay]]</f>
        <v>0</v>
      </c>
      <c r="X846" s="25"/>
    </row>
    <row r="847" spans="1:24" x14ac:dyDescent="0.25">
      <c r="A847" s="24"/>
      <c r="B847" s="24" t="str">
        <f>_xlfn.XLOOKUP(tblPayrollMaster[[#This Row],[Employee ID]],tblEmployee[Employee ID],tblEmployee[Employee Name],"")</f>
        <v/>
      </c>
      <c r="C847" s="24" t="str">
        <f>_xlfn.XLOOKUP(tblPayrollMaster[[#This Row],[Employee ID]],tblEmployee[Employee ID],tblEmployee[Employee Position],"")</f>
        <v/>
      </c>
      <c r="D847" s="24" t="str">
        <f>_xlfn.XLOOKUP(tblPayrollMaster[[#This Row],[Employee ID]], tblEmployee[Employee ID], tblEmployee[Pay Status], "Pay")</f>
        <v>Pay</v>
      </c>
      <c r="E847" s="24" t="str">
        <f>_xlfn.XLOOKUP(tblPayrollMaster[[#This Row],[Employee ID]], tblEmployee[Employee ID], tblEmployee[Payable Flag], "Y")</f>
        <v>Y</v>
      </c>
      <c r="F847" s="45">
        <f>IF(tblPayrollMaster[[#This Row],[Payable Flag]]="N",0,_xlfn.XLOOKUP(tblPayrollMaster[[#This Row],[Employee ID]],tblEmployee[Employee ID],tblEmployee[Pay Factor],1))</f>
        <v>1</v>
      </c>
      <c r="G847" s="26" t="str" cm="1">
        <f t="array" ref="G847">IF(tblPayrollMaster[[#This Row],[Employee ID]]="","",_xlfn.XLOOKUP(selPayPeriodID,tblPayCalendar[PayPeriodID],tblPayCalendar[PeriodStart],""))</f>
        <v/>
      </c>
      <c r="H847" s="26" t="str" cm="1">
        <f t="array" ref="H847">IF(tblPayrollMaster[[#This Row],[Employee ID]]="","",_xlfn.XLOOKUP(selPayPeriodID,tblPayCalendar[PayPeriodID],tblPayCalendar[PeriodEnd],""))</f>
        <v/>
      </c>
      <c r="I847" s="24" t="e" cm="1" vm="1">
        <f t="array" aca="1" ref="I847" ca="1">Table18[Employer Name]</f>
        <v>#VALUE!</v>
      </c>
      <c r="J847" s="3" cm="1">
        <f t="array" ref="J84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47" s="25" t="str">
        <f>_xlfn.XLOOKUP(tblPayrollMaster[[#This Row],[Employee Position]],tblPositionandPayRate[Employee Position],tblPositionandPayRate[Overtime], " ")</f>
        <v xml:space="preserve"> </v>
      </c>
      <c r="L847" s="25">
        <f>_xlfn.XLOOKUP(tblPayrollMaster[[#This Row],[Employee Position]],tblPositionandPayRate[Employee Position],tblPositionandPayRate[Allowance 1],0)*tblPayrollMaster[[#This Row],[Pay Factor]]</f>
        <v>0</v>
      </c>
      <c r="M847" s="25">
        <f>_xlfn.XLOOKUP(tblPayrollMaster[[#This Row],[Employee Position]],tblPositionandPayRate[Employee Position],tblPositionandPayRate[Allowance 2],0)*tblPayrollMaster[[#This Row],[Pay Factor]]</f>
        <v>0</v>
      </c>
      <c r="N847" s="25">
        <f>_xlfn.XLOOKUP(tblPayrollMaster[[#This Row],[Employee Position]],tblPositionandPayRate[Employee Position],tblPositionandPayRate[Allowance 3],0)*tblPayrollMaster[[#This Row],[Pay Factor]]</f>
        <v>0</v>
      </c>
      <c r="O847" s="25">
        <f>_xlfn.XLOOKUP(tblPayrollMaster[[#This Row],[Employee Position]],tblPositionandPayRate[Employee Position],tblPositionandPayRate[Allowance 4],0)*tblPayrollMaster[[#This Row],[Pay Factor]]</f>
        <v>0</v>
      </c>
      <c r="P847" s="25">
        <f>_xlfn.XLOOKUP(tblPayrollMaster[[#This Row],[Employee Position]],tblPositionandPayRate[Employee Position],tblPositionandPayRate[Allowance 5],0)*tblPayrollMaster[[#This Row],[Pay Factor]]</f>
        <v>0</v>
      </c>
      <c r="Q847" s="25">
        <f>SUM(tblPayrollMaster[[#This Row],[Basic Pay]:[Allowance 5]])</f>
        <v>0</v>
      </c>
      <c r="R84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47" s="51" cm="1">
        <f t="array" ref="S8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47" s="3" cm="1">
        <f t="array" ref="T8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47" s="25">
        <f>_xlfn.LET(
_xlpm.tos, _xlfn.XLOOKUP(tblPayrollMaster[[#This Row],[Employee ID]], tblEmployee[Employee ID], tblEmployee[Type of Service], ""),
IF(_xlpm.tos="Contract of Service", 8.25, 0)
)</f>
        <v>0</v>
      </c>
      <c r="V847" s="25">
        <f>tblPayrollMaster[[#This Row],[Basic Earnings]]-tblPayrollMaster[[#This Row],[Tax]]-tblPayrollMaster[[#This Row],[NIS - Employee]]-tblPayrollMaster[[#This Row],[Health Surcharge]]</f>
        <v>0</v>
      </c>
      <c r="W847" s="25">
        <f>tblPayrollMaster[[#This Row],[Net Pay]]</f>
        <v>0</v>
      </c>
      <c r="X847" s="25"/>
    </row>
    <row r="848" spans="1:24" x14ac:dyDescent="0.25">
      <c r="A848" s="24"/>
      <c r="B848" s="24" t="str">
        <f>_xlfn.XLOOKUP(tblPayrollMaster[[#This Row],[Employee ID]],tblEmployee[Employee ID],tblEmployee[Employee Name],"")</f>
        <v/>
      </c>
      <c r="C848" s="24" t="str">
        <f>_xlfn.XLOOKUP(tblPayrollMaster[[#This Row],[Employee ID]],tblEmployee[Employee ID],tblEmployee[Employee Position],"")</f>
        <v/>
      </c>
      <c r="D848" s="24" t="str">
        <f>_xlfn.XLOOKUP(tblPayrollMaster[[#This Row],[Employee ID]], tblEmployee[Employee ID], tblEmployee[Pay Status], "Pay")</f>
        <v>Pay</v>
      </c>
      <c r="E848" s="24" t="str">
        <f>_xlfn.XLOOKUP(tblPayrollMaster[[#This Row],[Employee ID]], tblEmployee[Employee ID], tblEmployee[Payable Flag], "Y")</f>
        <v>Y</v>
      </c>
      <c r="F848" s="45">
        <f>IF(tblPayrollMaster[[#This Row],[Payable Flag]]="N",0,_xlfn.XLOOKUP(tblPayrollMaster[[#This Row],[Employee ID]],tblEmployee[Employee ID],tblEmployee[Pay Factor],1))</f>
        <v>1</v>
      </c>
      <c r="G848" s="26" t="str" cm="1">
        <f t="array" ref="G848">IF(tblPayrollMaster[[#This Row],[Employee ID]]="","",_xlfn.XLOOKUP(selPayPeriodID,tblPayCalendar[PayPeriodID],tblPayCalendar[PeriodStart],""))</f>
        <v/>
      </c>
      <c r="H848" s="26" t="str" cm="1">
        <f t="array" ref="H848">IF(tblPayrollMaster[[#This Row],[Employee ID]]="","",_xlfn.XLOOKUP(selPayPeriodID,tblPayCalendar[PayPeriodID],tblPayCalendar[PeriodEnd],""))</f>
        <v/>
      </c>
      <c r="I848" s="24" t="e" cm="1" vm="1">
        <f t="array" aca="1" ref="I848" ca="1">Table18[Employer Name]</f>
        <v>#VALUE!</v>
      </c>
      <c r="J848" s="3" cm="1">
        <f t="array" ref="J84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48" s="25" t="str">
        <f>_xlfn.XLOOKUP(tblPayrollMaster[[#This Row],[Employee Position]],tblPositionandPayRate[Employee Position],tblPositionandPayRate[Overtime], " ")</f>
        <v xml:space="preserve"> </v>
      </c>
      <c r="L848" s="25">
        <f>_xlfn.XLOOKUP(tblPayrollMaster[[#This Row],[Employee Position]],tblPositionandPayRate[Employee Position],tblPositionandPayRate[Allowance 1],0)*tblPayrollMaster[[#This Row],[Pay Factor]]</f>
        <v>0</v>
      </c>
      <c r="M848" s="25">
        <f>_xlfn.XLOOKUP(tblPayrollMaster[[#This Row],[Employee Position]],tblPositionandPayRate[Employee Position],tblPositionandPayRate[Allowance 2],0)*tblPayrollMaster[[#This Row],[Pay Factor]]</f>
        <v>0</v>
      </c>
      <c r="N848" s="25">
        <f>_xlfn.XLOOKUP(tblPayrollMaster[[#This Row],[Employee Position]],tblPositionandPayRate[Employee Position],tblPositionandPayRate[Allowance 3],0)*tblPayrollMaster[[#This Row],[Pay Factor]]</f>
        <v>0</v>
      </c>
      <c r="O848" s="25">
        <f>_xlfn.XLOOKUP(tblPayrollMaster[[#This Row],[Employee Position]],tblPositionandPayRate[Employee Position],tblPositionandPayRate[Allowance 4],0)*tblPayrollMaster[[#This Row],[Pay Factor]]</f>
        <v>0</v>
      </c>
      <c r="P848" s="25">
        <f>_xlfn.XLOOKUP(tblPayrollMaster[[#This Row],[Employee Position]],tblPositionandPayRate[Employee Position],tblPositionandPayRate[Allowance 5],0)*tblPayrollMaster[[#This Row],[Pay Factor]]</f>
        <v>0</v>
      </c>
      <c r="Q848" s="25">
        <f>SUM(tblPayrollMaster[[#This Row],[Basic Pay]:[Allowance 5]])</f>
        <v>0</v>
      </c>
      <c r="R84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48" s="51" cm="1">
        <f t="array" ref="S8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48" s="3" cm="1">
        <f t="array" ref="T8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48" s="25">
        <f>_xlfn.LET(
_xlpm.tos, _xlfn.XLOOKUP(tblPayrollMaster[[#This Row],[Employee ID]], tblEmployee[Employee ID], tblEmployee[Type of Service], ""),
IF(_xlpm.tos="Contract of Service", 8.25, 0)
)</f>
        <v>0</v>
      </c>
      <c r="V848" s="25">
        <f>tblPayrollMaster[[#This Row],[Basic Earnings]]-tblPayrollMaster[[#This Row],[Tax]]-tblPayrollMaster[[#This Row],[NIS - Employee]]-tblPayrollMaster[[#This Row],[Health Surcharge]]</f>
        <v>0</v>
      </c>
      <c r="W848" s="25">
        <f>tblPayrollMaster[[#This Row],[Net Pay]]</f>
        <v>0</v>
      </c>
      <c r="X848" s="25"/>
    </row>
    <row r="849" spans="1:24" x14ac:dyDescent="0.25">
      <c r="A849" s="24"/>
      <c r="B849" s="24" t="str">
        <f>_xlfn.XLOOKUP(tblPayrollMaster[[#This Row],[Employee ID]],tblEmployee[Employee ID],tblEmployee[Employee Name],"")</f>
        <v/>
      </c>
      <c r="C849" s="24" t="str">
        <f>_xlfn.XLOOKUP(tblPayrollMaster[[#This Row],[Employee ID]],tblEmployee[Employee ID],tblEmployee[Employee Position],"")</f>
        <v/>
      </c>
      <c r="D849" s="24" t="str">
        <f>_xlfn.XLOOKUP(tblPayrollMaster[[#This Row],[Employee ID]], tblEmployee[Employee ID], tblEmployee[Pay Status], "Pay")</f>
        <v>Pay</v>
      </c>
      <c r="E849" s="24" t="str">
        <f>_xlfn.XLOOKUP(tblPayrollMaster[[#This Row],[Employee ID]], tblEmployee[Employee ID], tblEmployee[Payable Flag], "Y")</f>
        <v>Y</v>
      </c>
      <c r="F849" s="45">
        <f>IF(tblPayrollMaster[[#This Row],[Payable Flag]]="N",0,_xlfn.XLOOKUP(tblPayrollMaster[[#This Row],[Employee ID]],tblEmployee[Employee ID],tblEmployee[Pay Factor],1))</f>
        <v>1</v>
      </c>
      <c r="G849" s="26" t="str" cm="1">
        <f t="array" ref="G849">IF(tblPayrollMaster[[#This Row],[Employee ID]]="","",_xlfn.XLOOKUP(selPayPeriodID,tblPayCalendar[PayPeriodID],tblPayCalendar[PeriodStart],""))</f>
        <v/>
      </c>
      <c r="H849" s="26" t="str" cm="1">
        <f t="array" ref="H849">IF(tblPayrollMaster[[#This Row],[Employee ID]]="","",_xlfn.XLOOKUP(selPayPeriodID,tblPayCalendar[PayPeriodID],tblPayCalendar[PeriodEnd],""))</f>
        <v/>
      </c>
      <c r="I849" s="24" t="e" cm="1" vm="1">
        <f t="array" aca="1" ref="I849" ca="1">Table18[Employer Name]</f>
        <v>#VALUE!</v>
      </c>
      <c r="J849" s="3" cm="1">
        <f t="array" ref="J84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49" s="25" t="str">
        <f>_xlfn.XLOOKUP(tblPayrollMaster[[#This Row],[Employee Position]],tblPositionandPayRate[Employee Position],tblPositionandPayRate[Overtime], " ")</f>
        <v xml:space="preserve"> </v>
      </c>
      <c r="L849" s="25">
        <f>_xlfn.XLOOKUP(tblPayrollMaster[[#This Row],[Employee Position]],tblPositionandPayRate[Employee Position],tblPositionandPayRate[Allowance 1],0)*tblPayrollMaster[[#This Row],[Pay Factor]]</f>
        <v>0</v>
      </c>
      <c r="M849" s="25">
        <f>_xlfn.XLOOKUP(tblPayrollMaster[[#This Row],[Employee Position]],tblPositionandPayRate[Employee Position],tblPositionandPayRate[Allowance 2],0)*tblPayrollMaster[[#This Row],[Pay Factor]]</f>
        <v>0</v>
      </c>
      <c r="N849" s="25">
        <f>_xlfn.XLOOKUP(tblPayrollMaster[[#This Row],[Employee Position]],tblPositionandPayRate[Employee Position],tblPositionandPayRate[Allowance 3],0)*tblPayrollMaster[[#This Row],[Pay Factor]]</f>
        <v>0</v>
      </c>
      <c r="O849" s="25">
        <f>_xlfn.XLOOKUP(tblPayrollMaster[[#This Row],[Employee Position]],tblPositionandPayRate[Employee Position],tblPositionandPayRate[Allowance 4],0)*tblPayrollMaster[[#This Row],[Pay Factor]]</f>
        <v>0</v>
      </c>
      <c r="P849" s="25">
        <f>_xlfn.XLOOKUP(tblPayrollMaster[[#This Row],[Employee Position]],tblPositionandPayRate[Employee Position],tblPositionandPayRate[Allowance 5],0)*tblPayrollMaster[[#This Row],[Pay Factor]]</f>
        <v>0</v>
      </c>
      <c r="Q849" s="25">
        <f>SUM(tblPayrollMaster[[#This Row],[Basic Pay]:[Allowance 5]])</f>
        <v>0</v>
      </c>
      <c r="R84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49" s="51" cm="1">
        <f t="array" ref="S8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49" s="3" cm="1">
        <f t="array" ref="T8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49" s="25">
        <f>_xlfn.LET(
_xlpm.tos, _xlfn.XLOOKUP(tblPayrollMaster[[#This Row],[Employee ID]], tblEmployee[Employee ID], tblEmployee[Type of Service], ""),
IF(_xlpm.tos="Contract of Service", 8.25, 0)
)</f>
        <v>0</v>
      </c>
      <c r="V849" s="25">
        <f>tblPayrollMaster[[#This Row],[Basic Earnings]]-tblPayrollMaster[[#This Row],[Tax]]-tblPayrollMaster[[#This Row],[NIS - Employee]]-tblPayrollMaster[[#This Row],[Health Surcharge]]</f>
        <v>0</v>
      </c>
      <c r="W849" s="25">
        <f>tblPayrollMaster[[#This Row],[Net Pay]]</f>
        <v>0</v>
      </c>
      <c r="X849" s="25"/>
    </row>
    <row r="850" spans="1:24" x14ac:dyDescent="0.25">
      <c r="A850" s="24"/>
      <c r="B850" s="24" t="str">
        <f>_xlfn.XLOOKUP(tblPayrollMaster[[#This Row],[Employee ID]],tblEmployee[Employee ID],tblEmployee[Employee Name],"")</f>
        <v/>
      </c>
      <c r="C850" s="24" t="str">
        <f>_xlfn.XLOOKUP(tblPayrollMaster[[#This Row],[Employee ID]],tblEmployee[Employee ID],tblEmployee[Employee Position],"")</f>
        <v/>
      </c>
      <c r="D850" s="24" t="str">
        <f>_xlfn.XLOOKUP(tblPayrollMaster[[#This Row],[Employee ID]], tblEmployee[Employee ID], tblEmployee[Pay Status], "Pay")</f>
        <v>Pay</v>
      </c>
      <c r="E850" s="24" t="str">
        <f>_xlfn.XLOOKUP(tblPayrollMaster[[#This Row],[Employee ID]], tblEmployee[Employee ID], tblEmployee[Payable Flag], "Y")</f>
        <v>Y</v>
      </c>
      <c r="F850" s="45">
        <f>IF(tblPayrollMaster[[#This Row],[Payable Flag]]="N",0,_xlfn.XLOOKUP(tblPayrollMaster[[#This Row],[Employee ID]],tblEmployee[Employee ID],tblEmployee[Pay Factor],1))</f>
        <v>1</v>
      </c>
      <c r="G850" s="26" t="str" cm="1">
        <f t="array" ref="G850">IF(tblPayrollMaster[[#This Row],[Employee ID]]="","",_xlfn.XLOOKUP(selPayPeriodID,tblPayCalendar[PayPeriodID],tblPayCalendar[PeriodStart],""))</f>
        <v/>
      </c>
      <c r="H850" s="26" t="str" cm="1">
        <f t="array" ref="H850">IF(tblPayrollMaster[[#This Row],[Employee ID]]="","",_xlfn.XLOOKUP(selPayPeriodID,tblPayCalendar[PayPeriodID],tblPayCalendar[PeriodEnd],""))</f>
        <v/>
      </c>
      <c r="I850" s="24" t="e" cm="1" vm="1">
        <f t="array" aca="1" ref="I850" ca="1">Table18[Employer Name]</f>
        <v>#VALUE!</v>
      </c>
      <c r="J850" s="3" cm="1">
        <f t="array" ref="J85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50" s="25" t="str">
        <f>_xlfn.XLOOKUP(tblPayrollMaster[[#This Row],[Employee Position]],tblPositionandPayRate[Employee Position],tblPositionandPayRate[Overtime], " ")</f>
        <v xml:space="preserve"> </v>
      </c>
      <c r="L850" s="25">
        <f>_xlfn.XLOOKUP(tblPayrollMaster[[#This Row],[Employee Position]],tblPositionandPayRate[Employee Position],tblPositionandPayRate[Allowance 1],0)*tblPayrollMaster[[#This Row],[Pay Factor]]</f>
        <v>0</v>
      </c>
      <c r="M850" s="25">
        <f>_xlfn.XLOOKUP(tblPayrollMaster[[#This Row],[Employee Position]],tblPositionandPayRate[Employee Position],tblPositionandPayRate[Allowance 2],0)*tblPayrollMaster[[#This Row],[Pay Factor]]</f>
        <v>0</v>
      </c>
      <c r="N850" s="25">
        <f>_xlfn.XLOOKUP(tblPayrollMaster[[#This Row],[Employee Position]],tblPositionandPayRate[Employee Position],tblPositionandPayRate[Allowance 3],0)*tblPayrollMaster[[#This Row],[Pay Factor]]</f>
        <v>0</v>
      </c>
      <c r="O850" s="25">
        <f>_xlfn.XLOOKUP(tblPayrollMaster[[#This Row],[Employee Position]],tblPositionandPayRate[Employee Position],tblPositionandPayRate[Allowance 4],0)*tblPayrollMaster[[#This Row],[Pay Factor]]</f>
        <v>0</v>
      </c>
      <c r="P850" s="25">
        <f>_xlfn.XLOOKUP(tblPayrollMaster[[#This Row],[Employee Position]],tblPositionandPayRate[Employee Position],tblPositionandPayRate[Allowance 5],0)*tblPayrollMaster[[#This Row],[Pay Factor]]</f>
        <v>0</v>
      </c>
      <c r="Q850" s="25">
        <f>SUM(tblPayrollMaster[[#This Row],[Basic Pay]:[Allowance 5]])</f>
        <v>0</v>
      </c>
      <c r="R85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50" s="51" cm="1">
        <f t="array" ref="S8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50" s="3" cm="1">
        <f t="array" ref="T8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50" s="25">
        <f>_xlfn.LET(
_xlpm.tos, _xlfn.XLOOKUP(tblPayrollMaster[[#This Row],[Employee ID]], tblEmployee[Employee ID], tblEmployee[Type of Service], ""),
IF(_xlpm.tos="Contract of Service", 8.25, 0)
)</f>
        <v>0</v>
      </c>
      <c r="V850" s="25">
        <f>tblPayrollMaster[[#This Row],[Basic Earnings]]-tblPayrollMaster[[#This Row],[Tax]]-tblPayrollMaster[[#This Row],[NIS - Employee]]-tblPayrollMaster[[#This Row],[Health Surcharge]]</f>
        <v>0</v>
      </c>
      <c r="W850" s="25">
        <f>tblPayrollMaster[[#This Row],[Net Pay]]</f>
        <v>0</v>
      </c>
      <c r="X850" s="25"/>
    </row>
    <row r="851" spans="1:24" x14ac:dyDescent="0.25">
      <c r="A851" s="24"/>
      <c r="B851" s="24" t="str">
        <f>_xlfn.XLOOKUP(tblPayrollMaster[[#This Row],[Employee ID]],tblEmployee[Employee ID],tblEmployee[Employee Name],"")</f>
        <v/>
      </c>
      <c r="C851" s="24" t="str">
        <f>_xlfn.XLOOKUP(tblPayrollMaster[[#This Row],[Employee ID]],tblEmployee[Employee ID],tblEmployee[Employee Position],"")</f>
        <v/>
      </c>
      <c r="D851" s="24" t="str">
        <f>_xlfn.XLOOKUP(tblPayrollMaster[[#This Row],[Employee ID]], tblEmployee[Employee ID], tblEmployee[Pay Status], "Pay")</f>
        <v>Pay</v>
      </c>
      <c r="E851" s="24" t="str">
        <f>_xlfn.XLOOKUP(tblPayrollMaster[[#This Row],[Employee ID]], tblEmployee[Employee ID], tblEmployee[Payable Flag], "Y")</f>
        <v>Y</v>
      </c>
      <c r="F851" s="45">
        <f>IF(tblPayrollMaster[[#This Row],[Payable Flag]]="N",0,_xlfn.XLOOKUP(tblPayrollMaster[[#This Row],[Employee ID]],tblEmployee[Employee ID],tblEmployee[Pay Factor],1))</f>
        <v>1</v>
      </c>
      <c r="G851" s="26" t="str" cm="1">
        <f t="array" ref="G851">IF(tblPayrollMaster[[#This Row],[Employee ID]]="","",_xlfn.XLOOKUP(selPayPeriodID,tblPayCalendar[PayPeriodID],tblPayCalendar[PeriodStart],""))</f>
        <v/>
      </c>
      <c r="H851" s="26" t="str" cm="1">
        <f t="array" ref="H851">IF(tblPayrollMaster[[#This Row],[Employee ID]]="","",_xlfn.XLOOKUP(selPayPeriodID,tblPayCalendar[PayPeriodID],tblPayCalendar[PeriodEnd],""))</f>
        <v/>
      </c>
      <c r="I851" s="24" t="e" cm="1" vm="1">
        <f t="array" aca="1" ref="I851" ca="1">Table18[Employer Name]</f>
        <v>#VALUE!</v>
      </c>
      <c r="J851" s="3" cm="1">
        <f t="array" ref="J85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51" s="25" t="str">
        <f>_xlfn.XLOOKUP(tblPayrollMaster[[#This Row],[Employee Position]],tblPositionandPayRate[Employee Position],tblPositionandPayRate[Overtime], " ")</f>
        <v xml:space="preserve"> </v>
      </c>
      <c r="L851" s="25">
        <f>_xlfn.XLOOKUP(tblPayrollMaster[[#This Row],[Employee Position]],tblPositionandPayRate[Employee Position],tblPositionandPayRate[Allowance 1],0)*tblPayrollMaster[[#This Row],[Pay Factor]]</f>
        <v>0</v>
      </c>
      <c r="M851" s="25">
        <f>_xlfn.XLOOKUP(tblPayrollMaster[[#This Row],[Employee Position]],tblPositionandPayRate[Employee Position],tblPositionandPayRate[Allowance 2],0)*tblPayrollMaster[[#This Row],[Pay Factor]]</f>
        <v>0</v>
      </c>
      <c r="N851" s="25">
        <f>_xlfn.XLOOKUP(tblPayrollMaster[[#This Row],[Employee Position]],tblPositionandPayRate[Employee Position],tblPositionandPayRate[Allowance 3],0)*tblPayrollMaster[[#This Row],[Pay Factor]]</f>
        <v>0</v>
      </c>
      <c r="O851" s="25">
        <f>_xlfn.XLOOKUP(tblPayrollMaster[[#This Row],[Employee Position]],tblPositionandPayRate[Employee Position],tblPositionandPayRate[Allowance 4],0)*tblPayrollMaster[[#This Row],[Pay Factor]]</f>
        <v>0</v>
      </c>
      <c r="P851" s="25">
        <f>_xlfn.XLOOKUP(tblPayrollMaster[[#This Row],[Employee Position]],tblPositionandPayRate[Employee Position],tblPositionandPayRate[Allowance 5],0)*tblPayrollMaster[[#This Row],[Pay Factor]]</f>
        <v>0</v>
      </c>
      <c r="Q851" s="25">
        <f>SUM(tblPayrollMaster[[#This Row],[Basic Pay]:[Allowance 5]])</f>
        <v>0</v>
      </c>
      <c r="R85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51" s="51" cm="1">
        <f t="array" ref="S8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51" s="3" cm="1">
        <f t="array" ref="T8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51" s="25">
        <f>_xlfn.LET(
_xlpm.tos, _xlfn.XLOOKUP(tblPayrollMaster[[#This Row],[Employee ID]], tblEmployee[Employee ID], tblEmployee[Type of Service], ""),
IF(_xlpm.tos="Contract of Service", 8.25, 0)
)</f>
        <v>0</v>
      </c>
      <c r="V851" s="25">
        <f>tblPayrollMaster[[#This Row],[Basic Earnings]]-tblPayrollMaster[[#This Row],[Tax]]-tblPayrollMaster[[#This Row],[NIS - Employee]]-tblPayrollMaster[[#This Row],[Health Surcharge]]</f>
        <v>0</v>
      </c>
      <c r="W851" s="25">
        <f>tblPayrollMaster[[#This Row],[Net Pay]]</f>
        <v>0</v>
      </c>
      <c r="X851" s="25"/>
    </row>
    <row r="852" spans="1:24" x14ac:dyDescent="0.25">
      <c r="A852" s="24"/>
      <c r="B852" s="24" t="str">
        <f>_xlfn.XLOOKUP(tblPayrollMaster[[#This Row],[Employee ID]],tblEmployee[Employee ID],tblEmployee[Employee Name],"")</f>
        <v/>
      </c>
      <c r="C852" s="24" t="str">
        <f>_xlfn.XLOOKUP(tblPayrollMaster[[#This Row],[Employee ID]],tblEmployee[Employee ID],tblEmployee[Employee Position],"")</f>
        <v/>
      </c>
      <c r="D852" s="24" t="str">
        <f>_xlfn.XLOOKUP(tblPayrollMaster[[#This Row],[Employee ID]], tblEmployee[Employee ID], tblEmployee[Pay Status], "Pay")</f>
        <v>Pay</v>
      </c>
      <c r="E852" s="24" t="str">
        <f>_xlfn.XLOOKUP(tblPayrollMaster[[#This Row],[Employee ID]], tblEmployee[Employee ID], tblEmployee[Payable Flag], "Y")</f>
        <v>Y</v>
      </c>
      <c r="F852" s="45">
        <f>IF(tblPayrollMaster[[#This Row],[Payable Flag]]="N",0,_xlfn.XLOOKUP(tblPayrollMaster[[#This Row],[Employee ID]],tblEmployee[Employee ID],tblEmployee[Pay Factor],1))</f>
        <v>1</v>
      </c>
      <c r="G852" s="26" t="str" cm="1">
        <f t="array" ref="G852">IF(tblPayrollMaster[[#This Row],[Employee ID]]="","",_xlfn.XLOOKUP(selPayPeriodID,tblPayCalendar[PayPeriodID],tblPayCalendar[PeriodStart],""))</f>
        <v/>
      </c>
      <c r="H852" s="26" t="str" cm="1">
        <f t="array" ref="H852">IF(tblPayrollMaster[[#This Row],[Employee ID]]="","",_xlfn.XLOOKUP(selPayPeriodID,tblPayCalendar[PayPeriodID],tblPayCalendar[PeriodEnd],""))</f>
        <v/>
      </c>
      <c r="I852" s="24" t="e" cm="1" vm="1">
        <f t="array" aca="1" ref="I852" ca="1">Table18[Employer Name]</f>
        <v>#VALUE!</v>
      </c>
      <c r="J852" s="3" cm="1">
        <f t="array" ref="J85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52" s="25" t="str">
        <f>_xlfn.XLOOKUP(tblPayrollMaster[[#This Row],[Employee Position]],tblPositionandPayRate[Employee Position],tblPositionandPayRate[Overtime], " ")</f>
        <v xml:space="preserve"> </v>
      </c>
      <c r="L852" s="25">
        <f>_xlfn.XLOOKUP(tblPayrollMaster[[#This Row],[Employee Position]],tblPositionandPayRate[Employee Position],tblPositionandPayRate[Allowance 1],0)*tblPayrollMaster[[#This Row],[Pay Factor]]</f>
        <v>0</v>
      </c>
      <c r="M852" s="25">
        <f>_xlfn.XLOOKUP(tblPayrollMaster[[#This Row],[Employee Position]],tblPositionandPayRate[Employee Position],tblPositionandPayRate[Allowance 2],0)*tblPayrollMaster[[#This Row],[Pay Factor]]</f>
        <v>0</v>
      </c>
      <c r="N852" s="25">
        <f>_xlfn.XLOOKUP(tblPayrollMaster[[#This Row],[Employee Position]],tblPositionandPayRate[Employee Position],tblPositionandPayRate[Allowance 3],0)*tblPayrollMaster[[#This Row],[Pay Factor]]</f>
        <v>0</v>
      </c>
      <c r="O852" s="25">
        <f>_xlfn.XLOOKUP(tblPayrollMaster[[#This Row],[Employee Position]],tblPositionandPayRate[Employee Position],tblPositionandPayRate[Allowance 4],0)*tblPayrollMaster[[#This Row],[Pay Factor]]</f>
        <v>0</v>
      </c>
      <c r="P852" s="25">
        <f>_xlfn.XLOOKUP(tblPayrollMaster[[#This Row],[Employee Position]],tblPositionandPayRate[Employee Position],tblPositionandPayRate[Allowance 5],0)*tblPayrollMaster[[#This Row],[Pay Factor]]</f>
        <v>0</v>
      </c>
      <c r="Q852" s="25">
        <f>SUM(tblPayrollMaster[[#This Row],[Basic Pay]:[Allowance 5]])</f>
        <v>0</v>
      </c>
      <c r="R85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52" s="51" cm="1">
        <f t="array" ref="S8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52" s="3" cm="1">
        <f t="array" ref="T8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52" s="25">
        <f>_xlfn.LET(
_xlpm.tos, _xlfn.XLOOKUP(tblPayrollMaster[[#This Row],[Employee ID]], tblEmployee[Employee ID], tblEmployee[Type of Service], ""),
IF(_xlpm.tos="Contract of Service", 8.25, 0)
)</f>
        <v>0</v>
      </c>
      <c r="V852" s="25">
        <f>tblPayrollMaster[[#This Row],[Basic Earnings]]-tblPayrollMaster[[#This Row],[Tax]]-tblPayrollMaster[[#This Row],[NIS - Employee]]-tblPayrollMaster[[#This Row],[Health Surcharge]]</f>
        <v>0</v>
      </c>
      <c r="W852" s="25">
        <f>tblPayrollMaster[[#This Row],[Net Pay]]</f>
        <v>0</v>
      </c>
      <c r="X852" s="25"/>
    </row>
    <row r="853" spans="1:24" x14ac:dyDescent="0.25">
      <c r="A853" s="24"/>
      <c r="B853" s="24" t="str">
        <f>_xlfn.XLOOKUP(tblPayrollMaster[[#This Row],[Employee ID]],tblEmployee[Employee ID],tblEmployee[Employee Name],"")</f>
        <v/>
      </c>
      <c r="C853" s="24" t="str">
        <f>_xlfn.XLOOKUP(tblPayrollMaster[[#This Row],[Employee ID]],tblEmployee[Employee ID],tblEmployee[Employee Position],"")</f>
        <v/>
      </c>
      <c r="D853" s="24" t="str">
        <f>_xlfn.XLOOKUP(tblPayrollMaster[[#This Row],[Employee ID]], tblEmployee[Employee ID], tblEmployee[Pay Status], "Pay")</f>
        <v>Pay</v>
      </c>
      <c r="E853" s="24" t="str">
        <f>_xlfn.XLOOKUP(tblPayrollMaster[[#This Row],[Employee ID]], tblEmployee[Employee ID], tblEmployee[Payable Flag], "Y")</f>
        <v>Y</v>
      </c>
      <c r="F853" s="45">
        <f>IF(tblPayrollMaster[[#This Row],[Payable Flag]]="N",0,_xlfn.XLOOKUP(tblPayrollMaster[[#This Row],[Employee ID]],tblEmployee[Employee ID],tblEmployee[Pay Factor],1))</f>
        <v>1</v>
      </c>
      <c r="G853" s="26" t="str" cm="1">
        <f t="array" ref="G853">IF(tblPayrollMaster[[#This Row],[Employee ID]]="","",_xlfn.XLOOKUP(selPayPeriodID,tblPayCalendar[PayPeriodID],tblPayCalendar[PeriodStart],""))</f>
        <v/>
      </c>
      <c r="H853" s="26" t="str" cm="1">
        <f t="array" ref="H853">IF(tblPayrollMaster[[#This Row],[Employee ID]]="","",_xlfn.XLOOKUP(selPayPeriodID,tblPayCalendar[PayPeriodID],tblPayCalendar[PeriodEnd],""))</f>
        <v/>
      </c>
      <c r="I853" s="24" t="e" cm="1" vm="1">
        <f t="array" aca="1" ref="I853" ca="1">Table18[Employer Name]</f>
        <v>#VALUE!</v>
      </c>
      <c r="J853" s="3" cm="1">
        <f t="array" ref="J85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53" s="25" t="str">
        <f>_xlfn.XLOOKUP(tblPayrollMaster[[#This Row],[Employee Position]],tblPositionandPayRate[Employee Position],tblPositionandPayRate[Overtime], " ")</f>
        <v xml:space="preserve"> </v>
      </c>
      <c r="L853" s="25">
        <f>_xlfn.XLOOKUP(tblPayrollMaster[[#This Row],[Employee Position]],tblPositionandPayRate[Employee Position],tblPositionandPayRate[Allowance 1],0)*tblPayrollMaster[[#This Row],[Pay Factor]]</f>
        <v>0</v>
      </c>
      <c r="M853" s="25">
        <f>_xlfn.XLOOKUP(tblPayrollMaster[[#This Row],[Employee Position]],tblPositionandPayRate[Employee Position],tblPositionandPayRate[Allowance 2],0)*tblPayrollMaster[[#This Row],[Pay Factor]]</f>
        <v>0</v>
      </c>
      <c r="N853" s="25">
        <f>_xlfn.XLOOKUP(tblPayrollMaster[[#This Row],[Employee Position]],tblPositionandPayRate[Employee Position],tblPositionandPayRate[Allowance 3],0)*tblPayrollMaster[[#This Row],[Pay Factor]]</f>
        <v>0</v>
      </c>
      <c r="O853" s="25">
        <f>_xlfn.XLOOKUP(tblPayrollMaster[[#This Row],[Employee Position]],tblPositionandPayRate[Employee Position],tblPositionandPayRate[Allowance 4],0)*tblPayrollMaster[[#This Row],[Pay Factor]]</f>
        <v>0</v>
      </c>
      <c r="P853" s="25">
        <f>_xlfn.XLOOKUP(tblPayrollMaster[[#This Row],[Employee Position]],tblPositionandPayRate[Employee Position],tblPositionandPayRate[Allowance 5],0)*tblPayrollMaster[[#This Row],[Pay Factor]]</f>
        <v>0</v>
      </c>
      <c r="Q853" s="25">
        <f>SUM(tblPayrollMaster[[#This Row],[Basic Pay]:[Allowance 5]])</f>
        <v>0</v>
      </c>
      <c r="R85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53" s="51" cm="1">
        <f t="array" ref="S8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53" s="3" cm="1">
        <f t="array" ref="T8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53" s="25">
        <f>_xlfn.LET(
_xlpm.tos, _xlfn.XLOOKUP(tblPayrollMaster[[#This Row],[Employee ID]], tblEmployee[Employee ID], tblEmployee[Type of Service], ""),
IF(_xlpm.tos="Contract of Service", 8.25, 0)
)</f>
        <v>0</v>
      </c>
      <c r="V853" s="25">
        <f>tblPayrollMaster[[#This Row],[Basic Earnings]]-tblPayrollMaster[[#This Row],[Tax]]-tblPayrollMaster[[#This Row],[NIS - Employee]]-tblPayrollMaster[[#This Row],[Health Surcharge]]</f>
        <v>0</v>
      </c>
      <c r="W853" s="25">
        <f>tblPayrollMaster[[#This Row],[Net Pay]]</f>
        <v>0</v>
      </c>
      <c r="X853" s="25"/>
    </row>
    <row r="854" spans="1:24" x14ac:dyDescent="0.25">
      <c r="A854" s="24"/>
      <c r="B854" s="24" t="str">
        <f>_xlfn.XLOOKUP(tblPayrollMaster[[#This Row],[Employee ID]],tblEmployee[Employee ID],tblEmployee[Employee Name],"")</f>
        <v/>
      </c>
      <c r="C854" s="24" t="str">
        <f>_xlfn.XLOOKUP(tblPayrollMaster[[#This Row],[Employee ID]],tblEmployee[Employee ID],tblEmployee[Employee Position],"")</f>
        <v/>
      </c>
      <c r="D854" s="24" t="str">
        <f>_xlfn.XLOOKUP(tblPayrollMaster[[#This Row],[Employee ID]], tblEmployee[Employee ID], tblEmployee[Pay Status], "Pay")</f>
        <v>Pay</v>
      </c>
      <c r="E854" s="24" t="str">
        <f>_xlfn.XLOOKUP(tblPayrollMaster[[#This Row],[Employee ID]], tblEmployee[Employee ID], tblEmployee[Payable Flag], "Y")</f>
        <v>Y</v>
      </c>
      <c r="F854" s="45">
        <f>IF(tblPayrollMaster[[#This Row],[Payable Flag]]="N",0,_xlfn.XLOOKUP(tblPayrollMaster[[#This Row],[Employee ID]],tblEmployee[Employee ID],tblEmployee[Pay Factor],1))</f>
        <v>1</v>
      </c>
      <c r="G854" s="26" t="str" cm="1">
        <f t="array" ref="G854">IF(tblPayrollMaster[[#This Row],[Employee ID]]="","",_xlfn.XLOOKUP(selPayPeriodID,tblPayCalendar[PayPeriodID],tblPayCalendar[PeriodStart],""))</f>
        <v/>
      </c>
      <c r="H854" s="26" t="str" cm="1">
        <f t="array" ref="H854">IF(tblPayrollMaster[[#This Row],[Employee ID]]="","",_xlfn.XLOOKUP(selPayPeriodID,tblPayCalendar[PayPeriodID],tblPayCalendar[PeriodEnd],""))</f>
        <v/>
      </c>
      <c r="I854" s="24" t="e" cm="1" vm="1">
        <f t="array" aca="1" ref="I854" ca="1">Table18[Employer Name]</f>
        <v>#VALUE!</v>
      </c>
      <c r="J854" s="3" cm="1">
        <f t="array" ref="J85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54" s="25" t="str">
        <f>_xlfn.XLOOKUP(tblPayrollMaster[[#This Row],[Employee Position]],tblPositionandPayRate[Employee Position],tblPositionandPayRate[Overtime], " ")</f>
        <v xml:space="preserve"> </v>
      </c>
      <c r="L854" s="25">
        <f>_xlfn.XLOOKUP(tblPayrollMaster[[#This Row],[Employee Position]],tblPositionandPayRate[Employee Position],tblPositionandPayRate[Allowance 1],0)*tblPayrollMaster[[#This Row],[Pay Factor]]</f>
        <v>0</v>
      </c>
      <c r="M854" s="25">
        <f>_xlfn.XLOOKUP(tblPayrollMaster[[#This Row],[Employee Position]],tblPositionandPayRate[Employee Position],tblPositionandPayRate[Allowance 2],0)*tblPayrollMaster[[#This Row],[Pay Factor]]</f>
        <v>0</v>
      </c>
      <c r="N854" s="25">
        <f>_xlfn.XLOOKUP(tblPayrollMaster[[#This Row],[Employee Position]],tblPositionandPayRate[Employee Position],tblPositionandPayRate[Allowance 3],0)*tblPayrollMaster[[#This Row],[Pay Factor]]</f>
        <v>0</v>
      </c>
      <c r="O854" s="25">
        <f>_xlfn.XLOOKUP(tblPayrollMaster[[#This Row],[Employee Position]],tblPositionandPayRate[Employee Position],tblPositionandPayRate[Allowance 4],0)*tblPayrollMaster[[#This Row],[Pay Factor]]</f>
        <v>0</v>
      </c>
      <c r="P854" s="25">
        <f>_xlfn.XLOOKUP(tblPayrollMaster[[#This Row],[Employee Position]],tblPositionandPayRate[Employee Position],tblPositionandPayRate[Allowance 5],0)*tblPayrollMaster[[#This Row],[Pay Factor]]</f>
        <v>0</v>
      </c>
      <c r="Q854" s="25">
        <f>SUM(tblPayrollMaster[[#This Row],[Basic Pay]:[Allowance 5]])</f>
        <v>0</v>
      </c>
      <c r="R85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54" s="51" cm="1">
        <f t="array" ref="S8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54" s="3" cm="1">
        <f t="array" ref="T8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54" s="25">
        <f>_xlfn.LET(
_xlpm.tos, _xlfn.XLOOKUP(tblPayrollMaster[[#This Row],[Employee ID]], tblEmployee[Employee ID], tblEmployee[Type of Service], ""),
IF(_xlpm.tos="Contract of Service", 8.25, 0)
)</f>
        <v>0</v>
      </c>
      <c r="V854" s="25">
        <f>tblPayrollMaster[[#This Row],[Basic Earnings]]-tblPayrollMaster[[#This Row],[Tax]]-tblPayrollMaster[[#This Row],[NIS - Employee]]-tblPayrollMaster[[#This Row],[Health Surcharge]]</f>
        <v>0</v>
      </c>
      <c r="W854" s="25">
        <f>tblPayrollMaster[[#This Row],[Net Pay]]</f>
        <v>0</v>
      </c>
      <c r="X854" s="25"/>
    </row>
    <row r="855" spans="1:24" x14ac:dyDescent="0.25">
      <c r="A855" s="24"/>
      <c r="B855" s="24" t="str">
        <f>_xlfn.XLOOKUP(tblPayrollMaster[[#This Row],[Employee ID]],tblEmployee[Employee ID],tblEmployee[Employee Name],"")</f>
        <v/>
      </c>
      <c r="C855" s="24" t="str">
        <f>_xlfn.XLOOKUP(tblPayrollMaster[[#This Row],[Employee ID]],tblEmployee[Employee ID],tblEmployee[Employee Position],"")</f>
        <v/>
      </c>
      <c r="D855" s="24" t="str">
        <f>_xlfn.XLOOKUP(tblPayrollMaster[[#This Row],[Employee ID]], tblEmployee[Employee ID], tblEmployee[Pay Status], "Pay")</f>
        <v>Pay</v>
      </c>
      <c r="E855" s="24" t="str">
        <f>_xlfn.XLOOKUP(tblPayrollMaster[[#This Row],[Employee ID]], tblEmployee[Employee ID], tblEmployee[Payable Flag], "Y")</f>
        <v>Y</v>
      </c>
      <c r="F855" s="45">
        <f>IF(tblPayrollMaster[[#This Row],[Payable Flag]]="N",0,_xlfn.XLOOKUP(tblPayrollMaster[[#This Row],[Employee ID]],tblEmployee[Employee ID],tblEmployee[Pay Factor],1))</f>
        <v>1</v>
      </c>
      <c r="G855" s="26" t="str" cm="1">
        <f t="array" ref="G855">IF(tblPayrollMaster[[#This Row],[Employee ID]]="","",_xlfn.XLOOKUP(selPayPeriodID,tblPayCalendar[PayPeriodID],tblPayCalendar[PeriodStart],""))</f>
        <v/>
      </c>
      <c r="H855" s="26" t="str" cm="1">
        <f t="array" ref="H855">IF(tblPayrollMaster[[#This Row],[Employee ID]]="","",_xlfn.XLOOKUP(selPayPeriodID,tblPayCalendar[PayPeriodID],tblPayCalendar[PeriodEnd],""))</f>
        <v/>
      </c>
      <c r="I855" s="24" t="e" cm="1" vm="1">
        <f t="array" aca="1" ref="I855" ca="1">Table18[Employer Name]</f>
        <v>#VALUE!</v>
      </c>
      <c r="J855" s="3" cm="1">
        <f t="array" ref="J85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55" s="25" t="str">
        <f>_xlfn.XLOOKUP(tblPayrollMaster[[#This Row],[Employee Position]],tblPositionandPayRate[Employee Position],tblPositionandPayRate[Overtime], " ")</f>
        <v xml:space="preserve"> </v>
      </c>
      <c r="L855" s="25">
        <f>_xlfn.XLOOKUP(tblPayrollMaster[[#This Row],[Employee Position]],tblPositionandPayRate[Employee Position],tblPositionandPayRate[Allowance 1],0)*tblPayrollMaster[[#This Row],[Pay Factor]]</f>
        <v>0</v>
      </c>
      <c r="M855" s="25">
        <f>_xlfn.XLOOKUP(tblPayrollMaster[[#This Row],[Employee Position]],tblPositionandPayRate[Employee Position],tblPositionandPayRate[Allowance 2],0)*tblPayrollMaster[[#This Row],[Pay Factor]]</f>
        <v>0</v>
      </c>
      <c r="N855" s="25">
        <f>_xlfn.XLOOKUP(tblPayrollMaster[[#This Row],[Employee Position]],tblPositionandPayRate[Employee Position],tblPositionandPayRate[Allowance 3],0)*tblPayrollMaster[[#This Row],[Pay Factor]]</f>
        <v>0</v>
      </c>
      <c r="O855" s="25">
        <f>_xlfn.XLOOKUP(tblPayrollMaster[[#This Row],[Employee Position]],tblPositionandPayRate[Employee Position],tblPositionandPayRate[Allowance 4],0)*tblPayrollMaster[[#This Row],[Pay Factor]]</f>
        <v>0</v>
      </c>
      <c r="P855" s="25">
        <f>_xlfn.XLOOKUP(tblPayrollMaster[[#This Row],[Employee Position]],tblPositionandPayRate[Employee Position],tblPositionandPayRate[Allowance 5],0)*tblPayrollMaster[[#This Row],[Pay Factor]]</f>
        <v>0</v>
      </c>
      <c r="Q855" s="25">
        <f>SUM(tblPayrollMaster[[#This Row],[Basic Pay]:[Allowance 5]])</f>
        <v>0</v>
      </c>
      <c r="R85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55" s="51" cm="1">
        <f t="array" ref="S8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55" s="3" cm="1">
        <f t="array" ref="T8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55" s="25">
        <f>_xlfn.LET(
_xlpm.tos, _xlfn.XLOOKUP(tblPayrollMaster[[#This Row],[Employee ID]], tblEmployee[Employee ID], tblEmployee[Type of Service], ""),
IF(_xlpm.tos="Contract of Service", 8.25, 0)
)</f>
        <v>0</v>
      </c>
      <c r="V855" s="25">
        <f>tblPayrollMaster[[#This Row],[Basic Earnings]]-tblPayrollMaster[[#This Row],[Tax]]-tblPayrollMaster[[#This Row],[NIS - Employee]]-tblPayrollMaster[[#This Row],[Health Surcharge]]</f>
        <v>0</v>
      </c>
      <c r="W855" s="25">
        <f>tblPayrollMaster[[#This Row],[Net Pay]]</f>
        <v>0</v>
      </c>
      <c r="X855" s="25"/>
    </row>
    <row r="856" spans="1:24" x14ac:dyDescent="0.25">
      <c r="A856" s="24"/>
      <c r="B856" s="24" t="str">
        <f>_xlfn.XLOOKUP(tblPayrollMaster[[#This Row],[Employee ID]],tblEmployee[Employee ID],tblEmployee[Employee Name],"")</f>
        <v/>
      </c>
      <c r="C856" s="24" t="str">
        <f>_xlfn.XLOOKUP(tblPayrollMaster[[#This Row],[Employee ID]],tblEmployee[Employee ID],tblEmployee[Employee Position],"")</f>
        <v/>
      </c>
      <c r="D856" s="24" t="str">
        <f>_xlfn.XLOOKUP(tblPayrollMaster[[#This Row],[Employee ID]], tblEmployee[Employee ID], tblEmployee[Pay Status], "Pay")</f>
        <v>Pay</v>
      </c>
      <c r="E856" s="24" t="str">
        <f>_xlfn.XLOOKUP(tblPayrollMaster[[#This Row],[Employee ID]], tblEmployee[Employee ID], tblEmployee[Payable Flag], "Y")</f>
        <v>Y</v>
      </c>
      <c r="F856" s="45">
        <f>IF(tblPayrollMaster[[#This Row],[Payable Flag]]="N",0,_xlfn.XLOOKUP(tblPayrollMaster[[#This Row],[Employee ID]],tblEmployee[Employee ID],tblEmployee[Pay Factor],1))</f>
        <v>1</v>
      </c>
      <c r="G856" s="26" t="str" cm="1">
        <f t="array" ref="G856">IF(tblPayrollMaster[[#This Row],[Employee ID]]="","",_xlfn.XLOOKUP(selPayPeriodID,tblPayCalendar[PayPeriodID],tblPayCalendar[PeriodStart],""))</f>
        <v/>
      </c>
      <c r="H856" s="26" t="str" cm="1">
        <f t="array" ref="H856">IF(tblPayrollMaster[[#This Row],[Employee ID]]="","",_xlfn.XLOOKUP(selPayPeriodID,tblPayCalendar[PayPeriodID],tblPayCalendar[PeriodEnd],""))</f>
        <v/>
      </c>
      <c r="I856" s="24" t="e" cm="1" vm="1">
        <f t="array" aca="1" ref="I856" ca="1">Table18[Employer Name]</f>
        <v>#VALUE!</v>
      </c>
      <c r="J856" s="3" cm="1">
        <f t="array" ref="J85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56" s="25" t="str">
        <f>_xlfn.XLOOKUP(tblPayrollMaster[[#This Row],[Employee Position]],tblPositionandPayRate[Employee Position],tblPositionandPayRate[Overtime], " ")</f>
        <v xml:space="preserve"> </v>
      </c>
      <c r="L856" s="25">
        <f>_xlfn.XLOOKUP(tblPayrollMaster[[#This Row],[Employee Position]],tblPositionandPayRate[Employee Position],tblPositionandPayRate[Allowance 1],0)*tblPayrollMaster[[#This Row],[Pay Factor]]</f>
        <v>0</v>
      </c>
      <c r="M856" s="25">
        <f>_xlfn.XLOOKUP(tblPayrollMaster[[#This Row],[Employee Position]],tblPositionandPayRate[Employee Position],tblPositionandPayRate[Allowance 2],0)*tblPayrollMaster[[#This Row],[Pay Factor]]</f>
        <v>0</v>
      </c>
      <c r="N856" s="25">
        <f>_xlfn.XLOOKUP(tblPayrollMaster[[#This Row],[Employee Position]],tblPositionandPayRate[Employee Position],tblPositionandPayRate[Allowance 3],0)*tblPayrollMaster[[#This Row],[Pay Factor]]</f>
        <v>0</v>
      </c>
      <c r="O856" s="25">
        <f>_xlfn.XLOOKUP(tblPayrollMaster[[#This Row],[Employee Position]],tblPositionandPayRate[Employee Position],tblPositionandPayRate[Allowance 4],0)*tblPayrollMaster[[#This Row],[Pay Factor]]</f>
        <v>0</v>
      </c>
      <c r="P856" s="25">
        <f>_xlfn.XLOOKUP(tblPayrollMaster[[#This Row],[Employee Position]],tblPositionandPayRate[Employee Position],tblPositionandPayRate[Allowance 5],0)*tblPayrollMaster[[#This Row],[Pay Factor]]</f>
        <v>0</v>
      </c>
      <c r="Q856" s="25">
        <f>SUM(tblPayrollMaster[[#This Row],[Basic Pay]:[Allowance 5]])</f>
        <v>0</v>
      </c>
      <c r="R85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56" s="51" cm="1">
        <f t="array" ref="S8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56" s="3" cm="1">
        <f t="array" ref="T8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56" s="25">
        <f>_xlfn.LET(
_xlpm.tos, _xlfn.XLOOKUP(tblPayrollMaster[[#This Row],[Employee ID]], tblEmployee[Employee ID], tblEmployee[Type of Service], ""),
IF(_xlpm.tos="Contract of Service", 8.25, 0)
)</f>
        <v>0</v>
      </c>
      <c r="V856" s="25">
        <f>tblPayrollMaster[[#This Row],[Basic Earnings]]-tblPayrollMaster[[#This Row],[Tax]]-tblPayrollMaster[[#This Row],[NIS - Employee]]-tblPayrollMaster[[#This Row],[Health Surcharge]]</f>
        <v>0</v>
      </c>
      <c r="W856" s="25">
        <f>tblPayrollMaster[[#This Row],[Net Pay]]</f>
        <v>0</v>
      </c>
      <c r="X856" s="25"/>
    </row>
    <row r="857" spans="1:24" x14ac:dyDescent="0.25">
      <c r="A857" s="24"/>
      <c r="B857" s="24" t="str">
        <f>_xlfn.XLOOKUP(tblPayrollMaster[[#This Row],[Employee ID]],tblEmployee[Employee ID],tblEmployee[Employee Name],"")</f>
        <v/>
      </c>
      <c r="C857" s="24" t="str">
        <f>_xlfn.XLOOKUP(tblPayrollMaster[[#This Row],[Employee ID]],tblEmployee[Employee ID],tblEmployee[Employee Position],"")</f>
        <v/>
      </c>
      <c r="D857" s="24" t="str">
        <f>_xlfn.XLOOKUP(tblPayrollMaster[[#This Row],[Employee ID]], tblEmployee[Employee ID], tblEmployee[Pay Status], "Pay")</f>
        <v>Pay</v>
      </c>
      <c r="E857" s="24" t="str">
        <f>_xlfn.XLOOKUP(tblPayrollMaster[[#This Row],[Employee ID]], tblEmployee[Employee ID], tblEmployee[Payable Flag], "Y")</f>
        <v>Y</v>
      </c>
      <c r="F857" s="45">
        <f>IF(tblPayrollMaster[[#This Row],[Payable Flag]]="N",0,_xlfn.XLOOKUP(tblPayrollMaster[[#This Row],[Employee ID]],tblEmployee[Employee ID],tblEmployee[Pay Factor],1))</f>
        <v>1</v>
      </c>
      <c r="G857" s="26" t="str" cm="1">
        <f t="array" ref="G857">IF(tblPayrollMaster[[#This Row],[Employee ID]]="","",_xlfn.XLOOKUP(selPayPeriodID,tblPayCalendar[PayPeriodID],tblPayCalendar[PeriodStart],""))</f>
        <v/>
      </c>
      <c r="H857" s="26" t="str" cm="1">
        <f t="array" ref="H857">IF(tblPayrollMaster[[#This Row],[Employee ID]]="","",_xlfn.XLOOKUP(selPayPeriodID,tblPayCalendar[PayPeriodID],tblPayCalendar[PeriodEnd],""))</f>
        <v/>
      </c>
      <c r="I857" s="24" t="e" cm="1" vm="1">
        <f t="array" aca="1" ref="I857" ca="1">Table18[Employer Name]</f>
        <v>#VALUE!</v>
      </c>
      <c r="J857" s="3" cm="1">
        <f t="array" ref="J85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57" s="25" t="str">
        <f>_xlfn.XLOOKUP(tblPayrollMaster[[#This Row],[Employee Position]],tblPositionandPayRate[Employee Position],tblPositionandPayRate[Overtime], " ")</f>
        <v xml:space="preserve"> </v>
      </c>
      <c r="L857" s="25">
        <f>_xlfn.XLOOKUP(tblPayrollMaster[[#This Row],[Employee Position]],tblPositionandPayRate[Employee Position],tblPositionandPayRate[Allowance 1],0)*tblPayrollMaster[[#This Row],[Pay Factor]]</f>
        <v>0</v>
      </c>
      <c r="M857" s="25">
        <f>_xlfn.XLOOKUP(tblPayrollMaster[[#This Row],[Employee Position]],tblPositionandPayRate[Employee Position],tblPositionandPayRate[Allowance 2],0)*tblPayrollMaster[[#This Row],[Pay Factor]]</f>
        <v>0</v>
      </c>
      <c r="N857" s="25">
        <f>_xlfn.XLOOKUP(tblPayrollMaster[[#This Row],[Employee Position]],tblPositionandPayRate[Employee Position],tblPositionandPayRate[Allowance 3],0)*tblPayrollMaster[[#This Row],[Pay Factor]]</f>
        <v>0</v>
      </c>
      <c r="O857" s="25">
        <f>_xlfn.XLOOKUP(tblPayrollMaster[[#This Row],[Employee Position]],tblPositionandPayRate[Employee Position],tblPositionandPayRate[Allowance 4],0)*tblPayrollMaster[[#This Row],[Pay Factor]]</f>
        <v>0</v>
      </c>
      <c r="P857" s="25">
        <f>_xlfn.XLOOKUP(tblPayrollMaster[[#This Row],[Employee Position]],tblPositionandPayRate[Employee Position],tblPositionandPayRate[Allowance 5],0)*tblPayrollMaster[[#This Row],[Pay Factor]]</f>
        <v>0</v>
      </c>
      <c r="Q857" s="25">
        <f>SUM(tblPayrollMaster[[#This Row],[Basic Pay]:[Allowance 5]])</f>
        <v>0</v>
      </c>
      <c r="R85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57" s="51" cm="1">
        <f t="array" ref="S8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57" s="3" cm="1">
        <f t="array" ref="T8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57" s="25">
        <f>_xlfn.LET(
_xlpm.tos, _xlfn.XLOOKUP(tblPayrollMaster[[#This Row],[Employee ID]], tblEmployee[Employee ID], tblEmployee[Type of Service], ""),
IF(_xlpm.tos="Contract of Service", 8.25, 0)
)</f>
        <v>0</v>
      </c>
      <c r="V857" s="25">
        <f>tblPayrollMaster[[#This Row],[Basic Earnings]]-tblPayrollMaster[[#This Row],[Tax]]-tblPayrollMaster[[#This Row],[NIS - Employee]]-tblPayrollMaster[[#This Row],[Health Surcharge]]</f>
        <v>0</v>
      </c>
      <c r="W857" s="25">
        <f>tblPayrollMaster[[#This Row],[Net Pay]]</f>
        <v>0</v>
      </c>
      <c r="X857" s="25"/>
    </row>
    <row r="858" spans="1:24" x14ac:dyDescent="0.25">
      <c r="A858" s="24"/>
      <c r="B858" s="24" t="str">
        <f>_xlfn.XLOOKUP(tblPayrollMaster[[#This Row],[Employee ID]],tblEmployee[Employee ID],tblEmployee[Employee Name],"")</f>
        <v/>
      </c>
      <c r="C858" s="24" t="str">
        <f>_xlfn.XLOOKUP(tblPayrollMaster[[#This Row],[Employee ID]],tblEmployee[Employee ID],tblEmployee[Employee Position],"")</f>
        <v/>
      </c>
      <c r="D858" s="24" t="str">
        <f>_xlfn.XLOOKUP(tblPayrollMaster[[#This Row],[Employee ID]], tblEmployee[Employee ID], tblEmployee[Pay Status], "Pay")</f>
        <v>Pay</v>
      </c>
      <c r="E858" s="24" t="str">
        <f>_xlfn.XLOOKUP(tblPayrollMaster[[#This Row],[Employee ID]], tblEmployee[Employee ID], tblEmployee[Payable Flag], "Y")</f>
        <v>Y</v>
      </c>
      <c r="F858" s="45">
        <f>IF(tblPayrollMaster[[#This Row],[Payable Flag]]="N",0,_xlfn.XLOOKUP(tblPayrollMaster[[#This Row],[Employee ID]],tblEmployee[Employee ID],tblEmployee[Pay Factor],1))</f>
        <v>1</v>
      </c>
      <c r="G858" s="26" t="str" cm="1">
        <f t="array" ref="G858">IF(tblPayrollMaster[[#This Row],[Employee ID]]="","",_xlfn.XLOOKUP(selPayPeriodID,tblPayCalendar[PayPeriodID],tblPayCalendar[PeriodStart],""))</f>
        <v/>
      </c>
      <c r="H858" s="26" t="str" cm="1">
        <f t="array" ref="H858">IF(tblPayrollMaster[[#This Row],[Employee ID]]="","",_xlfn.XLOOKUP(selPayPeriodID,tblPayCalendar[PayPeriodID],tblPayCalendar[PeriodEnd],""))</f>
        <v/>
      </c>
      <c r="I858" s="24" t="e" cm="1" vm="1">
        <f t="array" aca="1" ref="I858" ca="1">Table18[Employer Name]</f>
        <v>#VALUE!</v>
      </c>
      <c r="J858" s="3" cm="1">
        <f t="array" ref="J85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58" s="25" t="str">
        <f>_xlfn.XLOOKUP(tblPayrollMaster[[#This Row],[Employee Position]],tblPositionandPayRate[Employee Position],tblPositionandPayRate[Overtime], " ")</f>
        <v xml:space="preserve"> </v>
      </c>
      <c r="L858" s="25">
        <f>_xlfn.XLOOKUP(tblPayrollMaster[[#This Row],[Employee Position]],tblPositionandPayRate[Employee Position],tblPositionandPayRate[Allowance 1],0)*tblPayrollMaster[[#This Row],[Pay Factor]]</f>
        <v>0</v>
      </c>
      <c r="M858" s="25">
        <f>_xlfn.XLOOKUP(tblPayrollMaster[[#This Row],[Employee Position]],tblPositionandPayRate[Employee Position],tblPositionandPayRate[Allowance 2],0)*tblPayrollMaster[[#This Row],[Pay Factor]]</f>
        <v>0</v>
      </c>
      <c r="N858" s="25">
        <f>_xlfn.XLOOKUP(tblPayrollMaster[[#This Row],[Employee Position]],tblPositionandPayRate[Employee Position],tblPositionandPayRate[Allowance 3],0)*tblPayrollMaster[[#This Row],[Pay Factor]]</f>
        <v>0</v>
      </c>
      <c r="O858" s="25">
        <f>_xlfn.XLOOKUP(tblPayrollMaster[[#This Row],[Employee Position]],tblPositionandPayRate[Employee Position],tblPositionandPayRate[Allowance 4],0)*tblPayrollMaster[[#This Row],[Pay Factor]]</f>
        <v>0</v>
      </c>
      <c r="P858" s="25">
        <f>_xlfn.XLOOKUP(tblPayrollMaster[[#This Row],[Employee Position]],tblPositionandPayRate[Employee Position],tblPositionandPayRate[Allowance 5],0)*tblPayrollMaster[[#This Row],[Pay Factor]]</f>
        <v>0</v>
      </c>
      <c r="Q858" s="25">
        <f>SUM(tblPayrollMaster[[#This Row],[Basic Pay]:[Allowance 5]])</f>
        <v>0</v>
      </c>
      <c r="R85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58" s="51" cm="1">
        <f t="array" ref="S8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58" s="3" cm="1">
        <f t="array" ref="T8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58" s="25">
        <f>_xlfn.LET(
_xlpm.tos, _xlfn.XLOOKUP(tblPayrollMaster[[#This Row],[Employee ID]], tblEmployee[Employee ID], tblEmployee[Type of Service], ""),
IF(_xlpm.tos="Contract of Service", 8.25, 0)
)</f>
        <v>0</v>
      </c>
      <c r="V858" s="25">
        <f>tblPayrollMaster[[#This Row],[Basic Earnings]]-tblPayrollMaster[[#This Row],[Tax]]-tblPayrollMaster[[#This Row],[NIS - Employee]]-tblPayrollMaster[[#This Row],[Health Surcharge]]</f>
        <v>0</v>
      </c>
      <c r="W858" s="25">
        <f>tblPayrollMaster[[#This Row],[Net Pay]]</f>
        <v>0</v>
      </c>
      <c r="X858" s="25"/>
    </row>
    <row r="859" spans="1:24" x14ac:dyDescent="0.25">
      <c r="A859" s="24"/>
      <c r="B859" s="24" t="str">
        <f>_xlfn.XLOOKUP(tblPayrollMaster[[#This Row],[Employee ID]],tblEmployee[Employee ID],tblEmployee[Employee Name],"")</f>
        <v/>
      </c>
      <c r="C859" s="24" t="str">
        <f>_xlfn.XLOOKUP(tblPayrollMaster[[#This Row],[Employee ID]],tblEmployee[Employee ID],tblEmployee[Employee Position],"")</f>
        <v/>
      </c>
      <c r="D859" s="24" t="str">
        <f>_xlfn.XLOOKUP(tblPayrollMaster[[#This Row],[Employee ID]], tblEmployee[Employee ID], tblEmployee[Pay Status], "Pay")</f>
        <v>Pay</v>
      </c>
      <c r="E859" s="24" t="str">
        <f>_xlfn.XLOOKUP(tblPayrollMaster[[#This Row],[Employee ID]], tblEmployee[Employee ID], tblEmployee[Payable Flag], "Y")</f>
        <v>Y</v>
      </c>
      <c r="F859" s="45">
        <f>IF(tblPayrollMaster[[#This Row],[Payable Flag]]="N",0,_xlfn.XLOOKUP(tblPayrollMaster[[#This Row],[Employee ID]],tblEmployee[Employee ID],tblEmployee[Pay Factor],1))</f>
        <v>1</v>
      </c>
      <c r="G859" s="26" t="str" cm="1">
        <f t="array" ref="G859">IF(tblPayrollMaster[[#This Row],[Employee ID]]="","",_xlfn.XLOOKUP(selPayPeriodID,tblPayCalendar[PayPeriodID],tblPayCalendar[PeriodStart],""))</f>
        <v/>
      </c>
      <c r="H859" s="26" t="str" cm="1">
        <f t="array" ref="H859">IF(tblPayrollMaster[[#This Row],[Employee ID]]="","",_xlfn.XLOOKUP(selPayPeriodID,tblPayCalendar[PayPeriodID],tblPayCalendar[PeriodEnd],""))</f>
        <v/>
      </c>
      <c r="I859" s="24" t="e" cm="1" vm="1">
        <f t="array" aca="1" ref="I859" ca="1">Table18[Employer Name]</f>
        <v>#VALUE!</v>
      </c>
      <c r="J859" s="3" cm="1">
        <f t="array" ref="J85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59" s="25" t="str">
        <f>_xlfn.XLOOKUP(tblPayrollMaster[[#This Row],[Employee Position]],tblPositionandPayRate[Employee Position],tblPositionandPayRate[Overtime], " ")</f>
        <v xml:space="preserve"> </v>
      </c>
      <c r="L859" s="25">
        <f>_xlfn.XLOOKUP(tblPayrollMaster[[#This Row],[Employee Position]],tblPositionandPayRate[Employee Position],tblPositionandPayRate[Allowance 1],0)*tblPayrollMaster[[#This Row],[Pay Factor]]</f>
        <v>0</v>
      </c>
      <c r="M859" s="25">
        <f>_xlfn.XLOOKUP(tblPayrollMaster[[#This Row],[Employee Position]],tblPositionandPayRate[Employee Position],tblPositionandPayRate[Allowance 2],0)*tblPayrollMaster[[#This Row],[Pay Factor]]</f>
        <v>0</v>
      </c>
      <c r="N859" s="25">
        <f>_xlfn.XLOOKUP(tblPayrollMaster[[#This Row],[Employee Position]],tblPositionandPayRate[Employee Position],tblPositionandPayRate[Allowance 3],0)*tblPayrollMaster[[#This Row],[Pay Factor]]</f>
        <v>0</v>
      </c>
      <c r="O859" s="25">
        <f>_xlfn.XLOOKUP(tblPayrollMaster[[#This Row],[Employee Position]],tblPositionandPayRate[Employee Position],tblPositionandPayRate[Allowance 4],0)*tblPayrollMaster[[#This Row],[Pay Factor]]</f>
        <v>0</v>
      </c>
      <c r="P859" s="25">
        <f>_xlfn.XLOOKUP(tblPayrollMaster[[#This Row],[Employee Position]],tblPositionandPayRate[Employee Position],tblPositionandPayRate[Allowance 5],0)*tblPayrollMaster[[#This Row],[Pay Factor]]</f>
        <v>0</v>
      </c>
      <c r="Q859" s="25">
        <f>SUM(tblPayrollMaster[[#This Row],[Basic Pay]:[Allowance 5]])</f>
        <v>0</v>
      </c>
      <c r="R85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59" s="51" cm="1">
        <f t="array" ref="S8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59" s="3" cm="1">
        <f t="array" ref="T8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59" s="25">
        <f>_xlfn.LET(
_xlpm.tos, _xlfn.XLOOKUP(tblPayrollMaster[[#This Row],[Employee ID]], tblEmployee[Employee ID], tblEmployee[Type of Service], ""),
IF(_xlpm.tos="Contract of Service", 8.25, 0)
)</f>
        <v>0</v>
      </c>
      <c r="V859" s="25">
        <f>tblPayrollMaster[[#This Row],[Basic Earnings]]-tblPayrollMaster[[#This Row],[Tax]]-tblPayrollMaster[[#This Row],[NIS - Employee]]-tblPayrollMaster[[#This Row],[Health Surcharge]]</f>
        <v>0</v>
      </c>
      <c r="W859" s="25">
        <f>tblPayrollMaster[[#This Row],[Net Pay]]</f>
        <v>0</v>
      </c>
      <c r="X859" s="25"/>
    </row>
    <row r="860" spans="1:24" x14ac:dyDescent="0.25">
      <c r="A860" s="24"/>
      <c r="B860" s="24" t="str">
        <f>_xlfn.XLOOKUP(tblPayrollMaster[[#This Row],[Employee ID]],tblEmployee[Employee ID],tblEmployee[Employee Name],"")</f>
        <v/>
      </c>
      <c r="C860" s="24" t="str">
        <f>_xlfn.XLOOKUP(tblPayrollMaster[[#This Row],[Employee ID]],tblEmployee[Employee ID],tblEmployee[Employee Position],"")</f>
        <v/>
      </c>
      <c r="D860" s="24" t="str">
        <f>_xlfn.XLOOKUP(tblPayrollMaster[[#This Row],[Employee ID]], tblEmployee[Employee ID], tblEmployee[Pay Status], "Pay")</f>
        <v>Pay</v>
      </c>
      <c r="E860" s="24" t="str">
        <f>_xlfn.XLOOKUP(tblPayrollMaster[[#This Row],[Employee ID]], tblEmployee[Employee ID], tblEmployee[Payable Flag], "Y")</f>
        <v>Y</v>
      </c>
      <c r="F860" s="45">
        <f>IF(tblPayrollMaster[[#This Row],[Payable Flag]]="N",0,_xlfn.XLOOKUP(tblPayrollMaster[[#This Row],[Employee ID]],tblEmployee[Employee ID],tblEmployee[Pay Factor],1))</f>
        <v>1</v>
      </c>
      <c r="G860" s="26" t="str" cm="1">
        <f t="array" ref="G860">IF(tblPayrollMaster[[#This Row],[Employee ID]]="","",_xlfn.XLOOKUP(selPayPeriodID,tblPayCalendar[PayPeriodID],tblPayCalendar[PeriodStart],""))</f>
        <v/>
      </c>
      <c r="H860" s="26" t="str" cm="1">
        <f t="array" ref="H860">IF(tblPayrollMaster[[#This Row],[Employee ID]]="","",_xlfn.XLOOKUP(selPayPeriodID,tblPayCalendar[PayPeriodID],tblPayCalendar[PeriodEnd],""))</f>
        <v/>
      </c>
      <c r="I860" s="24" t="e" cm="1" vm="1">
        <f t="array" aca="1" ref="I860" ca="1">Table18[Employer Name]</f>
        <v>#VALUE!</v>
      </c>
      <c r="J860" s="3" cm="1">
        <f t="array" ref="J86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60" s="25" t="str">
        <f>_xlfn.XLOOKUP(tblPayrollMaster[[#This Row],[Employee Position]],tblPositionandPayRate[Employee Position],tblPositionandPayRate[Overtime], " ")</f>
        <v xml:space="preserve"> </v>
      </c>
      <c r="L860" s="25">
        <f>_xlfn.XLOOKUP(tblPayrollMaster[[#This Row],[Employee Position]],tblPositionandPayRate[Employee Position],tblPositionandPayRate[Allowance 1],0)*tblPayrollMaster[[#This Row],[Pay Factor]]</f>
        <v>0</v>
      </c>
      <c r="M860" s="25">
        <f>_xlfn.XLOOKUP(tblPayrollMaster[[#This Row],[Employee Position]],tblPositionandPayRate[Employee Position],tblPositionandPayRate[Allowance 2],0)*tblPayrollMaster[[#This Row],[Pay Factor]]</f>
        <v>0</v>
      </c>
      <c r="N860" s="25">
        <f>_xlfn.XLOOKUP(tblPayrollMaster[[#This Row],[Employee Position]],tblPositionandPayRate[Employee Position],tblPositionandPayRate[Allowance 3],0)*tblPayrollMaster[[#This Row],[Pay Factor]]</f>
        <v>0</v>
      </c>
      <c r="O860" s="25">
        <f>_xlfn.XLOOKUP(tblPayrollMaster[[#This Row],[Employee Position]],tblPositionandPayRate[Employee Position],tblPositionandPayRate[Allowance 4],0)*tblPayrollMaster[[#This Row],[Pay Factor]]</f>
        <v>0</v>
      </c>
      <c r="P860" s="25">
        <f>_xlfn.XLOOKUP(tblPayrollMaster[[#This Row],[Employee Position]],tblPositionandPayRate[Employee Position],tblPositionandPayRate[Allowance 5],0)*tblPayrollMaster[[#This Row],[Pay Factor]]</f>
        <v>0</v>
      </c>
      <c r="Q860" s="25">
        <f>SUM(tblPayrollMaster[[#This Row],[Basic Pay]:[Allowance 5]])</f>
        <v>0</v>
      </c>
      <c r="R86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60" s="51" cm="1">
        <f t="array" ref="S8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60" s="3" cm="1">
        <f t="array" ref="T8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60" s="25">
        <f>_xlfn.LET(
_xlpm.tos, _xlfn.XLOOKUP(tblPayrollMaster[[#This Row],[Employee ID]], tblEmployee[Employee ID], tblEmployee[Type of Service], ""),
IF(_xlpm.tos="Contract of Service", 8.25, 0)
)</f>
        <v>0</v>
      </c>
      <c r="V860" s="25">
        <f>tblPayrollMaster[[#This Row],[Basic Earnings]]-tblPayrollMaster[[#This Row],[Tax]]-tblPayrollMaster[[#This Row],[NIS - Employee]]-tblPayrollMaster[[#This Row],[Health Surcharge]]</f>
        <v>0</v>
      </c>
      <c r="W860" s="25">
        <f>tblPayrollMaster[[#This Row],[Net Pay]]</f>
        <v>0</v>
      </c>
      <c r="X860" s="25"/>
    </row>
    <row r="861" spans="1:24" x14ac:dyDescent="0.25">
      <c r="A861" s="24"/>
      <c r="B861" s="24" t="str">
        <f>_xlfn.XLOOKUP(tblPayrollMaster[[#This Row],[Employee ID]],tblEmployee[Employee ID],tblEmployee[Employee Name],"")</f>
        <v/>
      </c>
      <c r="C861" s="24" t="str">
        <f>_xlfn.XLOOKUP(tblPayrollMaster[[#This Row],[Employee ID]],tblEmployee[Employee ID],tblEmployee[Employee Position],"")</f>
        <v/>
      </c>
      <c r="D861" s="24" t="str">
        <f>_xlfn.XLOOKUP(tblPayrollMaster[[#This Row],[Employee ID]], tblEmployee[Employee ID], tblEmployee[Pay Status], "Pay")</f>
        <v>Pay</v>
      </c>
      <c r="E861" s="24" t="str">
        <f>_xlfn.XLOOKUP(tblPayrollMaster[[#This Row],[Employee ID]], tblEmployee[Employee ID], tblEmployee[Payable Flag], "Y")</f>
        <v>Y</v>
      </c>
      <c r="F861" s="45">
        <f>IF(tblPayrollMaster[[#This Row],[Payable Flag]]="N",0,_xlfn.XLOOKUP(tblPayrollMaster[[#This Row],[Employee ID]],tblEmployee[Employee ID],tblEmployee[Pay Factor],1))</f>
        <v>1</v>
      </c>
      <c r="G861" s="26" t="str" cm="1">
        <f t="array" ref="G861">IF(tblPayrollMaster[[#This Row],[Employee ID]]="","",_xlfn.XLOOKUP(selPayPeriodID,tblPayCalendar[PayPeriodID],tblPayCalendar[PeriodStart],""))</f>
        <v/>
      </c>
      <c r="H861" s="26" t="str" cm="1">
        <f t="array" ref="H861">IF(tblPayrollMaster[[#This Row],[Employee ID]]="","",_xlfn.XLOOKUP(selPayPeriodID,tblPayCalendar[PayPeriodID],tblPayCalendar[PeriodEnd],""))</f>
        <v/>
      </c>
      <c r="I861" s="24" t="e" cm="1" vm="1">
        <f t="array" aca="1" ref="I861" ca="1">Table18[Employer Name]</f>
        <v>#VALUE!</v>
      </c>
      <c r="J861" s="3" cm="1">
        <f t="array" ref="J86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61" s="25" t="str">
        <f>_xlfn.XLOOKUP(tblPayrollMaster[[#This Row],[Employee Position]],tblPositionandPayRate[Employee Position],tblPositionandPayRate[Overtime], " ")</f>
        <v xml:space="preserve"> </v>
      </c>
      <c r="L861" s="25">
        <f>_xlfn.XLOOKUP(tblPayrollMaster[[#This Row],[Employee Position]],tblPositionandPayRate[Employee Position],tblPositionandPayRate[Allowance 1],0)*tblPayrollMaster[[#This Row],[Pay Factor]]</f>
        <v>0</v>
      </c>
      <c r="M861" s="25">
        <f>_xlfn.XLOOKUP(tblPayrollMaster[[#This Row],[Employee Position]],tblPositionandPayRate[Employee Position],tblPositionandPayRate[Allowance 2],0)*tblPayrollMaster[[#This Row],[Pay Factor]]</f>
        <v>0</v>
      </c>
      <c r="N861" s="25">
        <f>_xlfn.XLOOKUP(tblPayrollMaster[[#This Row],[Employee Position]],tblPositionandPayRate[Employee Position],tblPositionandPayRate[Allowance 3],0)*tblPayrollMaster[[#This Row],[Pay Factor]]</f>
        <v>0</v>
      </c>
      <c r="O861" s="25">
        <f>_xlfn.XLOOKUP(tblPayrollMaster[[#This Row],[Employee Position]],tblPositionandPayRate[Employee Position],tblPositionandPayRate[Allowance 4],0)*tblPayrollMaster[[#This Row],[Pay Factor]]</f>
        <v>0</v>
      </c>
      <c r="P861" s="25">
        <f>_xlfn.XLOOKUP(tblPayrollMaster[[#This Row],[Employee Position]],tblPositionandPayRate[Employee Position],tblPositionandPayRate[Allowance 5],0)*tblPayrollMaster[[#This Row],[Pay Factor]]</f>
        <v>0</v>
      </c>
      <c r="Q861" s="25">
        <f>SUM(tblPayrollMaster[[#This Row],[Basic Pay]:[Allowance 5]])</f>
        <v>0</v>
      </c>
      <c r="R86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61" s="51" cm="1">
        <f t="array" ref="S8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61" s="3" cm="1">
        <f t="array" ref="T8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61" s="25">
        <f>_xlfn.LET(
_xlpm.tos, _xlfn.XLOOKUP(tblPayrollMaster[[#This Row],[Employee ID]], tblEmployee[Employee ID], tblEmployee[Type of Service], ""),
IF(_xlpm.tos="Contract of Service", 8.25, 0)
)</f>
        <v>0</v>
      </c>
      <c r="V861" s="25">
        <f>tblPayrollMaster[[#This Row],[Basic Earnings]]-tblPayrollMaster[[#This Row],[Tax]]-tblPayrollMaster[[#This Row],[NIS - Employee]]-tblPayrollMaster[[#This Row],[Health Surcharge]]</f>
        <v>0</v>
      </c>
      <c r="W861" s="25">
        <f>tblPayrollMaster[[#This Row],[Net Pay]]</f>
        <v>0</v>
      </c>
      <c r="X861" s="25"/>
    </row>
    <row r="862" spans="1:24" x14ac:dyDescent="0.25">
      <c r="A862" s="24"/>
      <c r="B862" s="24" t="str">
        <f>_xlfn.XLOOKUP(tblPayrollMaster[[#This Row],[Employee ID]],tblEmployee[Employee ID],tblEmployee[Employee Name],"")</f>
        <v/>
      </c>
      <c r="C862" s="24" t="str">
        <f>_xlfn.XLOOKUP(tblPayrollMaster[[#This Row],[Employee ID]],tblEmployee[Employee ID],tblEmployee[Employee Position],"")</f>
        <v/>
      </c>
      <c r="D862" s="24" t="str">
        <f>_xlfn.XLOOKUP(tblPayrollMaster[[#This Row],[Employee ID]], tblEmployee[Employee ID], tblEmployee[Pay Status], "Pay")</f>
        <v>Pay</v>
      </c>
      <c r="E862" s="24" t="str">
        <f>_xlfn.XLOOKUP(tblPayrollMaster[[#This Row],[Employee ID]], tblEmployee[Employee ID], tblEmployee[Payable Flag], "Y")</f>
        <v>Y</v>
      </c>
      <c r="F862" s="45">
        <f>IF(tblPayrollMaster[[#This Row],[Payable Flag]]="N",0,_xlfn.XLOOKUP(tblPayrollMaster[[#This Row],[Employee ID]],tblEmployee[Employee ID],tblEmployee[Pay Factor],1))</f>
        <v>1</v>
      </c>
      <c r="G862" s="26" t="str" cm="1">
        <f t="array" ref="G862">IF(tblPayrollMaster[[#This Row],[Employee ID]]="","",_xlfn.XLOOKUP(selPayPeriodID,tblPayCalendar[PayPeriodID],tblPayCalendar[PeriodStart],""))</f>
        <v/>
      </c>
      <c r="H862" s="26" t="str" cm="1">
        <f t="array" ref="H862">IF(tblPayrollMaster[[#This Row],[Employee ID]]="","",_xlfn.XLOOKUP(selPayPeriodID,tblPayCalendar[PayPeriodID],tblPayCalendar[PeriodEnd],""))</f>
        <v/>
      </c>
      <c r="I862" s="24" t="e" cm="1" vm="1">
        <f t="array" aca="1" ref="I862" ca="1">Table18[Employer Name]</f>
        <v>#VALUE!</v>
      </c>
      <c r="J862" s="3" cm="1">
        <f t="array" ref="J86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62" s="25" t="str">
        <f>_xlfn.XLOOKUP(tblPayrollMaster[[#This Row],[Employee Position]],tblPositionandPayRate[Employee Position],tblPositionandPayRate[Overtime], " ")</f>
        <v xml:space="preserve"> </v>
      </c>
      <c r="L862" s="25">
        <f>_xlfn.XLOOKUP(tblPayrollMaster[[#This Row],[Employee Position]],tblPositionandPayRate[Employee Position],tblPositionandPayRate[Allowance 1],0)*tblPayrollMaster[[#This Row],[Pay Factor]]</f>
        <v>0</v>
      </c>
      <c r="M862" s="25">
        <f>_xlfn.XLOOKUP(tblPayrollMaster[[#This Row],[Employee Position]],tblPositionandPayRate[Employee Position],tblPositionandPayRate[Allowance 2],0)*tblPayrollMaster[[#This Row],[Pay Factor]]</f>
        <v>0</v>
      </c>
      <c r="N862" s="25">
        <f>_xlfn.XLOOKUP(tblPayrollMaster[[#This Row],[Employee Position]],tblPositionandPayRate[Employee Position],tblPositionandPayRate[Allowance 3],0)*tblPayrollMaster[[#This Row],[Pay Factor]]</f>
        <v>0</v>
      </c>
      <c r="O862" s="25">
        <f>_xlfn.XLOOKUP(tblPayrollMaster[[#This Row],[Employee Position]],tblPositionandPayRate[Employee Position],tblPositionandPayRate[Allowance 4],0)*tblPayrollMaster[[#This Row],[Pay Factor]]</f>
        <v>0</v>
      </c>
      <c r="P862" s="25">
        <f>_xlfn.XLOOKUP(tblPayrollMaster[[#This Row],[Employee Position]],tblPositionandPayRate[Employee Position],tblPositionandPayRate[Allowance 5],0)*tblPayrollMaster[[#This Row],[Pay Factor]]</f>
        <v>0</v>
      </c>
      <c r="Q862" s="25">
        <f>SUM(tblPayrollMaster[[#This Row],[Basic Pay]:[Allowance 5]])</f>
        <v>0</v>
      </c>
      <c r="R86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62" s="51" cm="1">
        <f t="array" ref="S8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62" s="3" cm="1">
        <f t="array" ref="T8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62" s="25">
        <f>_xlfn.LET(
_xlpm.tos, _xlfn.XLOOKUP(tblPayrollMaster[[#This Row],[Employee ID]], tblEmployee[Employee ID], tblEmployee[Type of Service], ""),
IF(_xlpm.tos="Contract of Service", 8.25, 0)
)</f>
        <v>0</v>
      </c>
      <c r="V862" s="25">
        <f>tblPayrollMaster[[#This Row],[Basic Earnings]]-tblPayrollMaster[[#This Row],[Tax]]-tblPayrollMaster[[#This Row],[NIS - Employee]]-tblPayrollMaster[[#This Row],[Health Surcharge]]</f>
        <v>0</v>
      </c>
      <c r="W862" s="25">
        <f>tblPayrollMaster[[#This Row],[Net Pay]]</f>
        <v>0</v>
      </c>
      <c r="X862" s="25"/>
    </row>
    <row r="863" spans="1:24" x14ac:dyDescent="0.25">
      <c r="A863" s="24"/>
      <c r="B863" s="24" t="str">
        <f>_xlfn.XLOOKUP(tblPayrollMaster[[#This Row],[Employee ID]],tblEmployee[Employee ID],tblEmployee[Employee Name],"")</f>
        <v/>
      </c>
      <c r="C863" s="24" t="str">
        <f>_xlfn.XLOOKUP(tblPayrollMaster[[#This Row],[Employee ID]],tblEmployee[Employee ID],tblEmployee[Employee Position],"")</f>
        <v/>
      </c>
      <c r="D863" s="24" t="str">
        <f>_xlfn.XLOOKUP(tblPayrollMaster[[#This Row],[Employee ID]], tblEmployee[Employee ID], tblEmployee[Pay Status], "Pay")</f>
        <v>Pay</v>
      </c>
      <c r="E863" s="24" t="str">
        <f>_xlfn.XLOOKUP(tblPayrollMaster[[#This Row],[Employee ID]], tblEmployee[Employee ID], tblEmployee[Payable Flag], "Y")</f>
        <v>Y</v>
      </c>
      <c r="F863" s="45">
        <f>IF(tblPayrollMaster[[#This Row],[Payable Flag]]="N",0,_xlfn.XLOOKUP(tblPayrollMaster[[#This Row],[Employee ID]],tblEmployee[Employee ID],tblEmployee[Pay Factor],1))</f>
        <v>1</v>
      </c>
      <c r="G863" s="26" t="str" cm="1">
        <f t="array" ref="G863">IF(tblPayrollMaster[[#This Row],[Employee ID]]="","",_xlfn.XLOOKUP(selPayPeriodID,tblPayCalendar[PayPeriodID],tblPayCalendar[PeriodStart],""))</f>
        <v/>
      </c>
      <c r="H863" s="26" t="str" cm="1">
        <f t="array" ref="H863">IF(tblPayrollMaster[[#This Row],[Employee ID]]="","",_xlfn.XLOOKUP(selPayPeriodID,tblPayCalendar[PayPeriodID],tblPayCalendar[PeriodEnd],""))</f>
        <v/>
      </c>
      <c r="I863" s="24" t="e" cm="1" vm="1">
        <f t="array" aca="1" ref="I863" ca="1">Table18[Employer Name]</f>
        <v>#VALUE!</v>
      </c>
      <c r="J863" s="3" cm="1">
        <f t="array" ref="J86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63" s="25" t="str">
        <f>_xlfn.XLOOKUP(tblPayrollMaster[[#This Row],[Employee Position]],tblPositionandPayRate[Employee Position],tblPositionandPayRate[Overtime], " ")</f>
        <v xml:space="preserve"> </v>
      </c>
      <c r="L863" s="25">
        <f>_xlfn.XLOOKUP(tblPayrollMaster[[#This Row],[Employee Position]],tblPositionandPayRate[Employee Position],tblPositionandPayRate[Allowance 1],0)*tblPayrollMaster[[#This Row],[Pay Factor]]</f>
        <v>0</v>
      </c>
      <c r="M863" s="25">
        <f>_xlfn.XLOOKUP(tblPayrollMaster[[#This Row],[Employee Position]],tblPositionandPayRate[Employee Position],tblPositionandPayRate[Allowance 2],0)*tblPayrollMaster[[#This Row],[Pay Factor]]</f>
        <v>0</v>
      </c>
      <c r="N863" s="25">
        <f>_xlfn.XLOOKUP(tblPayrollMaster[[#This Row],[Employee Position]],tblPositionandPayRate[Employee Position],tblPositionandPayRate[Allowance 3],0)*tblPayrollMaster[[#This Row],[Pay Factor]]</f>
        <v>0</v>
      </c>
      <c r="O863" s="25">
        <f>_xlfn.XLOOKUP(tblPayrollMaster[[#This Row],[Employee Position]],tblPositionandPayRate[Employee Position],tblPositionandPayRate[Allowance 4],0)*tblPayrollMaster[[#This Row],[Pay Factor]]</f>
        <v>0</v>
      </c>
      <c r="P863" s="25">
        <f>_xlfn.XLOOKUP(tblPayrollMaster[[#This Row],[Employee Position]],tblPositionandPayRate[Employee Position],tblPositionandPayRate[Allowance 5],0)*tblPayrollMaster[[#This Row],[Pay Factor]]</f>
        <v>0</v>
      </c>
      <c r="Q863" s="25">
        <f>SUM(tblPayrollMaster[[#This Row],[Basic Pay]:[Allowance 5]])</f>
        <v>0</v>
      </c>
      <c r="R86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63" s="51" cm="1">
        <f t="array" ref="S8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63" s="3" cm="1">
        <f t="array" ref="T8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63" s="25">
        <f>_xlfn.LET(
_xlpm.tos, _xlfn.XLOOKUP(tblPayrollMaster[[#This Row],[Employee ID]], tblEmployee[Employee ID], tblEmployee[Type of Service], ""),
IF(_xlpm.tos="Contract of Service", 8.25, 0)
)</f>
        <v>0</v>
      </c>
      <c r="V863" s="25">
        <f>tblPayrollMaster[[#This Row],[Basic Earnings]]-tblPayrollMaster[[#This Row],[Tax]]-tblPayrollMaster[[#This Row],[NIS - Employee]]-tblPayrollMaster[[#This Row],[Health Surcharge]]</f>
        <v>0</v>
      </c>
      <c r="W863" s="25">
        <f>tblPayrollMaster[[#This Row],[Net Pay]]</f>
        <v>0</v>
      </c>
      <c r="X863" s="25"/>
    </row>
    <row r="864" spans="1:24" x14ac:dyDescent="0.25">
      <c r="A864" s="24"/>
      <c r="B864" s="24" t="str">
        <f>_xlfn.XLOOKUP(tblPayrollMaster[[#This Row],[Employee ID]],tblEmployee[Employee ID],tblEmployee[Employee Name],"")</f>
        <v/>
      </c>
      <c r="C864" s="24" t="str">
        <f>_xlfn.XLOOKUP(tblPayrollMaster[[#This Row],[Employee ID]],tblEmployee[Employee ID],tblEmployee[Employee Position],"")</f>
        <v/>
      </c>
      <c r="D864" s="24" t="str">
        <f>_xlfn.XLOOKUP(tblPayrollMaster[[#This Row],[Employee ID]], tblEmployee[Employee ID], tblEmployee[Pay Status], "Pay")</f>
        <v>Pay</v>
      </c>
      <c r="E864" s="24" t="str">
        <f>_xlfn.XLOOKUP(tblPayrollMaster[[#This Row],[Employee ID]], tblEmployee[Employee ID], tblEmployee[Payable Flag], "Y")</f>
        <v>Y</v>
      </c>
      <c r="F864" s="45">
        <f>IF(tblPayrollMaster[[#This Row],[Payable Flag]]="N",0,_xlfn.XLOOKUP(tblPayrollMaster[[#This Row],[Employee ID]],tblEmployee[Employee ID],tblEmployee[Pay Factor],1))</f>
        <v>1</v>
      </c>
      <c r="G864" s="26" t="str" cm="1">
        <f t="array" ref="G864">IF(tblPayrollMaster[[#This Row],[Employee ID]]="","",_xlfn.XLOOKUP(selPayPeriodID,tblPayCalendar[PayPeriodID],tblPayCalendar[PeriodStart],""))</f>
        <v/>
      </c>
      <c r="H864" s="26" t="str" cm="1">
        <f t="array" ref="H864">IF(tblPayrollMaster[[#This Row],[Employee ID]]="","",_xlfn.XLOOKUP(selPayPeriodID,tblPayCalendar[PayPeriodID],tblPayCalendar[PeriodEnd],""))</f>
        <v/>
      </c>
      <c r="I864" s="24" t="e" cm="1" vm="1">
        <f t="array" aca="1" ref="I864" ca="1">Table18[Employer Name]</f>
        <v>#VALUE!</v>
      </c>
      <c r="J864" s="3" cm="1">
        <f t="array" ref="J86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64" s="25" t="str">
        <f>_xlfn.XLOOKUP(tblPayrollMaster[[#This Row],[Employee Position]],tblPositionandPayRate[Employee Position],tblPositionandPayRate[Overtime], " ")</f>
        <v xml:space="preserve"> </v>
      </c>
      <c r="L864" s="25">
        <f>_xlfn.XLOOKUP(tblPayrollMaster[[#This Row],[Employee Position]],tblPositionandPayRate[Employee Position],tblPositionandPayRate[Allowance 1],0)*tblPayrollMaster[[#This Row],[Pay Factor]]</f>
        <v>0</v>
      </c>
      <c r="M864" s="25">
        <f>_xlfn.XLOOKUP(tblPayrollMaster[[#This Row],[Employee Position]],tblPositionandPayRate[Employee Position],tblPositionandPayRate[Allowance 2],0)*tblPayrollMaster[[#This Row],[Pay Factor]]</f>
        <v>0</v>
      </c>
      <c r="N864" s="25">
        <f>_xlfn.XLOOKUP(tblPayrollMaster[[#This Row],[Employee Position]],tblPositionandPayRate[Employee Position],tblPositionandPayRate[Allowance 3],0)*tblPayrollMaster[[#This Row],[Pay Factor]]</f>
        <v>0</v>
      </c>
      <c r="O864" s="25">
        <f>_xlfn.XLOOKUP(tblPayrollMaster[[#This Row],[Employee Position]],tblPositionandPayRate[Employee Position],tblPositionandPayRate[Allowance 4],0)*tblPayrollMaster[[#This Row],[Pay Factor]]</f>
        <v>0</v>
      </c>
      <c r="P864" s="25">
        <f>_xlfn.XLOOKUP(tblPayrollMaster[[#This Row],[Employee Position]],tblPositionandPayRate[Employee Position],tblPositionandPayRate[Allowance 5],0)*tblPayrollMaster[[#This Row],[Pay Factor]]</f>
        <v>0</v>
      </c>
      <c r="Q864" s="25">
        <f>SUM(tblPayrollMaster[[#This Row],[Basic Pay]:[Allowance 5]])</f>
        <v>0</v>
      </c>
      <c r="R86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64" s="51" cm="1">
        <f t="array" ref="S8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64" s="3" cm="1">
        <f t="array" ref="T8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64" s="25">
        <f>_xlfn.LET(
_xlpm.tos, _xlfn.XLOOKUP(tblPayrollMaster[[#This Row],[Employee ID]], tblEmployee[Employee ID], tblEmployee[Type of Service], ""),
IF(_xlpm.tos="Contract of Service", 8.25, 0)
)</f>
        <v>0</v>
      </c>
      <c r="V864" s="25">
        <f>tblPayrollMaster[[#This Row],[Basic Earnings]]-tblPayrollMaster[[#This Row],[Tax]]-tblPayrollMaster[[#This Row],[NIS - Employee]]-tblPayrollMaster[[#This Row],[Health Surcharge]]</f>
        <v>0</v>
      </c>
      <c r="W864" s="25">
        <f>tblPayrollMaster[[#This Row],[Net Pay]]</f>
        <v>0</v>
      </c>
      <c r="X864" s="25"/>
    </row>
    <row r="865" spans="1:24" x14ac:dyDescent="0.25">
      <c r="A865" s="24"/>
      <c r="B865" s="24" t="str">
        <f>_xlfn.XLOOKUP(tblPayrollMaster[[#This Row],[Employee ID]],tblEmployee[Employee ID],tblEmployee[Employee Name],"")</f>
        <v/>
      </c>
      <c r="C865" s="24" t="str">
        <f>_xlfn.XLOOKUP(tblPayrollMaster[[#This Row],[Employee ID]],tblEmployee[Employee ID],tblEmployee[Employee Position],"")</f>
        <v/>
      </c>
      <c r="D865" s="24" t="str">
        <f>_xlfn.XLOOKUP(tblPayrollMaster[[#This Row],[Employee ID]], tblEmployee[Employee ID], tblEmployee[Pay Status], "Pay")</f>
        <v>Pay</v>
      </c>
      <c r="E865" s="24" t="str">
        <f>_xlfn.XLOOKUP(tblPayrollMaster[[#This Row],[Employee ID]], tblEmployee[Employee ID], tblEmployee[Payable Flag], "Y")</f>
        <v>Y</v>
      </c>
      <c r="F865" s="45">
        <f>IF(tblPayrollMaster[[#This Row],[Payable Flag]]="N",0,_xlfn.XLOOKUP(tblPayrollMaster[[#This Row],[Employee ID]],tblEmployee[Employee ID],tblEmployee[Pay Factor],1))</f>
        <v>1</v>
      </c>
      <c r="G865" s="26" t="str" cm="1">
        <f t="array" ref="G865">IF(tblPayrollMaster[[#This Row],[Employee ID]]="","",_xlfn.XLOOKUP(selPayPeriodID,tblPayCalendar[PayPeriodID],tblPayCalendar[PeriodStart],""))</f>
        <v/>
      </c>
      <c r="H865" s="26" t="str" cm="1">
        <f t="array" ref="H865">IF(tblPayrollMaster[[#This Row],[Employee ID]]="","",_xlfn.XLOOKUP(selPayPeriodID,tblPayCalendar[PayPeriodID],tblPayCalendar[PeriodEnd],""))</f>
        <v/>
      </c>
      <c r="I865" s="24" t="e" cm="1" vm="1">
        <f t="array" aca="1" ref="I865" ca="1">Table18[Employer Name]</f>
        <v>#VALUE!</v>
      </c>
      <c r="J865" s="3" cm="1">
        <f t="array" ref="J86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65" s="25" t="str">
        <f>_xlfn.XLOOKUP(tblPayrollMaster[[#This Row],[Employee Position]],tblPositionandPayRate[Employee Position],tblPositionandPayRate[Overtime], " ")</f>
        <v xml:space="preserve"> </v>
      </c>
      <c r="L865" s="25">
        <f>_xlfn.XLOOKUP(tblPayrollMaster[[#This Row],[Employee Position]],tblPositionandPayRate[Employee Position],tblPositionandPayRate[Allowance 1],0)*tblPayrollMaster[[#This Row],[Pay Factor]]</f>
        <v>0</v>
      </c>
      <c r="M865" s="25">
        <f>_xlfn.XLOOKUP(tblPayrollMaster[[#This Row],[Employee Position]],tblPositionandPayRate[Employee Position],tblPositionandPayRate[Allowance 2],0)*tblPayrollMaster[[#This Row],[Pay Factor]]</f>
        <v>0</v>
      </c>
      <c r="N865" s="25">
        <f>_xlfn.XLOOKUP(tblPayrollMaster[[#This Row],[Employee Position]],tblPositionandPayRate[Employee Position],tblPositionandPayRate[Allowance 3],0)*tblPayrollMaster[[#This Row],[Pay Factor]]</f>
        <v>0</v>
      </c>
      <c r="O865" s="25">
        <f>_xlfn.XLOOKUP(tblPayrollMaster[[#This Row],[Employee Position]],tblPositionandPayRate[Employee Position],tblPositionandPayRate[Allowance 4],0)*tblPayrollMaster[[#This Row],[Pay Factor]]</f>
        <v>0</v>
      </c>
      <c r="P865" s="25">
        <f>_xlfn.XLOOKUP(tblPayrollMaster[[#This Row],[Employee Position]],tblPositionandPayRate[Employee Position],tblPositionandPayRate[Allowance 5],0)*tblPayrollMaster[[#This Row],[Pay Factor]]</f>
        <v>0</v>
      </c>
      <c r="Q865" s="25">
        <f>SUM(tblPayrollMaster[[#This Row],[Basic Pay]:[Allowance 5]])</f>
        <v>0</v>
      </c>
      <c r="R86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65" s="51" cm="1">
        <f t="array" ref="S8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65" s="3" cm="1">
        <f t="array" ref="T8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65" s="25">
        <f>_xlfn.LET(
_xlpm.tos, _xlfn.XLOOKUP(tblPayrollMaster[[#This Row],[Employee ID]], tblEmployee[Employee ID], tblEmployee[Type of Service], ""),
IF(_xlpm.tos="Contract of Service", 8.25, 0)
)</f>
        <v>0</v>
      </c>
      <c r="V865" s="25">
        <f>tblPayrollMaster[[#This Row],[Basic Earnings]]-tblPayrollMaster[[#This Row],[Tax]]-tblPayrollMaster[[#This Row],[NIS - Employee]]-tblPayrollMaster[[#This Row],[Health Surcharge]]</f>
        <v>0</v>
      </c>
      <c r="W865" s="25">
        <f>tblPayrollMaster[[#This Row],[Net Pay]]</f>
        <v>0</v>
      </c>
      <c r="X865" s="25"/>
    </row>
    <row r="866" spans="1:24" x14ac:dyDescent="0.25">
      <c r="A866" s="24"/>
      <c r="B866" s="24" t="str">
        <f>_xlfn.XLOOKUP(tblPayrollMaster[[#This Row],[Employee ID]],tblEmployee[Employee ID],tblEmployee[Employee Name],"")</f>
        <v/>
      </c>
      <c r="C866" s="24" t="str">
        <f>_xlfn.XLOOKUP(tblPayrollMaster[[#This Row],[Employee ID]],tblEmployee[Employee ID],tblEmployee[Employee Position],"")</f>
        <v/>
      </c>
      <c r="D866" s="24" t="str">
        <f>_xlfn.XLOOKUP(tblPayrollMaster[[#This Row],[Employee ID]], tblEmployee[Employee ID], tblEmployee[Pay Status], "Pay")</f>
        <v>Pay</v>
      </c>
      <c r="E866" s="24" t="str">
        <f>_xlfn.XLOOKUP(tblPayrollMaster[[#This Row],[Employee ID]], tblEmployee[Employee ID], tblEmployee[Payable Flag], "Y")</f>
        <v>Y</v>
      </c>
      <c r="F866" s="45">
        <f>IF(tblPayrollMaster[[#This Row],[Payable Flag]]="N",0,_xlfn.XLOOKUP(tblPayrollMaster[[#This Row],[Employee ID]],tblEmployee[Employee ID],tblEmployee[Pay Factor],1))</f>
        <v>1</v>
      </c>
      <c r="G866" s="26" t="str" cm="1">
        <f t="array" ref="G866">IF(tblPayrollMaster[[#This Row],[Employee ID]]="","",_xlfn.XLOOKUP(selPayPeriodID,tblPayCalendar[PayPeriodID],tblPayCalendar[PeriodStart],""))</f>
        <v/>
      </c>
      <c r="H866" s="26" t="str" cm="1">
        <f t="array" ref="H866">IF(tblPayrollMaster[[#This Row],[Employee ID]]="","",_xlfn.XLOOKUP(selPayPeriodID,tblPayCalendar[PayPeriodID],tblPayCalendar[PeriodEnd],""))</f>
        <v/>
      </c>
      <c r="I866" s="24" t="e" cm="1" vm="1">
        <f t="array" aca="1" ref="I866" ca="1">Table18[Employer Name]</f>
        <v>#VALUE!</v>
      </c>
      <c r="J866" s="3" cm="1">
        <f t="array" ref="J86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66" s="25" t="str">
        <f>_xlfn.XLOOKUP(tblPayrollMaster[[#This Row],[Employee Position]],tblPositionandPayRate[Employee Position],tblPositionandPayRate[Overtime], " ")</f>
        <v xml:space="preserve"> </v>
      </c>
      <c r="L866" s="25">
        <f>_xlfn.XLOOKUP(tblPayrollMaster[[#This Row],[Employee Position]],tblPositionandPayRate[Employee Position],tblPositionandPayRate[Allowance 1],0)*tblPayrollMaster[[#This Row],[Pay Factor]]</f>
        <v>0</v>
      </c>
      <c r="M866" s="25">
        <f>_xlfn.XLOOKUP(tblPayrollMaster[[#This Row],[Employee Position]],tblPositionandPayRate[Employee Position],tblPositionandPayRate[Allowance 2],0)*tblPayrollMaster[[#This Row],[Pay Factor]]</f>
        <v>0</v>
      </c>
      <c r="N866" s="25">
        <f>_xlfn.XLOOKUP(tblPayrollMaster[[#This Row],[Employee Position]],tblPositionandPayRate[Employee Position],tblPositionandPayRate[Allowance 3],0)*tblPayrollMaster[[#This Row],[Pay Factor]]</f>
        <v>0</v>
      </c>
      <c r="O866" s="25">
        <f>_xlfn.XLOOKUP(tblPayrollMaster[[#This Row],[Employee Position]],tblPositionandPayRate[Employee Position],tblPositionandPayRate[Allowance 4],0)*tblPayrollMaster[[#This Row],[Pay Factor]]</f>
        <v>0</v>
      </c>
      <c r="P866" s="25">
        <f>_xlfn.XLOOKUP(tblPayrollMaster[[#This Row],[Employee Position]],tblPositionandPayRate[Employee Position],tblPositionandPayRate[Allowance 5],0)*tblPayrollMaster[[#This Row],[Pay Factor]]</f>
        <v>0</v>
      </c>
      <c r="Q866" s="25">
        <f>SUM(tblPayrollMaster[[#This Row],[Basic Pay]:[Allowance 5]])</f>
        <v>0</v>
      </c>
      <c r="R86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66" s="51" cm="1">
        <f t="array" ref="S8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66" s="3" cm="1">
        <f t="array" ref="T8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66" s="25">
        <f>_xlfn.LET(
_xlpm.tos, _xlfn.XLOOKUP(tblPayrollMaster[[#This Row],[Employee ID]], tblEmployee[Employee ID], tblEmployee[Type of Service], ""),
IF(_xlpm.tos="Contract of Service", 8.25, 0)
)</f>
        <v>0</v>
      </c>
      <c r="V866" s="25">
        <f>tblPayrollMaster[[#This Row],[Basic Earnings]]-tblPayrollMaster[[#This Row],[Tax]]-tblPayrollMaster[[#This Row],[NIS - Employee]]-tblPayrollMaster[[#This Row],[Health Surcharge]]</f>
        <v>0</v>
      </c>
      <c r="W866" s="25">
        <f>tblPayrollMaster[[#This Row],[Net Pay]]</f>
        <v>0</v>
      </c>
      <c r="X866" s="25"/>
    </row>
    <row r="867" spans="1:24" x14ac:dyDescent="0.25">
      <c r="A867" s="24"/>
      <c r="B867" s="24" t="str">
        <f>_xlfn.XLOOKUP(tblPayrollMaster[[#This Row],[Employee ID]],tblEmployee[Employee ID],tblEmployee[Employee Name],"")</f>
        <v/>
      </c>
      <c r="C867" s="24" t="str">
        <f>_xlfn.XLOOKUP(tblPayrollMaster[[#This Row],[Employee ID]],tblEmployee[Employee ID],tblEmployee[Employee Position],"")</f>
        <v/>
      </c>
      <c r="D867" s="24" t="str">
        <f>_xlfn.XLOOKUP(tblPayrollMaster[[#This Row],[Employee ID]], tblEmployee[Employee ID], tblEmployee[Pay Status], "Pay")</f>
        <v>Pay</v>
      </c>
      <c r="E867" s="24" t="str">
        <f>_xlfn.XLOOKUP(tblPayrollMaster[[#This Row],[Employee ID]], tblEmployee[Employee ID], tblEmployee[Payable Flag], "Y")</f>
        <v>Y</v>
      </c>
      <c r="F867" s="45">
        <f>IF(tblPayrollMaster[[#This Row],[Payable Flag]]="N",0,_xlfn.XLOOKUP(tblPayrollMaster[[#This Row],[Employee ID]],tblEmployee[Employee ID],tblEmployee[Pay Factor],1))</f>
        <v>1</v>
      </c>
      <c r="G867" s="26" t="str" cm="1">
        <f t="array" ref="G867">IF(tblPayrollMaster[[#This Row],[Employee ID]]="","",_xlfn.XLOOKUP(selPayPeriodID,tblPayCalendar[PayPeriodID],tblPayCalendar[PeriodStart],""))</f>
        <v/>
      </c>
      <c r="H867" s="26" t="str" cm="1">
        <f t="array" ref="H867">IF(tblPayrollMaster[[#This Row],[Employee ID]]="","",_xlfn.XLOOKUP(selPayPeriodID,tblPayCalendar[PayPeriodID],tblPayCalendar[PeriodEnd],""))</f>
        <v/>
      </c>
      <c r="I867" s="24" t="e" cm="1" vm="1">
        <f t="array" aca="1" ref="I867" ca="1">Table18[Employer Name]</f>
        <v>#VALUE!</v>
      </c>
      <c r="J867" s="3" cm="1">
        <f t="array" ref="J86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67" s="25" t="str">
        <f>_xlfn.XLOOKUP(tblPayrollMaster[[#This Row],[Employee Position]],tblPositionandPayRate[Employee Position],tblPositionandPayRate[Overtime], " ")</f>
        <v xml:space="preserve"> </v>
      </c>
      <c r="L867" s="25">
        <f>_xlfn.XLOOKUP(tblPayrollMaster[[#This Row],[Employee Position]],tblPositionandPayRate[Employee Position],tblPositionandPayRate[Allowance 1],0)*tblPayrollMaster[[#This Row],[Pay Factor]]</f>
        <v>0</v>
      </c>
      <c r="M867" s="25">
        <f>_xlfn.XLOOKUP(tblPayrollMaster[[#This Row],[Employee Position]],tblPositionandPayRate[Employee Position],tblPositionandPayRate[Allowance 2],0)*tblPayrollMaster[[#This Row],[Pay Factor]]</f>
        <v>0</v>
      </c>
      <c r="N867" s="25">
        <f>_xlfn.XLOOKUP(tblPayrollMaster[[#This Row],[Employee Position]],tblPositionandPayRate[Employee Position],tblPositionandPayRate[Allowance 3],0)*tblPayrollMaster[[#This Row],[Pay Factor]]</f>
        <v>0</v>
      </c>
      <c r="O867" s="25">
        <f>_xlfn.XLOOKUP(tblPayrollMaster[[#This Row],[Employee Position]],tblPositionandPayRate[Employee Position],tblPositionandPayRate[Allowance 4],0)*tblPayrollMaster[[#This Row],[Pay Factor]]</f>
        <v>0</v>
      </c>
      <c r="P867" s="25">
        <f>_xlfn.XLOOKUP(tblPayrollMaster[[#This Row],[Employee Position]],tblPositionandPayRate[Employee Position],tblPositionandPayRate[Allowance 5],0)*tblPayrollMaster[[#This Row],[Pay Factor]]</f>
        <v>0</v>
      </c>
      <c r="Q867" s="25">
        <f>SUM(tblPayrollMaster[[#This Row],[Basic Pay]:[Allowance 5]])</f>
        <v>0</v>
      </c>
      <c r="R86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67" s="51" cm="1">
        <f t="array" ref="S8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67" s="3" cm="1">
        <f t="array" ref="T8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67" s="25">
        <f>_xlfn.LET(
_xlpm.tos, _xlfn.XLOOKUP(tblPayrollMaster[[#This Row],[Employee ID]], tblEmployee[Employee ID], tblEmployee[Type of Service], ""),
IF(_xlpm.tos="Contract of Service", 8.25, 0)
)</f>
        <v>0</v>
      </c>
      <c r="V867" s="25">
        <f>tblPayrollMaster[[#This Row],[Basic Earnings]]-tblPayrollMaster[[#This Row],[Tax]]-tblPayrollMaster[[#This Row],[NIS - Employee]]-tblPayrollMaster[[#This Row],[Health Surcharge]]</f>
        <v>0</v>
      </c>
      <c r="W867" s="25">
        <f>tblPayrollMaster[[#This Row],[Net Pay]]</f>
        <v>0</v>
      </c>
      <c r="X867" s="25"/>
    </row>
    <row r="868" spans="1:24" x14ac:dyDescent="0.25">
      <c r="A868" s="24"/>
      <c r="B868" s="24" t="str">
        <f>_xlfn.XLOOKUP(tblPayrollMaster[[#This Row],[Employee ID]],tblEmployee[Employee ID],tblEmployee[Employee Name],"")</f>
        <v/>
      </c>
      <c r="C868" s="24" t="str">
        <f>_xlfn.XLOOKUP(tblPayrollMaster[[#This Row],[Employee ID]],tblEmployee[Employee ID],tblEmployee[Employee Position],"")</f>
        <v/>
      </c>
      <c r="D868" s="24" t="str">
        <f>_xlfn.XLOOKUP(tblPayrollMaster[[#This Row],[Employee ID]], tblEmployee[Employee ID], tblEmployee[Pay Status], "Pay")</f>
        <v>Pay</v>
      </c>
      <c r="E868" s="24" t="str">
        <f>_xlfn.XLOOKUP(tblPayrollMaster[[#This Row],[Employee ID]], tblEmployee[Employee ID], tblEmployee[Payable Flag], "Y")</f>
        <v>Y</v>
      </c>
      <c r="F868" s="45">
        <f>IF(tblPayrollMaster[[#This Row],[Payable Flag]]="N",0,_xlfn.XLOOKUP(tblPayrollMaster[[#This Row],[Employee ID]],tblEmployee[Employee ID],tblEmployee[Pay Factor],1))</f>
        <v>1</v>
      </c>
      <c r="G868" s="26" t="str" cm="1">
        <f t="array" ref="G868">IF(tblPayrollMaster[[#This Row],[Employee ID]]="","",_xlfn.XLOOKUP(selPayPeriodID,tblPayCalendar[PayPeriodID],tblPayCalendar[PeriodStart],""))</f>
        <v/>
      </c>
      <c r="H868" s="26" t="str" cm="1">
        <f t="array" ref="H868">IF(tblPayrollMaster[[#This Row],[Employee ID]]="","",_xlfn.XLOOKUP(selPayPeriodID,tblPayCalendar[PayPeriodID],tblPayCalendar[PeriodEnd],""))</f>
        <v/>
      </c>
      <c r="I868" s="24" t="e" cm="1" vm="1">
        <f t="array" aca="1" ref="I868" ca="1">Table18[Employer Name]</f>
        <v>#VALUE!</v>
      </c>
      <c r="J868" s="3" cm="1">
        <f t="array" ref="J86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68" s="25" t="str">
        <f>_xlfn.XLOOKUP(tblPayrollMaster[[#This Row],[Employee Position]],tblPositionandPayRate[Employee Position],tblPositionandPayRate[Overtime], " ")</f>
        <v xml:space="preserve"> </v>
      </c>
      <c r="L868" s="25">
        <f>_xlfn.XLOOKUP(tblPayrollMaster[[#This Row],[Employee Position]],tblPositionandPayRate[Employee Position],tblPositionandPayRate[Allowance 1],0)*tblPayrollMaster[[#This Row],[Pay Factor]]</f>
        <v>0</v>
      </c>
      <c r="M868" s="25">
        <f>_xlfn.XLOOKUP(tblPayrollMaster[[#This Row],[Employee Position]],tblPositionandPayRate[Employee Position],tblPositionandPayRate[Allowance 2],0)*tblPayrollMaster[[#This Row],[Pay Factor]]</f>
        <v>0</v>
      </c>
      <c r="N868" s="25">
        <f>_xlfn.XLOOKUP(tblPayrollMaster[[#This Row],[Employee Position]],tblPositionandPayRate[Employee Position],tblPositionandPayRate[Allowance 3],0)*tblPayrollMaster[[#This Row],[Pay Factor]]</f>
        <v>0</v>
      </c>
      <c r="O868" s="25">
        <f>_xlfn.XLOOKUP(tblPayrollMaster[[#This Row],[Employee Position]],tblPositionandPayRate[Employee Position],tblPositionandPayRate[Allowance 4],0)*tblPayrollMaster[[#This Row],[Pay Factor]]</f>
        <v>0</v>
      </c>
      <c r="P868" s="25">
        <f>_xlfn.XLOOKUP(tblPayrollMaster[[#This Row],[Employee Position]],tblPositionandPayRate[Employee Position],tblPositionandPayRate[Allowance 5],0)*tblPayrollMaster[[#This Row],[Pay Factor]]</f>
        <v>0</v>
      </c>
      <c r="Q868" s="25">
        <f>SUM(tblPayrollMaster[[#This Row],[Basic Pay]:[Allowance 5]])</f>
        <v>0</v>
      </c>
      <c r="R86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68" s="51" cm="1">
        <f t="array" ref="S8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68" s="3" cm="1">
        <f t="array" ref="T8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68" s="25">
        <f>_xlfn.LET(
_xlpm.tos, _xlfn.XLOOKUP(tblPayrollMaster[[#This Row],[Employee ID]], tblEmployee[Employee ID], tblEmployee[Type of Service], ""),
IF(_xlpm.tos="Contract of Service", 8.25, 0)
)</f>
        <v>0</v>
      </c>
      <c r="V868" s="25">
        <f>tblPayrollMaster[[#This Row],[Basic Earnings]]-tblPayrollMaster[[#This Row],[Tax]]-tblPayrollMaster[[#This Row],[NIS - Employee]]-tblPayrollMaster[[#This Row],[Health Surcharge]]</f>
        <v>0</v>
      </c>
      <c r="W868" s="25">
        <f>tblPayrollMaster[[#This Row],[Net Pay]]</f>
        <v>0</v>
      </c>
      <c r="X868" s="25"/>
    </row>
    <row r="869" spans="1:24" x14ac:dyDescent="0.25">
      <c r="A869" s="24"/>
      <c r="B869" s="24" t="str">
        <f>_xlfn.XLOOKUP(tblPayrollMaster[[#This Row],[Employee ID]],tblEmployee[Employee ID],tblEmployee[Employee Name],"")</f>
        <v/>
      </c>
      <c r="C869" s="24" t="str">
        <f>_xlfn.XLOOKUP(tblPayrollMaster[[#This Row],[Employee ID]],tblEmployee[Employee ID],tblEmployee[Employee Position],"")</f>
        <v/>
      </c>
      <c r="D869" s="24" t="str">
        <f>_xlfn.XLOOKUP(tblPayrollMaster[[#This Row],[Employee ID]], tblEmployee[Employee ID], tblEmployee[Pay Status], "Pay")</f>
        <v>Pay</v>
      </c>
      <c r="E869" s="24" t="str">
        <f>_xlfn.XLOOKUP(tblPayrollMaster[[#This Row],[Employee ID]], tblEmployee[Employee ID], tblEmployee[Payable Flag], "Y")</f>
        <v>Y</v>
      </c>
      <c r="F869" s="45">
        <f>IF(tblPayrollMaster[[#This Row],[Payable Flag]]="N",0,_xlfn.XLOOKUP(tblPayrollMaster[[#This Row],[Employee ID]],tblEmployee[Employee ID],tblEmployee[Pay Factor],1))</f>
        <v>1</v>
      </c>
      <c r="G869" s="26" t="str" cm="1">
        <f t="array" ref="G869">IF(tblPayrollMaster[[#This Row],[Employee ID]]="","",_xlfn.XLOOKUP(selPayPeriodID,tblPayCalendar[PayPeriodID],tblPayCalendar[PeriodStart],""))</f>
        <v/>
      </c>
      <c r="H869" s="26" t="str" cm="1">
        <f t="array" ref="H869">IF(tblPayrollMaster[[#This Row],[Employee ID]]="","",_xlfn.XLOOKUP(selPayPeriodID,tblPayCalendar[PayPeriodID],tblPayCalendar[PeriodEnd],""))</f>
        <v/>
      </c>
      <c r="I869" s="24" t="e" cm="1" vm="1">
        <f t="array" aca="1" ref="I869" ca="1">Table18[Employer Name]</f>
        <v>#VALUE!</v>
      </c>
      <c r="J869" s="3" cm="1">
        <f t="array" ref="J86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69" s="25" t="str">
        <f>_xlfn.XLOOKUP(tblPayrollMaster[[#This Row],[Employee Position]],tblPositionandPayRate[Employee Position],tblPositionandPayRate[Overtime], " ")</f>
        <v xml:space="preserve"> </v>
      </c>
      <c r="L869" s="25">
        <f>_xlfn.XLOOKUP(tblPayrollMaster[[#This Row],[Employee Position]],tblPositionandPayRate[Employee Position],tblPositionandPayRate[Allowance 1],0)*tblPayrollMaster[[#This Row],[Pay Factor]]</f>
        <v>0</v>
      </c>
      <c r="M869" s="25">
        <f>_xlfn.XLOOKUP(tblPayrollMaster[[#This Row],[Employee Position]],tblPositionandPayRate[Employee Position],tblPositionandPayRate[Allowance 2],0)*tblPayrollMaster[[#This Row],[Pay Factor]]</f>
        <v>0</v>
      </c>
      <c r="N869" s="25">
        <f>_xlfn.XLOOKUP(tblPayrollMaster[[#This Row],[Employee Position]],tblPositionandPayRate[Employee Position],tblPositionandPayRate[Allowance 3],0)*tblPayrollMaster[[#This Row],[Pay Factor]]</f>
        <v>0</v>
      </c>
      <c r="O869" s="25">
        <f>_xlfn.XLOOKUP(tblPayrollMaster[[#This Row],[Employee Position]],tblPositionandPayRate[Employee Position],tblPositionandPayRate[Allowance 4],0)*tblPayrollMaster[[#This Row],[Pay Factor]]</f>
        <v>0</v>
      </c>
      <c r="P869" s="25">
        <f>_xlfn.XLOOKUP(tblPayrollMaster[[#This Row],[Employee Position]],tblPositionandPayRate[Employee Position],tblPositionandPayRate[Allowance 5],0)*tblPayrollMaster[[#This Row],[Pay Factor]]</f>
        <v>0</v>
      </c>
      <c r="Q869" s="25">
        <f>SUM(tblPayrollMaster[[#This Row],[Basic Pay]:[Allowance 5]])</f>
        <v>0</v>
      </c>
      <c r="R86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69" s="51" cm="1">
        <f t="array" ref="S8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69" s="3" cm="1">
        <f t="array" ref="T8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69" s="25">
        <f>_xlfn.LET(
_xlpm.tos, _xlfn.XLOOKUP(tblPayrollMaster[[#This Row],[Employee ID]], tblEmployee[Employee ID], tblEmployee[Type of Service], ""),
IF(_xlpm.tos="Contract of Service", 8.25, 0)
)</f>
        <v>0</v>
      </c>
      <c r="V869" s="25">
        <f>tblPayrollMaster[[#This Row],[Basic Earnings]]-tblPayrollMaster[[#This Row],[Tax]]-tblPayrollMaster[[#This Row],[NIS - Employee]]-tblPayrollMaster[[#This Row],[Health Surcharge]]</f>
        <v>0</v>
      </c>
      <c r="W869" s="25">
        <f>tblPayrollMaster[[#This Row],[Net Pay]]</f>
        <v>0</v>
      </c>
      <c r="X869" s="25"/>
    </row>
    <row r="870" spans="1:24" x14ac:dyDescent="0.25">
      <c r="A870" s="24"/>
      <c r="B870" s="24" t="str">
        <f>_xlfn.XLOOKUP(tblPayrollMaster[[#This Row],[Employee ID]],tblEmployee[Employee ID],tblEmployee[Employee Name],"")</f>
        <v/>
      </c>
      <c r="C870" s="24" t="str">
        <f>_xlfn.XLOOKUP(tblPayrollMaster[[#This Row],[Employee ID]],tblEmployee[Employee ID],tblEmployee[Employee Position],"")</f>
        <v/>
      </c>
      <c r="D870" s="24" t="str">
        <f>_xlfn.XLOOKUP(tblPayrollMaster[[#This Row],[Employee ID]], tblEmployee[Employee ID], tblEmployee[Pay Status], "Pay")</f>
        <v>Pay</v>
      </c>
      <c r="E870" s="24" t="str">
        <f>_xlfn.XLOOKUP(tblPayrollMaster[[#This Row],[Employee ID]], tblEmployee[Employee ID], tblEmployee[Payable Flag], "Y")</f>
        <v>Y</v>
      </c>
      <c r="F870" s="45">
        <f>IF(tblPayrollMaster[[#This Row],[Payable Flag]]="N",0,_xlfn.XLOOKUP(tblPayrollMaster[[#This Row],[Employee ID]],tblEmployee[Employee ID],tblEmployee[Pay Factor],1))</f>
        <v>1</v>
      </c>
      <c r="G870" s="26" t="str" cm="1">
        <f t="array" ref="G870">IF(tblPayrollMaster[[#This Row],[Employee ID]]="","",_xlfn.XLOOKUP(selPayPeriodID,tblPayCalendar[PayPeriodID],tblPayCalendar[PeriodStart],""))</f>
        <v/>
      </c>
      <c r="H870" s="26" t="str" cm="1">
        <f t="array" ref="H870">IF(tblPayrollMaster[[#This Row],[Employee ID]]="","",_xlfn.XLOOKUP(selPayPeriodID,tblPayCalendar[PayPeriodID],tblPayCalendar[PeriodEnd],""))</f>
        <v/>
      </c>
      <c r="I870" s="24" t="e" cm="1" vm="1">
        <f t="array" aca="1" ref="I870" ca="1">Table18[Employer Name]</f>
        <v>#VALUE!</v>
      </c>
      <c r="J870" s="3" cm="1">
        <f t="array" ref="J87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70" s="25" t="str">
        <f>_xlfn.XLOOKUP(tblPayrollMaster[[#This Row],[Employee Position]],tblPositionandPayRate[Employee Position],tblPositionandPayRate[Overtime], " ")</f>
        <v xml:space="preserve"> </v>
      </c>
      <c r="L870" s="25">
        <f>_xlfn.XLOOKUP(tblPayrollMaster[[#This Row],[Employee Position]],tblPositionandPayRate[Employee Position],tblPositionandPayRate[Allowance 1],0)*tblPayrollMaster[[#This Row],[Pay Factor]]</f>
        <v>0</v>
      </c>
      <c r="M870" s="25">
        <f>_xlfn.XLOOKUP(tblPayrollMaster[[#This Row],[Employee Position]],tblPositionandPayRate[Employee Position],tblPositionandPayRate[Allowance 2],0)*tblPayrollMaster[[#This Row],[Pay Factor]]</f>
        <v>0</v>
      </c>
      <c r="N870" s="25">
        <f>_xlfn.XLOOKUP(tblPayrollMaster[[#This Row],[Employee Position]],tblPositionandPayRate[Employee Position],tblPositionandPayRate[Allowance 3],0)*tblPayrollMaster[[#This Row],[Pay Factor]]</f>
        <v>0</v>
      </c>
      <c r="O870" s="25">
        <f>_xlfn.XLOOKUP(tblPayrollMaster[[#This Row],[Employee Position]],tblPositionandPayRate[Employee Position],tblPositionandPayRate[Allowance 4],0)*tblPayrollMaster[[#This Row],[Pay Factor]]</f>
        <v>0</v>
      </c>
      <c r="P870" s="25">
        <f>_xlfn.XLOOKUP(tblPayrollMaster[[#This Row],[Employee Position]],tblPositionandPayRate[Employee Position],tblPositionandPayRate[Allowance 5],0)*tblPayrollMaster[[#This Row],[Pay Factor]]</f>
        <v>0</v>
      </c>
      <c r="Q870" s="25">
        <f>SUM(tblPayrollMaster[[#This Row],[Basic Pay]:[Allowance 5]])</f>
        <v>0</v>
      </c>
      <c r="R87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70" s="51" cm="1">
        <f t="array" ref="S8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70" s="3" cm="1">
        <f t="array" ref="T8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70" s="25">
        <f>_xlfn.LET(
_xlpm.tos, _xlfn.XLOOKUP(tblPayrollMaster[[#This Row],[Employee ID]], tblEmployee[Employee ID], tblEmployee[Type of Service], ""),
IF(_xlpm.tos="Contract of Service", 8.25, 0)
)</f>
        <v>0</v>
      </c>
      <c r="V870" s="25">
        <f>tblPayrollMaster[[#This Row],[Basic Earnings]]-tblPayrollMaster[[#This Row],[Tax]]-tblPayrollMaster[[#This Row],[NIS - Employee]]-tblPayrollMaster[[#This Row],[Health Surcharge]]</f>
        <v>0</v>
      </c>
      <c r="W870" s="25">
        <f>tblPayrollMaster[[#This Row],[Net Pay]]</f>
        <v>0</v>
      </c>
      <c r="X870" s="25"/>
    </row>
    <row r="871" spans="1:24" x14ac:dyDescent="0.25">
      <c r="A871" s="24"/>
      <c r="B871" s="24" t="str">
        <f>_xlfn.XLOOKUP(tblPayrollMaster[[#This Row],[Employee ID]],tblEmployee[Employee ID],tblEmployee[Employee Name],"")</f>
        <v/>
      </c>
      <c r="C871" s="24" t="str">
        <f>_xlfn.XLOOKUP(tblPayrollMaster[[#This Row],[Employee ID]],tblEmployee[Employee ID],tblEmployee[Employee Position],"")</f>
        <v/>
      </c>
      <c r="D871" s="24" t="str">
        <f>_xlfn.XLOOKUP(tblPayrollMaster[[#This Row],[Employee ID]], tblEmployee[Employee ID], tblEmployee[Pay Status], "Pay")</f>
        <v>Pay</v>
      </c>
      <c r="E871" s="24" t="str">
        <f>_xlfn.XLOOKUP(tblPayrollMaster[[#This Row],[Employee ID]], tblEmployee[Employee ID], tblEmployee[Payable Flag], "Y")</f>
        <v>Y</v>
      </c>
      <c r="F871" s="45">
        <f>IF(tblPayrollMaster[[#This Row],[Payable Flag]]="N",0,_xlfn.XLOOKUP(tblPayrollMaster[[#This Row],[Employee ID]],tblEmployee[Employee ID],tblEmployee[Pay Factor],1))</f>
        <v>1</v>
      </c>
      <c r="G871" s="26" t="str" cm="1">
        <f t="array" ref="G871">IF(tblPayrollMaster[[#This Row],[Employee ID]]="","",_xlfn.XLOOKUP(selPayPeriodID,tblPayCalendar[PayPeriodID],tblPayCalendar[PeriodStart],""))</f>
        <v/>
      </c>
      <c r="H871" s="26" t="str" cm="1">
        <f t="array" ref="H871">IF(tblPayrollMaster[[#This Row],[Employee ID]]="","",_xlfn.XLOOKUP(selPayPeriodID,tblPayCalendar[PayPeriodID],tblPayCalendar[PeriodEnd],""))</f>
        <v/>
      </c>
      <c r="I871" s="24" t="e" cm="1" vm="1">
        <f t="array" aca="1" ref="I871" ca="1">Table18[Employer Name]</f>
        <v>#VALUE!</v>
      </c>
      <c r="J871" s="3" cm="1">
        <f t="array" ref="J87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71" s="25" t="str">
        <f>_xlfn.XLOOKUP(tblPayrollMaster[[#This Row],[Employee Position]],tblPositionandPayRate[Employee Position],tblPositionandPayRate[Overtime], " ")</f>
        <v xml:space="preserve"> </v>
      </c>
      <c r="L871" s="25">
        <f>_xlfn.XLOOKUP(tblPayrollMaster[[#This Row],[Employee Position]],tblPositionandPayRate[Employee Position],tblPositionandPayRate[Allowance 1],0)*tblPayrollMaster[[#This Row],[Pay Factor]]</f>
        <v>0</v>
      </c>
      <c r="M871" s="25">
        <f>_xlfn.XLOOKUP(tblPayrollMaster[[#This Row],[Employee Position]],tblPositionandPayRate[Employee Position],tblPositionandPayRate[Allowance 2],0)*tblPayrollMaster[[#This Row],[Pay Factor]]</f>
        <v>0</v>
      </c>
      <c r="N871" s="25">
        <f>_xlfn.XLOOKUP(tblPayrollMaster[[#This Row],[Employee Position]],tblPositionandPayRate[Employee Position],tblPositionandPayRate[Allowance 3],0)*tblPayrollMaster[[#This Row],[Pay Factor]]</f>
        <v>0</v>
      </c>
      <c r="O871" s="25">
        <f>_xlfn.XLOOKUP(tblPayrollMaster[[#This Row],[Employee Position]],tblPositionandPayRate[Employee Position],tblPositionandPayRate[Allowance 4],0)*tblPayrollMaster[[#This Row],[Pay Factor]]</f>
        <v>0</v>
      </c>
      <c r="P871" s="25">
        <f>_xlfn.XLOOKUP(tblPayrollMaster[[#This Row],[Employee Position]],tblPositionandPayRate[Employee Position],tblPositionandPayRate[Allowance 5],0)*tblPayrollMaster[[#This Row],[Pay Factor]]</f>
        <v>0</v>
      </c>
      <c r="Q871" s="25">
        <f>SUM(tblPayrollMaster[[#This Row],[Basic Pay]:[Allowance 5]])</f>
        <v>0</v>
      </c>
      <c r="R87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71" s="51" cm="1">
        <f t="array" ref="S8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71" s="3" cm="1">
        <f t="array" ref="T8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71" s="25">
        <f>_xlfn.LET(
_xlpm.tos, _xlfn.XLOOKUP(tblPayrollMaster[[#This Row],[Employee ID]], tblEmployee[Employee ID], tblEmployee[Type of Service], ""),
IF(_xlpm.tos="Contract of Service", 8.25, 0)
)</f>
        <v>0</v>
      </c>
      <c r="V871" s="25">
        <f>tblPayrollMaster[[#This Row],[Basic Earnings]]-tblPayrollMaster[[#This Row],[Tax]]-tblPayrollMaster[[#This Row],[NIS - Employee]]-tblPayrollMaster[[#This Row],[Health Surcharge]]</f>
        <v>0</v>
      </c>
      <c r="W871" s="25">
        <f>tblPayrollMaster[[#This Row],[Net Pay]]</f>
        <v>0</v>
      </c>
      <c r="X871" s="25"/>
    </row>
    <row r="872" spans="1:24" x14ac:dyDescent="0.25">
      <c r="A872" s="24"/>
      <c r="B872" s="24" t="str">
        <f>_xlfn.XLOOKUP(tblPayrollMaster[[#This Row],[Employee ID]],tblEmployee[Employee ID],tblEmployee[Employee Name],"")</f>
        <v/>
      </c>
      <c r="C872" s="24" t="str">
        <f>_xlfn.XLOOKUP(tblPayrollMaster[[#This Row],[Employee ID]],tblEmployee[Employee ID],tblEmployee[Employee Position],"")</f>
        <v/>
      </c>
      <c r="D872" s="24" t="str">
        <f>_xlfn.XLOOKUP(tblPayrollMaster[[#This Row],[Employee ID]], tblEmployee[Employee ID], tblEmployee[Pay Status], "Pay")</f>
        <v>Pay</v>
      </c>
      <c r="E872" s="24" t="str">
        <f>_xlfn.XLOOKUP(tblPayrollMaster[[#This Row],[Employee ID]], tblEmployee[Employee ID], tblEmployee[Payable Flag], "Y")</f>
        <v>Y</v>
      </c>
      <c r="F872" s="45">
        <f>IF(tblPayrollMaster[[#This Row],[Payable Flag]]="N",0,_xlfn.XLOOKUP(tblPayrollMaster[[#This Row],[Employee ID]],tblEmployee[Employee ID],tblEmployee[Pay Factor],1))</f>
        <v>1</v>
      </c>
      <c r="G872" s="26" t="str" cm="1">
        <f t="array" ref="G872">IF(tblPayrollMaster[[#This Row],[Employee ID]]="","",_xlfn.XLOOKUP(selPayPeriodID,tblPayCalendar[PayPeriodID],tblPayCalendar[PeriodStart],""))</f>
        <v/>
      </c>
      <c r="H872" s="26" t="str" cm="1">
        <f t="array" ref="H872">IF(tblPayrollMaster[[#This Row],[Employee ID]]="","",_xlfn.XLOOKUP(selPayPeriodID,tblPayCalendar[PayPeriodID],tblPayCalendar[PeriodEnd],""))</f>
        <v/>
      </c>
      <c r="I872" s="24" t="e" cm="1" vm="1">
        <f t="array" aca="1" ref="I872" ca="1">Table18[Employer Name]</f>
        <v>#VALUE!</v>
      </c>
      <c r="J872" s="3" cm="1">
        <f t="array" ref="J87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72" s="25" t="str">
        <f>_xlfn.XLOOKUP(tblPayrollMaster[[#This Row],[Employee Position]],tblPositionandPayRate[Employee Position],tblPositionandPayRate[Overtime], " ")</f>
        <v xml:space="preserve"> </v>
      </c>
      <c r="L872" s="25">
        <f>_xlfn.XLOOKUP(tblPayrollMaster[[#This Row],[Employee Position]],tblPositionandPayRate[Employee Position],tblPositionandPayRate[Allowance 1],0)*tblPayrollMaster[[#This Row],[Pay Factor]]</f>
        <v>0</v>
      </c>
      <c r="M872" s="25">
        <f>_xlfn.XLOOKUP(tblPayrollMaster[[#This Row],[Employee Position]],tblPositionandPayRate[Employee Position],tblPositionandPayRate[Allowance 2],0)*tblPayrollMaster[[#This Row],[Pay Factor]]</f>
        <v>0</v>
      </c>
      <c r="N872" s="25">
        <f>_xlfn.XLOOKUP(tblPayrollMaster[[#This Row],[Employee Position]],tblPositionandPayRate[Employee Position],tblPositionandPayRate[Allowance 3],0)*tblPayrollMaster[[#This Row],[Pay Factor]]</f>
        <v>0</v>
      </c>
      <c r="O872" s="25">
        <f>_xlfn.XLOOKUP(tblPayrollMaster[[#This Row],[Employee Position]],tblPositionandPayRate[Employee Position],tblPositionandPayRate[Allowance 4],0)*tblPayrollMaster[[#This Row],[Pay Factor]]</f>
        <v>0</v>
      </c>
      <c r="P872" s="25">
        <f>_xlfn.XLOOKUP(tblPayrollMaster[[#This Row],[Employee Position]],tblPositionandPayRate[Employee Position],tblPositionandPayRate[Allowance 5],0)*tblPayrollMaster[[#This Row],[Pay Factor]]</f>
        <v>0</v>
      </c>
      <c r="Q872" s="25">
        <f>SUM(tblPayrollMaster[[#This Row],[Basic Pay]:[Allowance 5]])</f>
        <v>0</v>
      </c>
      <c r="R87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72" s="51" cm="1">
        <f t="array" ref="S8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72" s="3" cm="1">
        <f t="array" ref="T8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72" s="25">
        <f>_xlfn.LET(
_xlpm.tos, _xlfn.XLOOKUP(tblPayrollMaster[[#This Row],[Employee ID]], tblEmployee[Employee ID], tblEmployee[Type of Service], ""),
IF(_xlpm.tos="Contract of Service", 8.25, 0)
)</f>
        <v>0</v>
      </c>
      <c r="V872" s="25">
        <f>tblPayrollMaster[[#This Row],[Basic Earnings]]-tblPayrollMaster[[#This Row],[Tax]]-tblPayrollMaster[[#This Row],[NIS - Employee]]-tblPayrollMaster[[#This Row],[Health Surcharge]]</f>
        <v>0</v>
      </c>
      <c r="W872" s="25">
        <f>tblPayrollMaster[[#This Row],[Net Pay]]</f>
        <v>0</v>
      </c>
      <c r="X872" s="25"/>
    </row>
    <row r="873" spans="1:24" x14ac:dyDescent="0.25">
      <c r="A873" s="24"/>
      <c r="B873" s="24" t="str">
        <f>_xlfn.XLOOKUP(tblPayrollMaster[[#This Row],[Employee ID]],tblEmployee[Employee ID],tblEmployee[Employee Name],"")</f>
        <v/>
      </c>
      <c r="C873" s="24" t="str">
        <f>_xlfn.XLOOKUP(tblPayrollMaster[[#This Row],[Employee ID]],tblEmployee[Employee ID],tblEmployee[Employee Position],"")</f>
        <v/>
      </c>
      <c r="D873" s="24" t="str">
        <f>_xlfn.XLOOKUP(tblPayrollMaster[[#This Row],[Employee ID]], tblEmployee[Employee ID], tblEmployee[Pay Status], "Pay")</f>
        <v>Pay</v>
      </c>
      <c r="E873" s="24" t="str">
        <f>_xlfn.XLOOKUP(tblPayrollMaster[[#This Row],[Employee ID]], tblEmployee[Employee ID], tblEmployee[Payable Flag], "Y")</f>
        <v>Y</v>
      </c>
      <c r="F873" s="45">
        <f>IF(tblPayrollMaster[[#This Row],[Payable Flag]]="N",0,_xlfn.XLOOKUP(tblPayrollMaster[[#This Row],[Employee ID]],tblEmployee[Employee ID],tblEmployee[Pay Factor],1))</f>
        <v>1</v>
      </c>
      <c r="G873" s="26" t="str" cm="1">
        <f t="array" ref="G873">IF(tblPayrollMaster[[#This Row],[Employee ID]]="","",_xlfn.XLOOKUP(selPayPeriodID,tblPayCalendar[PayPeriodID],tblPayCalendar[PeriodStart],""))</f>
        <v/>
      </c>
      <c r="H873" s="26" t="str" cm="1">
        <f t="array" ref="H873">IF(tblPayrollMaster[[#This Row],[Employee ID]]="","",_xlfn.XLOOKUP(selPayPeriodID,tblPayCalendar[PayPeriodID],tblPayCalendar[PeriodEnd],""))</f>
        <v/>
      </c>
      <c r="I873" s="24" t="e" cm="1" vm="1">
        <f t="array" aca="1" ref="I873" ca="1">Table18[Employer Name]</f>
        <v>#VALUE!</v>
      </c>
      <c r="J873" s="3" cm="1">
        <f t="array" ref="J87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73" s="25" t="str">
        <f>_xlfn.XLOOKUP(tblPayrollMaster[[#This Row],[Employee Position]],tblPositionandPayRate[Employee Position],tblPositionandPayRate[Overtime], " ")</f>
        <v xml:space="preserve"> </v>
      </c>
      <c r="L873" s="25">
        <f>_xlfn.XLOOKUP(tblPayrollMaster[[#This Row],[Employee Position]],tblPositionandPayRate[Employee Position],tblPositionandPayRate[Allowance 1],0)*tblPayrollMaster[[#This Row],[Pay Factor]]</f>
        <v>0</v>
      </c>
      <c r="M873" s="25">
        <f>_xlfn.XLOOKUP(tblPayrollMaster[[#This Row],[Employee Position]],tblPositionandPayRate[Employee Position],tblPositionandPayRate[Allowance 2],0)*tblPayrollMaster[[#This Row],[Pay Factor]]</f>
        <v>0</v>
      </c>
      <c r="N873" s="25">
        <f>_xlfn.XLOOKUP(tblPayrollMaster[[#This Row],[Employee Position]],tblPositionandPayRate[Employee Position],tblPositionandPayRate[Allowance 3],0)*tblPayrollMaster[[#This Row],[Pay Factor]]</f>
        <v>0</v>
      </c>
      <c r="O873" s="25">
        <f>_xlfn.XLOOKUP(tblPayrollMaster[[#This Row],[Employee Position]],tblPositionandPayRate[Employee Position],tblPositionandPayRate[Allowance 4],0)*tblPayrollMaster[[#This Row],[Pay Factor]]</f>
        <v>0</v>
      </c>
      <c r="P873" s="25">
        <f>_xlfn.XLOOKUP(tblPayrollMaster[[#This Row],[Employee Position]],tblPositionandPayRate[Employee Position],tblPositionandPayRate[Allowance 5],0)*tblPayrollMaster[[#This Row],[Pay Factor]]</f>
        <v>0</v>
      </c>
      <c r="Q873" s="25">
        <f>SUM(tblPayrollMaster[[#This Row],[Basic Pay]:[Allowance 5]])</f>
        <v>0</v>
      </c>
      <c r="R87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73" s="51" cm="1">
        <f t="array" ref="S8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73" s="3" cm="1">
        <f t="array" ref="T8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73" s="25">
        <f>_xlfn.LET(
_xlpm.tos, _xlfn.XLOOKUP(tblPayrollMaster[[#This Row],[Employee ID]], tblEmployee[Employee ID], tblEmployee[Type of Service], ""),
IF(_xlpm.tos="Contract of Service", 8.25, 0)
)</f>
        <v>0</v>
      </c>
      <c r="V873" s="25">
        <f>tblPayrollMaster[[#This Row],[Basic Earnings]]-tblPayrollMaster[[#This Row],[Tax]]-tblPayrollMaster[[#This Row],[NIS - Employee]]-tblPayrollMaster[[#This Row],[Health Surcharge]]</f>
        <v>0</v>
      </c>
      <c r="W873" s="25">
        <f>tblPayrollMaster[[#This Row],[Net Pay]]</f>
        <v>0</v>
      </c>
      <c r="X873" s="25"/>
    </row>
    <row r="874" spans="1:24" x14ac:dyDescent="0.25">
      <c r="A874" s="24"/>
      <c r="B874" s="24" t="str">
        <f>_xlfn.XLOOKUP(tblPayrollMaster[[#This Row],[Employee ID]],tblEmployee[Employee ID],tblEmployee[Employee Name],"")</f>
        <v/>
      </c>
      <c r="C874" s="24" t="str">
        <f>_xlfn.XLOOKUP(tblPayrollMaster[[#This Row],[Employee ID]],tblEmployee[Employee ID],tblEmployee[Employee Position],"")</f>
        <v/>
      </c>
      <c r="D874" s="24" t="str">
        <f>_xlfn.XLOOKUP(tblPayrollMaster[[#This Row],[Employee ID]], tblEmployee[Employee ID], tblEmployee[Pay Status], "Pay")</f>
        <v>Pay</v>
      </c>
      <c r="E874" s="24" t="str">
        <f>_xlfn.XLOOKUP(tblPayrollMaster[[#This Row],[Employee ID]], tblEmployee[Employee ID], tblEmployee[Payable Flag], "Y")</f>
        <v>Y</v>
      </c>
      <c r="F874" s="45">
        <f>IF(tblPayrollMaster[[#This Row],[Payable Flag]]="N",0,_xlfn.XLOOKUP(tblPayrollMaster[[#This Row],[Employee ID]],tblEmployee[Employee ID],tblEmployee[Pay Factor],1))</f>
        <v>1</v>
      </c>
      <c r="G874" s="26" t="str" cm="1">
        <f t="array" ref="G874">IF(tblPayrollMaster[[#This Row],[Employee ID]]="","",_xlfn.XLOOKUP(selPayPeriodID,tblPayCalendar[PayPeriodID],tblPayCalendar[PeriodStart],""))</f>
        <v/>
      </c>
      <c r="H874" s="26" t="str" cm="1">
        <f t="array" ref="H874">IF(tblPayrollMaster[[#This Row],[Employee ID]]="","",_xlfn.XLOOKUP(selPayPeriodID,tblPayCalendar[PayPeriodID],tblPayCalendar[PeriodEnd],""))</f>
        <v/>
      </c>
      <c r="I874" s="24" t="e" cm="1" vm="1">
        <f t="array" aca="1" ref="I874" ca="1">Table18[Employer Name]</f>
        <v>#VALUE!</v>
      </c>
      <c r="J874" s="3" cm="1">
        <f t="array" ref="J87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74" s="25" t="str">
        <f>_xlfn.XLOOKUP(tblPayrollMaster[[#This Row],[Employee Position]],tblPositionandPayRate[Employee Position],tblPositionandPayRate[Overtime], " ")</f>
        <v xml:space="preserve"> </v>
      </c>
      <c r="L874" s="25">
        <f>_xlfn.XLOOKUP(tblPayrollMaster[[#This Row],[Employee Position]],tblPositionandPayRate[Employee Position],tblPositionandPayRate[Allowance 1],0)*tblPayrollMaster[[#This Row],[Pay Factor]]</f>
        <v>0</v>
      </c>
      <c r="M874" s="25">
        <f>_xlfn.XLOOKUP(tblPayrollMaster[[#This Row],[Employee Position]],tblPositionandPayRate[Employee Position],tblPositionandPayRate[Allowance 2],0)*tblPayrollMaster[[#This Row],[Pay Factor]]</f>
        <v>0</v>
      </c>
      <c r="N874" s="25">
        <f>_xlfn.XLOOKUP(tblPayrollMaster[[#This Row],[Employee Position]],tblPositionandPayRate[Employee Position],tblPositionandPayRate[Allowance 3],0)*tblPayrollMaster[[#This Row],[Pay Factor]]</f>
        <v>0</v>
      </c>
      <c r="O874" s="25">
        <f>_xlfn.XLOOKUP(tblPayrollMaster[[#This Row],[Employee Position]],tblPositionandPayRate[Employee Position],tblPositionandPayRate[Allowance 4],0)*tblPayrollMaster[[#This Row],[Pay Factor]]</f>
        <v>0</v>
      </c>
      <c r="P874" s="25">
        <f>_xlfn.XLOOKUP(tblPayrollMaster[[#This Row],[Employee Position]],tblPositionandPayRate[Employee Position],tblPositionandPayRate[Allowance 5],0)*tblPayrollMaster[[#This Row],[Pay Factor]]</f>
        <v>0</v>
      </c>
      <c r="Q874" s="25">
        <f>SUM(tblPayrollMaster[[#This Row],[Basic Pay]:[Allowance 5]])</f>
        <v>0</v>
      </c>
      <c r="R87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74" s="51" cm="1">
        <f t="array" ref="S8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74" s="3" cm="1">
        <f t="array" ref="T8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74" s="25">
        <f>_xlfn.LET(
_xlpm.tos, _xlfn.XLOOKUP(tblPayrollMaster[[#This Row],[Employee ID]], tblEmployee[Employee ID], tblEmployee[Type of Service], ""),
IF(_xlpm.tos="Contract of Service", 8.25, 0)
)</f>
        <v>0</v>
      </c>
      <c r="V874" s="25">
        <f>tblPayrollMaster[[#This Row],[Basic Earnings]]-tblPayrollMaster[[#This Row],[Tax]]-tblPayrollMaster[[#This Row],[NIS - Employee]]-tblPayrollMaster[[#This Row],[Health Surcharge]]</f>
        <v>0</v>
      </c>
      <c r="W874" s="25">
        <f>tblPayrollMaster[[#This Row],[Net Pay]]</f>
        <v>0</v>
      </c>
      <c r="X874" s="25"/>
    </row>
    <row r="875" spans="1:24" x14ac:dyDescent="0.25">
      <c r="A875" s="24"/>
      <c r="B875" s="24" t="str">
        <f>_xlfn.XLOOKUP(tblPayrollMaster[[#This Row],[Employee ID]],tblEmployee[Employee ID],tblEmployee[Employee Name],"")</f>
        <v/>
      </c>
      <c r="C875" s="24" t="str">
        <f>_xlfn.XLOOKUP(tblPayrollMaster[[#This Row],[Employee ID]],tblEmployee[Employee ID],tblEmployee[Employee Position],"")</f>
        <v/>
      </c>
      <c r="D875" s="24" t="str">
        <f>_xlfn.XLOOKUP(tblPayrollMaster[[#This Row],[Employee ID]], tblEmployee[Employee ID], tblEmployee[Pay Status], "Pay")</f>
        <v>Pay</v>
      </c>
      <c r="E875" s="24" t="str">
        <f>_xlfn.XLOOKUP(tblPayrollMaster[[#This Row],[Employee ID]], tblEmployee[Employee ID], tblEmployee[Payable Flag], "Y")</f>
        <v>Y</v>
      </c>
      <c r="F875" s="45">
        <f>IF(tblPayrollMaster[[#This Row],[Payable Flag]]="N",0,_xlfn.XLOOKUP(tblPayrollMaster[[#This Row],[Employee ID]],tblEmployee[Employee ID],tblEmployee[Pay Factor],1))</f>
        <v>1</v>
      </c>
      <c r="G875" s="26" t="str" cm="1">
        <f t="array" ref="G875">IF(tblPayrollMaster[[#This Row],[Employee ID]]="","",_xlfn.XLOOKUP(selPayPeriodID,tblPayCalendar[PayPeriodID],tblPayCalendar[PeriodStart],""))</f>
        <v/>
      </c>
      <c r="H875" s="26" t="str" cm="1">
        <f t="array" ref="H875">IF(tblPayrollMaster[[#This Row],[Employee ID]]="","",_xlfn.XLOOKUP(selPayPeriodID,tblPayCalendar[PayPeriodID],tblPayCalendar[PeriodEnd],""))</f>
        <v/>
      </c>
      <c r="I875" s="24" t="e" cm="1" vm="1">
        <f t="array" aca="1" ref="I875" ca="1">Table18[Employer Name]</f>
        <v>#VALUE!</v>
      </c>
      <c r="J875" s="3" cm="1">
        <f t="array" ref="J87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75" s="25" t="str">
        <f>_xlfn.XLOOKUP(tblPayrollMaster[[#This Row],[Employee Position]],tblPositionandPayRate[Employee Position],tblPositionandPayRate[Overtime], " ")</f>
        <v xml:space="preserve"> </v>
      </c>
      <c r="L875" s="25">
        <f>_xlfn.XLOOKUP(tblPayrollMaster[[#This Row],[Employee Position]],tblPositionandPayRate[Employee Position],tblPositionandPayRate[Allowance 1],0)*tblPayrollMaster[[#This Row],[Pay Factor]]</f>
        <v>0</v>
      </c>
      <c r="M875" s="25">
        <f>_xlfn.XLOOKUP(tblPayrollMaster[[#This Row],[Employee Position]],tblPositionandPayRate[Employee Position],tblPositionandPayRate[Allowance 2],0)*tblPayrollMaster[[#This Row],[Pay Factor]]</f>
        <v>0</v>
      </c>
      <c r="N875" s="25">
        <f>_xlfn.XLOOKUP(tblPayrollMaster[[#This Row],[Employee Position]],tblPositionandPayRate[Employee Position],tblPositionandPayRate[Allowance 3],0)*tblPayrollMaster[[#This Row],[Pay Factor]]</f>
        <v>0</v>
      </c>
      <c r="O875" s="25">
        <f>_xlfn.XLOOKUP(tblPayrollMaster[[#This Row],[Employee Position]],tblPositionandPayRate[Employee Position],tblPositionandPayRate[Allowance 4],0)*tblPayrollMaster[[#This Row],[Pay Factor]]</f>
        <v>0</v>
      </c>
      <c r="P875" s="25">
        <f>_xlfn.XLOOKUP(tblPayrollMaster[[#This Row],[Employee Position]],tblPositionandPayRate[Employee Position],tblPositionandPayRate[Allowance 5],0)*tblPayrollMaster[[#This Row],[Pay Factor]]</f>
        <v>0</v>
      </c>
      <c r="Q875" s="25">
        <f>SUM(tblPayrollMaster[[#This Row],[Basic Pay]:[Allowance 5]])</f>
        <v>0</v>
      </c>
      <c r="R87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75" s="51" cm="1">
        <f t="array" ref="S8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75" s="3" cm="1">
        <f t="array" ref="T8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75" s="25">
        <f>_xlfn.LET(
_xlpm.tos, _xlfn.XLOOKUP(tblPayrollMaster[[#This Row],[Employee ID]], tblEmployee[Employee ID], tblEmployee[Type of Service], ""),
IF(_xlpm.tos="Contract of Service", 8.25, 0)
)</f>
        <v>0</v>
      </c>
      <c r="V875" s="25">
        <f>tblPayrollMaster[[#This Row],[Basic Earnings]]-tblPayrollMaster[[#This Row],[Tax]]-tblPayrollMaster[[#This Row],[NIS - Employee]]-tblPayrollMaster[[#This Row],[Health Surcharge]]</f>
        <v>0</v>
      </c>
      <c r="W875" s="25">
        <f>tblPayrollMaster[[#This Row],[Net Pay]]</f>
        <v>0</v>
      </c>
      <c r="X875" s="25"/>
    </row>
    <row r="876" spans="1:24" x14ac:dyDescent="0.25">
      <c r="A876" s="24"/>
      <c r="B876" s="24" t="str">
        <f>_xlfn.XLOOKUP(tblPayrollMaster[[#This Row],[Employee ID]],tblEmployee[Employee ID],tblEmployee[Employee Name],"")</f>
        <v/>
      </c>
      <c r="C876" s="24" t="str">
        <f>_xlfn.XLOOKUP(tblPayrollMaster[[#This Row],[Employee ID]],tblEmployee[Employee ID],tblEmployee[Employee Position],"")</f>
        <v/>
      </c>
      <c r="D876" s="24" t="str">
        <f>_xlfn.XLOOKUP(tblPayrollMaster[[#This Row],[Employee ID]], tblEmployee[Employee ID], tblEmployee[Pay Status], "Pay")</f>
        <v>Pay</v>
      </c>
      <c r="E876" s="24" t="str">
        <f>_xlfn.XLOOKUP(tblPayrollMaster[[#This Row],[Employee ID]], tblEmployee[Employee ID], tblEmployee[Payable Flag], "Y")</f>
        <v>Y</v>
      </c>
      <c r="F876" s="45">
        <f>IF(tblPayrollMaster[[#This Row],[Payable Flag]]="N",0,_xlfn.XLOOKUP(tblPayrollMaster[[#This Row],[Employee ID]],tblEmployee[Employee ID],tblEmployee[Pay Factor],1))</f>
        <v>1</v>
      </c>
      <c r="G876" s="26" t="str" cm="1">
        <f t="array" ref="G876">IF(tblPayrollMaster[[#This Row],[Employee ID]]="","",_xlfn.XLOOKUP(selPayPeriodID,tblPayCalendar[PayPeriodID],tblPayCalendar[PeriodStart],""))</f>
        <v/>
      </c>
      <c r="H876" s="26" t="str" cm="1">
        <f t="array" ref="H876">IF(tblPayrollMaster[[#This Row],[Employee ID]]="","",_xlfn.XLOOKUP(selPayPeriodID,tblPayCalendar[PayPeriodID],tblPayCalendar[PeriodEnd],""))</f>
        <v/>
      </c>
      <c r="I876" s="24" t="e" cm="1" vm="1">
        <f t="array" aca="1" ref="I876" ca="1">Table18[Employer Name]</f>
        <v>#VALUE!</v>
      </c>
      <c r="J876" s="3" cm="1">
        <f t="array" ref="J87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76" s="25" t="str">
        <f>_xlfn.XLOOKUP(tblPayrollMaster[[#This Row],[Employee Position]],tblPositionandPayRate[Employee Position],tblPositionandPayRate[Overtime], " ")</f>
        <v xml:space="preserve"> </v>
      </c>
      <c r="L876" s="25">
        <f>_xlfn.XLOOKUP(tblPayrollMaster[[#This Row],[Employee Position]],tblPositionandPayRate[Employee Position],tblPositionandPayRate[Allowance 1],0)*tblPayrollMaster[[#This Row],[Pay Factor]]</f>
        <v>0</v>
      </c>
      <c r="M876" s="25">
        <f>_xlfn.XLOOKUP(tblPayrollMaster[[#This Row],[Employee Position]],tblPositionandPayRate[Employee Position],tblPositionandPayRate[Allowance 2],0)*tblPayrollMaster[[#This Row],[Pay Factor]]</f>
        <v>0</v>
      </c>
      <c r="N876" s="25">
        <f>_xlfn.XLOOKUP(tblPayrollMaster[[#This Row],[Employee Position]],tblPositionandPayRate[Employee Position],tblPositionandPayRate[Allowance 3],0)*tblPayrollMaster[[#This Row],[Pay Factor]]</f>
        <v>0</v>
      </c>
      <c r="O876" s="25">
        <f>_xlfn.XLOOKUP(tblPayrollMaster[[#This Row],[Employee Position]],tblPositionandPayRate[Employee Position],tblPositionandPayRate[Allowance 4],0)*tblPayrollMaster[[#This Row],[Pay Factor]]</f>
        <v>0</v>
      </c>
      <c r="P876" s="25">
        <f>_xlfn.XLOOKUP(tblPayrollMaster[[#This Row],[Employee Position]],tblPositionandPayRate[Employee Position],tblPositionandPayRate[Allowance 5],0)*tblPayrollMaster[[#This Row],[Pay Factor]]</f>
        <v>0</v>
      </c>
      <c r="Q876" s="25">
        <f>SUM(tblPayrollMaster[[#This Row],[Basic Pay]:[Allowance 5]])</f>
        <v>0</v>
      </c>
      <c r="R87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76" s="51" cm="1">
        <f t="array" ref="S8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76" s="3" cm="1">
        <f t="array" ref="T8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76" s="25">
        <f>_xlfn.LET(
_xlpm.tos, _xlfn.XLOOKUP(tblPayrollMaster[[#This Row],[Employee ID]], tblEmployee[Employee ID], tblEmployee[Type of Service], ""),
IF(_xlpm.tos="Contract of Service", 8.25, 0)
)</f>
        <v>0</v>
      </c>
      <c r="V876" s="25">
        <f>tblPayrollMaster[[#This Row],[Basic Earnings]]-tblPayrollMaster[[#This Row],[Tax]]-tblPayrollMaster[[#This Row],[NIS - Employee]]-tblPayrollMaster[[#This Row],[Health Surcharge]]</f>
        <v>0</v>
      </c>
      <c r="W876" s="25">
        <f>tblPayrollMaster[[#This Row],[Net Pay]]</f>
        <v>0</v>
      </c>
      <c r="X876" s="25"/>
    </row>
    <row r="877" spans="1:24" x14ac:dyDescent="0.25">
      <c r="A877" s="24"/>
      <c r="B877" s="24" t="str">
        <f>_xlfn.XLOOKUP(tblPayrollMaster[[#This Row],[Employee ID]],tblEmployee[Employee ID],tblEmployee[Employee Name],"")</f>
        <v/>
      </c>
      <c r="C877" s="24" t="str">
        <f>_xlfn.XLOOKUP(tblPayrollMaster[[#This Row],[Employee ID]],tblEmployee[Employee ID],tblEmployee[Employee Position],"")</f>
        <v/>
      </c>
      <c r="D877" s="24" t="str">
        <f>_xlfn.XLOOKUP(tblPayrollMaster[[#This Row],[Employee ID]], tblEmployee[Employee ID], tblEmployee[Pay Status], "Pay")</f>
        <v>Pay</v>
      </c>
      <c r="E877" s="24" t="str">
        <f>_xlfn.XLOOKUP(tblPayrollMaster[[#This Row],[Employee ID]], tblEmployee[Employee ID], tblEmployee[Payable Flag], "Y")</f>
        <v>Y</v>
      </c>
      <c r="F877" s="45">
        <f>IF(tblPayrollMaster[[#This Row],[Payable Flag]]="N",0,_xlfn.XLOOKUP(tblPayrollMaster[[#This Row],[Employee ID]],tblEmployee[Employee ID],tblEmployee[Pay Factor],1))</f>
        <v>1</v>
      </c>
      <c r="G877" s="26" t="str" cm="1">
        <f t="array" ref="G877">IF(tblPayrollMaster[[#This Row],[Employee ID]]="","",_xlfn.XLOOKUP(selPayPeriodID,tblPayCalendar[PayPeriodID],tblPayCalendar[PeriodStart],""))</f>
        <v/>
      </c>
      <c r="H877" s="26" t="str" cm="1">
        <f t="array" ref="H877">IF(tblPayrollMaster[[#This Row],[Employee ID]]="","",_xlfn.XLOOKUP(selPayPeriodID,tblPayCalendar[PayPeriodID],tblPayCalendar[PeriodEnd],""))</f>
        <v/>
      </c>
      <c r="I877" s="24" t="e" cm="1" vm="1">
        <f t="array" aca="1" ref="I877" ca="1">Table18[Employer Name]</f>
        <v>#VALUE!</v>
      </c>
      <c r="J877" s="3" cm="1">
        <f t="array" ref="J87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77" s="25" t="str">
        <f>_xlfn.XLOOKUP(tblPayrollMaster[[#This Row],[Employee Position]],tblPositionandPayRate[Employee Position],tblPositionandPayRate[Overtime], " ")</f>
        <v xml:space="preserve"> </v>
      </c>
      <c r="L877" s="25">
        <f>_xlfn.XLOOKUP(tblPayrollMaster[[#This Row],[Employee Position]],tblPositionandPayRate[Employee Position],tblPositionandPayRate[Allowance 1],0)*tblPayrollMaster[[#This Row],[Pay Factor]]</f>
        <v>0</v>
      </c>
      <c r="M877" s="25">
        <f>_xlfn.XLOOKUP(tblPayrollMaster[[#This Row],[Employee Position]],tblPositionandPayRate[Employee Position],tblPositionandPayRate[Allowance 2],0)*tblPayrollMaster[[#This Row],[Pay Factor]]</f>
        <v>0</v>
      </c>
      <c r="N877" s="25">
        <f>_xlfn.XLOOKUP(tblPayrollMaster[[#This Row],[Employee Position]],tblPositionandPayRate[Employee Position],tblPositionandPayRate[Allowance 3],0)*tblPayrollMaster[[#This Row],[Pay Factor]]</f>
        <v>0</v>
      </c>
      <c r="O877" s="25">
        <f>_xlfn.XLOOKUP(tblPayrollMaster[[#This Row],[Employee Position]],tblPositionandPayRate[Employee Position],tblPositionandPayRate[Allowance 4],0)*tblPayrollMaster[[#This Row],[Pay Factor]]</f>
        <v>0</v>
      </c>
      <c r="P877" s="25">
        <f>_xlfn.XLOOKUP(tblPayrollMaster[[#This Row],[Employee Position]],tblPositionandPayRate[Employee Position],tblPositionandPayRate[Allowance 5],0)*tblPayrollMaster[[#This Row],[Pay Factor]]</f>
        <v>0</v>
      </c>
      <c r="Q877" s="25">
        <f>SUM(tblPayrollMaster[[#This Row],[Basic Pay]:[Allowance 5]])</f>
        <v>0</v>
      </c>
      <c r="R87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77" s="51" cm="1">
        <f t="array" ref="S8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77" s="3" cm="1">
        <f t="array" ref="T8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77" s="25">
        <f>_xlfn.LET(
_xlpm.tos, _xlfn.XLOOKUP(tblPayrollMaster[[#This Row],[Employee ID]], tblEmployee[Employee ID], tblEmployee[Type of Service], ""),
IF(_xlpm.tos="Contract of Service", 8.25, 0)
)</f>
        <v>0</v>
      </c>
      <c r="V877" s="25">
        <f>tblPayrollMaster[[#This Row],[Basic Earnings]]-tblPayrollMaster[[#This Row],[Tax]]-tblPayrollMaster[[#This Row],[NIS - Employee]]-tblPayrollMaster[[#This Row],[Health Surcharge]]</f>
        <v>0</v>
      </c>
      <c r="W877" s="25">
        <f>tblPayrollMaster[[#This Row],[Net Pay]]</f>
        <v>0</v>
      </c>
      <c r="X877" s="25"/>
    </row>
    <row r="878" spans="1:24" x14ac:dyDescent="0.25">
      <c r="A878" s="24"/>
      <c r="B878" s="24" t="str">
        <f>_xlfn.XLOOKUP(tblPayrollMaster[[#This Row],[Employee ID]],tblEmployee[Employee ID],tblEmployee[Employee Name],"")</f>
        <v/>
      </c>
      <c r="C878" s="24" t="str">
        <f>_xlfn.XLOOKUP(tblPayrollMaster[[#This Row],[Employee ID]],tblEmployee[Employee ID],tblEmployee[Employee Position],"")</f>
        <v/>
      </c>
      <c r="D878" s="24" t="str">
        <f>_xlfn.XLOOKUP(tblPayrollMaster[[#This Row],[Employee ID]], tblEmployee[Employee ID], tblEmployee[Pay Status], "Pay")</f>
        <v>Pay</v>
      </c>
      <c r="E878" s="24" t="str">
        <f>_xlfn.XLOOKUP(tblPayrollMaster[[#This Row],[Employee ID]], tblEmployee[Employee ID], tblEmployee[Payable Flag], "Y")</f>
        <v>Y</v>
      </c>
      <c r="F878" s="45">
        <f>IF(tblPayrollMaster[[#This Row],[Payable Flag]]="N",0,_xlfn.XLOOKUP(tblPayrollMaster[[#This Row],[Employee ID]],tblEmployee[Employee ID],tblEmployee[Pay Factor],1))</f>
        <v>1</v>
      </c>
      <c r="G878" s="26" t="str" cm="1">
        <f t="array" ref="G878">IF(tblPayrollMaster[[#This Row],[Employee ID]]="","",_xlfn.XLOOKUP(selPayPeriodID,tblPayCalendar[PayPeriodID],tblPayCalendar[PeriodStart],""))</f>
        <v/>
      </c>
      <c r="H878" s="26" t="str" cm="1">
        <f t="array" ref="H878">IF(tblPayrollMaster[[#This Row],[Employee ID]]="","",_xlfn.XLOOKUP(selPayPeriodID,tblPayCalendar[PayPeriodID],tblPayCalendar[PeriodEnd],""))</f>
        <v/>
      </c>
      <c r="I878" s="24" t="e" cm="1" vm="1">
        <f t="array" aca="1" ref="I878" ca="1">Table18[Employer Name]</f>
        <v>#VALUE!</v>
      </c>
      <c r="J878" s="3" cm="1">
        <f t="array" ref="J87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78" s="25" t="str">
        <f>_xlfn.XLOOKUP(tblPayrollMaster[[#This Row],[Employee Position]],tblPositionandPayRate[Employee Position],tblPositionandPayRate[Overtime], " ")</f>
        <v xml:space="preserve"> </v>
      </c>
      <c r="L878" s="25">
        <f>_xlfn.XLOOKUP(tblPayrollMaster[[#This Row],[Employee Position]],tblPositionandPayRate[Employee Position],tblPositionandPayRate[Allowance 1],0)*tblPayrollMaster[[#This Row],[Pay Factor]]</f>
        <v>0</v>
      </c>
      <c r="M878" s="25">
        <f>_xlfn.XLOOKUP(tblPayrollMaster[[#This Row],[Employee Position]],tblPositionandPayRate[Employee Position],tblPositionandPayRate[Allowance 2],0)*tblPayrollMaster[[#This Row],[Pay Factor]]</f>
        <v>0</v>
      </c>
      <c r="N878" s="25">
        <f>_xlfn.XLOOKUP(tblPayrollMaster[[#This Row],[Employee Position]],tblPositionandPayRate[Employee Position],tblPositionandPayRate[Allowance 3],0)*tblPayrollMaster[[#This Row],[Pay Factor]]</f>
        <v>0</v>
      </c>
      <c r="O878" s="25">
        <f>_xlfn.XLOOKUP(tblPayrollMaster[[#This Row],[Employee Position]],tblPositionandPayRate[Employee Position],tblPositionandPayRate[Allowance 4],0)*tblPayrollMaster[[#This Row],[Pay Factor]]</f>
        <v>0</v>
      </c>
      <c r="P878" s="25">
        <f>_xlfn.XLOOKUP(tblPayrollMaster[[#This Row],[Employee Position]],tblPositionandPayRate[Employee Position],tblPositionandPayRate[Allowance 5],0)*tblPayrollMaster[[#This Row],[Pay Factor]]</f>
        <v>0</v>
      </c>
      <c r="Q878" s="25">
        <f>SUM(tblPayrollMaster[[#This Row],[Basic Pay]:[Allowance 5]])</f>
        <v>0</v>
      </c>
      <c r="R87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78" s="51" cm="1">
        <f t="array" ref="S8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78" s="3" cm="1">
        <f t="array" ref="T8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78" s="25">
        <f>_xlfn.LET(
_xlpm.tos, _xlfn.XLOOKUP(tblPayrollMaster[[#This Row],[Employee ID]], tblEmployee[Employee ID], tblEmployee[Type of Service], ""),
IF(_xlpm.tos="Contract of Service", 8.25, 0)
)</f>
        <v>0</v>
      </c>
      <c r="V878" s="25">
        <f>tblPayrollMaster[[#This Row],[Basic Earnings]]-tblPayrollMaster[[#This Row],[Tax]]-tblPayrollMaster[[#This Row],[NIS - Employee]]-tblPayrollMaster[[#This Row],[Health Surcharge]]</f>
        <v>0</v>
      </c>
      <c r="W878" s="25">
        <f>tblPayrollMaster[[#This Row],[Net Pay]]</f>
        <v>0</v>
      </c>
      <c r="X878" s="25"/>
    </row>
    <row r="879" spans="1:24" x14ac:dyDescent="0.25">
      <c r="A879" s="24"/>
      <c r="B879" s="24" t="str">
        <f>_xlfn.XLOOKUP(tblPayrollMaster[[#This Row],[Employee ID]],tblEmployee[Employee ID],tblEmployee[Employee Name],"")</f>
        <v/>
      </c>
      <c r="C879" s="24" t="str">
        <f>_xlfn.XLOOKUP(tblPayrollMaster[[#This Row],[Employee ID]],tblEmployee[Employee ID],tblEmployee[Employee Position],"")</f>
        <v/>
      </c>
      <c r="D879" s="24" t="str">
        <f>_xlfn.XLOOKUP(tblPayrollMaster[[#This Row],[Employee ID]], tblEmployee[Employee ID], tblEmployee[Pay Status], "Pay")</f>
        <v>Pay</v>
      </c>
      <c r="E879" s="24" t="str">
        <f>_xlfn.XLOOKUP(tblPayrollMaster[[#This Row],[Employee ID]], tblEmployee[Employee ID], tblEmployee[Payable Flag], "Y")</f>
        <v>Y</v>
      </c>
      <c r="F879" s="45">
        <f>IF(tblPayrollMaster[[#This Row],[Payable Flag]]="N",0,_xlfn.XLOOKUP(tblPayrollMaster[[#This Row],[Employee ID]],tblEmployee[Employee ID],tblEmployee[Pay Factor],1))</f>
        <v>1</v>
      </c>
      <c r="G879" s="26" t="str" cm="1">
        <f t="array" ref="G879">IF(tblPayrollMaster[[#This Row],[Employee ID]]="","",_xlfn.XLOOKUP(selPayPeriodID,tblPayCalendar[PayPeriodID],tblPayCalendar[PeriodStart],""))</f>
        <v/>
      </c>
      <c r="H879" s="26" t="str" cm="1">
        <f t="array" ref="H879">IF(tblPayrollMaster[[#This Row],[Employee ID]]="","",_xlfn.XLOOKUP(selPayPeriodID,tblPayCalendar[PayPeriodID],tblPayCalendar[PeriodEnd],""))</f>
        <v/>
      </c>
      <c r="I879" s="24" t="e" cm="1" vm="1">
        <f t="array" aca="1" ref="I879" ca="1">Table18[Employer Name]</f>
        <v>#VALUE!</v>
      </c>
      <c r="J879" s="3" cm="1">
        <f t="array" ref="J87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79" s="25" t="str">
        <f>_xlfn.XLOOKUP(tblPayrollMaster[[#This Row],[Employee Position]],tblPositionandPayRate[Employee Position],tblPositionandPayRate[Overtime], " ")</f>
        <v xml:space="preserve"> </v>
      </c>
      <c r="L879" s="25">
        <f>_xlfn.XLOOKUP(tblPayrollMaster[[#This Row],[Employee Position]],tblPositionandPayRate[Employee Position],tblPositionandPayRate[Allowance 1],0)*tblPayrollMaster[[#This Row],[Pay Factor]]</f>
        <v>0</v>
      </c>
      <c r="M879" s="25">
        <f>_xlfn.XLOOKUP(tblPayrollMaster[[#This Row],[Employee Position]],tblPositionandPayRate[Employee Position],tblPositionandPayRate[Allowance 2],0)*tblPayrollMaster[[#This Row],[Pay Factor]]</f>
        <v>0</v>
      </c>
      <c r="N879" s="25">
        <f>_xlfn.XLOOKUP(tblPayrollMaster[[#This Row],[Employee Position]],tblPositionandPayRate[Employee Position],tblPositionandPayRate[Allowance 3],0)*tblPayrollMaster[[#This Row],[Pay Factor]]</f>
        <v>0</v>
      </c>
      <c r="O879" s="25">
        <f>_xlfn.XLOOKUP(tblPayrollMaster[[#This Row],[Employee Position]],tblPositionandPayRate[Employee Position],tblPositionandPayRate[Allowance 4],0)*tblPayrollMaster[[#This Row],[Pay Factor]]</f>
        <v>0</v>
      </c>
      <c r="P879" s="25">
        <f>_xlfn.XLOOKUP(tblPayrollMaster[[#This Row],[Employee Position]],tblPositionandPayRate[Employee Position],tblPositionandPayRate[Allowance 5],0)*tblPayrollMaster[[#This Row],[Pay Factor]]</f>
        <v>0</v>
      </c>
      <c r="Q879" s="25">
        <f>SUM(tblPayrollMaster[[#This Row],[Basic Pay]:[Allowance 5]])</f>
        <v>0</v>
      </c>
      <c r="R87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79" s="51" cm="1">
        <f t="array" ref="S8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79" s="3" cm="1">
        <f t="array" ref="T8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79" s="25">
        <f>_xlfn.LET(
_xlpm.tos, _xlfn.XLOOKUP(tblPayrollMaster[[#This Row],[Employee ID]], tblEmployee[Employee ID], tblEmployee[Type of Service], ""),
IF(_xlpm.tos="Contract of Service", 8.25, 0)
)</f>
        <v>0</v>
      </c>
      <c r="V879" s="25">
        <f>tblPayrollMaster[[#This Row],[Basic Earnings]]-tblPayrollMaster[[#This Row],[Tax]]-tblPayrollMaster[[#This Row],[NIS - Employee]]-tblPayrollMaster[[#This Row],[Health Surcharge]]</f>
        <v>0</v>
      </c>
      <c r="W879" s="25">
        <f>tblPayrollMaster[[#This Row],[Net Pay]]</f>
        <v>0</v>
      </c>
      <c r="X879" s="25"/>
    </row>
    <row r="880" spans="1:24" x14ac:dyDescent="0.25">
      <c r="A880" s="24"/>
      <c r="B880" s="24" t="str">
        <f>_xlfn.XLOOKUP(tblPayrollMaster[[#This Row],[Employee ID]],tblEmployee[Employee ID],tblEmployee[Employee Name],"")</f>
        <v/>
      </c>
      <c r="C880" s="24" t="str">
        <f>_xlfn.XLOOKUP(tblPayrollMaster[[#This Row],[Employee ID]],tblEmployee[Employee ID],tblEmployee[Employee Position],"")</f>
        <v/>
      </c>
      <c r="D880" s="24" t="str">
        <f>_xlfn.XLOOKUP(tblPayrollMaster[[#This Row],[Employee ID]], tblEmployee[Employee ID], tblEmployee[Pay Status], "Pay")</f>
        <v>Pay</v>
      </c>
      <c r="E880" s="24" t="str">
        <f>_xlfn.XLOOKUP(tblPayrollMaster[[#This Row],[Employee ID]], tblEmployee[Employee ID], tblEmployee[Payable Flag], "Y")</f>
        <v>Y</v>
      </c>
      <c r="F880" s="45">
        <f>IF(tblPayrollMaster[[#This Row],[Payable Flag]]="N",0,_xlfn.XLOOKUP(tblPayrollMaster[[#This Row],[Employee ID]],tblEmployee[Employee ID],tblEmployee[Pay Factor],1))</f>
        <v>1</v>
      </c>
      <c r="G880" s="26" t="str" cm="1">
        <f t="array" ref="G880">IF(tblPayrollMaster[[#This Row],[Employee ID]]="","",_xlfn.XLOOKUP(selPayPeriodID,tblPayCalendar[PayPeriodID],tblPayCalendar[PeriodStart],""))</f>
        <v/>
      </c>
      <c r="H880" s="26" t="str" cm="1">
        <f t="array" ref="H880">IF(tblPayrollMaster[[#This Row],[Employee ID]]="","",_xlfn.XLOOKUP(selPayPeriodID,tblPayCalendar[PayPeriodID],tblPayCalendar[PeriodEnd],""))</f>
        <v/>
      </c>
      <c r="I880" s="24" t="e" cm="1" vm="1">
        <f t="array" aca="1" ref="I880" ca="1">Table18[Employer Name]</f>
        <v>#VALUE!</v>
      </c>
      <c r="J880" s="3" cm="1">
        <f t="array" ref="J88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80" s="25" t="str">
        <f>_xlfn.XLOOKUP(tblPayrollMaster[[#This Row],[Employee Position]],tblPositionandPayRate[Employee Position],tblPositionandPayRate[Overtime], " ")</f>
        <v xml:space="preserve"> </v>
      </c>
      <c r="L880" s="25">
        <f>_xlfn.XLOOKUP(tblPayrollMaster[[#This Row],[Employee Position]],tblPositionandPayRate[Employee Position],tblPositionandPayRate[Allowance 1],0)*tblPayrollMaster[[#This Row],[Pay Factor]]</f>
        <v>0</v>
      </c>
      <c r="M880" s="25">
        <f>_xlfn.XLOOKUP(tblPayrollMaster[[#This Row],[Employee Position]],tblPositionandPayRate[Employee Position],tblPositionandPayRate[Allowance 2],0)*tblPayrollMaster[[#This Row],[Pay Factor]]</f>
        <v>0</v>
      </c>
      <c r="N880" s="25">
        <f>_xlfn.XLOOKUP(tblPayrollMaster[[#This Row],[Employee Position]],tblPositionandPayRate[Employee Position],tblPositionandPayRate[Allowance 3],0)*tblPayrollMaster[[#This Row],[Pay Factor]]</f>
        <v>0</v>
      </c>
      <c r="O880" s="25">
        <f>_xlfn.XLOOKUP(tblPayrollMaster[[#This Row],[Employee Position]],tblPositionandPayRate[Employee Position],tblPositionandPayRate[Allowance 4],0)*tblPayrollMaster[[#This Row],[Pay Factor]]</f>
        <v>0</v>
      </c>
      <c r="P880" s="25">
        <f>_xlfn.XLOOKUP(tblPayrollMaster[[#This Row],[Employee Position]],tblPositionandPayRate[Employee Position],tblPositionandPayRate[Allowance 5],0)*tblPayrollMaster[[#This Row],[Pay Factor]]</f>
        <v>0</v>
      </c>
      <c r="Q880" s="25">
        <f>SUM(tblPayrollMaster[[#This Row],[Basic Pay]:[Allowance 5]])</f>
        <v>0</v>
      </c>
      <c r="R88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80" s="51" cm="1">
        <f t="array" ref="S8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80" s="3" cm="1">
        <f t="array" ref="T8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80" s="25">
        <f>_xlfn.LET(
_xlpm.tos, _xlfn.XLOOKUP(tblPayrollMaster[[#This Row],[Employee ID]], tblEmployee[Employee ID], tblEmployee[Type of Service], ""),
IF(_xlpm.tos="Contract of Service", 8.25, 0)
)</f>
        <v>0</v>
      </c>
      <c r="V880" s="25">
        <f>tblPayrollMaster[[#This Row],[Basic Earnings]]-tblPayrollMaster[[#This Row],[Tax]]-tblPayrollMaster[[#This Row],[NIS - Employee]]-tblPayrollMaster[[#This Row],[Health Surcharge]]</f>
        <v>0</v>
      </c>
      <c r="W880" s="25">
        <f>tblPayrollMaster[[#This Row],[Net Pay]]</f>
        <v>0</v>
      </c>
      <c r="X880" s="25"/>
    </row>
    <row r="881" spans="1:24" x14ac:dyDescent="0.25">
      <c r="A881" s="24"/>
      <c r="B881" s="24" t="str">
        <f>_xlfn.XLOOKUP(tblPayrollMaster[[#This Row],[Employee ID]],tblEmployee[Employee ID],tblEmployee[Employee Name],"")</f>
        <v/>
      </c>
      <c r="C881" s="24" t="str">
        <f>_xlfn.XLOOKUP(tblPayrollMaster[[#This Row],[Employee ID]],tblEmployee[Employee ID],tblEmployee[Employee Position],"")</f>
        <v/>
      </c>
      <c r="D881" s="24" t="str">
        <f>_xlfn.XLOOKUP(tblPayrollMaster[[#This Row],[Employee ID]], tblEmployee[Employee ID], tblEmployee[Pay Status], "Pay")</f>
        <v>Pay</v>
      </c>
      <c r="E881" s="24" t="str">
        <f>_xlfn.XLOOKUP(tblPayrollMaster[[#This Row],[Employee ID]], tblEmployee[Employee ID], tblEmployee[Payable Flag], "Y")</f>
        <v>Y</v>
      </c>
      <c r="F881" s="45">
        <f>IF(tblPayrollMaster[[#This Row],[Payable Flag]]="N",0,_xlfn.XLOOKUP(tblPayrollMaster[[#This Row],[Employee ID]],tblEmployee[Employee ID],tblEmployee[Pay Factor],1))</f>
        <v>1</v>
      </c>
      <c r="G881" s="26" t="str" cm="1">
        <f t="array" ref="G881">IF(tblPayrollMaster[[#This Row],[Employee ID]]="","",_xlfn.XLOOKUP(selPayPeriodID,tblPayCalendar[PayPeriodID],tblPayCalendar[PeriodStart],""))</f>
        <v/>
      </c>
      <c r="H881" s="26" t="str" cm="1">
        <f t="array" ref="H881">IF(tblPayrollMaster[[#This Row],[Employee ID]]="","",_xlfn.XLOOKUP(selPayPeriodID,tblPayCalendar[PayPeriodID],tblPayCalendar[PeriodEnd],""))</f>
        <v/>
      </c>
      <c r="I881" s="24" t="e" cm="1" vm="1">
        <f t="array" aca="1" ref="I881" ca="1">Table18[Employer Name]</f>
        <v>#VALUE!</v>
      </c>
      <c r="J881" s="3" cm="1">
        <f t="array" ref="J88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81" s="25" t="str">
        <f>_xlfn.XLOOKUP(tblPayrollMaster[[#This Row],[Employee Position]],tblPositionandPayRate[Employee Position],tblPositionandPayRate[Overtime], " ")</f>
        <v xml:space="preserve"> </v>
      </c>
      <c r="L881" s="25">
        <f>_xlfn.XLOOKUP(tblPayrollMaster[[#This Row],[Employee Position]],tblPositionandPayRate[Employee Position],tblPositionandPayRate[Allowance 1],0)*tblPayrollMaster[[#This Row],[Pay Factor]]</f>
        <v>0</v>
      </c>
      <c r="M881" s="25">
        <f>_xlfn.XLOOKUP(tblPayrollMaster[[#This Row],[Employee Position]],tblPositionandPayRate[Employee Position],tblPositionandPayRate[Allowance 2],0)*tblPayrollMaster[[#This Row],[Pay Factor]]</f>
        <v>0</v>
      </c>
      <c r="N881" s="25">
        <f>_xlfn.XLOOKUP(tblPayrollMaster[[#This Row],[Employee Position]],tblPositionandPayRate[Employee Position],tblPositionandPayRate[Allowance 3],0)*tblPayrollMaster[[#This Row],[Pay Factor]]</f>
        <v>0</v>
      </c>
      <c r="O881" s="25">
        <f>_xlfn.XLOOKUP(tblPayrollMaster[[#This Row],[Employee Position]],tblPositionandPayRate[Employee Position],tblPositionandPayRate[Allowance 4],0)*tblPayrollMaster[[#This Row],[Pay Factor]]</f>
        <v>0</v>
      </c>
      <c r="P881" s="25">
        <f>_xlfn.XLOOKUP(tblPayrollMaster[[#This Row],[Employee Position]],tblPositionandPayRate[Employee Position],tblPositionandPayRate[Allowance 5],0)*tblPayrollMaster[[#This Row],[Pay Factor]]</f>
        <v>0</v>
      </c>
      <c r="Q881" s="25">
        <f>SUM(tblPayrollMaster[[#This Row],[Basic Pay]:[Allowance 5]])</f>
        <v>0</v>
      </c>
      <c r="R88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81" s="51" cm="1">
        <f t="array" ref="S8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81" s="3" cm="1">
        <f t="array" ref="T8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81" s="25">
        <f>_xlfn.LET(
_xlpm.tos, _xlfn.XLOOKUP(tblPayrollMaster[[#This Row],[Employee ID]], tblEmployee[Employee ID], tblEmployee[Type of Service], ""),
IF(_xlpm.tos="Contract of Service", 8.25, 0)
)</f>
        <v>0</v>
      </c>
      <c r="V881" s="25">
        <f>tblPayrollMaster[[#This Row],[Basic Earnings]]-tblPayrollMaster[[#This Row],[Tax]]-tblPayrollMaster[[#This Row],[NIS - Employee]]-tblPayrollMaster[[#This Row],[Health Surcharge]]</f>
        <v>0</v>
      </c>
      <c r="W881" s="25">
        <f>tblPayrollMaster[[#This Row],[Net Pay]]</f>
        <v>0</v>
      </c>
      <c r="X881" s="25"/>
    </row>
    <row r="882" spans="1:24" x14ac:dyDescent="0.25">
      <c r="A882" s="24"/>
      <c r="B882" s="24" t="str">
        <f>_xlfn.XLOOKUP(tblPayrollMaster[[#This Row],[Employee ID]],tblEmployee[Employee ID],tblEmployee[Employee Name],"")</f>
        <v/>
      </c>
      <c r="C882" s="24" t="str">
        <f>_xlfn.XLOOKUP(tblPayrollMaster[[#This Row],[Employee ID]],tblEmployee[Employee ID],tblEmployee[Employee Position],"")</f>
        <v/>
      </c>
      <c r="D882" s="24" t="str">
        <f>_xlfn.XLOOKUP(tblPayrollMaster[[#This Row],[Employee ID]], tblEmployee[Employee ID], tblEmployee[Pay Status], "Pay")</f>
        <v>Pay</v>
      </c>
      <c r="E882" s="24" t="str">
        <f>_xlfn.XLOOKUP(tblPayrollMaster[[#This Row],[Employee ID]], tblEmployee[Employee ID], tblEmployee[Payable Flag], "Y")</f>
        <v>Y</v>
      </c>
      <c r="F882" s="45">
        <f>IF(tblPayrollMaster[[#This Row],[Payable Flag]]="N",0,_xlfn.XLOOKUP(tblPayrollMaster[[#This Row],[Employee ID]],tblEmployee[Employee ID],tblEmployee[Pay Factor],1))</f>
        <v>1</v>
      </c>
      <c r="G882" s="26" t="str" cm="1">
        <f t="array" ref="G882">IF(tblPayrollMaster[[#This Row],[Employee ID]]="","",_xlfn.XLOOKUP(selPayPeriodID,tblPayCalendar[PayPeriodID],tblPayCalendar[PeriodStart],""))</f>
        <v/>
      </c>
      <c r="H882" s="26" t="str" cm="1">
        <f t="array" ref="H882">IF(tblPayrollMaster[[#This Row],[Employee ID]]="","",_xlfn.XLOOKUP(selPayPeriodID,tblPayCalendar[PayPeriodID],tblPayCalendar[PeriodEnd],""))</f>
        <v/>
      </c>
      <c r="I882" s="24" t="e" cm="1" vm="1">
        <f t="array" aca="1" ref="I882" ca="1">Table18[Employer Name]</f>
        <v>#VALUE!</v>
      </c>
      <c r="J882" s="3" cm="1">
        <f t="array" ref="J88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82" s="25" t="str">
        <f>_xlfn.XLOOKUP(tblPayrollMaster[[#This Row],[Employee Position]],tblPositionandPayRate[Employee Position],tblPositionandPayRate[Overtime], " ")</f>
        <v xml:space="preserve"> </v>
      </c>
      <c r="L882" s="25">
        <f>_xlfn.XLOOKUP(tblPayrollMaster[[#This Row],[Employee Position]],tblPositionandPayRate[Employee Position],tblPositionandPayRate[Allowance 1],0)*tblPayrollMaster[[#This Row],[Pay Factor]]</f>
        <v>0</v>
      </c>
      <c r="M882" s="25">
        <f>_xlfn.XLOOKUP(tblPayrollMaster[[#This Row],[Employee Position]],tblPositionandPayRate[Employee Position],tblPositionandPayRate[Allowance 2],0)*tblPayrollMaster[[#This Row],[Pay Factor]]</f>
        <v>0</v>
      </c>
      <c r="N882" s="25">
        <f>_xlfn.XLOOKUP(tblPayrollMaster[[#This Row],[Employee Position]],tblPositionandPayRate[Employee Position],tblPositionandPayRate[Allowance 3],0)*tblPayrollMaster[[#This Row],[Pay Factor]]</f>
        <v>0</v>
      </c>
      <c r="O882" s="25">
        <f>_xlfn.XLOOKUP(tblPayrollMaster[[#This Row],[Employee Position]],tblPositionandPayRate[Employee Position],tblPositionandPayRate[Allowance 4],0)*tblPayrollMaster[[#This Row],[Pay Factor]]</f>
        <v>0</v>
      </c>
      <c r="P882" s="25">
        <f>_xlfn.XLOOKUP(tblPayrollMaster[[#This Row],[Employee Position]],tblPositionandPayRate[Employee Position],tblPositionandPayRate[Allowance 5],0)*tblPayrollMaster[[#This Row],[Pay Factor]]</f>
        <v>0</v>
      </c>
      <c r="Q882" s="25">
        <f>SUM(tblPayrollMaster[[#This Row],[Basic Pay]:[Allowance 5]])</f>
        <v>0</v>
      </c>
      <c r="R88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82" s="51" cm="1">
        <f t="array" ref="S8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82" s="3" cm="1">
        <f t="array" ref="T8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82" s="25">
        <f>_xlfn.LET(
_xlpm.tos, _xlfn.XLOOKUP(tblPayrollMaster[[#This Row],[Employee ID]], tblEmployee[Employee ID], tblEmployee[Type of Service], ""),
IF(_xlpm.tos="Contract of Service", 8.25, 0)
)</f>
        <v>0</v>
      </c>
      <c r="V882" s="25">
        <f>tblPayrollMaster[[#This Row],[Basic Earnings]]-tblPayrollMaster[[#This Row],[Tax]]-tblPayrollMaster[[#This Row],[NIS - Employee]]-tblPayrollMaster[[#This Row],[Health Surcharge]]</f>
        <v>0</v>
      </c>
      <c r="W882" s="25">
        <f>tblPayrollMaster[[#This Row],[Net Pay]]</f>
        <v>0</v>
      </c>
      <c r="X882" s="25"/>
    </row>
    <row r="883" spans="1:24" x14ac:dyDescent="0.25">
      <c r="A883" s="24"/>
      <c r="B883" s="24" t="str">
        <f>_xlfn.XLOOKUP(tblPayrollMaster[[#This Row],[Employee ID]],tblEmployee[Employee ID],tblEmployee[Employee Name],"")</f>
        <v/>
      </c>
      <c r="C883" s="24" t="str">
        <f>_xlfn.XLOOKUP(tblPayrollMaster[[#This Row],[Employee ID]],tblEmployee[Employee ID],tblEmployee[Employee Position],"")</f>
        <v/>
      </c>
      <c r="D883" s="24" t="str">
        <f>_xlfn.XLOOKUP(tblPayrollMaster[[#This Row],[Employee ID]], tblEmployee[Employee ID], tblEmployee[Pay Status], "Pay")</f>
        <v>Pay</v>
      </c>
      <c r="E883" s="24" t="str">
        <f>_xlfn.XLOOKUP(tblPayrollMaster[[#This Row],[Employee ID]], tblEmployee[Employee ID], tblEmployee[Payable Flag], "Y")</f>
        <v>Y</v>
      </c>
      <c r="F883" s="45">
        <f>IF(tblPayrollMaster[[#This Row],[Payable Flag]]="N",0,_xlfn.XLOOKUP(tblPayrollMaster[[#This Row],[Employee ID]],tblEmployee[Employee ID],tblEmployee[Pay Factor],1))</f>
        <v>1</v>
      </c>
      <c r="G883" s="26" t="str" cm="1">
        <f t="array" ref="G883">IF(tblPayrollMaster[[#This Row],[Employee ID]]="","",_xlfn.XLOOKUP(selPayPeriodID,tblPayCalendar[PayPeriodID],tblPayCalendar[PeriodStart],""))</f>
        <v/>
      </c>
      <c r="H883" s="26" t="str" cm="1">
        <f t="array" ref="H883">IF(tblPayrollMaster[[#This Row],[Employee ID]]="","",_xlfn.XLOOKUP(selPayPeriodID,tblPayCalendar[PayPeriodID],tblPayCalendar[PeriodEnd],""))</f>
        <v/>
      </c>
      <c r="I883" s="24" t="e" cm="1" vm="1">
        <f t="array" aca="1" ref="I883" ca="1">Table18[Employer Name]</f>
        <v>#VALUE!</v>
      </c>
      <c r="J883" s="3" cm="1">
        <f t="array" ref="J88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83" s="25" t="str">
        <f>_xlfn.XLOOKUP(tblPayrollMaster[[#This Row],[Employee Position]],tblPositionandPayRate[Employee Position],tblPositionandPayRate[Overtime], " ")</f>
        <v xml:space="preserve"> </v>
      </c>
      <c r="L883" s="25">
        <f>_xlfn.XLOOKUP(tblPayrollMaster[[#This Row],[Employee Position]],tblPositionandPayRate[Employee Position],tblPositionandPayRate[Allowance 1],0)*tblPayrollMaster[[#This Row],[Pay Factor]]</f>
        <v>0</v>
      </c>
      <c r="M883" s="25">
        <f>_xlfn.XLOOKUP(tblPayrollMaster[[#This Row],[Employee Position]],tblPositionandPayRate[Employee Position],tblPositionandPayRate[Allowance 2],0)*tblPayrollMaster[[#This Row],[Pay Factor]]</f>
        <v>0</v>
      </c>
      <c r="N883" s="25">
        <f>_xlfn.XLOOKUP(tblPayrollMaster[[#This Row],[Employee Position]],tblPositionandPayRate[Employee Position],tblPositionandPayRate[Allowance 3],0)*tblPayrollMaster[[#This Row],[Pay Factor]]</f>
        <v>0</v>
      </c>
      <c r="O883" s="25">
        <f>_xlfn.XLOOKUP(tblPayrollMaster[[#This Row],[Employee Position]],tblPositionandPayRate[Employee Position],tblPositionandPayRate[Allowance 4],0)*tblPayrollMaster[[#This Row],[Pay Factor]]</f>
        <v>0</v>
      </c>
      <c r="P883" s="25">
        <f>_xlfn.XLOOKUP(tblPayrollMaster[[#This Row],[Employee Position]],tblPositionandPayRate[Employee Position],tblPositionandPayRate[Allowance 5],0)*tblPayrollMaster[[#This Row],[Pay Factor]]</f>
        <v>0</v>
      </c>
      <c r="Q883" s="25">
        <f>SUM(tblPayrollMaster[[#This Row],[Basic Pay]:[Allowance 5]])</f>
        <v>0</v>
      </c>
      <c r="R88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83" s="51" cm="1">
        <f t="array" ref="S8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83" s="3" cm="1">
        <f t="array" ref="T8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83" s="25">
        <f>_xlfn.LET(
_xlpm.tos, _xlfn.XLOOKUP(tblPayrollMaster[[#This Row],[Employee ID]], tblEmployee[Employee ID], tblEmployee[Type of Service], ""),
IF(_xlpm.tos="Contract of Service", 8.25, 0)
)</f>
        <v>0</v>
      </c>
      <c r="V883" s="25">
        <f>tblPayrollMaster[[#This Row],[Basic Earnings]]-tblPayrollMaster[[#This Row],[Tax]]-tblPayrollMaster[[#This Row],[NIS - Employee]]-tblPayrollMaster[[#This Row],[Health Surcharge]]</f>
        <v>0</v>
      </c>
      <c r="W883" s="25">
        <f>tblPayrollMaster[[#This Row],[Net Pay]]</f>
        <v>0</v>
      </c>
      <c r="X883" s="25"/>
    </row>
    <row r="884" spans="1:24" x14ac:dyDescent="0.25">
      <c r="A884" s="24"/>
      <c r="B884" s="24" t="str">
        <f>_xlfn.XLOOKUP(tblPayrollMaster[[#This Row],[Employee ID]],tblEmployee[Employee ID],tblEmployee[Employee Name],"")</f>
        <v/>
      </c>
      <c r="C884" s="24" t="str">
        <f>_xlfn.XLOOKUP(tblPayrollMaster[[#This Row],[Employee ID]],tblEmployee[Employee ID],tblEmployee[Employee Position],"")</f>
        <v/>
      </c>
      <c r="D884" s="24" t="str">
        <f>_xlfn.XLOOKUP(tblPayrollMaster[[#This Row],[Employee ID]], tblEmployee[Employee ID], tblEmployee[Pay Status], "Pay")</f>
        <v>Pay</v>
      </c>
      <c r="E884" s="24" t="str">
        <f>_xlfn.XLOOKUP(tblPayrollMaster[[#This Row],[Employee ID]], tblEmployee[Employee ID], tblEmployee[Payable Flag], "Y")</f>
        <v>Y</v>
      </c>
      <c r="F884" s="45">
        <f>IF(tblPayrollMaster[[#This Row],[Payable Flag]]="N",0,_xlfn.XLOOKUP(tblPayrollMaster[[#This Row],[Employee ID]],tblEmployee[Employee ID],tblEmployee[Pay Factor],1))</f>
        <v>1</v>
      </c>
      <c r="G884" s="26" t="str" cm="1">
        <f t="array" ref="G884">IF(tblPayrollMaster[[#This Row],[Employee ID]]="","",_xlfn.XLOOKUP(selPayPeriodID,tblPayCalendar[PayPeriodID],tblPayCalendar[PeriodStart],""))</f>
        <v/>
      </c>
      <c r="H884" s="26" t="str" cm="1">
        <f t="array" ref="H884">IF(tblPayrollMaster[[#This Row],[Employee ID]]="","",_xlfn.XLOOKUP(selPayPeriodID,tblPayCalendar[PayPeriodID],tblPayCalendar[PeriodEnd],""))</f>
        <v/>
      </c>
      <c r="I884" s="24" t="e" cm="1" vm="1">
        <f t="array" aca="1" ref="I884" ca="1">Table18[Employer Name]</f>
        <v>#VALUE!</v>
      </c>
      <c r="J884" s="3" cm="1">
        <f t="array" ref="J88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84" s="25" t="str">
        <f>_xlfn.XLOOKUP(tblPayrollMaster[[#This Row],[Employee Position]],tblPositionandPayRate[Employee Position],tblPositionandPayRate[Overtime], " ")</f>
        <v xml:space="preserve"> </v>
      </c>
      <c r="L884" s="25">
        <f>_xlfn.XLOOKUP(tblPayrollMaster[[#This Row],[Employee Position]],tblPositionandPayRate[Employee Position],tblPositionandPayRate[Allowance 1],0)*tblPayrollMaster[[#This Row],[Pay Factor]]</f>
        <v>0</v>
      </c>
      <c r="M884" s="25">
        <f>_xlfn.XLOOKUP(tblPayrollMaster[[#This Row],[Employee Position]],tblPositionandPayRate[Employee Position],tblPositionandPayRate[Allowance 2],0)*tblPayrollMaster[[#This Row],[Pay Factor]]</f>
        <v>0</v>
      </c>
      <c r="N884" s="25">
        <f>_xlfn.XLOOKUP(tblPayrollMaster[[#This Row],[Employee Position]],tblPositionandPayRate[Employee Position],tblPositionandPayRate[Allowance 3],0)*tblPayrollMaster[[#This Row],[Pay Factor]]</f>
        <v>0</v>
      </c>
      <c r="O884" s="25">
        <f>_xlfn.XLOOKUP(tblPayrollMaster[[#This Row],[Employee Position]],tblPositionandPayRate[Employee Position],tblPositionandPayRate[Allowance 4],0)*tblPayrollMaster[[#This Row],[Pay Factor]]</f>
        <v>0</v>
      </c>
      <c r="P884" s="25">
        <f>_xlfn.XLOOKUP(tblPayrollMaster[[#This Row],[Employee Position]],tblPositionandPayRate[Employee Position],tblPositionandPayRate[Allowance 5],0)*tblPayrollMaster[[#This Row],[Pay Factor]]</f>
        <v>0</v>
      </c>
      <c r="Q884" s="25">
        <f>SUM(tblPayrollMaster[[#This Row],[Basic Pay]:[Allowance 5]])</f>
        <v>0</v>
      </c>
      <c r="R88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84" s="51" cm="1">
        <f t="array" ref="S8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84" s="3" cm="1">
        <f t="array" ref="T8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84" s="25">
        <f>_xlfn.LET(
_xlpm.tos, _xlfn.XLOOKUP(tblPayrollMaster[[#This Row],[Employee ID]], tblEmployee[Employee ID], tblEmployee[Type of Service], ""),
IF(_xlpm.tos="Contract of Service", 8.25, 0)
)</f>
        <v>0</v>
      </c>
      <c r="V884" s="25">
        <f>tblPayrollMaster[[#This Row],[Basic Earnings]]-tblPayrollMaster[[#This Row],[Tax]]-tblPayrollMaster[[#This Row],[NIS - Employee]]-tblPayrollMaster[[#This Row],[Health Surcharge]]</f>
        <v>0</v>
      </c>
      <c r="W884" s="25">
        <f>tblPayrollMaster[[#This Row],[Net Pay]]</f>
        <v>0</v>
      </c>
      <c r="X884" s="25"/>
    </row>
    <row r="885" spans="1:24" x14ac:dyDescent="0.25">
      <c r="A885" s="24"/>
      <c r="B885" s="24" t="str">
        <f>_xlfn.XLOOKUP(tblPayrollMaster[[#This Row],[Employee ID]],tblEmployee[Employee ID],tblEmployee[Employee Name],"")</f>
        <v/>
      </c>
      <c r="C885" s="24" t="str">
        <f>_xlfn.XLOOKUP(tblPayrollMaster[[#This Row],[Employee ID]],tblEmployee[Employee ID],tblEmployee[Employee Position],"")</f>
        <v/>
      </c>
      <c r="D885" s="24" t="str">
        <f>_xlfn.XLOOKUP(tblPayrollMaster[[#This Row],[Employee ID]], tblEmployee[Employee ID], tblEmployee[Pay Status], "Pay")</f>
        <v>Pay</v>
      </c>
      <c r="E885" s="24" t="str">
        <f>_xlfn.XLOOKUP(tblPayrollMaster[[#This Row],[Employee ID]], tblEmployee[Employee ID], tblEmployee[Payable Flag], "Y")</f>
        <v>Y</v>
      </c>
      <c r="F885" s="45">
        <f>IF(tblPayrollMaster[[#This Row],[Payable Flag]]="N",0,_xlfn.XLOOKUP(tblPayrollMaster[[#This Row],[Employee ID]],tblEmployee[Employee ID],tblEmployee[Pay Factor],1))</f>
        <v>1</v>
      </c>
      <c r="G885" s="26" t="str" cm="1">
        <f t="array" ref="G885">IF(tblPayrollMaster[[#This Row],[Employee ID]]="","",_xlfn.XLOOKUP(selPayPeriodID,tblPayCalendar[PayPeriodID],tblPayCalendar[PeriodStart],""))</f>
        <v/>
      </c>
      <c r="H885" s="26" t="str" cm="1">
        <f t="array" ref="H885">IF(tblPayrollMaster[[#This Row],[Employee ID]]="","",_xlfn.XLOOKUP(selPayPeriodID,tblPayCalendar[PayPeriodID],tblPayCalendar[PeriodEnd],""))</f>
        <v/>
      </c>
      <c r="I885" s="24" t="e" cm="1" vm="1">
        <f t="array" aca="1" ref="I885" ca="1">Table18[Employer Name]</f>
        <v>#VALUE!</v>
      </c>
      <c r="J885" s="3" cm="1">
        <f t="array" ref="J88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85" s="25" t="str">
        <f>_xlfn.XLOOKUP(tblPayrollMaster[[#This Row],[Employee Position]],tblPositionandPayRate[Employee Position],tblPositionandPayRate[Overtime], " ")</f>
        <v xml:space="preserve"> </v>
      </c>
      <c r="L885" s="25">
        <f>_xlfn.XLOOKUP(tblPayrollMaster[[#This Row],[Employee Position]],tblPositionandPayRate[Employee Position],tblPositionandPayRate[Allowance 1],0)*tblPayrollMaster[[#This Row],[Pay Factor]]</f>
        <v>0</v>
      </c>
      <c r="M885" s="25">
        <f>_xlfn.XLOOKUP(tblPayrollMaster[[#This Row],[Employee Position]],tblPositionandPayRate[Employee Position],tblPositionandPayRate[Allowance 2],0)*tblPayrollMaster[[#This Row],[Pay Factor]]</f>
        <v>0</v>
      </c>
      <c r="N885" s="25">
        <f>_xlfn.XLOOKUP(tblPayrollMaster[[#This Row],[Employee Position]],tblPositionandPayRate[Employee Position],tblPositionandPayRate[Allowance 3],0)*tblPayrollMaster[[#This Row],[Pay Factor]]</f>
        <v>0</v>
      </c>
      <c r="O885" s="25">
        <f>_xlfn.XLOOKUP(tblPayrollMaster[[#This Row],[Employee Position]],tblPositionandPayRate[Employee Position],tblPositionandPayRate[Allowance 4],0)*tblPayrollMaster[[#This Row],[Pay Factor]]</f>
        <v>0</v>
      </c>
      <c r="P885" s="25">
        <f>_xlfn.XLOOKUP(tblPayrollMaster[[#This Row],[Employee Position]],tblPositionandPayRate[Employee Position],tblPositionandPayRate[Allowance 5],0)*tblPayrollMaster[[#This Row],[Pay Factor]]</f>
        <v>0</v>
      </c>
      <c r="Q885" s="25">
        <f>SUM(tblPayrollMaster[[#This Row],[Basic Pay]:[Allowance 5]])</f>
        <v>0</v>
      </c>
      <c r="R88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85" s="51" cm="1">
        <f t="array" ref="S8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85" s="3" cm="1">
        <f t="array" ref="T8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85" s="25">
        <f>_xlfn.LET(
_xlpm.tos, _xlfn.XLOOKUP(tblPayrollMaster[[#This Row],[Employee ID]], tblEmployee[Employee ID], tblEmployee[Type of Service], ""),
IF(_xlpm.tos="Contract of Service", 8.25, 0)
)</f>
        <v>0</v>
      </c>
      <c r="V885" s="25">
        <f>tblPayrollMaster[[#This Row],[Basic Earnings]]-tblPayrollMaster[[#This Row],[Tax]]-tblPayrollMaster[[#This Row],[NIS - Employee]]-tblPayrollMaster[[#This Row],[Health Surcharge]]</f>
        <v>0</v>
      </c>
      <c r="W885" s="25">
        <f>tblPayrollMaster[[#This Row],[Net Pay]]</f>
        <v>0</v>
      </c>
      <c r="X885" s="25"/>
    </row>
    <row r="886" spans="1:24" x14ac:dyDescent="0.25">
      <c r="A886" s="24"/>
      <c r="B886" s="24" t="str">
        <f>_xlfn.XLOOKUP(tblPayrollMaster[[#This Row],[Employee ID]],tblEmployee[Employee ID],tblEmployee[Employee Name],"")</f>
        <v/>
      </c>
      <c r="C886" s="24" t="str">
        <f>_xlfn.XLOOKUP(tblPayrollMaster[[#This Row],[Employee ID]],tblEmployee[Employee ID],tblEmployee[Employee Position],"")</f>
        <v/>
      </c>
      <c r="D886" s="24" t="str">
        <f>_xlfn.XLOOKUP(tblPayrollMaster[[#This Row],[Employee ID]], tblEmployee[Employee ID], tblEmployee[Pay Status], "Pay")</f>
        <v>Pay</v>
      </c>
      <c r="E886" s="24" t="str">
        <f>_xlfn.XLOOKUP(tblPayrollMaster[[#This Row],[Employee ID]], tblEmployee[Employee ID], tblEmployee[Payable Flag], "Y")</f>
        <v>Y</v>
      </c>
      <c r="F886" s="45">
        <f>IF(tblPayrollMaster[[#This Row],[Payable Flag]]="N",0,_xlfn.XLOOKUP(tblPayrollMaster[[#This Row],[Employee ID]],tblEmployee[Employee ID],tblEmployee[Pay Factor],1))</f>
        <v>1</v>
      </c>
      <c r="G886" s="26" t="str" cm="1">
        <f t="array" ref="G886">IF(tblPayrollMaster[[#This Row],[Employee ID]]="","",_xlfn.XLOOKUP(selPayPeriodID,tblPayCalendar[PayPeriodID],tblPayCalendar[PeriodStart],""))</f>
        <v/>
      </c>
      <c r="H886" s="26" t="str" cm="1">
        <f t="array" ref="H886">IF(tblPayrollMaster[[#This Row],[Employee ID]]="","",_xlfn.XLOOKUP(selPayPeriodID,tblPayCalendar[PayPeriodID],tblPayCalendar[PeriodEnd],""))</f>
        <v/>
      </c>
      <c r="I886" s="24" t="e" cm="1" vm="1">
        <f t="array" aca="1" ref="I886" ca="1">Table18[Employer Name]</f>
        <v>#VALUE!</v>
      </c>
      <c r="J886" s="3" cm="1">
        <f t="array" ref="J88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86" s="25" t="str">
        <f>_xlfn.XLOOKUP(tblPayrollMaster[[#This Row],[Employee Position]],tblPositionandPayRate[Employee Position],tblPositionandPayRate[Overtime], " ")</f>
        <v xml:space="preserve"> </v>
      </c>
      <c r="L886" s="25">
        <f>_xlfn.XLOOKUP(tblPayrollMaster[[#This Row],[Employee Position]],tblPositionandPayRate[Employee Position],tblPositionandPayRate[Allowance 1],0)*tblPayrollMaster[[#This Row],[Pay Factor]]</f>
        <v>0</v>
      </c>
      <c r="M886" s="25">
        <f>_xlfn.XLOOKUP(tblPayrollMaster[[#This Row],[Employee Position]],tblPositionandPayRate[Employee Position],tblPositionandPayRate[Allowance 2],0)*tblPayrollMaster[[#This Row],[Pay Factor]]</f>
        <v>0</v>
      </c>
      <c r="N886" s="25">
        <f>_xlfn.XLOOKUP(tblPayrollMaster[[#This Row],[Employee Position]],tblPositionandPayRate[Employee Position],tblPositionandPayRate[Allowance 3],0)*tblPayrollMaster[[#This Row],[Pay Factor]]</f>
        <v>0</v>
      </c>
      <c r="O886" s="25">
        <f>_xlfn.XLOOKUP(tblPayrollMaster[[#This Row],[Employee Position]],tblPositionandPayRate[Employee Position],tblPositionandPayRate[Allowance 4],0)*tblPayrollMaster[[#This Row],[Pay Factor]]</f>
        <v>0</v>
      </c>
      <c r="P886" s="25">
        <f>_xlfn.XLOOKUP(tblPayrollMaster[[#This Row],[Employee Position]],tblPositionandPayRate[Employee Position],tblPositionandPayRate[Allowance 5],0)*tblPayrollMaster[[#This Row],[Pay Factor]]</f>
        <v>0</v>
      </c>
      <c r="Q886" s="25">
        <f>SUM(tblPayrollMaster[[#This Row],[Basic Pay]:[Allowance 5]])</f>
        <v>0</v>
      </c>
      <c r="R88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86" s="51" cm="1">
        <f t="array" ref="S8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86" s="3" cm="1">
        <f t="array" ref="T8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86" s="25">
        <f>_xlfn.LET(
_xlpm.tos, _xlfn.XLOOKUP(tblPayrollMaster[[#This Row],[Employee ID]], tblEmployee[Employee ID], tblEmployee[Type of Service], ""),
IF(_xlpm.tos="Contract of Service", 8.25, 0)
)</f>
        <v>0</v>
      </c>
      <c r="V886" s="25">
        <f>tblPayrollMaster[[#This Row],[Basic Earnings]]-tblPayrollMaster[[#This Row],[Tax]]-tblPayrollMaster[[#This Row],[NIS - Employee]]-tblPayrollMaster[[#This Row],[Health Surcharge]]</f>
        <v>0</v>
      </c>
      <c r="W886" s="25">
        <f>tblPayrollMaster[[#This Row],[Net Pay]]</f>
        <v>0</v>
      </c>
      <c r="X886" s="25"/>
    </row>
    <row r="887" spans="1:24" x14ac:dyDescent="0.25">
      <c r="A887" s="24"/>
      <c r="B887" s="24" t="str">
        <f>_xlfn.XLOOKUP(tblPayrollMaster[[#This Row],[Employee ID]],tblEmployee[Employee ID],tblEmployee[Employee Name],"")</f>
        <v/>
      </c>
      <c r="C887" s="24" t="str">
        <f>_xlfn.XLOOKUP(tblPayrollMaster[[#This Row],[Employee ID]],tblEmployee[Employee ID],tblEmployee[Employee Position],"")</f>
        <v/>
      </c>
      <c r="D887" s="24" t="str">
        <f>_xlfn.XLOOKUP(tblPayrollMaster[[#This Row],[Employee ID]], tblEmployee[Employee ID], tblEmployee[Pay Status], "Pay")</f>
        <v>Pay</v>
      </c>
      <c r="E887" s="24" t="str">
        <f>_xlfn.XLOOKUP(tblPayrollMaster[[#This Row],[Employee ID]], tblEmployee[Employee ID], tblEmployee[Payable Flag], "Y")</f>
        <v>Y</v>
      </c>
      <c r="F887" s="45">
        <f>IF(tblPayrollMaster[[#This Row],[Payable Flag]]="N",0,_xlfn.XLOOKUP(tblPayrollMaster[[#This Row],[Employee ID]],tblEmployee[Employee ID],tblEmployee[Pay Factor],1))</f>
        <v>1</v>
      </c>
      <c r="G887" s="26" t="str" cm="1">
        <f t="array" ref="G887">IF(tblPayrollMaster[[#This Row],[Employee ID]]="","",_xlfn.XLOOKUP(selPayPeriodID,tblPayCalendar[PayPeriodID],tblPayCalendar[PeriodStart],""))</f>
        <v/>
      </c>
      <c r="H887" s="26" t="str" cm="1">
        <f t="array" ref="H887">IF(tblPayrollMaster[[#This Row],[Employee ID]]="","",_xlfn.XLOOKUP(selPayPeriodID,tblPayCalendar[PayPeriodID],tblPayCalendar[PeriodEnd],""))</f>
        <v/>
      </c>
      <c r="I887" s="24" t="e" cm="1" vm="1">
        <f t="array" aca="1" ref="I887" ca="1">Table18[Employer Name]</f>
        <v>#VALUE!</v>
      </c>
      <c r="J887" s="3" cm="1">
        <f t="array" ref="J88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87" s="25" t="str">
        <f>_xlfn.XLOOKUP(tblPayrollMaster[[#This Row],[Employee Position]],tblPositionandPayRate[Employee Position],tblPositionandPayRate[Overtime], " ")</f>
        <v xml:space="preserve"> </v>
      </c>
      <c r="L887" s="25">
        <f>_xlfn.XLOOKUP(tblPayrollMaster[[#This Row],[Employee Position]],tblPositionandPayRate[Employee Position],tblPositionandPayRate[Allowance 1],0)*tblPayrollMaster[[#This Row],[Pay Factor]]</f>
        <v>0</v>
      </c>
      <c r="M887" s="25">
        <f>_xlfn.XLOOKUP(tblPayrollMaster[[#This Row],[Employee Position]],tblPositionandPayRate[Employee Position],tblPositionandPayRate[Allowance 2],0)*tblPayrollMaster[[#This Row],[Pay Factor]]</f>
        <v>0</v>
      </c>
      <c r="N887" s="25">
        <f>_xlfn.XLOOKUP(tblPayrollMaster[[#This Row],[Employee Position]],tblPositionandPayRate[Employee Position],tblPositionandPayRate[Allowance 3],0)*tblPayrollMaster[[#This Row],[Pay Factor]]</f>
        <v>0</v>
      </c>
      <c r="O887" s="25">
        <f>_xlfn.XLOOKUP(tblPayrollMaster[[#This Row],[Employee Position]],tblPositionandPayRate[Employee Position],tblPositionandPayRate[Allowance 4],0)*tblPayrollMaster[[#This Row],[Pay Factor]]</f>
        <v>0</v>
      </c>
      <c r="P887" s="25">
        <f>_xlfn.XLOOKUP(tblPayrollMaster[[#This Row],[Employee Position]],tblPositionandPayRate[Employee Position],tblPositionandPayRate[Allowance 5],0)*tblPayrollMaster[[#This Row],[Pay Factor]]</f>
        <v>0</v>
      </c>
      <c r="Q887" s="25">
        <f>SUM(tblPayrollMaster[[#This Row],[Basic Pay]:[Allowance 5]])</f>
        <v>0</v>
      </c>
      <c r="R88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87" s="51" cm="1">
        <f t="array" ref="S8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87" s="3" cm="1">
        <f t="array" ref="T8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87" s="25">
        <f>_xlfn.LET(
_xlpm.tos, _xlfn.XLOOKUP(tblPayrollMaster[[#This Row],[Employee ID]], tblEmployee[Employee ID], tblEmployee[Type of Service], ""),
IF(_xlpm.tos="Contract of Service", 8.25, 0)
)</f>
        <v>0</v>
      </c>
      <c r="V887" s="25">
        <f>tblPayrollMaster[[#This Row],[Basic Earnings]]-tblPayrollMaster[[#This Row],[Tax]]-tblPayrollMaster[[#This Row],[NIS - Employee]]-tblPayrollMaster[[#This Row],[Health Surcharge]]</f>
        <v>0</v>
      </c>
      <c r="W887" s="25">
        <f>tblPayrollMaster[[#This Row],[Net Pay]]</f>
        <v>0</v>
      </c>
      <c r="X887" s="25"/>
    </row>
    <row r="888" spans="1:24" x14ac:dyDescent="0.25">
      <c r="A888" s="24"/>
      <c r="B888" s="24" t="str">
        <f>_xlfn.XLOOKUP(tblPayrollMaster[[#This Row],[Employee ID]],tblEmployee[Employee ID],tblEmployee[Employee Name],"")</f>
        <v/>
      </c>
      <c r="C888" s="24" t="str">
        <f>_xlfn.XLOOKUP(tblPayrollMaster[[#This Row],[Employee ID]],tblEmployee[Employee ID],tblEmployee[Employee Position],"")</f>
        <v/>
      </c>
      <c r="D888" s="24" t="str">
        <f>_xlfn.XLOOKUP(tblPayrollMaster[[#This Row],[Employee ID]], tblEmployee[Employee ID], tblEmployee[Pay Status], "Pay")</f>
        <v>Pay</v>
      </c>
      <c r="E888" s="24" t="str">
        <f>_xlfn.XLOOKUP(tblPayrollMaster[[#This Row],[Employee ID]], tblEmployee[Employee ID], tblEmployee[Payable Flag], "Y")</f>
        <v>Y</v>
      </c>
      <c r="F888" s="45">
        <f>IF(tblPayrollMaster[[#This Row],[Payable Flag]]="N",0,_xlfn.XLOOKUP(tblPayrollMaster[[#This Row],[Employee ID]],tblEmployee[Employee ID],tblEmployee[Pay Factor],1))</f>
        <v>1</v>
      </c>
      <c r="G888" s="26" t="str" cm="1">
        <f t="array" ref="G888">IF(tblPayrollMaster[[#This Row],[Employee ID]]="","",_xlfn.XLOOKUP(selPayPeriodID,tblPayCalendar[PayPeriodID],tblPayCalendar[PeriodStart],""))</f>
        <v/>
      </c>
      <c r="H888" s="26" t="str" cm="1">
        <f t="array" ref="H888">IF(tblPayrollMaster[[#This Row],[Employee ID]]="","",_xlfn.XLOOKUP(selPayPeriodID,tblPayCalendar[PayPeriodID],tblPayCalendar[PeriodEnd],""))</f>
        <v/>
      </c>
      <c r="I888" s="24" t="e" cm="1" vm="1">
        <f t="array" aca="1" ref="I888" ca="1">Table18[Employer Name]</f>
        <v>#VALUE!</v>
      </c>
      <c r="J888" s="3" cm="1">
        <f t="array" ref="J88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88" s="25" t="str">
        <f>_xlfn.XLOOKUP(tblPayrollMaster[[#This Row],[Employee Position]],tblPositionandPayRate[Employee Position],tblPositionandPayRate[Overtime], " ")</f>
        <v xml:space="preserve"> </v>
      </c>
      <c r="L888" s="25">
        <f>_xlfn.XLOOKUP(tblPayrollMaster[[#This Row],[Employee Position]],tblPositionandPayRate[Employee Position],tblPositionandPayRate[Allowance 1],0)*tblPayrollMaster[[#This Row],[Pay Factor]]</f>
        <v>0</v>
      </c>
      <c r="M888" s="25">
        <f>_xlfn.XLOOKUP(tblPayrollMaster[[#This Row],[Employee Position]],tblPositionandPayRate[Employee Position],tblPositionandPayRate[Allowance 2],0)*tblPayrollMaster[[#This Row],[Pay Factor]]</f>
        <v>0</v>
      </c>
      <c r="N888" s="25">
        <f>_xlfn.XLOOKUP(tblPayrollMaster[[#This Row],[Employee Position]],tblPositionandPayRate[Employee Position],tblPositionandPayRate[Allowance 3],0)*tblPayrollMaster[[#This Row],[Pay Factor]]</f>
        <v>0</v>
      </c>
      <c r="O888" s="25">
        <f>_xlfn.XLOOKUP(tblPayrollMaster[[#This Row],[Employee Position]],tblPositionandPayRate[Employee Position],tblPositionandPayRate[Allowance 4],0)*tblPayrollMaster[[#This Row],[Pay Factor]]</f>
        <v>0</v>
      </c>
      <c r="P888" s="25">
        <f>_xlfn.XLOOKUP(tblPayrollMaster[[#This Row],[Employee Position]],tblPositionandPayRate[Employee Position],tblPositionandPayRate[Allowance 5],0)*tblPayrollMaster[[#This Row],[Pay Factor]]</f>
        <v>0</v>
      </c>
      <c r="Q888" s="25">
        <f>SUM(tblPayrollMaster[[#This Row],[Basic Pay]:[Allowance 5]])</f>
        <v>0</v>
      </c>
      <c r="R88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88" s="51" cm="1">
        <f t="array" ref="S8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88" s="3" cm="1">
        <f t="array" ref="T8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88" s="25">
        <f>_xlfn.LET(
_xlpm.tos, _xlfn.XLOOKUP(tblPayrollMaster[[#This Row],[Employee ID]], tblEmployee[Employee ID], tblEmployee[Type of Service], ""),
IF(_xlpm.tos="Contract of Service", 8.25, 0)
)</f>
        <v>0</v>
      </c>
      <c r="V888" s="25">
        <f>tblPayrollMaster[[#This Row],[Basic Earnings]]-tblPayrollMaster[[#This Row],[Tax]]-tblPayrollMaster[[#This Row],[NIS - Employee]]-tblPayrollMaster[[#This Row],[Health Surcharge]]</f>
        <v>0</v>
      </c>
      <c r="W888" s="25">
        <f>tblPayrollMaster[[#This Row],[Net Pay]]</f>
        <v>0</v>
      </c>
      <c r="X888" s="25"/>
    </row>
    <row r="889" spans="1:24" x14ac:dyDescent="0.25">
      <c r="A889" s="24"/>
      <c r="B889" s="24" t="str">
        <f>_xlfn.XLOOKUP(tblPayrollMaster[[#This Row],[Employee ID]],tblEmployee[Employee ID],tblEmployee[Employee Name],"")</f>
        <v/>
      </c>
      <c r="C889" s="24" t="str">
        <f>_xlfn.XLOOKUP(tblPayrollMaster[[#This Row],[Employee ID]],tblEmployee[Employee ID],tblEmployee[Employee Position],"")</f>
        <v/>
      </c>
      <c r="D889" s="24" t="str">
        <f>_xlfn.XLOOKUP(tblPayrollMaster[[#This Row],[Employee ID]], tblEmployee[Employee ID], tblEmployee[Pay Status], "Pay")</f>
        <v>Pay</v>
      </c>
      <c r="E889" s="24" t="str">
        <f>_xlfn.XLOOKUP(tblPayrollMaster[[#This Row],[Employee ID]], tblEmployee[Employee ID], tblEmployee[Payable Flag], "Y")</f>
        <v>Y</v>
      </c>
      <c r="F889" s="45">
        <f>IF(tblPayrollMaster[[#This Row],[Payable Flag]]="N",0,_xlfn.XLOOKUP(tblPayrollMaster[[#This Row],[Employee ID]],tblEmployee[Employee ID],tblEmployee[Pay Factor],1))</f>
        <v>1</v>
      </c>
      <c r="G889" s="26" t="str" cm="1">
        <f t="array" ref="G889">IF(tblPayrollMaster[[#This Row],[Employee ID]]="","",_xlfn.XLOOKUP(selPayPeriodID,tblPayCalendar[PayPeriodID],tblPayCalendar[PeriodStart],""))</f>
        <v/>
      </c>
      <c r="H889" s="26" t="str" cm="1">
        <f t="array" ref="H889">IF(tblPayrollMaster[[#This Row],[Employee ID]]="","",_xlfn.XLOOKUP(selPayPeriodID,tblPayCalendar[PayPeriodID],tblPayCalendar[PeriodEnd],""))</f>
        <v/>
      </c>
      <c r="I889" s="24" t="e" cm="1" vm="1">
        <f t="array" aca="1" ref="I889" ca="1">Table18[Employer Name]</f>
        <v>#VALUE!</v>
      </c>
      <c r="J889" s="3" cm="1">
        <f t="array" ref="J88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89" s="25" t="str">
        <f>_xlfn.XLOOKUP(tblPayrollMaster[[#This Row],[Employee Position]],tblPositionandPayRate[Employee Position],tblPositionandPayRate[Overtime], " ")</f>
        <v xml:space="preserve"> </v>
      </c>
      <c r="L889" s="25">
        <f>_xlfn.XLOOKUP(tblPayrollMaster[[#This Row],[Employee Position]],tblPositionandPayRate[Employee Position],tblPositionandPayRate[Allowance 1],0)*tblPayrollMaster[[#This Row],[Pay Factor]]</f>
        <v>0</v>
      </c>
      <c r="M889" s="25">
        <f>_xlfn.XLOOKUP(tblPayrollMaster[[#This Row],[Employee Position]],tblPositionandPayRate[Employee Position],tblPositionandPayRate[Allowance 2],0)*tblPayrollMaster[[#This Row],[Pay Factor]]</f>
        <v>0</v>
      </c>
      <c r="N889" s="25">
        <f>_xlfn.XLOOKUP(tblPayrollMaster[[#This Row],[Employee Position]],tblPositionandPayRate[Employee Position],tblPositionandPayRate[Allowance 3],0)*tblPayrollMaster[[#This Row],[Pay Factor]]</f>
        <v>0</v>
      </c>
      <c r="O889" s="25">
        <f>_xlfn.XLOOKUP(tblPayrollMaster[[#This Row],[Employee Position]],tblPositionandPayRate[Employee Position],tblPositionandPayRate[Allowance 4],0)*tblPayrollMaster[[#This Row],[Pay Factor]]</f>
        <v>0</v>
      </c>
      <c r="P889" s="25">
        <f>_xlfn.XLOOKUP(tblPayrollMaster[[#This Row],[Employee Position]],tblPositionandPayRate[Employee Position],tblPositionandPayRate[Allowance 5],0)*tblPayrollMaster[[#This Row],[Pay Factor]]</f>
        <v>0</v>
      </c>
      <c r="Q889" s="25">
        <f>SUM(tblPayrollMaster[[#This Row],[Basic Pay]:[Allowance 5]])</f>
        <v>0</v>
      </c>
      <c r="R88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89" s="51" cm="1">
        <f t="array" ref="S8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89" s="3" cm="1">
        <f t="array" ref="T8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89" s="25">
        <f>_xlfn.LET(
_xlpm.tos, _xlfn.XLOOKUP(tblPayrollMaster[[#This Row],[Employee ID]], tblEmployee[Employee ID], tblEmployee[Type of Service], ""),
IF(_xlpm.tos="Contract of Service", 8.25, 0)
)</f>
        <v>0</v>
      </c>
      <c r="V889" s="25">
        <f>tblPayrollMaster[[#This Row],[Basic Earnings]]-tblPayrollMaster[[#This Row],[Tax]]-tblPayrollMaster[[#This Row],[NIS - Employee]]-tblPayrollMaster[[#This Row],[Health Surcharge]]</f>
        <v>0</v>
      </c>
      <c r="W889" s="25">
        <f>tblPayrollMaster[[#This Row],[Net Pay]]</f>
        <v>0</v>
      </c>
      <c r="X889" s="25"/>
    </row>
    <row r="890" spans="1:24" x14ac:dyDescent="0.25">
      <c r="A890" s="24"/>
      <c r="B890" s="24" t="str">
        <f>_xlfn.XLOOKUP(tblPayrollMaster[[#This Row],[Employee ID]],tblEmployee[Employee ID],tblEmployee[Employee Name],"")</f>
        <v/>
      </c>
      <c r="C890" s="24" t="str">
        <f>_xlfn.XLOOKUP(tblPayrollMaster[[#This Row],[Employee ID]],tblEmployee[Employee ID],tblEmployee[Employee Position],"")</f>
        <v/>
      </c>
      <c r="D890" s="24" t="str">
        <f>_xlfn.XLOOKUP(tblPayrollMaster[[#This Row],[Employee ID]], tblEmployee[Employee ID], tblEmployee[Pay Status], "Pay")</f>
        <v>Pay</v>
      </c>
      <c r="E890" s="24" t="str">
        <f>_xlfn.XLOOKUP(tblPayrollMaster[[#This Row],[Employee ID]], tblEmployee[Employee ID], tblEmployee[Payable Flag], "Y")</f>
        <v>Y</v>
      </c>
      <c r="F890" s="45">
        <f>IF(tblPayrollMaster[[#This Row],[Payable Flag]]="N",0,_xlfn.XLOOKUP(tblPayrollMaster[[#This Row],[Employee ID]],tblEmployee[Employee ID],tblEmployee[Pay Factor],1))</f>
        <v>1</v>
      </c>
      <c r="G890" s="26" t="str" cm="1">
        <f t="array" ref="G890">IF(tblPayrollMaster[[#This Row],[Employee ID]]="","",_xlfn.XLOOKUP(selPayPeriodID,tblPayCalendar[PayPeriodID],tblPayCalendar[PeriodStart],""))</f>
        <v/>
      </c>
      <c r="H890" s="26" t="str" cm="1">
        <f t="array" ref="H890">IF(tblPayrollMaster[[#This Row],[Employee ID]]="","",_xlfn.XLOOKUP(selPayPeriodID,tblPayCalendar[PayPeriodID],tblPayCalendar[PeriodEnd],""))</f>
        <v/>
      </c>
      <c r="I890" s="24" t="e" cm="1" vm="1">
        <f t="array" aca="1" ref="I890" ca="1">Table18[Employer Name]</f>
        <v>#VALUE!</v>
      </c>
      <c r="J890" s="3" cm="1">
        <f t="array" ref="J89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90" s="25" t="str">
        <f>_xlfn.XLOOKUP(tblPayrollMaster[[#This Row],[Employee Position]],tblPositionandPayRate[Employee Position],tblPositionandPayRate[Overtime], " ")</f>
        <v xml:space="preserve"> </v>
      </c>
      <c r="L890" s="25">
        <f>_xlfn.XLOOKUP(tblPayrollMaster[[#This Row],[Employee Position]],tblPositionandPayRate[Employee Position],tblPositionandPayRate[Allowance 1],0)*tblPayrollMaster[[#This Row],[Pay Factor]]</f>
        <v>0</v>
      </c>
      <c r="M890" s="25">
        <f>_xlfn.XLOOKUP(tblPayrollMaster[[#This Row],[Employee Position]],tblPositionandPayRate[Employee Position],tblPositionandPayRate[Allowance 2],0)*tblPayrollMaster[[#This Row],[Pay Factor]]</f>
        <v>0</v>
      </c>
      <c r="N890" s="25">
        <f>_xlfn.XLOOKUP(tblPayrollMaster[[#This Row],[Employee Position]],tblPositionandPayRate[Employee Position],tblPositionandPayRate[Allowance 3],0)*tblPayrollMaster[[#This Row],[Pay Factor]]</f>
        <v>0</v>
      </c>
      <c r="O890" s="25">
        <f>_xlfn.XLOOKUP(tblPayrollMaster[[#This Row],[Employee Position]],tblPositionandPayRate[Employee Position],tblPositionandPayRate[Allowance 4],0)*tblPayrollMaster[[#This Row],[Pay Factor]]</f>
        <v>0</v>
      </c>
      <c r="P890" s="25">
        <f>_xlfn.XLOOKUP(tblPayrollMaster[[#This Row],[Employee Position]],tblPositionandPayRate[Employee Position],tblPositionandPayRate[Allowance 5],0)*tblPayrollMaster[[#This Row],[Pay Factor]]</f>
        <v>0</v>
      </c>
      <c r="Q890" s="25">
        <f>SUM(tblPayrollMaster[[#This Row],[Basic Pay]:[Allowance 5]])</f>
        <v>0</v>
      </c>
      <c r="R89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90" s="51" cm="1">
        <f t="array" ref="S8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90" s="3" cm="1">
        <f t="array" ref="T8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90" s="25">
        <f>_xlfn.LET(
_xlpm.tos, _xlfn.XLOOKUP(tblPayrollMaster[[#This Row],[Employee ID]], tblEmployee[Employee ID], tblEmployee[Type of Service], ""),
IF(_xlpm.tos="Contract of Service", 8.25, 0)
)</f>
        <v>0</v>
      </c>
      <c r="V890" s="25">
        <f>tblPayrollMaster[[#This Row],[Basic Earnings]]-tblPayrollMaster[[#This Row],[Tax]]-tblPayrollMaster[[#This Row],[NIS - Employee]]-tblPayrollMaster[[#This Row],[Health Surcharge]]</f>
        <v>0</v>
      </c>
      <c r="W890" s="25">
        <f>tblPayrollMaster[[#This Row],[Net Pay]]</f>
        <v>0</v>
      </c>
      <c r="X890" s="25"/>
    </row>
    <row r="891" spans="1:24" x14ac:dyDescent="0.25">
      <c r="A891" s="24"/>
      <c r="B891" s="24" t="str">
        <f>_xlfn.XLOOKUP(tblPayrollMaster[[#This Row],[Employee ID]],tblEmployee[Employee ID],tblEmployee[Employee Name],"")</f>
        <v/>
      </c>
      <c r="C891" s="24" t="str">
        <f>_xlfn.XLOOKUP(tblPayrollMaster[[#This Row],[Employee ID]],tblEmployee[Employee ID],tblEmployee[Employee Position],"")</f>
        <v/>
      </c>
      <c r="D891" s="24" t="str">
        <f>_xlfn.XLOOKUP(tblPayrollMaster[[#This Row],[Employee ID]], tblEmployee[Employee ID], tblEmployee[Pay Status], "Pay")</f>
        <v>Pay</v>
      </c>
      <c r="E891" s="24" t="str">
        <f>_xlfn.XLOOKUP(tblPayrollMaster[[#This Row],[Employee ID]], tblEmployee[Employee ID], tblEmployee[Payable Flag], "Y")</f>
        <v>Y</v>
      </c>
      <c r="F891" s="45">
        <f>IF(tblPayrollMaster[[#This Row],[Payable Flag]]="N",0,_xlfn.XLOOKUP(tblPayrollMaster[[#This Row],[Employee ID]],tblEmployee[Employee ID],tblEmployee[Pay Factor],1))</f>
        <v>1</v>
      </c>
      <c r="G891" s="26" t="str" cm="1">
        <f t="array" ref="G891">IF(tblPayrollMaster[[#This Row],[Employee ID]]="","",_xlfn.XLOOKUP(selPayPeriodID,tblPayCalendar[PayPeriodID],tblPayCalendar[PeriodStart],""))</f>
        <v/>
      </c>
      <c r="H891" s="26" t="str" cm="1">
        <f t="array" ref="H891">IF(tblPayrollMaster[[#This Row],[Employee ID]]="","",_xlfn.XLOOKUP(selPayPeriodID,tblPayCalendar[PayPeriodID],tblPayCalendar[PeriodEnd],""))</f>
        <v/>
      </c>
      <c r="I891" s="24" t="e" cm="1" vm="1">
        <f t="array" aca="1" ref="I891" ca="1">Table18[Employer Name]</f>
        <v>#VALUE!</v>
      </c>
      <c r="J891" s="3" cm="1">
        <f t="array" ref="J89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91" s="25" t="str">
        <f>_xlfn.XLOOKUP(tblPayrollMaster[[#This Row],[Employee Position]],tblPositionandPayRate[Employee Position],tblPositionandPayRate[Overtime], " ")</f>
        <v xml:space="preserve"> </v>
      </c>
      <c r="L891" s="25">
        <f>_xlfn.XLOOKUP(tblPayrollMaster[[#This Row],[Employee Position]],tblPositionandPayRate[Employee Position],tblPositionandPayRate[Allowance 1],0)*tblPayrollMaster[[#This Row],[Pay Factor]]</f>
        <v>0</v>
      </c>
      <c r="M891" s="25">
        <f>_xlfn.XLOOKUP(tblPayrollMaster[[#This Row],[Employee Position]],tblPositionandPayRate[Employee Position],tblPositionandPayRate[Allowance 2],0)*tblPayrollMaster[[#This Row],[Pay Factor]]</f>
        <v>0</v>
      </c>
      <c r="N891" s="25">
        <f>_xlfn.XLOOKUP(tblPayrollMaster[[#This Row],[Employee Position]],tblPositionandPayRate[Employee Position],tblPositionandPayRate[Allowance 3],0)*tblPayrollMaster[[#This Row],[Pay Factor]]</f>
        <v>0</v>
      </c>
      <c r="O891" s="25">
        <f>_xlfn.XLOOKUP(tblPayrollMaster[[#This Row],[Employee Position]],tblPositionandPayRate[Employee Position],tblPositionandPayRate[Allowance 4],0)*tblPayrollMaster[[#This Row],[Pay Factor]]</f>
        <v>0</v>
      </c>
      <c r="P891" s="25">
        <f>_xlfn.XLOOKUP(tblPayrollMaster[[#This Row],[Employee Position]],tblPositionandPayRate[Employee Position],tblPositionandPayRate[Allowance 5],0)*tblPayrollMaster[[#This Row],[Pay Factor]]</f>
        <v>0</v>
      </c>
      <c r="Q891" s="25">
        <f>SUM(tblPayrollMaster[[#This Row],[Basic Pay]:[Allowance 5]])</f>
        <v>0</v>
      </c>
      <c r="R89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91" s="51" cm="1">
        <f t="array" ref="S8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91" s="3" cm="1">
        <f t="array" ref="T8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91" s="25">
        <f>_xlfn.LET(
_xlpm.tos, _xlfn.XLOOKUP(tblPayrollMaster[[#This Row],[Employee ID]], tblEmployee[Employee ID], tblEmployee[Type of Service], ""),
IF(_xlpm.tos="Contract of Service", 8.25, 0)
)</f>
        <v>0</v>
      </c>
      <c r="V891" s="25">
        <f>tblPayrollMaster[[#This Row],[Basic Earnings]]-tblPayrollMaster[[#This Row],[Tax]]-tblPayrollMaster[[#This Row],[NIS - Employee]]-tblPayrollMaster[[#This Row],[Health Surcharge]]</f>
        <v>0</v>
      </c>
      <c r="W891" s="25">
        <f>tblPayrollMaster[[#This Row],[Net Pay]]</f>
        <v>0</v>
      </c>
      <c r="X891" s="25"/>
    </row>
    <row r="892" spans="1:24" x14ac:dyDescent="0.25">
      <c r="A892" s="24"/>
      <c r="B892" s="24" t="str">
        <f>_xlfn.XLOOKUP(tblPayrollMaster[[#This Row],[Employee ID]],tblEmployee[Employee ID],tblEmployee[Employee Name],"")</f>
        <v/>
      </c>
      <c r="C892" s="24" t="str">
        <f>_xlfn.XLOOKUP(tblPayrollMaster[[#This Row],[Employee ID]],tblEmployee[Employee ID],tblEmployee[Employee Position],"")</f>
        <v/>
      </c>
      <c r="D892" s="24" t="str">
        <f>_xlfn.XLOOKUP(tblPayrollMaster[[#This Row],[Employee ID]], tblEmployee[Employee ID], tblEmployee[Pay Status], "Pay")</f>
        <v>Pay</v>
      </c>
      <c r="E892" s="24" t="str">
        <f>_xlfn.XLOOKUP(tblPayrollMaster[[#This Row],[Employee ID]], tblEmployee[Employee ID], tblEmployee[Payable Flag], "Y")</f>
        <v>Y</v>
      </c>
      <c r="F892" s="45">
        <f>IF(tblPayrollMaster[[#This Row],[Payable Flag]]="N",0,_xlfn.XLOOKUP(tblPayrollMaster[[#This Row],[Employee ID]],tblEmployee[Employee ID],tblEmployee[Pay Factor],1))</f>
        <v>1</v>
      </c>
      <c r="G892" s="26" t="str" cm="1">
        <f t="array" ref="G892">IF(tblPayrollMaster[[#This Row],[Employee ID]]="","",_xlfn.XLOOKUP(selPayPeriodID,tblPayCalendar[PayPeriodID],tblPayCalendar[PeriodStart],""))</f>
        <v/>
      </c>
      <c r="H892" s="26" t="str" cm="1">
        <f t="array" ref="H892">IF(tblPayrollMaster[[#This Row],[Employee ID]]="","",_xlfn.XLOOKUP(selPayPeriodID,tblPayCalendar[PayPeriodID],tblPayCalendar[PeriodEnd],""))</f>
        <v/>
      </c>
      <c r="I892" s="24" t="e" cm="1" vm="1">
        <f t="array" aca="1" ref="I892" ca="1">Table18[Employer Name]</f>
        <v>#VALUE!</v>
      </c>
      <c r="J892" s="3" cm="1">
        <f t="array" ref="J89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92" s="25" t="str">
        <f>_xlfn.XLOOKUP(tblPayrollMaster[[#This Row],[Employee Position]],tblPositionandPayRate[Employee Position],tblPositionandPayRate[Overtime], " ")</f>
        <v xml:space="preserve"> </v>
      </c>
      <c r="L892" s="25">
        <f>_xlfn.XLOOKUP(tblPayrollMaster[[#This Row],[Employee Position]],tblPositionandPayRate[Employee Position],tblPositionandPayRate[Allowance 1],0)*tblPayrollMaster[[#This Row],[Pay Factor]]</f>
        <v>0</v>
      </c>
      <c r="M892" s="25">
        <f>_xlfn.XLOOKUP(tblPayrollMaster[[#This Row],[Employee Position]],tblPositionandPayRate[Employee Position],tblPositionandPayRate[Allowance 2],0)*tblPayrollMaster[[#This Row],[Pay Factor]]</f>
        <v>0</v>
      </c>
      <c r="N892" s="25">
        <f>_xlfn.XLOOKUP(tblPayrollMaster[[#This Row],[Employee Position]],tblPositionandPayRate[Employee Position],tblPositionandPayRate[Allowance 3],0)*tblPayrollMaster[[#This Row],[Pay Factor]]</f>
        <v>0</v>
      </c>
      <c r="O892" s="25">
        <f>_xlfn.XLOOKUP(tblPayrollMaster[[#This Row],[Employee Position]],tblPositionandPayRate[Employee Position],tblPositionandPayRate[Allowance 4],0)*tblPayrollMaster[[#This Row],[Pay Factor]]</f>
        <v>0</v>
      </c>
      <c r="P892" s="25">
        <f>_xlfn.XLOOKUP(tblPayrollMaster[[#This Row],[Employee Position]],tblPositionandPayRate[Employee Position],tblPositionandPayRate[Allowance 5],0)*tblPayrollMaster[[#This Row],[Pay Factor]]</f>
        <v>0</v>
      </c>
      <c r="Q892" s="25">
        <f>SUM(tblPayrollMaster[[#This Row],[Basic Pay]:[Allowance 5]])</f>
        <v>0</v>
      </c>
      <c r="R89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92" s="51" cm="1">
        <f t="array" ref="S8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92" s="3" cm="1">
        <f t="array" ref="T8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92" s="25">
        <f>_xlfn.LET(
_xlpm.tos, _xlfn.XLOOKUP(tblPayrollMaster[[#This Row],[Employee ID]], tblEmployee[Employee ID], tblEmployee[Type of Service], ""),
IF(_xlpm.tos="Contract of Service", 8.25, 0)
)</f>
        <v>0</v>
      </c>
      <c r="V892" s="25">
        <f>tblPayrollMaster[[#This Row],[Basic Earnings]]-tblPayrollMaster[[#This Row],[Tax]]-tblPayrollMaster[[#This Row],[NIS - Employee]]-tblPayrollMaster[[#This Row],[Health Surcharge]]</f>
        <v>0</v>
      </c>
      <c r="W892" s="25">
        <f>tblPayrollMaster[[#This Row],[Net Pay]]</f>
        <v>0</v>
      </c>
      <c r="X892" s="25"/>
    </row>
    <row r="893" spans="1:24" x14ac:dyDescent="0.25">
      <c r="A893" s="24"/>
      <c r="B893" s="24" t="str">
        <f>_xlfn.XLOOKUP(tblPayrollMaster[[#This Row],[Employee ID]],tblEmployee[Employee ID],tblEmployee[Employee Name],"")</f>
        <v/>
      </c>
      <c r="C893" s="24" t="str">
        <f>_xlfn.XLOOKUP(tblPayrollMaster[[#This Row],[Employee ID]],tblEmployee[Employee ID],tblEmployee[Employee Position],"")</f>
        <v/>
      </c>
      <c r="D893" s="24" t="str">
        <f>_xlfn.XLOOKUP(tblPayrollMaster[[#This Row],[Employee ID]], tblEmployee[Employee ID], tblEmployee[Pay Status], "Pay")</f>
        <v>Pay</v>
      </c>
      <c r="E893" s="24" t="str">
        <f>_xlfn.XLOOKUP(tblPayrollMaster[[#This Row],[Employee ID]], tblEmployee[Employee ID], tblEmployee[Payable Flag], "Y")</f>
        <v>Y</v>
      </c>
      <c r="F893" s="45">
        <f>IF(tblPayrollMaster[[#This Row],[Payable Flag]]="N",0,_xlfn.XLOOKUP(tblPayrollMaster[[#This Row],[Employee ID]],tblEmployee[Employee ID],tblEmployee[Pay Factor],1))</f>
        <v>1</v>
      </c>
      <c r="G893" s="26" t="str" cm="1">
        <f t="array" ref="G893">IF(tblPayrollMaster[[#This Row],[Employee ID]]="","",_xlfn.XLOOKUP(selPayPeriodID,tblPayCalendar[PayPeriodID],tblPayCalendar[PeriodStart],""))</f>
        <v/>
      </c>
      <c r="H893" s="26" t="str" cm="1">
        <f t="array" ref="H893">IF(tblPayrollMaster[[#This Row],[Employee ID]]="","",_xlfn.XLOOKUP(selPayPeriodID,tblPayCalendar[PayPeriodID],tblPayCalendar[PeriodEnd],""))</f>
        <v/>
      </c>
      <c r="I893" s="24" t="e" cm="1" vm="1">
        <f t="array" aca="1" ref="I893" ca="1">Table18[Employer Name]</f>
        <v>#VALUE!</v>
      </c>
      <c r="J893" s="3" cm="1">
        <f t="array" ref="J89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93" s="25" t="str">
        <f>_xlfn.XLOOKUP(tblPayrollMaster[[#This Row],[Employee Position]],tblPositionandPayRate[Employee Position],tblPositionandPayRate[Overtime], " ")</f>
        <v xml:space="preserve"> </v>
      </c>
      <c r="L893" s="25">
        <f>_xlfn.XLOOKUP(tblPayrollMaster[[#This Row],[Employee Position]],tblPositionandPayRate[Employee Position],tblPositionandPayRate[Allowance 1],0)*tblPayrollMaster[[#This Row],[Pay Factor]]</f>
        <v>0</v>
      </c>
      <c r="M893" s="25">
        <f>_xlfn.XLOOKUP(tblPayrollMaster[[#This Row],[Employee Position]],tblPositionandPayRate[Employee Position],tblPositionandPayRate[Allowance 2],0)*tblPayrollMaster[[#This Row],[Pay Factor]]</f>
        <v>0</v>
      </c>
      <c r="N893" s="25">
        <f>_xlfn.XLOOKUP(tblPayrollMaster[[#This Row],[Employee Position]],tblPositionandPayRate[Employee Position],tblPositionandPayRate[Allowance 3],0)*tblPayrollMaster[[#This Row],[Pay Factor]]</f>
        <v>0</v>
      </c>
      <c r="O893" s="25">
        <f>_xlfn.XLOOKUP(tblPayrollMaster[[#This Row],[Employee Position]],tblPositionandPayRate[Employee Position],tblPositionandPayRate[Allowance 4],0)*tblPayrollMaster[[#This Row],[Pay Factor]]</f>
        <v>0</v>
      </c>
      <c r="P893" s="25">
        <f>_xlfn.XLOOKUP(tblPayrollMaster[[#This Row],[Employee Position]],tblPositionandPayRate[Employee Position],tblPositionandPayRate[Allowance 5],0)*tblPayrollMaster[[#This Row],[Pay Factor]]</f>
        <v>0</v>
      </c>
      <c r="Q893" s="25">
        <f>SUM(tblPayrollMaster[[#This Row],[Basic Pay]:[Allowance 5]])</f>
        <v>0</v>
      </c>
      <c r="R89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93" s="51" cm="1">
        <f t="array" ref="S8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93" s="3" cm="1">
        <f t="array" ref="T8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93" s="25">
        <f>_xlfn.LET(
_xlpm.tos, _xlfn.XLOOKUP(tblPayrollMaster[[#This Row],[Employee ID]], tblEmployee[Employee ID], tblEmployee[Type of Service], ""),
IF(_xlpm.tos="Contract of Service", 8.25, 0)
)</f>
        <v>0</v>
      </c>
      <c r="V893" s="25">
        <f>tblPayrollMaster[[#This Row],[Basic Earnings]]-tblPayrollMaster[[#This Row],[Tax]]-tblPayrollMaster[[#This Row],[NIS - Employee]]-tblPayrollMaster[[#This Row],[Health Surcharge]]</f>
        <v>0</v>
      </c>
      <c r="W893" s="25">
        <f>tblPayrollMaster[[#This Row],[Net Pay]]</f>
        <v>0</v>
      </c>
      <c r="X893" s="25"/>
    </row>
    <row r="894" spans="1:24" x14ac:dyDescent="0.25">
      <c r="A894" s="24"/>
      <c r="B894" s="24" t="str">
        <f>_xlfn.XLOOKUP(tblPayrollMaster[[#This Row],[Employee ID]],tblEmployee[Employee ID],tblEmployee[Employee Name],"")</f>
        <v/>
      </c>
      <c r="C894" s="24" t="str">
        <f>_xlfn.XLOOKUP(tblPayrollMaster[[#This Row],[Employee ID]],tblEmployee[Employee ID],tblEmployee[Employee Position],"")</f>
        <v/>
      </c>
      <c r="D894" s="24" t="str">
        <f>_xlfn.XLOOKUP(tblPayrollMaster[[#This Row],[Employee ID]], tblEmployee[Employee ID], tblEmployee[Pay Status], "Pay")</f>
        <v>Pay</v>
      </c>
      <c r="E894" s="24" t="str">
        <f>_xlfn.XLOOKUP(tblPayrollMaster[[#This Row],[Employee ID]], tblEmployee[Employee ID], tblEmployee[Payable Flag], "Y")</f>
        <v>Y</v>
      </c>
      <c r="F894" s="45">
        <f>IF(tblPayrollMaster[[#This Row],[Payable Flag]]="N",0,_xlfn.XLOOKUP(tblPayrollMaster[[#This Row],[Employee ID]],tblEmployee[Employee ID],tblEmployee[Pay Factor],1))</f>
        <v>1</v>
      </c>
      <c r="G894" s="26" t="str" cm="1">
        <f t="array" ref="G894">IF(tblPayrollMaster[[#This Row],[Employee ID]]="","",_xlfn.XLOOKUP(selPayPeriodID,tblPayCalendar[PayPeriodID],tblPayCalendar[PeriodStart],""))</f>
        <v/>
      </c>
      <c r="H894" s="26" t="str" cm="1">
        <f t="array" ref="H894">IF(tblPayrollMaster[[#This Row],[Employee ID]]="","",_xlfn.XLOOKUP(selPayPeriodID,tblPayCalendar[PayPeriodID],tblPayCalendar[PeriodEnd],""))</f>
        <v/>
      </c>
      <c r="I894" s="24" t="e" cm="1" vm="1">
        <f t="array" aca="1" ref="I894" ca="1">Table18[Employer Name]</f>
        <v>#VALUE!</v>
      </c>
      <c r="J894" s="3" cm="1">
        <f t="array" ref="J89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94" s="25" t="str">
        <f>_xlfn.XLOOKUP(tblPayrollMaster[[#This Row],[Employee Position]],tblPositionandPayRate[Employee Position],tblPositionandPayRate[Overtime], " ")</f>
        <v xml:space="preserve"> </v>
      </c>
      <c r="L894" s="25">
        <f>_xlfn.XLOOKUP(tblPayrollMaster[[#This Row],[Employee Position]],tblPositionandPayRate[Employee Position],tblPositionandPayRate[Allowance 1],0)*tblPayrollMaster[[#This Row],[Pay Factor]]</f>
        <v>0</v>
      </c>
      <c r="M894" s="25">
        <f>_xlfn.XLOOKUP(tblPayrollMaster[[#This Row],[Employee Position]],tblPositionandPayRate[Employee Position],tblPositionandPayRate[Allowance 2],0)*tblPayrollMaster[[#This Row],[Pay Factor]]</f>
        <v>0</v>
      </c>
      <c r="N894" s="25">
        <f>_xlfn.XLOOKUP(tblPayrollMaster[[#This Row],[Employee Position]],tblPositionandPayRate[Employee Position],tblPositionandPayRate[Allowance 3],0)*tblPayrollMaster[[#This Row],[Pay Factor]]</f>
        <v>0</v>
      </c>
      <c r="O894" s="25">
        <f>_xlfn.XLOOKUP(tblPayrollMaster[[#This Row],[Employee Position]],tblPositionandPayRate[Employee Position],tblPositionandPayRate[Allowance 4],0)*tblPayrollMaster[[#This Row],[Pay Factor]]</f>
        <v>0</v>
      </c>
      <c r="P894" s="25">
        <f>_xlfn.XLOOKUP(tblPayrollMaster[[#This Row],[Employee Position]],tblPositionandPayRate[Employee Position],tblPositionandPayRate[Allowance 5],0)*tblPayrollMaster[[#This Row],[Pay Factor]]</f>
        <v>0</v>
      </c>
      <c r="Q894" s="25">
        <f>SUM(tblPayrollMaster[[#This Row],[Basic Pay]:[Allowance 5]])</f>
        <v>0</v>
      </c>
      <c r="R89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94" s="51" cm="1">
        <f t="array" ref="S8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94" s="3" cm="1">
        <f t="array" ref="T8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94" s="25">
        <f>_xlfn.LET(
_xlpm.tos, _xlfn.XLOOKUP(tblPayrollMaster[[#This Row],[Employee ID]], tblEmployee[Employee ID], tblEmployee[Type of Service], ""),
IF(_xlpm.tos="Contract of Service", 8.25, 0)
)</f>
        <v>0</v>
      </c>
      <c r="V894" s="25">
        <f>tblPayrollMaster[[#This Row],[Basic Earnings]]-tblPayrollMaster[[#This Row],[Tax]]-tblPayrollMaster[[#This Row],[NIS - Employee]]-tblPayrollMaster[[#This Row],[Health Surcharge]]</f>
        <v>0</v>
      </c>
      <c r="W894" s="25">
        <f>tblPayrollMaster[[#This Row],[Net Pay]]</f>
        <v>0</v>
      </c>
      <c r="X894" s="25"/>
    </row>
    <row r="895" spans="1:24" x14ac:dyDescent="0.25">
      <c r="A895" s="24"/>
      <c r="B895" s="24" t="str">
        <f>_xlfn.XLOOKUP(tblPayrollMaster[[#This Row],[Employee ID]],tblEmployee[Employee ID],tblEmployee[Employee Name],"")</f>
        <v/>
      </c>
      <c r="C895" s="24" t="str">
        <f>_xlfn.XLOOKUP(tblPayrollMaster[[#This Row],[Employee ID]],tblEmployee[Employee ID],tblEmployee[Employee Position],"")</f>
        <v/>
      </c>
      <c r="D895" s="24" t="str">
        <f>_xlfn.XLOOKUP(tblPayrollMaster[[#This Row],[Employee ID]], tblEmployee[Employee ID], tblEmployee[Pay Status], "Pay")</f>
        <v>Pay</v>
      </c>
      <c r="E895" s="24" t="str">
        <f>_xlfn.XLOOKUP(tblPayrollMaster[[#This Row],[Employee ID]], tblEmployee[Employee ID], tblEmployee[Payable Flag], "Y")</f>
        <v>Y</v>
      </c>
      <c r="F895" s="45">
        <f>IF(tblPayrollMaster[[#This Row],[Payable Flag]]="N",0,_xlfn.XLOOKUP(tblPayrollMaster[[#This Row],[Employee ID]],tblEmployee[Employee ID],tblEmployee[Pay Factor],1))</f>
        <v>1</v>
      </c>
      <c r="G895" s="26" t="str" cm="1">
        <f t="array" ref="G895">IF(tblPayrollMaster[[#This Row],[Employee ID]]="","",_xlfn.XLOOKUP(selPayPeriodID,tblPayCalendar[PayPeriodID],tblPayCalendar[PeriodStart],""))</f>
        <v/>
      </c>
      <c r="H895" s="26" t="str" cm="1">
        <f t="array" ref="H895">IF(tblPayrollMaster[[#This Row],[Employee ID]]="","",_xlfn.XLOOKUP(selPayPeriodID,tblPayCalendar[PayPeriodID],tblPayCalendar[PeriodEnd],""))</f>
        <v/>
      </c>
      <c r="I895" s="24" t="e" cm="1" vm="1">
        <f t="array" aca="1" ref="I895" ca="1">Table18[Employer Name]</f>
        <v>#VALUE!</v>
      </c>
      <c r="J895" s="3" cm="1">
        <f t="array" ref="J89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95" s="25" t="str">
        <f>_xlfn.XLOOKUP(tblPayrollMaster[[#This Row],[Employee Position]],tblPositionandPayRate[Employee Position],tblPositionandPayRate[Overtime], " ")</f>
        <v xml:space="preserve"> </v>
      </c>
      <c r="L895" s="25">
        <f>_xlfn.XLOOKUP(tblPayrollMaster[[#This Row],[Employee Position]],tblPositionandPayRate[Employee Position],tblPositionandPayRate[Allowance 1],0)*tblPayrollMaster[[#This Row],[Pay Factor]]</f>
        <v>0</v>
      </c>
      <c r="M895" s="25">
        <f>_xlfn.XLOOKUP(tblPayrollMaster[[#This Row],[Employee Position]],tblPositionandPayRate[Employee Position],tblPositionandPayRate[Allowance 2],0)*tblPayrollMaster[[#This Row],[Pay Factor]]</f>
        <v>0</v>
      </c>
      <c r="N895" s="25">
        <f>_xlfn.XLOOKUP(tblPayrollMaster[[#This Row],[Employee Position]],tblPositionandPayRate[Employee Position],tblPositionandPayRate[Allowance 3],0)*tblPayrollMaster[[#This Row],[Pay Factor]]</f>
        <v>0</v>
      </c>
      <c r="O895" s="25">
        <f>_xlfn.XLOOKUP(tblPayrollMaster[[#This Row],[Employee Position]],tblPositionandPayRate[Employee Position],tblPositionandPayRate[Allowance 4],0)*tblPayrollMaster[[#This Row],[Pay Factor]]</f>
        <v>0</v>
      </c>
      <c r="P895" s="25">
        <f>_xlfn.XLOOKUP(tblPayrollMaster[[#This Row],[Employee Position]],tblPositionandPayRate[Employee Position],tblPositionandPayRate[Allowance 5],0)*tblPayrollMaster[[#This Row],[Pay Factor]]</f>
        <v>0</v>
      </c>
      <c r="Q895" s="25">
        <f>SUM(tblPayrollMaster[[#This Row],[Basic Pay]:[Allowance 5]])</f>
        <v>0</v>
      </c>
      <c r="R89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95" s="51" cm="1">
        <f t="array" ref="S8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95" s="3" cm="1">
        <f t="array" ref="T8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95" s="25">
        <f>_xlfn.LET(
_xlpm.tos, _xlfn.XLOOKUP(tblPayrollMaster[[#This Row],[Employee ID]], tblEmployee[Employee ID], tblEmployee[Type of Service], ""),
IF(_xlpm.tos="Contract of Service", 8.25, 0)
)</f>
        <v>0</v>
      </c>
      <c r="V895" s="25">
        <f>tblPayrollMaster[[#This Row],[Basic Earnings]]-tblPayrollMaster[[#This Row],[Tax]]-tblPayrollMaster[[#This Row],[NIS - Employee]]-tblPayrollMaster[[#This Row],[Health Surcharge]]</f>
        <v>0</v>
      </c>
      <c r="W895" s="25">
        <f>tblPayrollMaster[[#This Row],[Net Pay]]</f>
        <v>0</v>
      </c>
      <c r="X895" s="25"/>
    </row>
    <row r="896" spans="1:24" x14ac:dyDescent="0.25">
      <c r="A896" s="24"/>
      <c r="B896" s="24" t="str">
        <f>_xlfn.XLOOKUP(tblPayrollMaster[[#This Row],[Employee ID]],tblEmployee[Employee ID],tblEmployee[Employee Name],"")</f>
        <v/>
      </c>
      <c r="C896" s="24" t="str">
        <f>_xlfn.XLOOKUP(tblPayrollMaster[[#This Row],[Employee ID]],tblEmployee[Employee ID],tblEmployee[Employee Position],"")</f>
        <v/>
      </c>
      <c r="D896" s="24" t="str">
        <f>_xlfn.XLOOKUP(tblPayrollMaster[[#This Row],[Employee ID]], tblEmployee[Employee ID], tblEmployee[Pay Status], "Pay")</f>
        <v>Pay</v>
      </c>
      <c r="E896" s="24" t="str">
        <f>_xlfn.XLOOKUP(tblPayrollMaster[[#This Row],[Employee ID]], tblEmployee[Employee ID], tblEmployee[Payable Flag], "Y")</f>
        <v>Y</v>
      </c>
      <c r="F896" s="45">
        <f>IF(tblPayrollMaster[[#This Row],[Payable Flag]]="N",0,_xlfn.XLOOKUP(tblPayrollMaster[[#This Row],[Employee ID]],tblEmployee[Employee ID],tblEmployee[Pay Factor],1))</f>
        <v>1</v>
      </c>
      <c r="G896" s="26" t="str" cm="1">
        <f t="array" ref="G896">IF(tblPayrollMaster[[#This Row],[Employee ID]]="","",_xlfn.XLOOKUP(selPayPeriodID,tblPayCalendar[PayPeriodID],tblPayCalendar[PeriodStart],""))</f>
        <v/>
      </c>
      <c r="H896" s="26" t="str" cm="1">
        <f t="array" ref="H896">IF(tblPayrollMaster[[#This Row],[Employee ID]]="","",_xlfn.XLOOKUP(selPayPeriodID,tblPayCalendar[PayPeriodID],tblPayCalendar[PeriodEnd],""))</f>
        <v/>
      </c>
      <c r="I896" s="24" t="e" cm="1" vm="1">
        <f t="array" aca="1" ref="I896" ca="1">Table18[Employer Name]</f>
        <v>#VALUE!</v>
      </c>
      <c r="J896" s="3" cm="1">
        <f t="array" ref="J89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96" s="25" t="str">
        <f>_xlfn.XLOOKUP(tblPayrollMaster[[#This Row],[Employee Position]],tblPositionandPayRate[Employee Position],tblPositionandPayRate[Overtime], " ")</f>
        <v xml:space="preserve"> </v>
      </c>
      <c r="L896" s="25">
        <f>_xlfn.XLOOKUP(tblPayrollMaster[[#This Row],[Employee Position]],tblPositionandPayRate[Employee Position],tblPositionandPayRate[Allowance 1],0)*tblPayrollMaster[[#This Row],[Pay Factor]]</f>
        <v>0</v>
      </c>
      <c r="M896" s="25">
        <f>_xlfn.XLOOKUP(tblPayrollMaster[[#This Row],[Employee Position]],tblPositionandPayRate[Employee Position],tblPositionandPayRate[Allowance 2],0)*tblPayrollMaster[[#This Row],[Pay Factor]]</f>
        <v>0</v>
      </c>
      <c r="N896" s="25">
        <f>_xlfn.XLOOKUP(tblPayrollMaster[[#This Row],[Employee Position]],tblPositionandPayRate[Employee Position],tblPositionandPayRate[Allowance 3],0)*tblPayrollMaster[[#This Row],[Pay Factor]]</f>
        <v>0</v>
      </c>
      <c r="O896" s="25">
        <f>_xlfn.XLOOKUP(tblPayrollMaster[[#This Row],[Employee Position]],tblPositionandPayRate[Employee Position],tblPositionandPayRate[Allowance 4],0)*tblPayrollMaster[[#This Row],[Pay Factor]]</f>
        <v>0</v>
      </c>
      <c r="P896" s="25">
        <f>_xlfn.XLOOKUP(tblPayrollMaster[[#This Row],[Employee Position]],tblPositionandPayRate[Employee Position],tblPositionandPayRate[Allowance 5],0)*tblPayrollMaster[[#This Row],[Pay Factor]]</f>
        <v>0</v>
      </c>
      <c r="Q896" s="25">
        <f>SUM(tblPayrollMaster[[#This Row],[Basic Pay]:[Allowance 5]])</f>
        <v>0</v>
      </c>
      <c r="R89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96" s="51" cm="1">
        <f t="array" ref="S8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96" s="3" cm="1">
        <f t="array" ref="T8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96" s="25">
        <f>_xlfn.LET(
_xlpm.tos, _xlfn.XLOOKUP(tblPayrollMaster[[#This Row],[Employee ID]], tblEmployee[Employee ID], tblEmployee[Type of Service], ""),
IF(_xlpm.tos="Contract of Service", 8.25, 0)
)</f>
        <v>0</v>
      </c>
      <c r="V896" s="25">
        <f>tblPayrollMaster[[#This Row],[Basic Earnings]]-tblPayrollMaster[[#This Row],[Tax]]-tblPayrollMaster[[#This Row],[NIS - Employee]]-tblPayrollMaster[[#This Row],[Health Surcharge]]</f>
        <v>0</v>
      </c>
      <c r="W896" s="25">
        <f>tblPayrollMaster[[#This Row],[Net Pay]]</f>
        <v>0</v>
      </c>
      <c r="X896" s="25"/>
    </row>
    <row r="897" spans="1:24" x14ac:dyDescent="0.25">
      <c r="A897" s="24"/>
      <c r="B897" s="24" t="str">
        <f>_xlfn.XLOOKUP(tblPayrollMaster[[#This Row],[Employee ID]],tblEmployee[Employee ID],tblEmployee[Employee Name],"")</f>
        <v/>
      </c>
      <c r="C897" s="24" t="str">
        <f>_xlfn.XLOOKUP(tblPayrollMaster[[#This Row],[Employee ID]],tblEmployee[Employee ID],tblEmployee[Employee Position],"")</f>
        <v/>
      </c>
      <c r="D897" s="24" t="str">
        <f>_xlfn.XLOOKUP(tblPayrollMaster[[#This Row],[Employee ID]], tblEmployee[Employee ID], tblEmployee[Pay Status], "Pay")</f>
        <v>Pay</v>
      </c>
      <c r="E897" s="24" t="str">
        <f>_xlfn.XLOOKUP(tblPayrollMaster[[#This Row],[Employee ID]], tblEmployee[Employee ID], tblEmployee[Payable Flag], "Y")</f>
        <v>Y</v>
      </c>
      <c r="F897" s="45">
        <f>IF(tblPayrollMaster[[#This Row],[Payable Flag]]="N",0,_xlfn.XLOOKUP(tblPayrollMaster[[#This Row],[Employee ID]],tblEmployee[Employee ID],tblEmployee[Pay Factor],1))</f>
        <v>1</v>
      </c>
      <c r="G897" s="26" t="str" cm="1">
        <f t="array" ref="G897">IF(tblPayrollMaster[[#This Row],[Employee ID]]="","",_xlfn.XLOOKUP(selPayPeriodID,tblPayCalendar[PayPeriodID],tblPayCalendar[PeriodStart],""))</f>
        <v/>
      </c>
      <c r="H897" s="26" t="str" cm="1">
        <f t="array" ref="H897">IF(tblPayrollMaster[[#This Row],[Employee ID]]="","",_xlfn.XLOOKUP(selPayPeriodID,tblPayCalendar[PayPeriodID],tblPayCalendar[PeriodEnd],""))</f>
        <v/>
      </c>
      <c r="I897" s="24" t="e" cm="1" vm="1">
        <f t="array" aca="1" ref="I897" ca="1">Table18[Employer Name]</f>
        <v>#VALUE!</v>
      </c>
      <c r="J897" s="3" cm="1">
        <f t="array" ref="J89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97" s="25" t="str">
        <f>_xlfn.XLOOKUP(tblPayrollMaster[[#This Row],[Employee Position]],tblPositionandPayRate[Employee Position],tblPositionandPayRate[Overtime], " ")</f>
        <v xml:space="preserve"> </v>
      </c>
      <c r="L897" s="25">
        <f>_xlfn.XLOOKUP(tblPayrollMaster[[#This Row],[Employee Position]],tblPositionandPayRate[Employee Position],tblPositionandPayRate[Allowance 1],0)*tblPayrollMaster[[#This Row],[Pay Factor]]</f>
        <v>0</v>
      </c>
      <c r="M897" s="25">
        <f>_xlfn.XLOOKUP(tblPayrollMaster[[#This Row],[Employee Position]],tblPositionandPayRate[Employee Position],tblPositionandPayRate[Allowance 2],0)*tblPayrollMaster[[#This Row],[Pay Factor]]</f>
        <v>0</v>
      </c>
      <c r="N897" s="25">
        <f>_xlfn.XLOOKUP(tblPayrollMaster[[#This Row],[Employee Position]],tblPositionandPayRate[Employee Position],tblPositionandPayRate[Allowance 3],0)*tblPayrollMaster[[#This Row],[Pay Factor]]</f>
        <v>0</v>
      </c>
      <c r="O897" s="25">
        <f>_xlfn.XLOOKUP(tblPayrollMaster[[#This Row],[Employee Position]],tblPositionandPayRate[Employee Position],tblPositionandPayRate[Allowance 4],0)*tblPayrollMaster[[#This Row],[Pay Factor]]</f>
        <v>0</v>
      </c>
      <c r="P897" s="25">
        <f>_xlfn.XLOOKUP(tblPayrollMaster[[#This Row],[Employee Position]],tblPositionandPayRate[Employee Position],tblPositionandPayRate[Allowance 5],0)*tblPayrollMaster[[#This Row],[Pay Factor]]</f>
        <v>0</v>
      </c>
      <c r="Q897" s="25">
        <f>SUM(tblPayrollMaster[[#This Row],[Basic Pay]:[Allowance 5]])</f>
        <v>0</v>
      </c>
      <c r="R89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97" s="51" cm="1">
        <f t="array" ref="S8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97" s="3" cm="1">
        <f t="array" ref="T8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97" s="25">
        <f>_xlfn.LET(
_xlpm.tos, _xlfn.XLOOKUP(tblPayrollMaster[[#This Row],[Employee ID]], tblEmployee[Employee ID], tblEmployee[Type of Service], ""),
IF(_xlpm.tos="Contract of Service", 8.25, 0)
)</f>
        <v>0</v>
      </c>
      <c r="V897" s="25">
        <f>tblPayrollMaster[[#This Row],[Basic Earnings]]-tblPayrollMaster[[#This Row],[Tax]]-tblPayrollMaster[[#This Row],[NIS - Employee]]-tblPayrollMaster[[#This Row],[Health Surcharge]]</f>
        <v>0</v>
      </c>
      <c r="W897" s="25">
        <f>tblPayrollMaster[[#This Row],[Net Pay]]</f>
        <v>0</v>
      </c>
      <c r="X897" s="25"/>
    </row>
    <row r="898" spans="1:24" x14ac:dyDescent="0.25">
      <c r="A898" s="24"/>
      <c r="B898" s="24" t="str">
        <f>_xlfn.XLOOKUP(tblPayrollMaster[[#This Row],[Employee ID]],tblEmployee[Employee ID],tblEmployee[Employee Name],"")</f>
        <v/>
      </c>
      <c r="C898" s="24" t="str">
        <f>_xlfn.XLOOKUP(tblPayrollMaster[[#This Row],[Employee ID]],tblEmployee[Employee ID],tblEmployee[Employee Position],"")</f>
        <v/>
      </c>
      <c r="D898" s="24" t="str">
        <f>_xlfn.XLOOKUP(tblPayrollMaster[[#This Row],[Employee ID]], tblEmployee[Employee ID], tblEmployee[Pay Status], "Pay")</f>
        <v>Pay</v>
      </c>
      <c r="E898" s="24" t="str">
        <f>_xlfn.XLOOKUP(tblPayrollMaster[[#This Row],[Employee ID]], tblEmployee[Employee ID], tblEmployee[Payable Flag], "Y")</f>
        <v>Y</v>
      </c>
      <c r="F898" s="45">
        <f>IF(tblPayrollMaster[[#This Row],[Payable Flag]]="N",0,_xlfn.XLOOKUP(tblPayrollMaster[[#This Row],[Employee ID]],tblEmployee[Employee ID],tblEmployee[Pay Factor],1))</f>
        <v>1</v>
      </c>
      <c r="G898" s="26" t="str" cm="1">
        <f t="array" ref="G898">IF(tblPayrollMaster[[#This Row],[Employee ID]]="","",_xlfn.XLOOKUP(selPayPeriodID,tblPayCalendar[PayPeriodID],tblPayCalendar[PeriodStart],""))</f>
        <v/>
      </c>
      <c r="H898" s="26" t="str" cm="1">
        <f t="array" ref="H898">IF(tblPayrollMaster[[#This Row],[Employee ID]]="","",_xlfn.XLOOKUP(selPayPeriodID,tblPayCalendar[PayPeriodID],tblPayCalendar[PeriodEnd],""))</f>
        <v/>
      </c>
      <c r="I898" s="24" t="e" cm="1" vm="1">
        <f t="array" aca="1" ref="I898" ca="1">Table18[Employer Name]</f>
        <v>#VALUE!</v>
      </c>
      <c r="J898" s="3" cm="1">
        <f t="array" ref="J89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98" s="25" t="str">
        <f>_xlfn.XLOOKUP(tblPayrollMaster[[#This Row],[Employee Position]],tblPositionandPayRate[Employee Position],tblPositionandPayRate[Overtime], " ")</f>
        <v xml:space="preserve"> </v>
      </c>
      <c r="L898" s="25">
        <f>_xlfn.XLOOKUP(tblPayrollMaster[[#This Row],[Employee Position]],tblPositionandPayRate[Employee Position],tblPositionandPayRate[Allowance 1],0)*tblPayrollMaster[[#This Row],[Pay Factor]]</f>
        <v>0</v>
      </c>
      <c r="M898" s="25">
        <f>_xlfn.XLOOKUP(tblPayrollMaster[[#This Row],[Employee Position]],tblPositionandPayRate[Employee Position],tblPositionandPayRate[Allowance 2],0)*tblPayrollMaster[[#This Row],[Pay Factor]]</f>
        <v>0</v>
      </c>
      <c r="N898" s="25">
        <f>_xlfn.XLOOKUP(tblPayrollMaster[[#This Row],[Employee Position]],tblPositionandPayRate[Employee Position],tblPositionandPayRate[Allowance 3],0)*tblPayrollMaster[[#This Row],[Pay Factor]]</f>
        <v>0</v>
      </c>
      <c r="O898" s="25">
        <f>_xlfn.XLOOKUP(tblPayrollMaster[[#This Row],[Employee Position]],tblPositionandPayRate[Employee Position],tblPositionandPayRate[Allowance 4],0)*tblPayrollMaster[[#This Row],[Pay Factor]]</f>
        <v>0</v>
      </c>
      <c r="P898" s="25">
        <f>_xlfn.XLOOKUP(tblPayrollMaster[[#This Row],[Employee Position]],tblPositionandPayRate[Employee Position],tblPositionandPayRate[Allowance 5],0)*tblPayrollMaster[[#This Row],[Pay Factor]]</f>
        <v>0</v>
      </c>
      <c r="Q898" s="25">
        <f>SUM(tblPayrollMaster[[#This Row],[Basic Pay]:[Allowance 5]])</f>
        <v>0</v>
      </c>
      <c r="R89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98" s="51" cm="1">
        <f t="array" ref="S8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98" s="3" cm="1">
        <f t="array" ref="T8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98" s="25">
        <f>_xlfn.LET(
_xlpm.tos, _xlfn.XLOOKUP(tblPayrollMaster[[#This Row],[Employee ID]], tblEmployee[Employee ID], tblEmployee[Type of Service], ""),
IF(_xlpm.tos="Contract of Service", 8.25, 0)
)</f>
        <v>0</v>
      </c>
      <c r="V898" s="25">
        <f>tblPayrollMaster[[#This Row],[Basic Earnings]]-tblPayrollMaster[[#This Row],[Tax]]-tblPayrollMaster[[#This Row],[NIS - Employee]]-tblPayrollMaster[[#This Row],[Health Surcharge]]</f>
        <v>0</v>
      </c>
      <c r="W898" s="25">
        <f>tblPayrollMaster[[#This Row],[Net Pay]]</f>
        <v>0</v>
      </c>
      <c r="X898" s="25"/>
    </row>
    <row r="899" spans="1:24" x14ac:dyDescent="0.25">
      <c r="A899" s="24"/>
      <c r="B899" s="24" t="str">
        <f>_xlfn.XLOOKUP(tblPayrollMaster[[#This Row],[Employee ID]],tblEmployee[Employee ID],tblEmployee[Employee Name],"")</f>
        <v/>
      </c>
      <c r="C899" s="24" t="str">
        <f>_xlfn.XLOOKUP(tblPayrollMaster[[#This Row],[Employee ID]],tblEmployee[Employee ID],tblEmployee[Employee Position],"")</f>
        <v/>
      </c>
      <c r="D899" s="24" t="str">
        <f>_xlfn.XLOOKUP(tblPayrollMaster[[#This Row],[Employee ID]], tblEmployee[Employee ID], tblEmployee[Pay Status], "Pay")</f>
        <v>Pay</v>
      </c>
      <c r="E899" s="24" t="str">
        <f>_xlfn.XLOOKUP(tblPayrollMaster[[#This Row],[Employee ID]], tblEmployee[Employee ID], tblEmployee[Payable Flag], "Y")</f>
        <v>Y</v>
      </c>
      <c r="F899" s="45">
        <f>IF(tblPayrollMaster[[#This Row],[Payable Flag]]="N",0,_xlfn.XLOOKUP(tblPayrollMaster[[#This Row],[Employee ID]],tblEmployee[Employee ID],tblEmployee[Pay Factor],1))</f>
        <v>1</v>
      </c>
      <c r="G899" s="26" t="str" cm="1">
        <f t="array" ref="G899">IF(tblPayrollMaster[[#This Row],[Employee ID]]="","",_xlfn.XLOOKUP(selPayPeriodID,tblPayCalendar[PayPeriodID],tblPayCalendar[PeriodStart],""))</f>
        <v/>
      </c>
      <c r="H899" s="26" t="str" cm="1">
        <f t="array" ref="H899">IF(tblPayrollMaster[[#This Row],[Employee ID]]="","",_xlfn.XLOOKUP(selPayPeriodID,tblPayCalendar[PayPeriodID],tblPayCalendar[PeriodEnd],""))</f>
        <v/>
      </c>
      <c r="I899" s="24" t="e" cm="1" vm="1">
        <f t="array" aca="1" ref="I899" ca="1">Table18[Employer Name]</f>
        <v>#VALUE!</v>
      </c>
      <c r="J899" s="3" cm="1">
        <f t="array" ref="J89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899" s="25" t="str">
        <f>_xlfn.XLOOKUP(tblPayrollMaster[[#This Row],[Employee Position]],tblPositionandPayRate[Employee Position],tblPositionandPayRate[Overtime], " ")</f>
        <v xml:space="preserve"> </v>
      </c>
      <c r="L899" s="25">
        <f>_xlfn.XLOOKUP(tblPayrollMaster[[#This Row],[Employee Position]],tblPositionandPayRate[Employee Position],tblPositionandPayRate[Allowance 1],0)*tblPayrollMaster[[#This Row],[Pay Factor]]</f>
        <v>0</v>
      </c>
      <c r="M899" s="25">
        <f>_xlfn.XLOOKUP(tblPayrollMaster[[#This Row],[Employee Position]],tblPositionandPayRate[Employee Position],tblPositionandPayRate[Allowance 2],0)*tblPayrollMaster[[#This Row],[Pay Factor]]</f>
        <v>0</v>
      </c>
      <c r="N899" s="25">
        <f>_xlfn.XLOOKUP(tblPayrollMaster[[#This Row],[Employee Position]],tblPositionandPayRate[Employee Position],tblPositionandPayRate[Allowance 3],0)*tblPayrollMaster[[#This Row],[Pay Factor]]</f>
        <v>0</v>
      </c>
      <c r="O899" s="25">
        <f>_xlfn.XLOOKUP(tblPayrollMaster[[#This Row],[Employee Position]],tblPositionandPayRate[Employee Position],tblPositionandPayRate[Allowance 4],0)*tblPayrollMaster[[#This Row],[Pay Factor]]</f>
        <v>0</v>
      </c>
      <c r="P899" s="25">
        <f>_xlfn.XLOOKUP(tblPayrollMaster[[#This Row],[Employee Position]],tblPositionandPayRate[Employee Position],tblPositionandPayRate[Allowance 5],0)*tblPayrollMaster[[#This Row],[Pay Factor]]</f>
        <v>0</v>
      </c>
      <c r="Q899" s="25">
        <f>SUM(tblPayrollMaster[[#This Row],[Basic Pay]:[Allowance 5]])</f>
        <v>0</v>
      </c>
      <c r="R89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899" s="51" cm="1">
        <f t="array" ref="S8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899" s="3" cm="1">
        <f t="array" ref="T8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899" s="25">
        <f>_xlfn.LET(
_xlpm.tos, _xlfn.XLOOKUP(tblPayrollMaster[[#This Row],[Employee ID]], tblEmployee[Employee ID], tblEmployee[Type of Service], ""),
IF(_xlpm.tos="Contract of Service", 8.25, 0)
)</f>
        <v>0</v>
      </c>
      <c r="V899" s="25">
        <f>tblPayrollMaster[[#This Row],[Basic Earnings]]-tblPayrollMaster[[#This Row],[Tax]]-tblPayrollMaster[[#This Row],[NIS - Employee]]-tblPayrollMaster[[#This Row],[Health Surcharge]]</f>
        <v>0</v>
      </c>
      <c r="W899" s="25">
        <f>tblPayrollMaster[[#This Row],[Net Pay]]</f>
        <v>0</v>
      </c>
      <c r="X899" s="25"/>
    </row>
    <row r="900" spans="1:24" x14ac:dyDescent="0.25">
      <c r="A900" s="24"/>
      <c r="B900" s="24" t="str">
        <f>_xlfn.XLOOKUP(tblPayrollMaster[[#This Row],[Employee ID]],tblEmployee[Employee ID],tblEmployee[Employee Name],"")</f>
        <v/>
      </c>
      <c r="C900" s="24" t="str">
        <f>_xlfn.XLOOKUP(tblPayrollMaster[[#This Row],[Employee ID]],tblEmployee[Employee ID],tblEmployee[Employee Position],"")</f>
        <v/>
      </c>
      <c r="D900" s="24" t="str">
        <f>_xlfn.XLOOKUP(tblPayrollMaster[[#This Row],[Employee ID]], tblEmployee[Employee ID], tblEmployee[Pay Status], "Pay")</f>
        <v>Pay</v>
      </c>
      <c r="E900" s="24" t="str">
        <f>_xlfn.XLOOKUP(tblPayrollMaster[[#This Row],[Employee ID]], tblEmployee[Employee ID], tblEmployee[Payable Flag], "Y")</f>
        <v>Y</v>
      </c>
      <c r="F900" s="45">
        <f>IF(tblPayrollMaster[[#This Row],[Payable Flag]]="N",0,_xlfn.XLOOKUP(tblPayrollMaster[[#This Row],[Employee ID]],tblEmployee[Employee ID],tblEmployee[Pay Factor],1))</f>
        <v>1</v>
      </c>
      <c r="G900" s="26" t="str" cm="1">
        <f t="array" ref="G900">IF(tblPayrollMaster[[#This Row],[Employee ID]]="","",_xlfn.XLOOKUP(selPayPeriodID,tblPayCalendar[PayPeriodID],tblPayCalendar[PeriodStart],""))</f>
        <v/>
      </c>
      <c r="H900" s="26" t="str" cm="1">
        <f t="array" ref="H900">IF(tblPayrollMaster[[#This Row],[Employee ID]]="","",_xlfn.XLOOKUP(selPayPeriodID,tblPayCalendar[PayPeriodID],tblPayCalendar[PeriodEnd],""))</f>
        <v/>
      </c>
      <c r="I900" s="24" t="e" cm="1" vm="1">
        <f t="array" aca="1" ref="I900" ca="1">Table18[Employer Name]</f>
        <v>#VALUE!</v>
      </c>
      <c r="J900" s="3" cm="1">
        <f t="array" ref="J90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00" s="25" t="str">
        <f>_xlfn.XLOOKUP(tblPayrollMaster[[#This Row],[Employee Position]],tblPositionandPayRate[Employee Position],tblPositionandPayRate[Overtime], " ")</f>
        <v xml:space="preserve"> </v>
      </c>
      <c r="L900" s="25">
        <f>_xlfn.XLOOKUP(tblPayrollMaster[[#This Row],[Employee Position]],tblPositionandPayRate[Employee Position],tblPositionandPayRate[Allowance 1],0)*tblPayrollMaster[[#This Row],[Pay Factor]]</f>
        <v>0</v>
      </c>
      <c r="M900" s="25">
        <f>_xlfn.XLOOKUP(tblPayrollMaster[[#This Row],[Employee Position]],tblPositionandPayRate[Employee Position],tblPositionandPayRate[Allowance 2],0)*tblPayrollMaster[[#This Row],[Pay Factor]]</f>
        <v>0</v>
      </c>
      <c r="N900" s="25">
        <f>_xlfn.XLOOKUP(tblPayrollMaster[[#This Row],[Employee Position]],tblPositionandPayRate[Employee Position],tblPositionandPayRate[Allowance 3],0)*tblPayrollMaster[[#This Row],[Pay Factor]]</f>
        <v>0</v>
      </c>
      <c r="O900" s="25">
        <f>_xlfn.XLOOKUP(tblPayrollMaster[[#This Row],[Employee Position]],tblPositionandPayRate[Employee Position],tblPositionandPayRate[Allowance 4],0)*tblPayrollMaster[[#This Row],[Pay Factor]]</f>
        <v>0</v>
      </c>
      <c r="P900" s="25">
        <f>_xlfn.XLOOKUP(tblPayrollMaster[[#This Row],[Employee Position]],tblPositionandPayRate[Employee Position],tblPositionandPayRate[Allowance 5],0)*tblPayrollMaster[[#This Row],[Pay Factor]]</f>
        <v>0</v>
      </c>
      <c r="Q900" s="25">
        <f>SUM(tblPayrollMaster[[#This Row],[Basic Pay]:[Allowance 5]])</f>
        <v>0</v>
      </c>
      <c r="R90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00" s="51" cm="1">
        <f t="array" ref="S9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00" s="3" cm="1">
        <f t="array" ref="T90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00" s="25">
        <f>_xlfn.LET(
_xlpm.tos, _xlfn.XLOOKUP(tblPayrollMaster[[#This Row],[Employee ID]], tblEmployee[Employee ID], tblEmployee[Type of Service], ""),
IF(_xlpm.tos="Contract of Service", 8.25, 0)
)</f>
        <v>0</v>
      </c>
      <c r="V900" s="25">
        <f>tblPayrollMaster[[#This Row],[Basic Earnings]]-tblPayrollMaster[[#This Row],[Tax]]-tblPayrollMaster[[#This Row],[NIS - Employee]]-tblPayrollMaster[[#This Row],[Health Surcharge]]</f>
        <v>0</v>
      </c>
      <c r="W900" s="25">
        <f>tblPayrollMaster[[#This Row],[Net Pay]]</f>
        <v>0</v>
      </c>
      <c r="X900" s="25"/>
    </row>
    <row r="901" spans="1:24" x14ac:dyDescent="0.25">
      <c r="A901" s="24"/>
      <c r="B901" s="24" t="str">
        <f>_xlfn.XLOOKUP(tblPayrollMaster[[#This Row],[Employee ID]],tblEmployee[Employee ID],tblEmployee[Employee Name],"")</f>
        <v/>
      </c>
      <c r="C901" s="24" t="str">
        <f>_xlfn.XLOOKUP(tblPayrollMaster[[#This Row],[Employee ID]],tblEmployee[Employee ID],tblEmployee[Employee Position],"")</f>
        <v/>
      </c>
      <c r="D901" s="24" t="str">
        <f>_xlfn.XLOOKUP(tblPayrollMaster[[#This Row],[Employee ID]], tblEmployee[Employee ID], tblEmployee[Pay Status], "Pay")</f>
        <v>Pay</v>
      </c>
      <c r="E901" s="24" t="str">
        <f>_xlfn.XLOOKUP(tblPayrollMaster[[#This Row],[Employee ID]], tblEmployee[Employee ID], tblEmployee[Payable Flag], "Y")</f>
        <v>Y</v>
      </c>
      <c r="F901" s="45">
        <f>IF(tblPayrollMaster[[#This Row],[Payable Flag]]="N",0,_xlfn.XLOOKUP(tblPayrollMaster[[#This Row],[Employee ID]],tblEmployee[Employee ID],tblEmployee[Pay Factor],1))</f>
        <v>1</v>
      </c>
      <c r="G901" s="26" t="str" cm="1">
        <f t="array" ref="G901">IF(tblPayrollMaster[[#This Row],[Employee ID]]="","",_xlfn.XLOOKUP(selPayPeriodID,tblPayCalendar[PayPeriodID],tblPayCalendar[PeriodStart],""))</f>
        <v/>
      </c>
      <c r="H901" s="26" t="str" cm="1">
        <f t="array" ref="H901">IF(tblPayrollMaster[[#This Row],[Employee ID]]="","",_xlfn.XLOOKUP(selPayPeriodID,tblPayCalendar[PayPeriodID],tblPayCalendar[PeriodEnd],""))</f>
        <v/>
      </c>
      <c r="I901" s="24" t="e" cm="1" vm="1">
        <f t="array" aca="1" ref="I901" ca="1">Table18[Employer Name]</f>
        <v>#VALUE!</v>
      </c>
      <c r="J901" s="3" cm="1">
        <f t="array" ref="J90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01" s="25" t="str">
        <f>_xlfn.XLOOKUP(tblPayrollMaster[[#This Row],[Employee Position]],tblPositionandPayRate[Employee Position],tblPositionandPayRate[Overtime], " ")</f>
        <v xml:space="preserve"> </v>
      </c>
      <c r="L901" s="25">
        <f>_xlfn.XLOOKUP(tblPayrollMaster[[#This Row],[Employee Position]],tblPositionandPayRate[Employee Position],tblPositionandPayRate[Allowance 1],0)*tblPayrollMaster[[#This Row],[Pay Factor]]</f>
        <v>0</v>
      </c>
      <c r="M901" s="25">
        <f>_xlfn.XLOOKUP(tblPayrollMaster[[#This Row],[Employee Position]],tblPositionandPayRate[Employee Position],tblPositionandPayRate[Allowance 2],0)*tblPayrollMaster[[#This Row],[Pay Factor]]</f>
        <v>0</v>
      </c>
      <c r="N901" s="25">
        <f>_xlfn.XLOOKUP(tblPayrollMaster[[#This Row],[Employee Position]],tblPositionandPayRate[Employee Position],tblPositionandPayRate[Allowance 3],0)*tblPayrollMaster[[#This Row],[Pay Factor]]</f>
        <v>0</v>
      </c>
      <c r="O901" s="25">
        <f>_xlfn.XLOOKUP(tblPayrollMaster[[#This Row],[Employee Position]],tblPositionandPayRate[Employee Position],tblPositionandPayRate[Allowance 4],0)*tblPayrollMaster[[#This Row],[Pay Factor]]</f>
        <v>0</v>
      </c>
      <c r="P901" s="25">
        <f>_xlfn.XLOOKUP(tblPayrollMaster[[#This Row],[Employee Position]],tblPositionandPayRate[Employee Position],tblPositionandPayRate[Allowance 5],0)*tblPayrollMaster[[#This Row],[Pay Factor]]</f>
        <v>0</v>
      </c>
      <c r="Q901" s="25">
        <f>SUM(tblPayrollMaster[[#This Row],[Basic Pay]:[Allowance 5]])</f>
        <v>0</v>
      </c>
      <c r="R90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01" s="51" cm="1">
        <f t="array" ref="S9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01" s="3" cm="1">
        <f t="array" ref="T90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01" s="25">
        <f>_xlfn.LET(
_xlpm.tos, _xlfn.XLOOKUP(tblPayrollMaster[[#This Row],[Employee ID]], tblEmployee[Employee ID], tblEmployee[Type of Service], ""),
IF(_xlpm.tos="Contract of Service", 8.25, 0)
)</f>
        <v>0</v>
      </c>
      <c r="V901" s="25">
        <f>tblPayrollMaster[[#This Row],[Basic Earnings]]-tblPayrollMaster[[#This Row],[Tax]]-tblPayrollMaster[[#This Row],[NIS - Employee]]-tblPayrollMaster[[#This Row],[Health Surcharge]]</f>
        <v>0</v>
      </c>
      <c r="W901" s="25">
        <f>tblPayrollMaster[[#This Row],[Net Pay]]</f>
        <v>0</v>
      </c>
      <c r="X901" s="25"/>
    </row>
    <row r="902" spans="1:24" x14ac:dyDescent="0.25">
      <c r="A902" s="24"/>
      <c r="B902" s="24" t="str">
        <f>_xlfn.XLOOKUP(tblPayrollMaster[[#This Row],[Employee ID]],tblEmployee[Employee ID],tblEmployee[Employee Name],"")</f>
        <v/>
      </c>
      <c r="C902" s="24" t="str">
        <f>_xlfn.XLOOKUP(tblPayrollMaster[[#This Row],[Employee ID]],tblEmployee[Employee ID],tblEmployee[Employee Position],"")</f>
        <v/>
      </c>
      <c r="D902" s="24" t="str">
        <f>_xlfn.XLOOKUP(tblPayrollMaster[[#This Row],[Employee ID]], tblEmployee[Employee ID], tblEmployee[Pay Status], "Pay")</f>
        <v>Pay</v>
      </c>
      <c r="E902" s="24" t="str">
        <f>_xlfn.XLOOKUP(tblPayrollMaster[[#This Row],[Employee ID]], tblEmployee[Employee ID], tblEmployee[Payable Flag], "Y")</f>
        <v>Y</v>
      </c>
      <c r="F902" s="45">
        <f>IF(tblPayrollMaster[[#This Row],[Payable Flag]]="N",0,_xlfn.XLOOKUP(tblPayrollMaster[[#This Row],[Employee ID]],tblEmployee[Employee ID],tblEmployee[Pay Factor],1))</f>
        <v>1</v>
      </c>
      <c r="G902" s="26" t="str" cm="1">
        <f t="array" ref="G902">IF(tblPayrollMaster[[#This Row],[Employee ID]]="","",_xlfn.XLOOKUP(selPayPeriodID,tblPayCalendar[PayPeriodID],tblPayCalendar[PeriodStart],""))</f>
        <v/>
      </c>
      <c r="H902" s="26" t="str" cm="1">
        <f t="array" ref="H902">IF(tblPayrollMaster[[#This Row],[Employee ID]]="","",_xlfn.XLOOKUP(selPayPeriodID,tblPayCalendar[PayPeriodID],tblPayCalendar[PeriodEnd],""))</f>
        <v/>
      </c>
      <c r="I902" s="24" t="e" cm="1" vm="1">
        <f t="array" aca="1" ref="I902" ca="1">Table18[Employer Name]</f>
        <v>#VALUE!</v>
      </c>
      <c r="J902" s="3" cm="1">
        <f t="array" ref="J90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02" s="25" t="str">
        <f>_xlfn.XLOOKUP(tblPayrollMaster[[#This Row],[Employee Position]],tblPositionandPayRate[Employee Position],tblPositionandPayRate[Overtime], " ")</f>
        <v xml:space="preserve"> </v>
      </c>
      <c r="L902" s="25">
        <f>_xlfn.XLOOKUP(tblPayrollMaster[[#This Row],[Employee Position]],tblPositionandPayRate[Employee Position],tblPositionandPayRate[Allowance 1],0)*tblPayrollMaster[[#This Row],[Pay Factor]]</f>
        <v>0</v>
      </c>
      <c r="M902" s="25">
        <f>_xlfn.XLOOKUP(tblPayrollMaster[[#This Row],[Employee Position]],tblPositionandPayRate[Employee Position],tblPositionandPayRate[Allowance 2],0)*tblPayrollMaster[[#This Row],[Pay Factor]]</f>
        <v>0</v>
      </c>
      <c r="N902" s="25">
        <f>_xlfn.XLOOKUP(tblPayrollMaster[[#This Row],[Employee Position]],tblPositionandPayRate[Employee Position],tblPositionandPayRate[Allowance 3],0)*tblPayrollMaster[[#This Row],[Pay Factor]]</f>
        <v>0</v>
      </c>
      <c r="O902" s="25">
        <f>_xlfn.XLOOKUP(tblPayrollMaster[[#This Row],[Employee Position]],tblPositionandPayRate[Employee Position],tblPositionandPayRate[Allowance 4],0)*tblPayrollMaster[[#This Row],[Pay Factor]]</f>
        <v>0</v>
      </c>
      <c r="P902" s="25">
        <f>_xlfn.XLOOKUP(tblPayrollMaster[[#This Row],[Employee Position]],tblPositionandPayRate[Employee Position],tblPositionandPayRate[Allowance 5],0)*tblPayrollMaster[[#This Row],[Pay Factor]]</f>
        <v>0</v>
      </c>
      <c r="Q902" s="25">
        <f>SUM(tblPayrollMaster[[#This Row],[Basic Pay]:[Allowance 5]])</f>
        <v>0</v>
      </c>
      <c r="R90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02" s="51" cm="1">
        <f t="array" ref="S9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02" s="3" cm="1">
        <f t="array" ref="T90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02" s="25">
        <f>_xlfn.LET(
_xlpm.tos, _xlfn.XLOOKUP(tblPayrollMaster[[#This Row],[Employee ID]], tblEmployee[Employee ID], tblEmployee[Type of Service], ""),
IF(_xlpm.tos="Contract of Service", 8.25, 0)
)</f>
        <v>0</v>
      </c>
      <c r="V902" s="25">
        <f>tblPayrollMaster[[#This Row],[Basic Earnings]]-tblPayrollMaster[[#This Row],[Tax]]-tblPayrollMaster[[#This Row],[NIS - Employee]]-tblPayrollMaster[[#This Row],[Health Surcharge]]</f>
        <v>0</v>
      </c>
      <c r="W902" s="25">
        <f>tblPayrollMaster[[#This Row],[Net Pay]]</f>
        <v>0</v>
      </c>
      <c r="X902" s="25"/>
    </row>
    <row r="903" spans="1:24" x14ac:dyDescent="0.25">
      <c r="A903" s="24"/>
      <c r="B903" s="24" t="str">
        <f>_xlfn.XLOOKUP(tblPayrollMaster[[#This Row],[Employee ID]],tblEmployee[Employee ID],tblEmployee[Employee Name],"")</f>
        <v/>
      </c>
      <c r="C903" s="24" t="str">
        <f>_xlfn.XLOOKUP(tblPayrollMaster[[#This Row],[Employee ID]],tblEmployee[Employee ID],tblEmployee[Employee Position],"")</f>
        <v/>
      </c>
      <c r="D903" s="24" t="str">
        <f>_xlfn.XLOOKUP(tblPayrollMaster[[#This Row],[Employee ID]], tblEmployee[Employee ID], tblEmployee[Pay Status], "Pay")</f>
        <v>Pay</v>
      </c>
      <c r="E903" s="24" t="str">
        <f>_xlfn.XLOOKUP(tblPayrollMaster[[#This Row],[Employee ID]], tblEmployee[Employee ID], tblEmployee[Payable Flag], "Y")</f>
        <v>Y</v>
      </c>
      <c r="F903" s="45">
        <f>IF(tblPayrollMaster[[#This Row],[Payable Flag]]="N",0,_xlfn.XLOOKUP(tblPayrollMaster[[#This Row],[Employee ID]],tblEmployee[Employee ID],tblEmployee[Pay Factor],1))</f>
        <v>1</v>
      </c>
      <c r="G903" s="26" t="str" cm="1">
        <f t="array" ref="G903">IF(tblPayrollMaster[[#This Row],[Employee ID]]="","",_xlfn.XLOOKUP(selPayPeriodID,tblPayCalendar[PayPeriodID],tblPayCalendar[PeriodStart],""))</f>
        <v/>
      </c>
      <c r="H903" s="26" t="str" cm="1">
        <f t="array" ref="H903">IF(tblPayrollMaster[[#This Row],[Employee ID]]="","",_xlfn.XLOOKUP(selPayPeriodID,tblPayCalendar[PayPeriodID],tblPayCalendar[PeriodEnd],""))</f>
        <v/>
      </c>
      <c r="I903" s="24" t="e" cm="1" vm="1">
        <f t="array" aca="1" ref="I903" ca="1">Table18[Employer Name]</f>
        <v>#VALUE!</v>
      </c>
      <c r="J903" s="3" cm="1">
        <f t="array" ref="J90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03" s="25" t="str">
        <f>_xlfn.XLOOKUP(tblPayrollMaster[[#This Row],[Employee Position]],tblPositionandPayRate[Employee Position],tblPositionandPayRate[Overtime], " ")</f>
        <v xml:space="preserve"> </v>
      </c>
      <c r="L903" s="25">
        <f>_xlfn.XLOOKUP(tblPayrollMaster[[#This Row],[Employee Position]],tblPositionandPayRate[Employee Position],tblPositionandPayRate[Allowance 1],0)*tblPayrollMaster[[#This Row],[Pay Factor]]</f>
        <v>0</v>
      </c>
      <c r="M903" s="25">
        <f>_xlfn.XLOOKUP(tblPayrollMaster[[#This Row],[Employee Position]],tblPositionandPayRate[Employee Position],tblPositionandPayRate[Allowance 2],0)*tblPayrollMaster[[#This Row],[Pay Factor]]</f>
        <v>0</v>
      </c>
      <c r="N903" s="25">
        <f>_xlfn.XLOOKUP(tblPayrollMaster[[#This Row],[Employee Position]],tblPositionandPayRate[Employee Position],tblPositionandPayRate[Allowance 3],0)*tblPayrollMaster[[#This Row],[Pay Factor]]</f>
        <v>0</v>
      </c>
      <c r="O903" s="25">
        <f>_xlfn.XLOOKUP(tblPayrollMaster[[#This Row],[Employee Position]],tblPositionandPayRate[Employee Position],tblPositionandPayRate[Allowance 4],0)*tblPayrollMaster[[#This Row],[Pay Factor]]</f>
        <v>0</v>
      </c>
      <c r="P903" s="25">
        <f>_xlfn.XLOOKUP(tblPayrollMaster[[#This Row],[Employee Position]],tblPositionandPayRate[Employee Position],tblPositionandPayRate[Allowance 5],0)*tblPayrollMaster[[#This Row],[Pay Factor]]</f>
        <v>0</v>
      </c>
      <c r="Q903" s="25">
        <f>SUM(tblPayrollMaster[[#This Row],[Basic Pay]:[Allowance 5]])</f>
        <v>0</v>
      </c>
      <c r="R90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03" s="51" cm="1">
        <f t="array" ref="S9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03" s="3" cm="1">
        <f t="array" ref="T90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03" s="25">
        <f>_xlfn.LET(
_xlpm.tos, _xlfn.XLOOKUP(tblPayrollMaster[[#This Row],[Employee ID]], tblEmployee[Employee ID], tblEmployee[Type of Service], ""),
IF(_xlpm.tos="Contract of Service", 8.25, 0)
)</f>
        <v>0</v>
      </c>
      <c r="V903" s="25">
        <f>tblPayrollMaster[[#This Row],[Basic Earnings]]-tblPayrollMaster[[#This Row],[Tax]]-tblPayrollMaster[[#This Row],[NIS - Employee]]-tblPayrollMaster[[#This Row],[Health Surcharge]]</f>
        <v>0</v>
      </c>
      <c r="W903" s="25">
        <f>tblPayrollMaster[[#This Row],[Net Pay]]</f>
        <v>0</v>
      </c>
      <c r="X903" s="25"/>
    </row>
    <row r="904" spans="1:24" x14ac:dyDescent="0.25">
      <c r="A904" s="24"/>
      <c r="B904" s="24" t="str">
        <f>_xlfn.XLOOKUP(tblPayrollMaster[[#This Row],[Employee ID]],tblEmployee[Employee ID],tblEmployee[Employee Name],"")</f>
        <v/>
      </c>
      <c r="C904" s="24" t="str">
        <f>_xlfn.XLOOKUP(tblPayrollMaster[[#This Row],[Employee ID]],tblEmployee[Employee ID],tblEmployee[Employee Position],"")</f>
        <v/>
      </c>
      <c r="D904" s="24" t="str">
        <f>_xlfn.XLOOKUP(tblPayrollMaster[[#This Row],[Employee ID]], tblEmployee[Employee ID], tblEmployee[Pay Status], "Pay")</f>
        <v>Pay</v>
      </c>
      <c r="E904" s="24" t="str">
        <f>_xlfn.XLOOKUP(tblPayrollMaster[[#This Row],[Employee ID]], tblEmployee[Employee ID], tblEmployee[Payable Flag], "Y")</f>
        <v>Y</v>
      </c>
      <c r="F904" s="45">
        <f>IF(tblPayrollMaster[[#This Row],[Payable Flag]]="N",0,_xlfn.XLOOKUP(tblPayrollMaster[[#This Row],[Employee ID]],tblEmployee[Employee ID],tblEmployee[Pay Factor],1))</f>
        <v>1</v>
      </c>
      <c r="G904" s="26" t="str" cm="1">
        <f t="array" ref="G904">IF(tblPayrollMaster[[#This Row],[Employee ID]]="","",_xlfn.XLOOKUP(selPayPeriodID,tblPayCalendar[PayPeriodID],tblPayCalendar[PeriodStart],""))</f>
        <v/>
      </c>
      <c r="H904" s="26" t="str" cm="1">
        <f t="array" ref="H904">IF(tblPayrollMaster[[#This Row],[Employee ID]]="","",_xlfn.XLOOKUP(selPayPeriodID,tblPayCalendar[PayPeriodID],tblPayCalendar[PeriodEnd],""))</f>
        <v/>
      </c>
      <c r="I904" s="24" t="e" cm="1" vm="1">
        <f t="array" aca="1" ref="I904" ca="1">Table18[Employer Name]</f>
        <v>#VALUE!</v>
      </c>
      <c r="J904" s="3" cm="1">
        <f t="array" ref="J90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04" s="25" t="str">
        <f>_xlfn.XLOOKUP(tblPayrollMaster[[#This Row],[Employee Position]],tblPositionandPayRate[Employee Position],tblPositionandPayRate[Overtime], " ")</f>
        <v xml:space="preserve"> </v>
      </c>
      <c r="L904" s="25">
        <f>_xlfn.XLOOKUP(tblPayrollMaster[[#This Row],[Employee Position]],tblPositionandPayRate[Employee Position],tblPositionandPayRate[Allowance 1],0)*tblPayrollMaster[[#This Row],[Pay Factor]]</f>
        <v>0</v>
      </c>
      <c r="M904" s="25">
        <f>_xlfn.XLOOKUP(tblPayrollMaster[[#This Row],[Employee Position]],tblPositionandPayRate[Employee Position],tblPositionandPayRate[Allowance 2],0)*tblPayrollMaster[[#This Row],[Pay Factor]]</f>
        <v>0</v>
      </c>
      <c r="N904" s="25">
        <f>_xlfn.XLOOKUP(tblPayrollMaster[[#This Row],[Employee Position]],tblPositionandPayRate[Employee Position],tblPositionandPayRate[Allowance 3],0)*tblPayrollMaster[[#This Row],[Pay Factor]]</f>
        <v>0</v>
      </c>
      <c r="O904" s="25">
        <f>_xlfn.XLOOKUP(tblPayrollMaster[[#This Row],[Employee Position]],tblPositionandPayRate[Employee Position],tblPositionandPayRate[Allowance 4],0)*tblPayrollMaster[[#This Row],[Pay Factor]]</f>
        <v>0</v>
      </c>
      <c r="P904" s="25">
        <f>_xlfn.XLOOKUP(tblPayrollMaster[[#This Row],[Employee Position]],tblPositionandPayRate[Employee Position],tblPositionandPayRate[Allowance 5],0)*tblPayrollMaster[[#This Row],[Pay Factor]]</f>
        <v>0</v>
      </c>
      <c r="Q904" s="25">
        <f>SUM(tblPayrollMaster[[#This Row],[Basic Pay]:[Allowance 5]])</f>
        <v>0</v>
      </c>
      <c r="R90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04" s="51" cm="1">
        <f t="array" ref="S9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04" s="3" cm="1">
        <f t="array" ref="T90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04" s="25">
        <f>_xlfn.LET(
_xlpm.tos, _xlfn.XLOOKUP(tblPayrollMaster[[#This Row],[Employee ID]], tblEmployee[Employee ID], tblEmployee[Type of Service], ""),
IF(_xlpm.tos="Contract of Service", 8.25, 0)
)</f>
        <v>0</v>
      </c>
      <c r="V904" s="25">
        <f>tblPayrollMaster[[#This Row],[Basic Earnings]]-tblPayrollMaster[[#This Row],[Tax]]-tblPayrollMaster[[#This Row],[NIS - Employee]]-tblPayrollMaster[[#This Row],[Health Surcharge]]</f>
        <v>0</v>
      </c>
      <c r="W904" s="25">
        <f>tblPayrollMaster[[#This Row],[Net Pay]]</f>
        <v>0</v>
      </c>
      <c r="X904" s="25"/>
    </row>
    <row r="905" spans="1:24" x14ac:dyDescent="0.25">
      <c r="A905" s="24"/>
      <c r="B905" s="24" t="str">
        <f>_xlfn.XLOOKUP(tblPayrollMaster[[#This Row],[Employee ID]],tblEmployee[Employee ID],tblEmployee[Employee Name],"")</f>
        <v/>
      </c>
      <c r="C905" s="24" t="str">
        <f>_xlfn.XLOOKUP(tblPayrollMaster[[#This Row],[Employee ID]],tblEmployee[Employee ID],tblEmployee[Employee Position],"")</f>
        <v/>
      </c>
      <c r="D905" s="24" t="str">
        <f>_xlfn.XLOOKUP(tblPayrollMaster[[#This Row],[Employee ID]], tblEmployee[Employee ID], tblEmployee[Pay Status], "Pay")</f>
        <v>Pay</v>
      </c>
      <c r="E905" s="24" t="str">
        <f>_xlfn.XLOOKUP(tblPayrollMaster[[#This Row],[Employee ID]], tblEmployee[Employee ID], tblEmployee[Payable Flag], "Y")</f>
        <v>Y</v>
      </c>
      <c r="F905" s="45">
        <f>IF(tblPayrollMaster[[#This Row],[Payable Flag]]="N",0,_xlfn.XLOOKUP(tblPayrollMaster[[#This Row],[Employee ID]],tblEmployee[Employee ID],tblEmployee[Pay Factor],1))</f>
        <v>1</v>
      </c>
      <c r="G905" s="26" t="str" cm="1">
        <f t="array" ref="G905">IF(tblPayrollMaster[[#This Row],[Employee ID]]="","",_xlfn.XLOOKUP(selPayPeriodID,tblPayCalendar[PayPeriodID],tblPayCalendar[PeriodStart],""))</f>
        <v/>
      </c>
      <c r="H905" s="26" t="str" cm="1">
        <f t="array" ref="H905">IF(tblPayrollMaster[[#This Row],[Employee ID]]="","",_xlfn.XLOOKUP(selPayPeriodID,tblPayCalendar[PayPeriodID],tblPayCalendar[PeriodEnd],""))</f>
        <v/>
      </c>
      <c r="I905" s="24" t="e" cm="1" vm="1">
        <f t="array" aca="1" ref="I905" ca="1">Table18[Employer Name]</f>
        <v>#VALUE!</v>
      </c>
      <c r="J905" s="3" cm="1">
        <f t="array" ref="J90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05" s="25" t="str">
        <f>_xlfn.XLOOKUP(tblPayrollMaster[[#This Row],[Employee Position]],tblPositionandPayRate[Employee Position],tblPositionandPayRate[Overtime], " ")</f>
        <v xml:space="preserve"> </v>
      </c>
      <c r="L905" s="25">
        <f>_xlfn.XLOOKUP(tblPayrollMaster[[#This Row],[Employee Position]],tblPositionandPayRate[Employee Position],tblPositionandPayRate[Allowance 1],0)*tblPayrollMaster[[#This Row],[Pay Factor]]</f>
        <v>0</v>
      </c>
      <c r="M905" s="25">
        <f>_xlfn.XLOOKUP(tblPayrollMaster[[#This Row],[Employee Position]],tblPositionandPayRate[Employee Position],tblPositionandPayRate[Allowance 2],0)*tblPayrollMaster[[#This Row],[Pay Factor]]</f>
        <v>0</v>
      </c>
      <c r="N905" s="25">
        <f>_xlfn.XLOOKUP(tblPayrollMaster[[#This Row],[Employee Position]],tblPositionandPayRate[Employee Position],tblPositionandPayRate[Allowance 3],0)*tblPayrollMaster[[#This Row],[Pay Factor]]</f>
        <v>0</v>
      </c>
      <c r="O905" s="25">
        <f>_xlfn.XLOOKUP(tblPayrollMaster[[#This Row],[Employee Position]],tblPositionandPayRate[Employee Position],tblPositionandPayRate[Allowance 4],0)*tblPayrollMaster[[#This Row],[Pay Factor]]</f>
        <v>0</v>
      </c>
      <c r="P905" s="25">
        <f>_xlfn.XLOOKUP(tblPayrollMaster[[#This Row],[Employee Position]],tblPositionandPayRate[Employee Position],tblPositionandPayRate[Allowance 5],0)*tblPayrollMaster[[#This Row],[Pay Factor]]</f>
        <v>0</v>
      </c>
      <c r="Q905" s="25">
        <f>SUM(tblPayrollMaster[[#This Row],[Basic Pay]:[Allowance 5]])</f>
        <v>0</v>
      </c>
      <c r="R90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05" s="51" cm="1">
        <f t="array" ref="S9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05" s="3" cm="1">
        <f t="array" ref="T90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05" s="25">
        <f>_xlfn.LET(
_xlpm.tos, _xlfn.XLOOKUP(tblPayrollMaster[[#This Row],[Employee ID]], tblEmployee[Employee ID], tblEmployee[Type of Service], ""),
IF(_xlpm.tos="Contract of Service", 8.25, 0)
)</f>
        <v>0</v>
      </c>
      <c r="V905" s="25">
        <f>tblPayrollMaster[[#This Row],[Basic Earnings]]-tblPayrollMaster[[#This Row],[Tax]]-tblPayrollMaster[[#This Row],[NIS - Employee]]-tblPayrollMaster[[#This Row],[Health Surcharge]]</f>
        <v>0</v>
      </c>
      <c r="W905" s="25">
        <f>tblPayrollMaster[[#This Row],[Net Pay]]</f>
        <v>0</v>
      </c>
      <c r="X905" s="25"/>
    </row>
    <row r="906" spans="1:24" x14ac:dyDescent="0.25">
      <c r="A906" s="24"/>
      <c r="B906" s="24" t="str">
        <f>_xlfn.XLOOKUP(tblPayrollMaster[[#This Row],[Employee ID]],tblEmployee[Employee ID],tblEmployee[Employee Name],"")</f>
        <v/>
      </c>
      <c r="C906" s="24" t="str">
        <f>_xlfn.XLOOKUP(tblPayrollMaster[[#This Row],[Employee ID]],tblEmployee[Employee ID],tblEmployee[Employee Position],"")</f>
        <v/>
      </c>
      <c r="D906" s="24" t="str">
        <f>_xlfn.XLOOKUP(tblPayrollMaster[[#This Row],[Employee ID]], tblEmployee[Employee ID], tblEmployee[Pay Status], "Pay")</f>
        <v>Pay</v>
      </c>
      <c r="E906" s="24" t="str">
        <f>_xlfn.XLOOKUP(tblPayrollMaster[[#This Row],[Employee ID]], tblEmployee[Employee ID], tblEmployee[Payable Flag], "Y")</f>
        <v>Y</v>
      </c>
      <c r="F906" s="45">
        <f>IF(tblPayrollMaster[[#This Row],[Payable Flag]]="N",0,_xlfn.XLOOKUP(tblPayrollMaster[[#This Row],[Employee ID]],tblEmployee[Employee ID],tblEmployee[Pay Factor],1))</f>
        <v>1</v>
      </c>
      <c r="G906" s="26" t="str" cm="1">
        <f t="array" ref="G906">IF(tblPayrollMaster[[#This Row],[Employee ID]]="","",_xlfn.XLOOKUP(selPayPeriodID,tblPayCalendar[PayPeriodID],tblPayCalendar[PeriodStart],""))</f>
        <v/>
      </c>
      <c r="H906" s="26" t="str" cm="1">
        <f t="array" ref="H906">IF(tblPayrollMaster[[#This Row],[Employee ID]]="","",_xlfn.XLOOKUP(selPayPeriodID,tblPayCalendar[PayPeriodID],tblPayCalendar[PeriodEnd],""))</f>
        <v/>
      </c>
      <c r="I906" s="24" t="e" cm="1" vm="1">
        <f t="array" aca="1" ref="I906" ca="1">Table18[Employer Name]</f>
        <v>#VALUE!</v>
      </c>
      <c r="J906" s="3" cm="1">
        <f t="array" ref="J90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06" s="25" t="str">
        <f>_xlfn.XLOOKUP(tblPayrollMaster[[#This Row],[Employee Position]],tblPositionandPayRate[Employee Position],tblPositionandPayRate[Overtime], " ")</f>
        <v xml:space="preserve"> </v>
      </c>
      <c r="L906" s="25">
        <f>_xlfn.XLOOKUP(tblPayrollMaster[[#This Row],[Employee Position]],tblPositionandPayRate[Employee Position],tblPositionandPayRate[Allowance 1],0)*tblPayrollMaster[[#This Row],[Pay Factor]]</f>
        <v>0</v>
      </c>
      <c r="M906" s="25">
        <f>_xlfn.XLOOKUP(tblPayrollMaster[[#This Row],[Employee Position]],tblPositionandPayRate[Employee Position],tblPositionandPayRate[Allowance 2],0)*tblPayrollMaster[[#This Row],[Pay Factor]]</f>
        <v>0</v>
      </c>
      <c r="N906" s="25">
        <f>_xlfn.XLOOKUP(tblPayrollMaster[[#This Row],[Employee Position]],tblPositionandPayRate[Employee Position],tblPositionandPayRate[Allowance 3],0)*tblPayrollMaster[[#This Row],[Pay Factor]]</f>
        <v>0</v>
      </c>
      <c r="O906" s="25">
        <f>_xlfn.XLOOKUP(tblPayrollMaster[[#This Row],[Employee Position]],tblPositionandPayRate[Employee Position],tblPositionandPayRate[Allowance 4],0)*tblPayrollMaster[[#This Row],[Pay Factor]]</f>
        <v>0</v>
      </c>
      <c r="P906" s="25">
        <f>_xlfn.XLOOKUP(tblPayrollMaster[[#This Row],[Employee Position]],tblPositionandPayRate[Employee Position],tblPositionandPayRate[Allowance 5],0)*tblPayrollMaster[[#This Row],[Pay Factor]]</f>
        <v>0</v>
      </c>
      <c r="Q906" s="25">
        <f>SUM(tblPayrollMaster[[#This Row],[Basic Pay]:[Allowance 5]])</f>
        <v>0</v>
      </c>
      <c r="R90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06" s="51" cm="1">
        <f t="array" ref="S9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06" s="3" cm="1">
        <f t="array" ref="T90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06" s="25">
        <f>_xlfn.LET(
_xlpm.tos, _xlfn.XLOOKUP(tblPayrollMaster[[#This Row],[Employee ID]], tblEmployee[Employee ID], tblEmployee[Type of Service], ""),
IF(_xlpm.tos="Contract of Service", 8.25, 0)
)</f>
        <v>0</v>
      </c>
      <c r="V906" s="25">
        <f>tblPayrollMaster[[#This Row],[Basic Earnings]]-tblPayrollMaster[[#This Row],[Tax]]-tblPayrollMaster[[#This Row],[NIS - Employee]]-tblPayrollMaster[[#This Row],[Health Surcharge]]</f>
        <v>0</v>
      </c>
      <c r="W906" s="25">
        <f>tblPayrollMaster[[#This Row],[Net Pay]]</f>
        <v>0</v>
      </c>
      <c r="X906" s="25"/>
    </row>
    <row r="907" spans="1:24" x14ac:dyDescent="0.25">
      <c r="A907" s="24"/>
      <c r="B907" s="24" t="str">
        <f>_xlfn.XLOOKUP(tblPayrollMaster[[#This Row],[Employee ID]],tblEmployee[Employee ID],tblEmployee[Employee Name],"")</f>
        <v/>
      </c>
      <c r="C907" s="24" t="str">
        <f>_xlfn.XLOOKUP(tblPayrollMaster[[#This Row],[Employee ID]],tblEmployee[Employee ID],tblEmployee[Employee Position],"")</f>
        <v/>
      </c>
      <c r="D907" s="24" t="str">
        <f>_xlfn.XLOOKUP(tblPayrollMaster[[#This Row],[Employee ID]], tblEmployee[Employee ID], tblEmployee[Pay Status], "Pay")</f>
        <v>Pay</v>
      </c>
      <c r="E907" s="24" t="str">
        <f>_xlfn.XLOOKUP(tblPayrollMaster[[#This Row],[Employee ID]], tblEmployee[Employee ID], tblEmployee[Payable Flag], "Y")</f>
        <v>Y</v>
      </c>
      <c r="F907" s="45">
        <f>IF(tblPayrollMaster[[#This Row],[Payable Flag]]="N",0,_xlfn.XLOOKUP(tblPayrollMaster[[#This Row],[Employee ID]],tblEmployee[Employee ID],tblEmployee[Pay Factor],1))</f>
        <v>1</v>
      </c>
      <c r="G907" s="26" t="str" cm="1">
        <f t="array" ref="G907">IF(tblPayrollMaster[[#This Row],[Employee ID]]="","",_xlfn.XLOOKUP(selPayPeriodID,tblPayCalendar[PayPeriodID],tblPayCalendar[PeriodStart],""))</f>
        <v/>
      </c>
      <c r="H907" s="26" t="str" cm="1">
        <f t="array" ref="H907">IF(tblPayrollMaster[[#This Row],[Employee ID]]="","",_xlfn.XLOOKUP(selPayPeriodID,tblPayCalendar[PayPeriodID],tblPayCalendar[PeriodEnd],""))</f>
        <v/>
      </c>
      <c r="I907" s="24" t="e" cm="1" vm="1">
        <f t="array" aca="1" ref="I907" ca="1">Table18[Employer Name]</f>
        <v>#VALUE!</v>
      </c>
      <c r="J907" s="3" cm="1">
        <f t="array" ref="J90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07" s="25" t="str">
        <f>_xlfn.XLOOKUP(tblPayrollMaster[[#This Row],[Employee Position]],tblPositionandPayRate[Employee Position],tblPositionandPayRate[Overtime], " ")</f>
        <v xml:space="preserve"> </v>
      </c>
      <c r="L907" s="25">
        <f>_xlfn.XLOOKUP(tblPayrollMaster[[#This Row],[Employee Position]],tblPositionandPayRate[Employee Position],tblPositionandPayRate[Allowance 1],0)*tblPayrollMaster[[#This Row],[Pay Factor]]</f>
        <v>0</v>
      </c>
      <c r="M907" s="25">
        <f>_xlfn.XLOOKUP(tblPayrollMaster[[#This Row],[Employee Position]],tblPositionandPayRate[Employee Position],tblPositionandPayRate[Allowance 2],0)*tblPayrollMaster[[#This Row],[Pay Factor]]</f>
        <v>0</v>
      </c>
      <c r="N907" s="25">
        <f>_xlfn.XLOOKUP(tblPayrollMaster[[#This Row],[Employee Position]],tblPositionandPayRate[Employee Position],tblPositionandPayRate[Allowance 3],0)*tblPayrollMaster[[#This Row],[Pay Factor]]</f>
        <v>0</v>
      </c>
      <c r="O907" s="25">
        <f>_xlfn.XLOOKUP(tblPayrollMaster[[#This Row],[Employee Position]],tblPositionandPayRate[Employee Position],tblPositionandPayRate[Allowance 4],0)*tblPayrollMaster[[#This Row],[Pay Factor]]</f>
        <v>0</v>
      </c>
      <c r="P907" s="25">
        <f>_xlfn.XLOOKUP(tblPayrollMaster[[#This Row],[Employee Position]],tblPositionandPayRate[Employee Position],tblPositionandPayRate[Allowance 5],0)*tblPayrollMaster[[#This Row],[Pay Factor]]</f>
        <v>0</v>
      </c>
      <c r="Q907" s="25">
        <f>SUM(tblPayrollMaster[[#This Row],[Basic Pay]:[Allowance 5]])</f>
        <v>0</v>
      </c>
      <c r="R90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07" s="51" cm="1">
        <f t="array" ref="S9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07" s="3" cm="1">
        <f t="array" ref="T90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07" s="25">
        <f>_xlfn.LET(
_xlpm.tos, _xlfn.XLOOKUP(tblPayrollMaster[[#This Row],[Employee ID]], tblEmployee[Employee ID], tblEmployee[Type of Service], ""),
IF(_xlpm.tos="Contract of Service", 8.25, 0)
)</f>
        <v>0</v>
      </c>
      <c r="V907" s="25">
        <f>tblPayrollMaster[[#This Row],[Basic Earnings]]-tblPayrollMaster[[#This Row],[Tax]]-tblPayrollMaster[[#This Row],[NIS - Employee]]-tblPayrollMaster[[#This Row],[Health Surcharge]]</f>
        <v>0</v>
      </c>
      <c r="W907" s="25">
        <f>tblPayrollMaster[[#This Row],[Net Pay]]</f>
        <v>0</v>
      </c>
      <c r="X907" s="25"/>
    </row>
    <row r="908" spans="1:24" x14ac:dyDescent="0.25">
      <c r="A908" s="24"/>
      <c r="B908" s="24" t="str">
        <f>_xlfn.XLOOKUP(tblPayrollMaster[[#This Row],[Employee ID]],tblEmployee[Employee ID],tblEmployee[Employee Name],"")</f>
        <v/>
      </c>
      <c r="C908" s="24" t="str">
        <f>_xlfn.XLOOKUP(tblPayrollMaster[[#This Row],[Employee ID]],tblEmployee[Employee ID],tblEmployee[Employee Position],"")</f>
        <v/>
      </c>
      <c r="D908" s="24" t="str">
        <f>_xlfn.XLOOKUP(tblPayrollMaster[[#This Row],[Employee ID]], tblEmployee[Employee ID], tblEmployee[Pay Status], "Pay")</f>
        <v>Pay</v>
      </c>
      <c r="E908" s="24" t="str">
        <f>_xlfn.XLOOKUP(tblPayrollMaster[[#This Row],[Employee ID]], tblEmployee[Employee ID], tblEmployee[Payable Flag], "Y")</f>
        <v>Y</v>
      </c>
      <c r="F908" s="45">
        <f>IF(tblPayrollMaster[[#This Row],[Payable Flag]]="N",0,_xlfn.XLOOKUP(tblPayrollMaster[[#This Row],[Employee ID]],tblEmployee[Employee ID],tblEmployee[Pay Factor],1))</f>
        <v>1</v>
      </c>
      <c r="G908" s="26" t="str" cm="1">
        <f t="array" ref="G908">IF(tblPayrollMaster[[#This Row],[Employee ID]]="","",_xlfn.XLOOKUP(selPayPeriodID,tblPayCalendar[PayPeriodID],tblPayCalendar[PeriodStart],""))</f>
        <v/>
      </c>
      <c r="H908" s="26" t="str" cm="1">
        <f t="array" ref="H908">IF(tblPayrollMaster[[#This Row],[Employee ID]]="","",_xlfn.XLOOKUP(selPayPeriodID,tblPayCalendar[PayPeriodID],tblPayCalendar[PeriodEnd],""))</f>
        <v/>
      </c>
      <c r="I908" s="24" t="e" cm="1" vm="1">
        <f t="array" aca="1" ref="I908" ca="1">Table18[Employer Name]</f>
        <v>#VALUE!</v>
      </c>
      <c r="J908" s="3" cm="1">
        <f t="array" ref="J90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08" s="25" t="str">
        <f>_xlfn.XLOOKUP(tblPayrollMaster[[#This Row],[Employee Position]],tblPositionandPayRate[Employee Position],tblPositionandPayRate[Overtime], " ")</f>
        <v xml:space="preserve"> </v>
      </c>
      <c r="L908" s="25">
        <f>_xlfn.XLOOKUP(tblPayrollMaster[[#This Row],[Employee Position]],tblPositionandPayRate[Employee Position],tblPositionandPayRate[Allowance 1],0)*tblPayrollMaster[[#This Row],[Pay Factor]]</f>
        <v>0</v>
      </c>
      <c r="M908" s="25">
        <f>_xlfn.XLOOKUP(tblPayrollMaster[[#This Row],[Employee Position]],tblPositionandPayRate[Employee Position],tblPositionandPayRate[Allowance 2],0)*tblPayrollMaster[[#This Row],[Pay Factor]]</f>
        <v>0</v>
      </c>
      <c r="N908" s="25">
        <f>_xlfn.XLOOKUP(tblPayrollMaster[[#This Row],[Employee Position]],tblPositionandPayRate[Employee Position],tblPositionandPayRate[Allowance 3],0)*tblPayrollMaster[[#This Row],[Pay Factor]]</f>
        <v>0</v>
      </c>
      <c r="O908" s="25">
        <f>_xlfn.XLOOKUP(tblPayrollMaster[[#This Row],[Employee Position]],tblPositionandPayRate[Employee Position],tblPositionandPayRate[Allowance 4],0)*tblPayrollMaster[[#This Row],[Pay Factor]]</f>
        <v>0</v>
      </c>
      <c r="P908" s="25">
        <f>_xlfn.XLOOKUP(tblPayrollMaster[[#This Row],[Employee Position]],tblPositionandPayRate[Employee Position],tblPositionandPayRate[Allowance 5],0)*tblPayrollMaster[[#This Row],[Pay Factor]]</f>
        <v>0</v>
      </c>
      <c r="Q908" s="25">
        <f>SUM(tblPayrollMaster[[#This Row],[Basic Pay]:[Allowance 5]])</f>
        <v>0</v>
      </c>
      <c r="R90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08" s="51" cm="1">
        <f t="array" ref="S9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08" s="3" cm="1">
        <f t="array" ref="T90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08" s="25">
        <f>_xlfn.LET(
_xlpm.tos, _xlfn.XLOOKUP(tblPayrollMaster[[#This Row],[Employee ID]], tblEmployee[Employee ID], tblEmployee[Type of Service], ""),
IF(_xlpm.tos="Contract of Service", 8.25, 0)
)</f>
        <v>0</v>
      </c>
      <c r="V908" s="25">
        <f>tblPayrollMaster[[#This Row],[Basic Earnings]]-tblPayrollMaster[[#This Row],[Tax]]-tblPayrollMaster[[#This Row],[NIS - Employee]]-tblPayrollMaster[[#This Row],[Health Surcharge]]</f>
        <v>0</v>
      </c>
      <c r="W908" s="25">
        <f>tblPayrollMaster[[#This Row],[Net Pay]]</f>
        <v>0</v>
      </c>
      <c r="X908" s="25"/>
    </row>
    <row r="909" spans="1:24" x14ac:dyDescent="0.25">
      <c r="A909" s="24"/>
      <c r="B909" s="24" t="str">
        <f>_xlfn.XLOOKUP(tblPayrollMaster[[#This Row],[Employee ID]],tblEmployee[Employee ID],tblEmployee[Employee Name],"")</f>
        <v/>
      </c>
      <c r="C909" s="24" t="str">
        <f>_xlfn.XLOOKUP(tblPayrollMaster[[#This Row],[Employee ID]],tblEmployee[Employee ID],tblEmployee[Employee Position],"")</f>
        <v/>
      </c>
      <c r="D909" s="24" t="str">
        <f>_xlfn.XLOOKUP(tblPayrollMaster[[#This Row],[Employee ID]], tblEmployee[Employee ID], tblEmployee[Pay Status], "Pay")</f>
        <v>Pay</v>
      </c>
      <c r="E909" s="24" t="str">
        <f>_xlfn.XLOOKUP(tblPayrollMaster[[#This Row],[Employee ID]], tblEmployee[Employee ID], tblEmployee[Payable Flag], "Y")</f>
        <v>Y</v>
      </c>
      <c r="F909" s="45">
        <f>IF(tblPayrollMaster[[#This Row],[Payable Flag]]="N",0,_xlfn.XLOOKUP(tblPayrollMaster[[#This Row],[Employee ID]],tblEmployee[Employee ID],tblEmployee[Pay Factor],1))</f>
        <v>1</v>
      </c>
      <c r="G909" s="26" t="str" cm="1">
        <f t="array" ref="G909">IF(tblPayrollMaster[[#This Row],[Employee ID]]="","",_xlfn.XLOOKUP(selPayPeriodID,tblPayCalendar[PayPeriodID],tblPayCalendar[PeriodStart],""))</f>
        <v/>
      </c>
      <c r="H909" s="26" t="str" cm="1">
        <f t="array" ref="H909">IF(tblPayrollMaster[[#This Row],[Employee ID]]="","",_xlfn.XLOOKUP(selPayPeriodID,tblPayCalendar[PayPeriodID],tblPayCalendar[PeriodEnd],""))</f>
        <v/>
      </c>
      <c r="I909" s="24" t="e" cm="1" vm="1">
        <f t="array" aca="1" ref="I909" ca="1">Table18[Employer Name]</f>
        <v>#VALUE!</v>
      </c>
      <c r="J909" s="3" cm="1">
        <f t="array" ref="J90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09" s="25" t="str">
        <f>_xlfn.XLOOKUP(tblPayrollMaster[[#This Row],[Employee Position]],tblPositionandPayRate[Employee Position],tblPositionandPayRate[Overtime], " ")</f>
        <v xml:space="preserve"> </v>
      </c>
      <c r="L909" s="25">
        <f>_xlfn.XLOOKUP(tblPayrollMaster[[#This Row],[Employee Position]],tblPositionandPayRate[Employee Position],tblPositionandPayRate[Allowance 1],0)*tblPayrollMaster[[#This Row],[Pay Factor]]</f>
        <v>0</v>
      </c>
      <c r="M909" s="25">
        <f>_xlfn.XLOOKUP(tblPayrollMaster[[#This Row],[Employee Position]],tblPositionandPayRate[Employee Position],tblPositionandPayRate[Allowance 2],0)*tblPayrollMaster[[#This Row],[Pay Factor]]</f>
        <v>0</v>
      </c>
      <c r="N909" s="25">
        <f>_xlfn.XLOOKUP(tblPayrollMaster[[#This Row],[Employee Position]],tblPositionandPayRate[Employee Position],tblPositionandPayRate[Allowance 3],0)*tblPayrollMaster[[#This Row],[Pay Factor]]</f>
        <v>0</v>
      </c>
      <c r="O909" s="25">
        <f>_xlfn.XLOOKUP(tblPayrollMaster[[#This Row],[Employee Position]],tblPositionandPayRate[Employee Position],tblPositionandPayRate[Allowance 4],0)*tblPayrollMaster[[#This Row],[Pay Factor]]</f>
        <v>0</v>
      </c>
      <c r="P909" s="25">
        <f>_xlfn.XLOOKUP(tblPayrollMaster[[#This Row],[Employee Position]],tblPositionandPayRate[Employee Position],tblPositionandPayRate[Allowance 5],0)*tblPayrollMaster[[#This Row],[Pay Factor]]</f>
        <v>0</v>
      </c>
      <c r="Q909" s="25">
        <f>SUM(tblPayrollMaster[[#This Row],[Basic Pay]:[Allowance 5]])</f>
        <v>0</v>
      </c>
      <c r="R90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09" s="51" cm="1">
        <f t="array" ref="S9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09" s="3" cm="1">
        <f t="array" ref="T90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09" s="25">
        <f>_xlfn.LET(
_xlpm.tos, _xlfn.XLOOKUP(tblPayrollMaster[[#This Row],[Employee ID]], tblEmployee[Employee ID], tblEmployee[Type of Service], ""),
IF(_xlpm.tos="Contract of Service", 8.25, 0)
)</f>
        <v>0</v>
      </c>
      <c r="V909" s="25">
        <f>tblPayrollMaster[[#This Row],[Basic Earnings]]-tblPayrollMaster[[#This Row],[Tax]]-tblPayrollMaster[[#This Row],[NIS - Employee]]-tblPayrollMaster[[#This Row],[Health Surcharge]]</f>
        <v>0</v>
      </c>
      <c r="W909" s="25">
        <f>tblPayrollMaster[[#This Row],[Net Pay]]</f>
        <v>0</v>
      </c>
      <c r="X909" s="25"/>
    </row>
    <row r="910" spans="1:24" x14ac:dyDescent="0.25">
      <c r="A910" s="24"/>
      <c r="B910" s="24" t="str">
        <f>_xlfn.XLOOKUP(tblPayrollMaster[[#This Row],[Employee ID]],tblEmployee[Employee ID],tblEmployee[Employee Name],"")</f>
        <v/>
      </c>
      <c r="C910" s="24" t="str">
        <f>_xlfn.XLOOKUP(tblPayrollMaster[[#This Row],[Employee ID]],tblEmployee[Employee ID],tblEmployee[Employee Position],"")</f>
        <v/>
      </c>
      <c r="D910" s="24" t="str">
        <f>_xlfn.XLOOKUP(tblPayrollMaster[[#This Row],[Employee ID]], tblEmployee[Employee ID], tblEmployee[Pay Status], "Pay")</f>
        <v>Pay</v>
      </c>
      <c r="E910" s="24" t="str">
        <f>_xlfn.XLOOKUP(tblPayrollMaster[[#This Row],[Employee ID]], tblEmployee[Employee ID], tblEmployee[Payable Flag], "Y")</f>
        <v>Y</v>
      </c>
      <c r="F910" s="45">
        <f>IF(tblPayrollMaster[[#This Row],[Payable Flag]]="N",0,_xlfn.XLOOKUP(tblPayrollMaster[[#This Row],[Employee ID]],tblEmployee[Employee ID],tblEmployee[Pay Factor],1))</f>
        <v>1</v>
      </c>
      <c r="G910" s="26" t="str" cm="1">
        <f t="array" ref="G910">IF(tblPayrollMaster[[#This Row],[Employee ID]]="","",_xlfn.XLOOKUP(selPayPeriodID,tblPayCalendar[PayPeriodID],tblPayCalendar[PeriodStart],""))</f>
        <v/>
      </c>
      <c r="H910" s="26" t="str" cm="1">
        <f t="array" ref="H910">IF(tblPayrollMaster[[#This Row],[Employee ID]]="","",_xlfn.XLOOKUP(selPayPeriodID,tblPayCalendar[PayPeriodID],tblPayCalendar[PeriodEnd],""))</f>
        <v/>
      </c>
      <c r="I910" s="24" t="e" cm="1" vm="1">
        <f t="array" aca="1" ref="I910" ca="1">Table18[Employer Name]</f>
        <v>#VALUE!</v>
      </c>
      <c r="J910" s="3" cm="1">
        <f t="array" ref="J91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10" s="25" t="str">
        <f>_xlfn.XLOOKUP(tblPayrollMaster[[#This Row],[Employee Position]],tblPositionandPayRate[Employee Position],tblPositionandPayRate[Overtime], " ")</f>
        <v xml:space="preserve"> </v>
      </c>
      <c r="L910" s="25">
        <f>_xlfn.XLOOKUP(tblPayrollMaster[[#This Row],[Employee Position]],tblPositionandPayRate[Employee Position],tblPositionandPayRate[Allowance 1],0)*tblPayrollMaster[[#This Row],[Pay Factor]]</f>
        <v>0</v>
      </c>
      <c r="M910" s="25">
        <f>_xlfn.XLOOKUP(tblPayrollMaster[[#This Row],[Employee Position]],tblPositionandPayRate[Employee Position],tblPositionandPayRate[Allowance 2],0)*tblPayrollMaster[[#This Row],[Pay Factor]]</f>
        <v>0</v>
      </c>
      <c r="N910" s="25">
        <f>_xlfn.XLOOKUP(tblPayrollMaster[[#This Row],[Employee Position]],tblPositionandPayRate[Employee Position],tblPositionandPayRate[Allowance 3],0)*tblPayrollMaster[[#This Row],[Pay Factor]]</f>
        <v>0</v>
      </c>
      <c r="O910" s="25">
        <f>_xlfn.XLOOKUP(tblPayrollMaster[[#This Row],[Employee Position]],tblPositionandPayRate[Employee Position],tblPositionandPayRate[Allowance 4],0)*tblPayrollMaster[[#This Row],[Pay Factor]]</f>
        <v>0</v>
      </c>
      <c r="P910" s="25">
        <f>_xlfn.XLOOKUP(tblPayrollMaster[[#This Row],[Employee Position]],tblPositionandPayRate[Employee Position],tblPositionandPayRate[Allowance 5],0)*tblPayrollMaster[[#This Row],[Pay Factor]]</f>
        <v>0</v>
      </c>
      <c r="Q910" s="25">
        <f>SUM(tblPayrollMaster[[#This Row],[Basic Pay]:[Allowance 5]])</f>
        <v>0</v>
      </c>
      <c r="R91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10" s="51" cm="1">
        <f t="array" ref="S9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10" s="3" cm="1">
        <f t="array" ref="T91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10" s="25">
        <f>_xlfn.LET(
_xlpm.tos, _xlfn.XLOOKUP(tblPayrollMaster[[#This Row],[Employee ID]], tblEmployee[Employee ID], tblEmployee[Type of Service], ""),
IF(_xlpm.tos="Contract of Service", 8.25, 0)
)</f>
        <v>0</v>
      </c>
      <c r="V910" s="25">
        <f>tblPayrollMaster[[#This Row],[Basic Earnings]]-tblPayrollMaster[[#This Row],[Tax]]-tblPayrollMaster[[#This Row],[NIS - Employee]]-tblPayrollMaster[[#This Row],[Health Surcharge]]</f>
        <v>0</v>
      </c>
      <c r="W910" s="25">
        <f>tblPayrollMaster[[#This Row],[Net Pay]]</f>
        <v>0</v>
      </c>
      <c r="X910" s="25"/>
    </row>
    <row r="911" spans="1:24" x14ac:dyDescent="0.25">
      <c r="A911" s="24"/>
      <c r="B911" s="24" t="str">
        <f>_xlfn.XLOOKUP(tblPayrollMaster[[#This Row],[Employee ID]],tblEmployee[Employee ID],tblEmployee[Employee Name],"")</f>
        <v/>
      </c>
      <c r="C911" s="24" t="str">
        <f>_xlfn.XLOOKUP(tblPayrollMaster[[#This Row],[Employee ID]],tblEmployee[Employee ID],tblEmployee[Employee Position],"")</f>
        <v/>
      </c>
      <c r="D911" s="24" t="str">
        <f>_xlfn.XLOOKUP(tblPayrollMaster[[#This Row],[Employee ID]], tblEmployee[Employee ID], tblEmployee[Pay Status], "Pay")</f>
        <v>Pay</v>
      </c>
      <c r="E911" s="24" t="str">
        <f>_xlfn.XLOOKUP(tblPayrollMaster[[#This Row],[Employee ID]], tblEmployee[Employee ID], tblEmployee[Payable Flag], "Y")</f>
        <v>Y</v>
      </c>
      <c r="F911" s="45">
        <f>IF(tblPayrollMaster[[#This Row],[Payable Flag]]="N",0,_xlfn.XLOOKUP(tblPayrollMaster[[#This Row],[Employee ID]],tblEmployee[Employee ID],tblEmployee[Pay Factor],1))</f>
        <v>1</v>
      </c>
      <c r="G911" s="26" t="str" cm="1">
        <f t="array" ref="G911">IF(tblPayrollMaster[[#This Row],[Employee ID]]="","",_xlfn.XLOOKUP(selPayPeriodID,tblPayCalendar[PayPeriodID],tblPayCalendar[PeriodStart],""))</f>
        <v/>
      </c>
      <c r="H911" s="26" t="str" cm="1">
        <f t="array" ref="H911">IF(tblPayrollMaster[[#This Row],[Employee ID]]="","",_xlfn.XLOOKUP(selPayPeriodID,tblPayCalendar[PayPeriodID],tblPayCalendar[PeriodEnd],""))</f>
        <v/>
      </c>
      <c r="I911" s="24" t="e" cm="1" vm="1">
        <f t="array" aca="1" ref="I911" ca="1">Table18[Employer Name]</f>
        <v>#VALUE!</v>
      </c>
      <c r="J911" s="3" cm="1">
        <f t="array" ref="J91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11" s="25" t="str">
        <f>_xlfn.XLOOKUP(tblPayrollMaster[[#This Row],[Employee Position]],tblPositionandPayRate[Employee Position],tblPositionandPayRate[Overtime], " ")</f>
        <v xml:space="preserve"> </v>
      </c>
      <c r="L911" s="25">
        <f>_xlfn.XLOOKUP(tblPayrollMaster[[#This Row],[Employee Position]],tblPositionandPayRate[Employee Position],tblPositionandPayRate[Allowance 1],0)*tblPayrollMaster[[#This Row],[Pay Factor]]</f>
        <v>0</v>
      </c>
      <c r="M911" s="25">
        <f>_xlfn.XLOOKUP(tblPayrollMaster[[#This Row],[Employee Position]],tblPositionandPayRate[Employee Position],tblPositionandPayRate[Allowance 2],0)*tblPayrollMaster[[#This Row],[Pay Factor]]</f>
        <v>0</v>
      </c>
      <c r="N911" s="25">
        <f>_xlfn.XLOOKUP(tblPayrollMaster[[#This Row],[Employee Position]],tblPositionandPayRate[Employee Position],tblPositionandPayRate[Allowance 3],0)*tblPayrollMaster[[#This Row],[Pay Factor]]</f>
        <v>0</v>
      </c>
      <c r="O911" s="25">
        <f>_xlfn.XLOOKUP(tblPayrollMaster[[#This Row],[Employee Position]],tblPositionandPayRate[Employee Position],tblPositionandPayRate[Allowance 4],0)*tblPayrollMaster[[#This Row],[Pay Factor]]</f>
        <v>0</v>
      </c>
      <c r="P911" s="25">
        <f>_xlfn.XLOOKUP(tblPayrollMaster[[#This Row],[Employee Position]],tblPositionandPayRate[Employee Position],tblPositionandPayRate[Allowance 5],0)*tblPayrollMaster[[#This Row],[Pay Factor]]</f>
        <v>0</v>
      </c>
      <c r="Q911" s="25">
        <f>SUM(tblPayrollMaster[[#This Row],[Basic Pay]:[Allowance 5]])</f>
        <v>0</v>
      </c>
      <c r="R91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11" s="51" cm="1">
        <f t="array" ref="S9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11" s="3" cm="1">
        <f t="array" ref="T91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11" s="25">
        <f>_xlfn.LET(
_xlpm.tos, _xlfn.XLOOKUP(tblPayrollMaster[[#This Row],[Employee ID]], tblEmployee[Employee ID], tblEmployee[Type of Service], ""),
IF(_xlpm.tos="Contract of Service", 8.25, 0)
)</f>
        <v>0</v>
      </c>
      <c r="V911" s="25">
        <f>tblPayrollMaster[[#This Row],[Basic Earnings]]-tblPayrollMaster[[#This Row],[Tax]]-tblPayrollMaster[[#This Row],[NIS - Employee]]-tblPayrollMaster[[#This Row],[Health Surcharge]]</f>
        <v>0</v>
      </c>
      <c r="W911" s="25">
        <f>tblPayrollMaster[[#This Row],[Net Pay]]</f>
        <v>0</v>
      </c>
      <c r="X911" s="25"/>
    </row>
    <row r="912" spans="1:24" x14ac:dyDescent="0.25">
      <c r="A912" s="24"/>
      <c r="B912" s="24" t="str">
        <f>_xlfn.XLOOKUP(tblPayrollMaster[[#This Row],[Employee ID]],tblEmployee[Employee ID],tblEmployee[Employee Name],"")</f>
        <v/>
      </c>
      <c r="C912" s="24" t="str">
        <f>_xlfn.XLOOKUP(tblPayrollMaster[[#This Row],[Employee ID]],tblEmployee[Employee ID],tblEmployee[Employee Position],"")</f>
        <v/>
      </c>
      <c r="D912" s="24" t="str">
        <f>_xlfn.XLOOKUP(tblPayrollMaster[[#This Row],[Employee ID]], tblEmployee[Employee ID], tblEmployee[Pay Status], "Pay")</f>
        <v>Pay</v>
      </c>
      <c r="E912" s="24" t="str">
        <f>_xlfn.XLOOKUP(tblPayrollMaster[[#This Row],[Employee ID]], tblEmployee[Employee ID], tblEmployee[Payable Flag], "Y")</f>
        <v>Y</v>
      </c>
      <c r="F912" s="45">
        <f>IF(tblPayrollMaster[[#This Row],[Payable Flag]]="N",0,_xlfn.XLOOKUP(tblPayrollMaster[[#This Row],[Employee ID]],tblEmployee[Employee ID],tblEmployee[Pay Factor],1))</f>
        <v>1</v>
      </c>
      <c r="G912" s="26" t="str" cm="1">
        <f t="array" ref="G912">IF(tblPayrollMaster[[#This Row],[Employee ID]]="","",_xlfn.XLOOKUP(selPayPeriodID,tblPayCalendar[PayPeriodID],tblPayCalendar[PeriodStart],""))</f>
        <v/>
      </c>
      <c r="H912" s="26" t="str" cm="1">
        <f t="array" ref="H912">IF(tblPayrollMaster[[#This Row],[Employee ID]]="","",_xlfn.XLOOKUP(selPayPeriodID,tblPayCalendar[PayPeriodID],tblPayCalendar[PeriodEnd],""))</f>
        <v/>
      </c>
      <c r="I912" s="24" t="e" cm="1" vm="1">
        <f t="array" aca="1" ref="I912" ca="1">Table18[Employer Name]</f>
        <v>#VALUE!</v>
      </c>
      <c r="J912" s="3" cm="1">
        <f t="array" ref="J91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12" s="25" t="str">
        <f>_xlfn.XLOOKUP(tblPayrollMaster[[#This Row],[Employee Position]],tblPositionandPayRate[Employee Position],tblPositionandPayRate[Overtime], " ")</f>
        <v xml:space="preserve"> </v>
      </c>
      <c r="L912" s="25">
        <f>_xlfn.XLOOKUP(tblPayrollMaster[[#This Row],[Employee Position]],tblPositionandPayRate[Employee Position],tblPositionandPayRate[Allowance 1],0)*tblPayrollMaster[[#This Row],[Pay Factor]]</f>
        <v>0</v>
      </c>
      <c r="M912" s="25">
        <f>_xlfn.XLOOKUP(tblPayrollMaster[[#This Row],[Employee Position]],tblPositionandPayRate[Employee Position],tblPositionandPayRate[Allowance 2],0)*tblPayrollMaster[[#This Row],[Pay Factor]]</f>
        <v>0</v>
      </c>
      <c r="N912" s="25">
        <f>_xlfn.XLOOKUP(tblPayrollMaster[[#This Row],[Employee Position]],tblPositionandPayRate[Employee Position],tblPositionandPayRate[Allowance 3],0)*tblPayrollMaster[[#This Row],[Pay Factor]]</f>
        <v>0</v>
      </c>
      <c r="O912" s="25">
        <f>_xlfn.XLOOKUP(tblPayrollMaster[[#This Row],[Employee Position]],tblPositionandPayRate[Employee Position],tblPositionandPayRate[Allowance 4],0)*tblPayrollMaster[[#This Row],[Pay Factor]]</f>
        <v>0</v>
      </c>
      <c r="P912" s="25">
        <f>_xlfn.XLOOKUP(tblPayrollMaster[[#This Row],[Employee Position]],tblPositionandPayRate[Employee Position],tblPositionandPayRate[Allowance 5],0)*tblPayrollMaster[[#This Row],[Pay Factor]]</f>
        <v>0</v>
      </c>
      <c r="Q912" s="25">
        <f>SUM(tblPayrollMaster[[#This Row],[Basic Pay]:[Allowance 5]])</f>
        <v>0</v>
      </c>
      <c r="R91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12" s="51" cm="1">
        <f t="array" ref="S9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12" s="3" cm="1">
        <f t="array" ref="T91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12" s="25">
        <f>_xlfn.LET(
_xlpm.tos, _xlfn.XLOOKUP(tblPayrollMaster[[#This Row],[Employee ID]], tblEmployee[Employee ID], tblEmployee[Type of Service], ""),
IF(_xlpm.tos="Contract of Service", 8.25, 0)
)</f>
        <v>0</v>
      </c>
      <c r="V912" s="25">
        <f>tblPayrollMaster[[#This Row],[Basic Earnings]]-tblPayrollMaster[[#This Row],[Tax]]-tblPayrollMaster[[#This Row],[NIS - Employee]]-tblPayrollMaster[[#This Row],[Health Surcharge]]</f>
        <v>0</v>
      </c>
      <c r="W912" s="25">
        <f>tblPayrollMaster[[#This Row],[Net Pay]]</f>
        <v>0</v>
      </c>
      <c r="X912" s="25"/>
    </row>
    <row r="913" spans="1:24" x14ac:dyDescent="0.25">
      <c r="A913" s="24"/>
      <c r="B913" s="24" t="str">
        <f>_xlfn.XLOOKUP(tblPayrollMaster[[#This Row],[Employee ID]],tblEmployee[Employee ID],tblEmployee[Employee Name],"")</f>
        <v/>
      </c>
      <c r="C913" s="24" t="str">
        <f>_xlfn.XLOOKUP(tblPayrollMaster[[#This Row],[Employee ID]],tblEmployee[Employee ID],tblEmployee[Employee Position],"")</f>
        <v/>
      </c>
      <c r="D913" s="24" t="str">
        <f>_xlfn.XLOOKUP(tblPayrollMaster[[#This Row],[Employee ID]], tblEmployee[Employee ID], tblEmployee[Pay Status], "Pay")</f>
        <v>Pay</v>
      </c>
      <c r="E913" s="24" t="str">
        <f>_xlfn.XLOOKUP(tblPayrollMaster[[#This Row],[Employee ID]], tblEmployee[Employee ID], tblEmployee[Payable Flag], "Y")</f>
        <v>Y</v>
      </c>
      <c r="F913" s="45">
        <f>IF(tblPayrollMaster[[#This Row],[Payable Flag]]="N",0,_xlfn.XLOOKUP(tblPayrollMaster[[#This Row],[Employee ID]],tblEmployee[Employee ID],tblEmployee[Pay Factor],1))</f>
        <v>1</v>
      </c>
      <c r="G913" s="26" t="str" cm="1">
        <f t="array" ref="G913">IF(tblPayrollMaster[[#This Row],[Employee ID]]="","",_xlfn.XLOOKUP(selPayPeriodID,tblPayCalendar[PayPeriodID],tblPayCalendar[PeriodStart],""))</f>
        <v/>
      </c>
      <c r="H913" s="26" t="str" cm="1">
        <f t="array" ref="H913">IF(tblPayrollMaster[[#This Row],[Employee ID]]="","",_xlfn.XLOOKUP(selPayPeriodID,tblPayCalendar[PayPeriodID],tblPayCalendar[PeriodEnd],""))</f>
        <v/>
      </c>
      <c r="I913" s="24" t="e" cm="1" vm="1">
        <f t="array" aca="1" ref="I913" ca="1">Table18[Employer Name]</f>
        <v>#VALUE!</v>
      </c>
      <c r="J913" s="3" cm="1">
        <f t="array" ref="J91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13" s="25" t="str">
        <f>_xlfn.XLOOKUP(tblPayrollMaster[[#This Row],[Employee Position]],tblPositionandPayRate[Employee Position],tblPositionandPayRate[Overtime], " ")</f>
        <v xml:space="preserve"> </v>
      </c>
      <c r="L913" s="25">
        <f>_xlfn.XLOOKUP(tblPayrollMaster[[#This Row],[Employee Position]],tblPositionandPayRate[Employee Position],tblPositionandPayRate[Allowance 1],0)*tblPayrollMaster[[#This Row],[Pay Factor]]</f>
        <v>0</v>
      </c>
      <c r="M913" s="25">
        <f>_xlfn.XLOOKUP(tblPayrollMaster[[#This Row],[Employee Position]],tblPositionandPayRate[Employee Position],tblPositionandPayRate[Allowance 2],0)*tblPayrollMaster[[#This Row],[Pay Factor]]</f>
        <v>0</v>
      </c>
      <c r="N913" s="25">
        <f>_xlfn.XLOOKUP(tblPayrollMaster[[#This Row],[Employee Position]],tblPositionandPayRate[Employee Position],tblPositionandPayRate[Allowance 3],0)*tblPayrollMaster[[#This Row],[Pay Factor]]</f>
        <v>0</v>
      </c>
      <c r="O913" s="25">
        <f>_xlfn.XLOOKUP(tblPayrollMaster[[#This Row],[Employee Position]],tblPositionandPayRate[Employee Position],tblPositionandPayRate[Allowance 4],0)*tblPayrollMaster[[#This Row],[Pay Factor]]</f>
        <v>0</v>
      </c>
      <c r="P913" s="25">
        <f>_xlfn.XLOOKUP(tblPayrollMaster[[#This Row],[Employee Position]],tblPositionandPayRate[Employee Position],tblPositionandPayRate[Allowance 5],0)*tblPayrollMaster[[#This Row],[Pay Factor]]</f>
        <v>0</v>
      </c>
      <c r="Q913" s="25">
        <f>SUM(tblPayrollMaster[[#This Row],[Basic Pay]:[Allowance 5]])</f>
        <v>0</v>
      </c>
      <c r="R91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13" s="51" cm="1">
        <f t="array" ref="S9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13" s="3" cm="1">
        <f t="array" ref="T91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13" s="25">
        <f>_xlfn.LET(
_xlpm.tos, _xlfn.XLOOKUP(tblPayrollMaster[[#This Row],[Employee ID]], tblEmployee[Employee ID], tblEmployee[Type of Service], ""),
IF(_xlpm.tos="Contract of Service", 8.25, 0)
)</f>
        <v>0</v>
      </c>
      <c r="V913" s="25">
        <f>tblPayrollMaster[[#This Row],[Basic Earnings]]-tblPayrollMaster[[#This Row],[Tax]]-tblPayrollMaster[[#This Row],[NIS - Employee]]-tblPayrollMaster[[#This Row],[Health Surcharge]]</f>
        <v>0</v>
      </c>
      <c r="W913" s="25">
        <f>tblPayrollMaster[[#This Row],[Net Pay]]</f>
        <v>0</v>
      </c>
      <c r="X913" s="25"/>
    </row>
    <row r="914" spans="1:24" x14ac:dyDescent="0.25">
      <c r="A914" s="24"/>
      <c r="B914" s="24" t="str">
        <f>_xlfn.XLOOKUP(tblPayrollMaster[[#This Row],[Employee ID]],tblEmployee[Employee ID],tblEmployee[Employee Name],"")</f>
        <v/>
      </c>
      <c r="C914" s="24" t="str">
        <f>_xlfn.XLOOKUP(tblPayrollMaster[[#This Row],[Employee ID]],tblEmployee[Employee ID],tblEmployee[Employee Position],"")</f>
        <v/>
      </c>
      <c r="D914" s="24" t="str">
        <f>_xlfn.XLOOKUP(tblPayrollMaster[[#This Row],[Employee ID]], tblEmployee[Employee ID], tblEmployee[Pay Status], "Pay")</f>
        <v>Pay</v>
      </c>
      <c r="E914" s="24" t="str">
        <f>_xlfn.XLOOKUP(tblPayrollMaster[[#This Row],[Employee ID]], tblEmployee[Employee ID], tblEmployee[Payable Flag], "Y")</f>
        <v>Y</v>
      </c>
      <c r="F914" s="45">
        <f>IF(tblPayrollMaster[[#This Row],[Payable Flag]]="N",0,_xlfn.XLOOKUP(tblPayrollMaster[[#This Row],[Employee ID]],tblEmployee[Employee ID],tblEmployee[Pay Factor],1))</f>
        <v>1</v>
      </c>
      <c r="G914" s="26" t="str" cm="1">
        <f t="array" ref="G914">IF(tblPayrollMaster[[#This Row],[Employee ID]]="","",_xlfn.XLOOKUP(selPayPeriodID,tblPayCalendar[PayPeriodID],tblPayCalendar[PeriodStart],""))</f>
        <v/>
      </c>
      <c r="H914" s="26" t="str" cm="1">
        <f t="array" ref="H914">IF(tblPayrollMaster[[#This Row],[Employee ID]]="","",_xlfn.XLOOKUP(selPayPeriodID,tblPayCalendar[PayPeriodID],tblPayCalendar[PeriodEnd],""))</f>
        <v/>
      </c>
      <c r="I914" s="24" t="e" cm="1" vm="1">
        <f t="array" aca="1" ref="I914" ca="1">Table18[Employer Name]</f>
        <v>#VALUE!</v>
      </c>
      <c r="J914" s="3" cm="1">
        <f t="array" ref="J91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14" s="25" t="str">
        <f>_xlfn.XLOOKUP(tblPayrollMaster[[#This Row],[Employee Position]],tblPositionandPayRate[Employee Position],tblPositionandPayRate[Overtime], " ")</f>
        <v xml:space="preserve"> </v>
      </c>
      <c r="L914" s="25">
        <f>_xlfn.XLOOKUP(tblPayrollMaster[[#This Row],[Employee Position]],tblPositionandPayRate[Employee Position],tblPositionandPayRate[Allowance 1],0)*tblPayrollMaster[[#This Row],[Pay Factor]]</f>
        <v>0</v>
      </c>
      <c r="M914" s="25">
        <f>_xlfn.XLOOKUP(tblPayrollMaster[[#This Row],[Employee Position]],tblPositionandPayRate[Employee Position],tblPositionandPayRate[Allowance 2],0)*tblPayrollMaster[[#This Row],[Pay Factor]]</f>
        <v>0</v>
      </c>
      <c r="N914" s="25">
        <f>_xlfn.XLOOKUP(tblPayrollMaster[[#This Row],[Employee Position]],tblPositionandPayRate[Employee Position],tblPositionandPayRate[Allowance 3],0)*tblPayrollMaster[[#This Row],[Pay Factor]]</f>
        <v>0</v>
      </c>
      <c r="O914" s="25">
        <f>_xlfn.XLOOKUP(tblPayrollMaster[[#This Row],[Employee Position]],tblPositionandPayRate[Employee Position],tblPositionandPayRate[Allowance 4],0)*tblPayrollMaster[[#This Row],[Pay Factor]]</f>
        <v>0</v>
      </c>
      <c r="P914" s="25">
        <f>_xlfn.XLOOKUP(tblPayrollMaster[[#This Row],[Employee Position]],tblPositionandPayRate[Employee Position],tblPositionandPayRate[Allowance 5],0)*tblPayrollMaster[[#This Row],[Pay Factor]]</f>
        <v>0</v>
      </c>
      <c r="Q914" s="25">
        <f>SUM(tblPayrollMaster[[#This Row],[Basic Pay]:[Allowance 5]])</f>
        <v>0</v>
      </c>
      <c r="R91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14" s="51" cm="1">
        <f t="array" ref="S9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14" s="3" cm="1">
        <f t="array" ref="T91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14" s="25">
        <f>_xlfn.LET(
_xlpm.tos, _xlfn.XLOOKUP(tblPayrollMaster[[#This Row],[Employee ID]], tblEmployee[Employee ID], tblEmployee[Type of Service], ""),
IF(_xlpm.tos="Contract of Service", 8.25, 0)
)</f>
        <v>0</v>
      </c>
      <c r="V914" s="25">
        <f>tblPayrollMaster[[#This Row],[Basic Earnings]]-tblPayrollMaster[[#This Row],[Tax]]-tblPayrollMaster[[#This Row],[NIS - Employee]]-tblPayrollMaster[[#This Row],[Health Surcharge]]</f>
        <v>0</v>
      </c>
      <c r="W914" s="25">
        <f>tblPayrollMaster[[#This Row],[Net Pay]]</f>
        <v>0</v>
      </c>
      <c r="X914" s="25"/>
    </row>
    <row r="915" spans="1:24" x14ac:dyDescent="0.25">
      <c r="A915" s="24"/>
      <c r="B915" s="24" t="str">
        <f>_xlfn.XLOOKUP(tblPayrollMaster[[#This Row],[Employee ID]],tblEmployee[Employee ID],tblEmployee[Employee Name],"")</f>
        <v/>
      </c>
      <c r="C915" s="24" t="str">
        <f>_xlfn.XLOOKUP(tblPayrollMaster[[#This Row],[Employee ID]],tblEmployee[Employee ID],tblEmployee[Employee Position],"")</f>
        <v/>
      </c>
      <c r="D915" s="24" t="str">
        <f>_xlfn.XLOOKUP(tblPayrollMaster[[#This Row],[Employee ID]], tblEmployee[Employee ID], tblEmployee[Pay Status], "Pay")</f>
        <v>Pay</v>
      </c>
      <c r="E915" s="24" t="str">
        <f>_xlfn.XLOOKUP(tblPayrollMaster[[#This Row],[Employee ID]], tblEmployee[Employee ID], tblEmployee[Payable Flag], "Y")</f>
        <v>Y</v>
      </c>
      <c r="F915" s="45">
        <f>IF(tblPayrollMaster[[#This Row],[Payable Flag]]="N",0,_xlfn.XLOOKUP(tblPayrollMaster[[#This Row],[Employee ID]],tblEmployee[Employee ID],tblEmployee[Pay Factor],1))</f>
        <v>1</v>
      </c>
      <c r="G915" s="26" t="str" cm="1">
        <f t="array" ref="G915">IF(tblPayrollMaster[[#This Row],[Employee ID]]="","",_xlfn.XLOOKUP(selPayPeriodID,tblPayCalendar[PayPeriodID],tblPayCalendar[PeriodStart],""))</f>
        <v/>
      </c>
      <c r="H915" s="26" t="str" cm="1">
        <f t="array" ref="H915">IF(tblPayrollMaster[[#This Row],[Employee ID]]="","",_xlfn.XLOOKUP(selPayPeriodID,tblPayCalendar[PayPeriodID],tblPayCalendar[PeriodEnd],""))</f>
        <v/>
      </c>
      <c r="I915" s="24" t="e" cm="1" vm="1">
        <f t="array" aca="1" ref="I915" ca="1">Table18[Employer Name]</f>
        <v>#VALUE!</v>
      </c>
      <c r="J915" s="3" cm="1">
        <f t="array" ref="J91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15" s="25" t="str">
        <f>_xlfn.XLOOKUP(tblPayrollMaster[[#This Row],[Employee Position]],tblPositionandPayRate[Employee Position],tblPositionandPayRate[Overtime], " ")</f>
        <v xml:space="preserve"> </v>
      </c>
      <c r="L915" s="25">
        <f>_xlfn.XLOOKUP(tblPayrollMaster[[#This Row],[Employee Position]],tblPositionandPayRate[Employee Position],tblPositionandPayRate[Allowance 1],0)*tblPayrollMaster[[#This Row],[Pay Factor]]</f>
        <v>0</v>
      </c>
      <c r="M915" s="25">
        <f>_xlfn.XLOOKUP(tblPayrollMaster[[#This Row],[Employee Position]],tblPositionandPayRate[Employee Position],tblPositionandPayRate[Allowance 2],0)*tblPayrollMaster[[#This Row],[Pay Factor]]</f>
        <v>0</v>
      </c>
      <c r="N915" s="25">
        <f>_xlfn.XLOOKUP(tblPayrollMaster[[#This Row],[Employee Position]],tblPositionandPayRate[Employee Position],tblPositionandPayRate[Allowance 3],0)*tblPayrollMaster[[#This Row],[Pay Factor]]</f>
        <v>0</v>
      </c>
      <c r="O915" s="25">
        <f>_xlfn.XLOOKUP(tblPayrollMaster[[#This Row],[Employee Position]],tblPositionandPayRate[Employee Position],tblPositionandPayRate[Allowance 4],0)*tblPayrollMaster[[#This Row],[Pay Factor]]</f>
        <v>0</v>
      </c>
      <c r="P915" s="25">
        <f>_xlfn.XLOOKUP(tblPayrollMaster[[#This Row],[Employee Position]],tblPositionandPayRate[Employee Position],tblPositionandPayRate[Allowance 5],0)*tblPayrollMaster[[#This Row],[Pay Factor]]</f>
        <v>0</v>
      </c>
      <c r="Q915" s="25">
        <f>SUM(tblPayrollMaster[[#This Row],[Basic Pay]:[Allowance 5]])</f>
        <v>0</v>
      </c>
      <c r="R91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15" s="51" cm="1">
        <f t="array" ref="S9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15" s="3" cm="1">
        <f t="array" ref="T91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15" s="25">
        <f>_xlfn.LET(
_xlpm.tos, _xlfn.XLOOKUP(tblPayrollMaster[[#This Row],[Employee ID]], tblEmployee[Employee ID], tblEmployee[Type of Service], ""),
IF(_xlpm.tos="Contract of Service", 8.25, 0)
)</f>
        <v>0</v>
      </c>
      <c r="V915" s="25">
        <f>tblPayrollMaster[[#This Row],[Basic Earnings]]-tblPayrollMaster[[#This Row],[Tax]]-tblPayrollMaster[[#This Row],[NIS - Employee]]-tblPayrollMaster[[#This Row],[Health Surcharge]]</f>
        <v>0</v>
      </c>
      <c r="W915" s="25">
        <f>tblPayrollMaster[[#This Row],[Net Pay]]</f>
        <v>0</v>
      </c>
      <c r="X915" s="25"/>
    </row>
    <row r="916" spans="1:24" x14ac:dyDescent="0.25">
      <c r="A916" s="24"/>
      <c r="B916" s="24" t="str">
        <f>_xlfn.XLOOKUP(tblPayrollMaster[[#This Row],[Employee ID]],tblEmployee[Employee ID],tblEmployee[Employee Name],"")</f>
        <v/>
      </c>
      <c r="C916" s="24" t="str">
        <f>_xlfn.XLOOKUP(tblPayrollMaster[[#This Row],[Employee ID]],tblEmployee[Employee ID],tblEmployee[Employee Position],"")</f>
        <v/>
      </c>
      <c r="D916" s="24" t="str">
        <f>_xlfn.XLOOKUP(tblPayrollMaster[[#This Row],[Employee ID]], tblEmployee[Employee ID], tblEmployee[Pay Status], "Pay")</f>
        <v>Pay</v>
      </c>
      <c r="E916" s="24" t="str">
        <f>_xlfn.XLOOKUP(tblPayrollMaster[[#This Row],[Employee ID]], tblEmployee[Employee ID], tblEmployee[Payable Flag], "Y")</f>
        <v>Y</v>
      </c>
      <c r="F916" s="45">
        <f>IF(tblPayrollMaster[[#This Row],[Payable Flag]]="N",0,_xlfn.XLOOKUP(tblPayrollMaster[[#This Row],[Employee ID]],tblEmployee[Employee ID],tblEmployee[Pay Factor],1))</f>
        <v>1</v>
      </c>
      <c r="G916" s="26" t="str" cm="1">
        <f t="array" ref="G916">IF(tblPayrollMaster[[#This Row],[Employee ID]]="","",_xlfn.XLOOKUP(selPayPeriodID,tblPayCalendar[PayPeriodID],tblPayCalendar[PeriodStart],""))</f>
        <v/>
      </c>
      <c r="H916" s="26" t="str" cm="1">
        <f t="array" ref="H916">IF(tblPayrollMaster[[#This Row],[Employee ID]]="","",_xlfn.XLOOKUP(selPayPeriodID,tblPayCalendar[PayPeriodID],tblPayCalendar[PeriodEnd],""))</f>
        <v/>
      </c>
      <c r="I916" s="24" t="e" cm="1" vm="1">
        <f t="array" aca="1" ref="I916" ca="1">Table18[Employer Name]</f>
        <v>#VALUE!</v>
      </c>
      <c r="J916" s="3" cm="1">
        <f t="array" ref="J91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16" s="25" t="str">
        <f>_xlfn.XLOOKUP(tblPayrollMaster[[#This Row],[Employee Position]],tblPositionandPayRate[Employee Position],tblPositionandPayRate[Overtime], " ")</f>
        <v xml:space="preserve"> </v>
      </c>
      <c r="L916" s="25">
        <f>_xlfn.XLOOKUP(tblPayrollMaster[[#This Row],[Employee Position]],tblPositionandPayRate[Employee Position],tblPositionandPayRate[Allowance 1],0)*tblPayrollMaster[[#This Row],[Pay Factor]]</f>
        <v>0</v>
      </c>
      <c r="M916" s="25">
        <f>_xlfn.XLOOKUP(tblPayrollMaster[[#This Row],[Employee Position]],tblPositionandPayRate[Employee Position],tblPositionandPayRate[Allowance 2],0)*tblPayrollMaster[[#This Row],[Pay Factor]]</f>
        <v>0</v>
      </c>
      <c r="N916" s="25">
        <f>_xlfn.XLOOKUP(tblPayrollMaster[[#This Row],[Employee Position]],tblPositionandPayRate[Employee Position],tblPositionandPayRate[Allowance 3],0)*tblPayrollMaster[[#This Row],[Pay Factor]]</f>
        <v>0</v>
      </c>
      <c r="O916" s="25">
        <f>_xlfn.XLOOKUP(tblPayrollMaster[[#This Row],[Employee Position]],tblPositionandPayRate[Employee Position],tblPositionandPayRate[Allowance 4],0)*tblPayrollMaster[[#This Row],[Pay Factor]]</f>
        <v>0</v>
      </c>
      <c r="P916" s="25">
        <f>_xlfn.XLOOKUP(tblPayrollMaster[[#This Row],[Employee Position]],tblPositionandPayRate[Employee Position],tblPositionandPayRate[Allowance 5],0)*tblPayrollMaster[[#This Row],[Pay Factor]]</f>
        <v>0</v>
      </c>
      <c r="Q916" s="25">
        <f>SUM(tblPayrollMaster[[#This Row],[Basic Pay]:[Allowance 5]])</f>
        <v>0</v>
      </c>
      <c r="R91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16" s="51" cm="1">
        <f t="array" ref="S9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16" s="3" cm="1">
        <f t="array" ref="T91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16" s="25">
        <f>_xlfn.LET(
_xlpm.tos, _xlfn.XLOOKUP(tblPayrollMaster[[#This Row],[Employee ID]], tblEmployee[Employee ID], tblEmployee[Type of Service], ""),
IF(_xlpm.tos="Contract of Service", 8.25, 0)
)</f>
        <v>0</v>
      </c>
      <c r="V916" s="25">
        <f>tblPayrollMaster[[#This Row],[Basic Earnings]]-tblPayrollMaster[[#This Row],[Tax]]-tblPayrollMaster[[#This Row],[NIS - Employee]]-tblPayrollMaster[[#This Row],[Health Surcharge]]</f>
        <v>0</v>
      </c>
      <c r="W916" s="25">
        <f>tblPayrollMaster[[#This Row],[Net Pay]]</f>
        <v>0</v>
      </c>
      <c r="X916" s="25"/>
    </row>
    <row r="917" spans="1:24" x14ac:dyDescent="0.25">
      <c r="A917" s="24"/>
      <c r="B917" s="24" t="str">
        <f>_xlfn.XLOOKUP(tblPayrollMaster[[#This Row],[Employee ID]],tblEmployee[Employee ID],tblEmployee[Employee Name],"")</f>
        <v/>
      </c>
      <c r="C917" s="24" t="str">
        <f>_xlfn.XLOOKUP(tblPayrollMaster[[#This Row],[Employee ID]],tblEmployee[Employee ID],tblEmployee[Employee Position],"")</f>
        <v/>
      </c>
      <c r="D917" s="24" t="str">
        <f>_xlfn.XLOOKUP(tblPayrollMaster[[#This Row],[Employee ID]], tblEmployee[Employee ID], tblEmployee[Pay Status], "Pay")</f>
        <v>Pay</v>
      </c>
      <c r="E917" s="24" t="str">
        <f>_xlfn.XLOOKUP(tblPayrollMaster[[#This Row],[Employee ID]], tblEmployee[Employee ID], tblEmployee[Payable Flag], "Y")</f>
        <v>Y</v>
      </c>
      <c r="F917" s="45">
        <f>IF(tblPayrollMaster[[#This Row],[Payable Flag]]="N",0,_xlfn.XLOOKUP(tblPayrollMaster[[#This Row],[Employee ID]],tblEmployee[Employee ID],tblEmployee[Pay Factor],1))</f>
        <v>1</v>
      </c>
      <c r="G917" s="26" t="str" cm="1">
        <f t="array" ref="G917">IF(tblPayrollMaster[[#This Row],[Employee ID]]="","",_xlfn.XLOOKUP(selPayPeriodID,tblPayCalendar[PayPeriodID],tblPayCalendar[PeriodStart],""))</f>
        <v/>
      </c>
      <c r="H917" s="26" t="str" cm="1">
        <f t="array" ref="H917">IF(tblPayrollMaster[[#This Row],[Employee ID]]="","",_xlfn.XLOOKUP(selPayPeriodID,tblPayCalendar[PayPeriodID],tblPayCalendar[PeriodEnd],""))</f>
        <v/>
      </c>
      <c r="I917" s="24" t="e" cm="1" vm="1">
        <f t="array" aca="1" ref="I917" ca="1">Table18[Employer Name]</f>
        <v>#VALUE!</v>
      </c>
      <c r="J917" s="3" cm="1">
        <f t="array" ref="J91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17" s="25" t="str">
        <f>_xlfn.XLOOKUP(tblPayrollMaster[[#This Row],[Employee Position]],tblPositionandPayRate[Employee Position],tblPositionandPayRate[Overtime], " ")</f>
        <v xml:space="preserve"> </v>
      </c>
      <c r="L917" s="25">
        <f>_xlfn.XLOOKUP(tblPayrollMaster[[#This Row],[Employee Position]],tblPositionandPayRate[Employee Position],tblPositionandPayRate[Allowance 1],0)*tblPayrollMaster[[#This Row],[Pay Factor]]</f>
        <v>0</v>
      </c>
      <c r="M917" s="25">
        <f>_xlfn.XLOOKUP(tblPayrollMaster[[#This Row],[Employee Position]],tblPositionandPayRate[Employee Position],tblPositionandPayRate[Allowance 2],0)*tblPayrollMaster[[#This Row],[Pay Factor]]</f>
        <v>0</v>
      </c>
      <c r="N917" s="25">
        <f>_xlfn.XLOOKUP(tblPayrollMaster[[#This Row],[Employee Position]],tblPositionandPayRate[Employee Position],tblPositionandPayRate[Allowance 3],0)*tblPayrollMaster[[#This Row],[Pay Factor]]</f>
        <v>0</v>
      </c>
      <c r="O917" s="25">
        <f>_xlfn.XLOOKUP(tblPayrollMaster[[#This Row],[Employee Position]],tblPositionandPayRate[Employee Position],tblPositionandPayRate[Allowance 4],0)*tblPayrollMaster[[#This Row],[Pay Factor]]</f>
        <v>0</v>
      </c>
      <c r="P917" s="25">
        <f>_xlfn.XLOOKUP(tblPayrollMaster[[#This Row],[Employee Position]],tblPositionandPayRate[Employee Position],tblPositionandPayRate[Allowance 5],0)*tblPayrollMaster[[#This Row],[Pay Factor]]</f>
        <v>0</v>
      </c>
      <c r="Q917" s="25">
        <f>SUM(tblPayrollMaster[[#This Row],[Basic Pay]:[Allowance 5]])</f>
        <v>0</v>
      </c>
      <c r="R91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17" s="51" cm="1">
        <f t="array" ref="S9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17" s="3" cm="1">
        <f t="array" ref="T91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17" s="25">
        <f>_xlfn.LET(
_xlpm.tos, _xlfn.XLOOKUP(tblPayrollMaster[[#This Row],[Employee ID]], tblEmployee[Employee ID], tblEmployee[Type of Service], ""),
IF(_xlpm.tos="Contract of Service", 8.25, 0)
)</f>
        <v>0</v>
      </c>
      <c r="V917" s="25">
        <f>tblPayrollMaster[[#This Row],[Basic Earnings]]-tblPayrollMaster[[#This Row],[Tax]]-tblPayrollMaster[[#This Row],[NIS - Employee]]-tblPayrollMaster[[#This Row],[Health Surcharge]]</f>
        <v>0</v>
      </c>
      <c r="W917" s="25">
        <f>tblPayrollMaster[[#This Row],[Net Pay]]</f>
        <v>0</v>
      </c>
      <c r="X917" s="25"/>
    </row>
    <row r="918" spans="1:24" x14ac:dyDescent="0.25">
      <c r="A918" s="24"/>
      <c r="B918" s="24" t="str">
        <f>_xlfn.XLOOKUP(tblPayrollMaster[[#This Row],[Employee ID]],tblEmployee[Employee ID],tblEmployee[Employee Name],"")</f>
        <v/>
      </c>
      <c r="C918" s="24" t="str">
        <f>_xlfn.XLOOKUP(tblPayrollMaster[[#This Row],[Employee ID]],tblEmployee[Employee ID],tblEmployee[Employee Position],"")</f>
        <v/>
      </c>
      <c r="D918" s="24" t="str">
        <f>_xlfn.XLOOKUP(tblPayrollMaster[[#This Row],[Employee ID]], tblEmployee[Employee ID], tblEmployee[Pay Status], "Pay")</f>
        <v>Pay</v>
      </c>
      <c r="E918" s="24" t="str">
        <f>_xlfn.XLOOKUP(tblPayrollMaster[[#This Row],[Employee ID]], tblEmployee[Employee ID], tblEmployee[Payable Flag], "Y")</f>
        <v>Y</v>
      </c>
      <c r="F918" s="45">
        <f>IF(tblPayrollMaster[[#This Row],[Payable Flag]]="N",0,_xlfn.XLOOKUP(tblPayrollMaster[[#This Row],[Employee ID]],tblEmployee[Employee ID],tblEmployee[Pay Factor],1))</f>
        <v>1</v>
      </c>
      <c r="G918" s="26" t="str" cm="1">
        <f t="array" ref="G918">IF(tblPayrollMaster[[#This Row],[Employee ID]]="","",_xlfn.XLOOKUP(selPayPeriodID,tblPayCalendar[PayPeriodID],tblPayCalendar[PeriodStart],""))</f>
        <v/>
      </c>
      <c r="H918" s="26" t="str" cm="1">
        <f t="array" ref="H918">IF(tblPayrollMaster[[#This Row],[Employee ID]]="","",_xlfn.XLOOKUP(selPayPeriodID,tblPayCalendar[PayPeriodID],tblPayCalendar[PeriodEnd],""))</f>
        <v/>
      </c>
      <c r="I918" s="24" t="e" cm="1" vm="1">
        <f t="array" aca="1" ref="I918" ca="1">Table18[Employer Name]</f>
        <v>#VALUE!</v>
      </c>
      <c r="J918" s="3" cm="1">
        <f t="array" ref="J91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18" s="25" t="str">
        <f>_xlfn.XLOOKUP(tblPayrollMaster[[#This Row],[Employee Position]],tblPositionandPayRate[Employee Position],tblPositionandPayRate[Overtime], " ")</f>
        <v xml:space="preserve"> </v>
      </c>
      <c r="L918" s="25">
        <f>_xlfn.XLOOKUP(tblPayrollMaster[[#This Row],[Employee Position]],tblPositionandPayRate[Employee Position],tblPositionandPayRate[Allowance 1],0)*tblPayrollMaster[[#This Row],[Pay Factor]]</f>
        <v>0</v>
      </c>
      <c r="M918" s="25">
        <f>_xlfn.XLOOKUP(tblPayrollMaster[[#This Row],[Employee Position]],tblPositionandPayRate[Employee Position],tblPositionandPayRate[Allowance 2],0)*tblPayrollMaster[[#This Row],[Pay Factor]]</f>
        <v>0</v>
      </c>
      <c r="N918" s="25">
        <f>_xlfn.XLOOKUP(tblPayrollMaster[[#This Row],[Employee Position]],tblPositionandPayRate[Employee Position],tblPositionandPayRate[Allowance 3],0)*tblPayrollMaster[[#This Row],[Pay Factor]]</f>
        <v>0</v>
      </c>
      <c r="O918" s="25">
        <f>_xlfn.XLOOKUP(tblPayrollMaster[[#This Row],[Employee Position]],tblPositionandPayRate[Employee Position],tblPositionandPayRate[Allowance 4],0)*tblPayrollMaster[[#This Row],[Pay Factor]]</f>
        <v>0</v>
      </c>
      <c r="P918" s="25">
        <f>_xlfn.XLOOKUP(tblPayrollMaster[[#This Row],[Employee Position]],tblPositionandPayRate[Employee Position],tblPositionandPayRate[Allowance 5],0)*tblPayrollMaster[[#This Row],[Pay Factor]]</f>
        <v>0</v>
      </c>
      <c r="Q918" s="25">
        <f>SUM(tblPayrollMaster[[#This Row],[Basic Pay]:[Allowance 5]])</f>
        <v>0</v>
      </c>
      <c r="R91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18" s="51" cm="1">
        <f t="array" ref="S9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18" s="3" cm="1">
        <f t="array" ref="T91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18" s="25">
        <f>_xlfn.LET(
_xlpm.tos, _xlfn.XLOOKUP(tblPayrollMaster[[#This Row],[Employee ID]], tblEmployee[Employee ID], tblEmployee[Type of Service], ""),
IF(_xlpm.tos="Contract of Service", 8.25, 0)
)</f>
        <v>0</v>
      </c>
      <c r="V918" s="25">
        <f>tblPayrollMaster[[#This Row],[Basic Earnings]]-tblPayrollMaster[[#This Row],[Tax]]-tblPayrollMaster[[#This Row],[NIS - Employee]]-tblPayrollMaster[[#This Row],[Health Surcharge]]</f>
        <v>0</v>
      </c>
      <c r="W918" s="25">
        <f>tblPayrollMaster[[#This Row],[Net Pay]]</f>
        <v>0</v>
      </c>
      <c r="X918" s="25"/>
    </row>
    <row r="919" spans="1:24" x14ac:dyDescent="0.25">
      <c r="A919" s="24"/>
      <c r="B919" s="24" t="str">
        <f>_xlfn.XLOOKUP(tblPayrollMaster[[#This Row],[Employee ID]],tblEmployee[Employee ID],tblEmployee[Employee Name],"")</f>
        <v/>
      </c>
      <c r="C919" s="24" t="str">
        <f>_xlfn.XLOOKUP(tblPayrollMaster[[#This Row],[Employee ID]],tblEmployee[Employee ID],tblEmployee[Employee Position],"")</f>
        <v/>
      </c>
      <c r="D919" s="24" t="str">
        <f>_xlfn.XLOOKUP(tblPayrollMaster[[#This Row],[Employee ID]], tblEmployee[Employee ID], tblEmployee[Pay Status], "Pay")</f>
        <v>Pay</v>
      </c>
      <c r="E919" s="24" t="str">
        <f>_xlfn.XLOOKUP(tblPayrollMaster[[#This Row],[Employee ID]], tblEmployee[Employee ID], tblEmployee[Payable Flag], "Y")</f>
        <v>Y</v>
      </c>
      <c r="F919" s="45">
        <f>IF(tblPayrollMaster[[#This Row],[Payable Flag]]="N",0,_xlfn.XLOOKUP(tblPayrollMaster[[#This Row],[Employee ID]],tblEmployee[Employee ID],tblEmployee[Pay Factor],1))</f>
        <v>1</v>
      </c>
      <c r="G919" s="26" t="str" cm="1">
        <f t="array" ref="G919">IF(tblPayrollMaster[[#This Row],[Employee ID]]="","",_xlfn.XLOOKUP(selPayPeriodID,tblPayCalendar[PayPeriodID],tblPayCalendar[PeriodStart],""))</f>
        <v/>
      </c>
      <c r="H919" s="26" t="str" cm="1">
        <f t="array" ref="H919">IF(tblPayrollMaster[[#This Row],[Employee ID]]="","",_xlfn.XLOOKUP(selPayPeriodID,tblPayCalendar[PayPeriodID],tblPayCalendar[PeriodEnd],""))</f>
        <v/>
      </c>
      <c r="I919" s="24" t="e" cm="1" vm="1">
        <f t="array" aca="1" ref="I919" ca="1">Table18[Employer Name]</f>
        <v>#VALUE!</v>
      </c>
      <c r="J919" s="3" cm="1">
        <f t="array" ref="J91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19" s="25" t="str">
        <f>_xlfn.XLOOKUP(tblPayrollMaster[[#This Row],[Employee Position]],tblPositionandPayRate[Employee Position],tblPositionandPayRate[Overtime], " ")</f>
        <v xml:space="preserve"> </v>
      </c>
      <c r="L919" s="25">
        <f>_xlfn.XLOOKUP(tblPayrollMaster[[#This Row],[Employee Position]],tblPositionandPayRate[Employee Position],tblPositionandPayRate[Allowance 1],0)*tblPayrollMaster[[#This Row],[Pay Factor]]</f>
        <v>0</v>
      </c>
      <c r="M919" s="25">
        <f>_xlfn.XLOOKUP(tblPayrollMaster[[#This Row],[Employee Position]],tblPositionandPayRate[Employee Position],tblPositionandPayRate[Allowance 2],0)*tblPayrollMaster[[#This Row],[Pay Factor]]</f>
        <v>0</v>
      </c>
      <c r="N919" s="25">
        <f>_xlfn.XLOOKUP(tblPayrollMaster[[#This Row],[Employee Position]],tblPositionandPayRate[Employee Position],tblPositionandPayRate[Allowance 3],0)*tblPayrollMaster[[#This Row],[Pay Factor]]</f>
        <v>0</v>
      </c>
      <c r="O919" s="25">
        <f>_xlfn.XLOOKUP(tblPayrollMaster[[#This Row],[Employee Position]],tblPositionandPayRate[Employee Position],tblPositionandPayRate[Allowance 4],0)*tblPayrollMaster[[#This Row],[Pay Factor]]</f>
        <v>0</v>
      </c>
      <c r="P919" s="25">
        <f>_xlfn.XLOOKUP(tblPayrollMaster[[#This Row],[Employee Position]],tblPositionandPayRate[Employee Position],tblPositionandPayRate[Allowance 5],0)*tblPayrollMaster[[#This Row],[Pay Factor]]</f>
        <v>0</v>
      </c>
      <c r="Q919" s="25">
        <f>SUM(tblPayrollMaster[[#This Row],[Basic Pay]:[Allowance 5]])</f>
        <v>0</v>
      </c>
      <c r="R91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19" s="51" cm="1">
        <f t="array" ref="S9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19" s="3" cm="1">
        <f t="array" ref="T91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19" s="25">
        <f>_xlfn.LET(
_xlpm.tos, _xlfn.XLOOKUP(tblPayrollMaster[[#This Row],[Employee ID]], tblEmployee[Employee ID], tblEmployee[Type of Service], ""),
IF(_xlpm.tos="Contract of Service", 8.25, 0)
)</f>
        <v>0</v>
      </c>
      <c r="V919" s="25">
        <f>tblPayrollMaster[[#This Row],[Basic Earnings]]-tblPayrollMaster[[#This Row],[Tax]]-tblPayrollMaster[[#This Row],[NIS - Employee]]-tblPayrollMaster[[#This Row],[Health Surcharge]]</f>
        <v>0</v>
      </c>
      <c r="W919" s="25">
        <f>tblPayrollMaster[[#This Row],[Net Pay]]</f>
        <v>0</v>
      </c>
      <c r="X919" s="25"/>
    </row>
    <row r="920" spans="1:24" x14ac:dyDescent="0.25">
      <c r="A920" s="24"/>
      <c r="B920" s="24" t="str">
        <f>_xlfn.XLOOKUP(tblPayrollMaster[[#This Row],[Employee ID]],tblEmployee[Employee ID],tblEmployee[Employee Name],"")</f>
        <v/>
      </c>
      <c r="C920" s="24" t="str">
        <f>_xlfn.XLOOKUP(tblPayrollMaster[[#This Row],[Employee ID]],tblEmployee[Employee ID],tblEmployee[Employee Position],"")</f>
        <v/>
      </c>
      <c r="D920" s="24" t="str">
        <f>_xlfn.XLOOKUP(tblPayrollMaster[[#This Row],[Employee ID]], tblEmployee[Employee ID], tblEmployee[Pay Status], "Pay")</f>
        <v>Pay</v>
      </c>
      <c r="E920" s="24" t="str">
        <f>_xlfn.XLOOKUP(tblPayrollMaster[[#This Row],[Employee ID]], tblEmployee[Employee ID], tblEmployee[Payable Flag], "Y")</f>
        <v>Y</v>
      </c>
      <c r="F920" s="45">
        <f>IF(tblPayrollMaster[[#This Row],[Payable Flag]]="N",0,_xlfn.XLOOKUP(tblPayrollMaster[[#This Row],[Employee ID]],tblEmployee[Employee ID],tblEmployee[Pay Factor],1))</f>
        <v>1</v>
      </c>
      <c r="G920" s="26" t="str" cm="1">
        <f t="array" ref="G920">IF(tblPayrollMaster[[#This Row],[Employee ID]]="","",_xlfn.XLOOKUP(selPayPeriodID,tblPayCalendar[PayPeriodID],tblPayCalendar[PeriodStart],""))</f>
        <v/>
      </c>
      <c r="H920" s="26" t="str" cm="1">
        <f t="array" ref="H920">IF(tblPayrollMaster[[#This Row],[Employee ID]]="","",_xlfn.XLOOKUP(selPayPeriodID,tblPayCalendar[PayPeriodID],tblPayCalendar[PeriodEnd],""))</f>
        <v/>
      </c>
      <c r="I920" s="24" t="e" cm="1" vm="1">
        <f t="array" aca="1" ref="I920" ca="1">Table18[Employer Name]</f>
        <v>#VALUE!</v>
      </c>
      <c r="J920" s="3" cm="1">
        <f t="array" ref="J92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20" s="25" t="str">
        <f>_xlfn.XLOOKUP(tblPayrollMaster[[#This Row],[Employee Position]],tblPositionandPayRate[Employee Position],tblPositionandPayRate[Overtime], " ")</f>
        <v xml:space="preserve"> </v>
      </c>
      <c r="L920" s="25">
        <f>_xlfn.XLOOKUP(tblPayrollMaster[[#This Row],[Employee Position]],tblPositionandPayRate[Employee Position],tblPositionandPayRate[Allowance 1],0)*tblPayrollMaster[[#This Row],[Pay Factor]]</f>
        <v>0</v>
      </c>
      <c r="M920" s="25">
        <f>_xlfn.XLOOKUP(tblPayrollMaster[[#This Row],[Employee Position]],tblPositionandPayRate[Employee Position],tblPositionandPayRate[Allowance 2],0)*tblPayrollMaster[[#This Row],[Pay Factor]]</f>
        <v>0</v>
      </c>
      <c r="N920" s="25">
        <f>_xlfn.XLOOKUP(tblPayrollMaster[[#This Row],[Employee Position]],tblPositionandPayRate[Employee Position],tblPositionandPayRate[Allowance 3],0)*tblPayrollMaster[[#This Row],[Pay Factor]]</f>
        <v>0</v>
      </c>
      <c r="O920" s="25">
        <f>_xlfn.XLOOKUP(tblPayrollMaster[[#This Row],[Employee Position]],tblPositionandPayRate[Employee Position],tblPositionandPayRate[Allowance 4],0)*tblPayrollMaster[[#This Row],[Pay Factor]]</f>
        <v>0</v>
      </c>
      <c r="P920" s="25">
        <f>_xlfn.XLOOKUP(tblPayrollMaster[[#This Row],[Employee Position]],tblPositionandPayRate[Employee Position],tblPositionandPayRate[Allowance 5],0)*tblPayrollMaster[[#This Row],[Pay Factor]]</f>
        <v>0</v>
      </c>
      <c r="Q920" s="25">
        <f>SUM(tblPayrollMaster[[#This Row],[Basic Pay]:[Allowance 5]])</f>
        <v>0</v>
      </c>
      <c r="R92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20" s="51" cm="1">
        <f t="array" ref="S9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20" s="3" cm="1">
        <f t="array" ref="T92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20" s="25">
        <f>_xlfn.LET(
_xlpm.tos, _xlfn.XLOOKUP(tblPayrollMaster[[#This Row],[Employee ID]], tblEmployee[Employee ID], tblEmployee[Type of Service], ""),
IF(_xlpm.tos="Contract of Service", 8.25, 0)
)</f>
        <v>0</v>
      </c>
      <c r="V920" s="25">
        <f>tblPayrollMaster[[#This Row],[Basic Earnings]]-tblPayrollMaster[[#This Row],[Tax]]-tblPayrollMaster[[#This Row],[NIS - Employee]]-tblPayrollMaster[[#This Row],[Health Surcharge]]</f>
        <v>0</v>
      </c>
      <c r="W920" s="25">
        <f>tblPayrollMaster[[#This Row],[Net Pay]]</f>
        <v>0</v>
      </c>
      <c r="X920" s="25"/>
    </row>
    <row r="921" spans="1:24" x14ac:dyDescent="0.25">
      <c r="A921" s="24"/>
      <c r="B921" s="24" t="str">
        <f>_xlfn.XLOOKUP(tblPayrollMaster[[#This Row],[Employee ID]],tblEmployee[Employee ID],tblEmployee[Employee Name],"")</f>
        <v/>
      </c>
      <c r="C921" s="24" t="str">
        <f>_xlfn.XLOOKUP(tblPayrollMaster[[#This Row],[Employee ID]],tblEmployee[Employee ID],tblEmployee[Employee Position],"")</f>
        <v/>
      </c>
      <c r="D921" s="24" t="str">
        <f>_xlfn.XLOOKUP(tblPayrollMaster[[#This Row],[Employee ID]], tblEmployee[Employee ID], tblEmployee[Pay Status], "Pay")</f>
        <v>Pay</v>
      </c>
      <c r="E921" s="24" t="str">
        <f>_xlfn.XLOOKUP(tblPayrollMaster[[#This Row],[Employee ID]], tblEmployee[Employee ID], tblEmployee[Payable Flag], "Y")</f>
        <v>Y</v>
      </c>
      <c r="F921" s="45">
        <f>IF(tblPayrollMaster[[#This Row],[Payable Flag]]="N",0,_xlfn.XLOOKUP(tblPayrollMaster[[#This Row],[Employee ID]],tblEmployee[Employee ID],tblEmployee[Pay Factor],1))</f>
        <v>1</v>
      </c>
      <c r="G921" s="26" t="str" cm="1">
        <f t="array" ref="G921">IF(tblPayrollMaster[[#This Row],[Employee ID]]="","",_xlfn.XLOOKUP(selPayPeriodID,tblPayCalendar[PayPeriodID],tblPayCalendar[PeriodStart],""))</f>
        <v/>
      </c>
      <c r="H921" s="26" t="str" cm="1">
        <f t="array" ref="H921">IF(tblPayrollMaster[[#This Row],[Employee ID]]="","",_xlfn.XLOOKUP(selPayPeriodID,tblPayCalendar[PayPeriodID],tblPayCalendar[PeriodEnd],""))</f>
        <v/>
      </c>
      <c r="I921" s="24" t="e" cm="1" vm="1">
        <f t="array" aca="1" ref="I921" ca="1">Table18[Employer Name]</f>
        <v>#VALUE!</v>
      </c>
      <c r="J921" s="3" cm="1">
        <f t="array" ref="J92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21" s="25" t="str">
        <f>_xlfn.XLOOKUP(tblPayrollMaster[[#This Row],[Employee Position]],tblPositionandPayRate[Employee Position],tblPositionandPayRate[Overtime], " ")</f>
        <v xml:space="preserve"> </v>
      </c>
      <c r="L921" s="25">
        <f>_xlfn.XLOOKUP(tblPayrollMaster[[#This Row],[Employee Position]],tblPositionandPayRate[Employee Position],tblPositionandPayRate[Allowance 1],0)*tblPayrollMaster[[#This Row],[Pay Factor]]</f>
        <v>0</v>
      </c>
      <c r="M921" s="25">
        <f>_xlfn.XLOOKUP(tblPayrollMaster[[#This Row],[Employee Position]],tblPositionandPayRate[Employee Position],tblPositionandPayRate[Allowance 2],0)*tblPayrollMaster[[#This Row],[Pay Factor]]</f>
        <v>0</v>
      </c>
      <c r="N921" s="25">
        <f>_xlfn.XLOOKUP(tblPayrollMaster[[#This Row],[Employee Position]],tblPositionandPayRate[Employee Position],tblPositionandPayRate[Allowance 3],0)*tblPayrollMaster[[#This Row],[Pay Factor]]</f>
        <v>0</v>
      </c>
      <c r="O921" s="25">
        <f>_xlfn.XLOOKUP(tblPayrollMaster[[#This Row],[Employee Position]],tblPositionandPayRate[Employee Position],tblPositionandPayRate[Allowance 4],0)*tblPayrollMaster[[#This Row],[Pay Factor]]</f>
        <v>0</v>
      </c>
      <c r="P921" s="25">
        <f>_xlfn.XLOOKUP(tblPayrollMaster[[#This Row],[Employee Position]],tblPositionandPayRate[Employee Position],tblPositionandPayRate[Allowance 5],0)*tblPayrollMaster[[#This Row],[Pay Factor]]</f>
        <v>0</v>
      </c>
      <c r="Q921" s="25">
        <f>SUM(tblPayrollMaster[[#This Row],[Basic Pay]:[Allowance 5]])</f>
        <v>0</v>
      </c>
      <c r="R92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21" s="51" cm="1">
        <f t="array" ref="S9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21" s="3" cm="1">
        <f t="array" ref="T92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21" s="25">
        <f>_xlfn.LET(
_xlpm.tos, _xlfn.XLOOKUP(tblPayrollMaster[[#This Row],[Employee ID]], tblEmployee[Employee ID], tblEmployee[Type of Service], ""),
IF(_xlpm.tos="Contract of Service", 8.25, 0)
)</f>
        <v>0</v>
      </c>
      <c r="V921" s="25">
        <f>tblPayrollMaster[[#This Row],[Basic Earnings]]-tblPayrollMaster[[#This Row],[Tax]]-tblPayrollMaster[[#This Row],[NIS - Employee]]-tblPayrollMaster[[#This Row],[Health Surcharge]]</f>
        <v>0</v>
      </c>
      <c r="W921" s="25">
        <f>tblPayrollMaster[[#This Row],[Net Pay]]</f>
        <v>0</v>
      </c>
      <c r="X921" s="25"/>
    </row>
    <row r="922" spans="1:24" x14ac:dyDescent="0.25">
      <c r="A922" s="24"/>
      <c r="B922" s="24" t="str">
        <f>_xlfn.XLOOKUP(tblPayrollMaster[[#This Row],[Employee ID]],tblEmployee[Employee ID],tblEmployee[Employee Name],"")</f>
        <v/>
      </c>
      <c r="C922" s="24" t="str">
        <f>_xlfn.XLOOKUP(tblPayrollMaster[[#This Row],[Employee ID]],tblEmployee[Employee ID],tblEmployee[Employee Position],"")</f>
        <v/>
      </c>
      <c r="D922" s="24" t="str">
        <f>_xlfn.XLOOKUP(tblPayrollMaster[[#This Row],[Employee ID]], tblEmployee[Employee ID], tblEmployee[Pay Status], "Pay")</f>
        <v>Pay</v>
      </c>
      <c r="E922" s="24" t="str">
        <f>_xlfn.XLOOKUP(tblPayrollMaster[[#This Row],[Employee ID]], tblEmployee[Employee ID], tblEmployee[Payable Flag], "Y")</f>
        <v>Y</v>
      </c>
      <c r="F922" s="45">
        <f>IF(tblPayrollMaster[[#This Row],[Payable Flag]]="N",0,_xlfn.XLOOKUP(tblPayrollMaster[[#This Row],[Employee ID]],tblEmployee[Employee ID],tblEmployee[Pay Factor],1))</f>
        <v>1</v>
      </c>
      <c r="G922" s="26" t="str" cm="1">
        <f t="array" ref="G922">IF(tblPayrollMaster[[#This Row],[Employee ID]]="","",_xlfn.XLOOKUP(selPayPeriodID,tblPayCalendar[PayPeriodID],tblPayCalendar[PeriodStart],""))</f>
        <v/>
      </c>
      <c r="H922" s="26" t="str" cm="1">
        <f t="array" ref="H922">IF(tblPayrollMaster[[#This Row],[Employee ID]]="","",_xlfn.XLOOKUP(selPayPeriodID,tblPayCalendar[PayPeriodID],tblPayCalendar[PeriodEnd],""))</f>
        <v/>
      </c>
      <c r="I922" s="24" t="e" cm="1" vm="1">
        <f t="array" aca="1" ref="I922" ca="1">Table18[Employer Name]</f>
        <v>#VALUE!</v>
      </c>
      <c r="J922" s="3" cm="1">
        <f t="array" ref="J92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22" s="25" t="str">
        <f>_xlfn.XLOOKUP(tblPayrollMaster[[#This Row],[Employee Position]],tblPositionandPayRate[Employee Position],tblPositionandPayRate[Overtime], " ")</f>
        <v xml:space="preserve"> </v>
      </c>
      <c r="L922" s="25">
        <f>_xlfn.XLOOKUP(tblPayrollMaster[[#This Row],[Employee Position]],tblPositionandPayRate[Employee Position],tblPositionandPayRate[Allowance 1],0)*tblPayrollMaster[[#This Row],[Pay Factor]]</f>
        <v>0</v>
      </c>
      <c r="M922" s="25">
        <f>_xlfn.XLOOKUP(tblPayrollMaster[[#This Row],[Employee Position]],tblPositionandPayRate[Employee Position],tblPositionandPayRate[Allowance 2],0)*tblPayrollMaster[[#This Row],[Pay Factor]]</f>
        <v>0</v>
      </c>
      <c r="N922" s="25">
        <f>_xlfn.XLOOKUP(tblPayrollMaster[[#This Row],[Employee Position]],tblPositionandPayRate[Employee Position],tblPositionandPayRate[Allowance 3],0)*tblPayrollMaster[[#This Row],[Pay Factor]]</f>
        <v>0</v>
      </c>
      <c r="O922" s="25">
        <f>_xlfn.XLOOKUP(tblPayrollMaster[[#This Row],[Employee Position]],tblPositionandPayRate[Employee Position],tblPositionandPayRate[Allowance 4],0)*tblPayrollMaster[[#This Row],[Pay Factor]]</f>
        <v>0</v>
      </c>
      <c r="P922" s="25">
        <f>_xlfn.XLOOKUP(tblPayrollMaster[[#This Row],[Employee Position]],tblPositionandPayRate[Employee Position],tblPositionandPayRate[Allowance 5],0)*tblPayrollMaster[[#This Row],[Pay Factor]]</f>
        <v>0</v>
      </c>
      <c r="Q922" s="25">
        <f>SUM(tblPayrollMaster[[#This Row],[Basic Pay]:[Allowance 5]])</f>
        <v>0</v>
      </c>
      <c r="R92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22" s="51" cm="1">
        <f t="array" ref="S9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22" s="3" cm="1">
        <f t="array" ref="T92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22" s="25">
        <f>_xlfn.LET(
_xlpm.tos, _xlfn.XLOOKUP(tblPayrollMaster[[#This Row],[Employee ID]], tblEmployee[Employee ID], tblEmployee[Type of Service], ""),
IF(_xlpm.tos="Contract of Service", 8.25, 0)
)</f>
        <v>0</v>
      </c>
      <c r="V922" s="25">
        <f>tblPayrollMaster[[#This Row],[Basic Earnings]]-tblPayrollMaster[[#This Row],[Tax]]-tblPayrollMaster[[#This Row],[NIS - Employee]]-tblPayrollMaster[[#This Row],[Health Surcharge]]</f>
        <v>0</v>
      </c>
      <c r="W922" s="25">
        <f>tblPayrollMaster[[#This Row],[Net Pay]]</f>
        <v>0</v>
      </c>
      <c r="X922" s="25"/>
    </row>
    <row r="923" spans="1:24" x14ac:dyDescent="0.25">
      <c r="A923" s="24"/>
      <c r="B923" s="24" t="str">
        <f>_xlfn.XLOOKUP(tblPayrollMaster[[#This Row],[Employee ID]],tblEmployee[Employee ID],tblEmployee[Employee Name],"")</f>
        <v/>
      </c>
      <c r="C923" s="24" t="str">
        <f>_xlfn.XLOOKUP(tblPayrollMaster[[#This Row],[Employee ID]],tblEmployee[Employee ID],tblEmployee[Employee Position],"")</f>
        <v/>
      </c>
      <c r="D923" s="24" t="str">
        <f>_xlfn.XLOOKUP(tblPayrollMaster[[#This Row],[Employee ID]], tblEmployee[Employee ID], tblEmployee[Pay Status], "Pay")</f>
        <v>Pay</v>
      </c>
      <c r="E923" s="24" t="str">
        <f>_xlfn.XLOOKUP(tblPayrollMaster[[#This Row],[Employee ID]], tblEmployee[Employee ID], tblEmployee[Payable Flag], "Y")</f>
        <v>Y</v>
      </c>
      <c r="F923" s="45">
        <f>IF(tblPayrollMaster[[#This Row],[Payable Flag]]="N",0,_xlfn.XLOOKUP(tblPayrollMaster[[#This Row],[Employee ID]],tblEmployee[Employee ID],tblEmployee[Pay Factor],1))</f>
        <v>1</v>
      </c>
      <c r="G923" s="26" t="str" cm="1">
        <f t="array" ref="G923">IF(tblPayrollMaster[[#This Row],[Employee ID]]="","",_xlfn.XLOOKUP(selPayPeriodID,tblPayCalendar[PayPeriodID],tblPayCalendar[PeriodStart],""))</f>
        <v/>
      </c>
      <c r="H923" s="26" t="str" cm="1">
        <f t="array" ref="H923">IF(tblPayrollMaster[[#This Row],[Employee ID]]="","",_xlfn.XLOOKUP(selPayPeriodID,tblPayCalendar[PayPeriodID],tblPayCalendar[PeriodEnd],""))</f>
        <v/>
      </c>
      <c r="I923" s="24" t="e" cm="1" vm="1">
        <f t="array" aca="1" ref="I923" ca="1">Table18[Employer Name]</f>
        <v>#VALUE!</v>
      </c>
      <c r="J923" s="3" cm="1">
        <f t="array" ref="J92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23" s="25" t="str">
        <f>_xlfn.XLOOKUP(tblPayrollMaster[[#This Row],[Employee Position]],tblPositionandPayRate[Employee Position],tblPositionandPayRate[Overtime], " ")</f>
        <v xml:space="preserve"> </v>
      </c>
      <c r="L923" s="25">
        <f>_xlfn.XLOOKUP(tblPayrollMaster[[#This Row],[Employee Position]],tblPositionandPayRate[Employee Position],tblPositionandPayRate[Allowance 1],0)*tblPayrollMaster[[#This Row],[Pay Factor]]</f>
        <v>0</v>
      </c>
      <c r="M923" s="25">
        <f>_xlfn.XLOOKUP(tblPayrollMaster[[#This Row],[Employee Position]],tblPositionandPayRate[Employee Position],tblPositionandPayRate[Allowance 2],0)*tblPayrollMaster[[#This Row],[Pay Factor]]</f>
        <v>0</v>
      </c>
      <c r="N923" s="25">
        <f>_xlfn.XLOOKUP(tblPayrollMaster[[#This Row],[Employee Position]],tblPositionandPayRate[Employee Position],tblPositionandPayRate[Allowance 3],0)*tblPayrollMaster[[#This Row],[Pay Factor]]</f>
        <v>0</v>
      </c>
      <c r="O923" s="25">
        <f>_xlfn.XLOOKUP(tblPayrollMaster[[#This Row],[Employee Position]],tblPositionandPayRate[Employee Position],tblPositionandPayRate[Allowance 4],0)*tblPayrollMaster[[#This Row],[Pay Factor]]</f>
        <v>0</v>
      </c>
      <c r="P923" s="25">
        <f>_xlfn.XLOOKUP(tblPayrollMaster[[#This Row],[Employee Position]],tblPositionandPayRate[Employee Position],tblPositionandPayRate[Allowance 5],0)*tblPayrollMaster[[#This Row],[Pay Factor]]</f>
        <v>0</v>
      </c>
      <c r="Q923" s="25">
        <f>SUM(tblPayrollMaster[[#This Row],[Basic Pay]:[Allowance 5]])</f>
        <v>0</v>
      </c>
      <c r="R92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23" s="51" cm="1">
        <f t="array" ref="S9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23" s="3" cm="1">
        <f t="array" ref="T92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23" s="25">
        <f>_xlfn.LET(
_xlpm.tos, _xlfn.XLOOKUP(tblPayrollMaster[[#This Row],[Employee ID]], tblEmployee[Employee ID], tblEmployee[Type of Service], ""),
IF(_xlpm.tos="Contract of Service", 8.25, 0)
)</f>
        <v>0</v>
      </c>
      <c r="V923" s="25">
        <f>tblPayrollMaster[[#This Row],[Basic Earnings]]-tblPayrollMaster[[#This Row],[Tax]]-tblPayrollMaster[[#This Row],[NIS - Employee]]-tblPayrollMaster[[#This Row],[Health Surcharge]]</f>
        <v>0</v>
      </c>
      <c r="W923" s="25">
        <f>tblPayrollMaster[[#This Row],[Net Pay]]</f>
        <v>0</v>
      </c>
      <c r="X923" s="25"/>
    </row>
    <row r="924" spans="1:24" x14ac:dyDescent="0.25">
      <c r="A924" s="24"/>
      <c r="B924" s="24" t="str">
        <f>_xlfn.XLOOKUP(tblPayrollMaster[[#This Row],[Employee ID]],tblEmployee[Employee ID],tblEmployee[Employee Name],"")</f>
        <v/>
      </c>
      <c r="C924" s="24" t="str">
        <f>_xlfn.XLOOKUP(tblPayrollMaster[[#This Row],[Employee ID]],tblEmployee[Employee ID],tblEmployee[Employee Position],"")</f>
        <v/>
      </c>
      <c r="D924" s="24" t="str">
        <f>_xlfn.XLOOKUP(tblPayrollMaster[[#This Row],[Employee ID]], tblEmployee[Employee ID], tblEmployee[Pay Status], "Pay")</f>
        <v>Pay</v>
      </c>
      <c r="E924" s="24" t="str">
        <f>_xlfn.XLOOKUP(tblPayrollMaster[[#This Row],[Employee ID]], tblEmployee[Employee ID], tblEmployee[Payable Flag], "Y")</f>
        <v>Y</v>
      </c>
      <c r="F924" s="45">
        <f>IF(tblPayrollMaster[[#This Row],[Payable Flag]]="N",0,_xlfn.XLOOKUP(tblPayrollMaster[[#This Row],[Employee ID]],tblEmployee[Employee ID],tblEmployee[Pay Factor],1))</f>
        <v>1</v>
      </c>
      <c r="G924" s="26" t="str" cm="1">
        <f t="array" ref="G924">IF(tblPayrollMaster[[#This Row],[Employee ID]]="","",_xlfn.XLOOKUP(selPayPeriodID,tblPayCalendar[PayPeriodID],tblPayCalendar[PeriodStart],""))</f>
        <v/>
      </c>
      <c r="H924" s="26" t="str" cm="1">
        <f t="array" ref="H924">IF(tblPayrollMaster[[#This Row],[Employee ID]]="","",_xlfn.XLOOKUP(selPayPeriodID,tblPayCalendar[PayPeriodID],tblPayCalendar[PeriodEnd],""))</f>
        <v/>
      </c>
      <c r="I924" s="24" t="e" cm="1" vm="1">
        <f t="array" aca="1" ref="I924" ca="1">Table18[Employer Name]</f>
        <v>#VALUE!</v>
      </c>
      <c r="J924" s="3" cm="1">
        <f t="array" ref="J92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24" s="25" t="str">
        <f>_xlfn.XLOOKUP(tblPayrollMaster[[#This Row],[Employee Position]],tblPositionandPayRate[Employee Position],tblPositionandPayRate[Overtime], " ")</f>
        <v xml:space="preserve"> </v>
      </c>
      <c r="L924" s="25">
        <f>_xlfn.XLOOKUP(tblPayrollMaster[[#This Row],[Employee Position]],tblPositionandPayRate[Employee Position],tblPositionandPayRate[Allowance 1],0)*tblPayrollMaster[[#This Row],[Pay Factor]]</f>
        <v>0</v>
      </c>
      <c r="M924" s="25">
        <f>_xlfn.XLOOKUP(tblPayrollMaster[[#This Row],[Employee Position]],tblPositionandPayRate[Employee Position],tblPositionandPayRate[Allowance 2],0)*tblPayrollMaster[[#This Row],[Pay Factor]]</f>
        <v>0</v>
      </c>
      <c r="N924" s="25">
        <f>_xlfn.XLOOKUP(tblPayrollMaster[[#This Row],[Employee Position]],tblPositionandPayRate[Employee Position],tblPositionandPayRate[Allowance 3],0)*tblPayrollMaster[[#This Row],[Pay Factor]]</f>
        <v>0</v>
      </c>
      <c r="O924" s="25">
        <f>_xlfn.XLOOKUP(tblPayrollMaster[[#This Row],[Employee Position]],tblPositionandPayRate[Employee Position],tblPositionandPayRate[Allowance 4],0)*tblPayrollMaster[[#This Row],[Pay Factor]]</f>
        <v>0</v>
      </c>
      <c r="P924" s="25">
        <f>_xlfn.XLOOKUP(tblPayrollMaster[[#This Row],[Employee Position]],tblPositionandPayRate[Employee Position],tblPositionandPayRate[Allowance 5],0)*tblPayrollMaster[[#This Row],[Pay Factor]]</f>
        <v>0</v>
      </c>
      <c r="Q924" s="25">
        <f>SUM(tblPayrollMaster[[#This Row],[Basic Pay]:[Allowance 5]])</f>
        <v>0</v>
      </c>
      <c r="R92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24" s="51" cm="1">
        <f t="array" ref="S9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24" s="3" cm="1">
        <f t="array" ref="T92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24" s="25">
        <f>_xlfn.LET(
_xlpm.tos, _xlfn.XLOOKUP(tblPayrollMaster[[#This Row],[Employee ID]], tblEmployee[Employee ID], tblEmployee[Type of Service], ""),
IF(_xlpm.tos="Contract of Service", 8.25, 0)
)</f>
        <v>0</v>
      </c>
      <c r="V924" s="25">
        <f>tblPayrollMaster[[#This Row],[Basic Earnings]]-tblPayrollMaster[[#This Row],[Tax]]-tblPayrollMaster[[#This Row],[NIS - Employee]]-tblPayrollMaster[[#This Row],[Health Surcharge]]</f>
        <v>0</v>
      </c>
      <c r="W924" s="25">
        <f>tblPayrollMaster[[#This Row],[Net Pay]]</f>
        <v>0</v>
      </c>
      <c r="X924" s="25"/>
    </row>
    <row r="925" spans="1:24" x14ac:dyDescent="0.25">
      <c r="A925" s="24"/>
      <c r="B925" s="24" t="str">
        <f>_xlfn.XLOOKUP(tblPayrollMaster[[#This Row],[Employee ID]],tblEmployee[Employee ID],tblEmployee[Employee Name],"")</f>
        <v/>
      </c>
      <c r="C925" s="24" t="str">
        <f>_xlfn.XLOOKUP(tblPayrollMaster[[#This Row],[Employee ID]],tblEmployee[Employee ID],tblEmployee[Employee Position],"")</f>
        <v/>
      </c>
      <c r="D925" s="24" t="str">
        <f>_xlfn.XLOOKUP(tblPayrollMaster[[#This Row],[Employee ID]], tblEmployee[Employee ID], tblEmployee[Pay Status], "Pay")</f>
        <v>Pay</v>
      </c>
      <c r="E925" s="24" t="str">
        <f>_xlfn.XLOOKUP(tblPayrollMaster[[#This Row],[Employee ID]], tblEmployee[Employee ID], tblEmployee[Payable Flag], "Y")</f>
        <v>Y</v>
      </c>
      <c r="F925" s="45">
        <f>IF(tblPayrollMaster[[#This Row],[Payable Flag]]="N",0,_xlfn.XLOOKUP(tblPayrollMaster[[#This Row],[Employee ID]],tblEmployee[Employee ID],tblEmployee[Pay Factor],1))</f>
        <v>1</v>
      </c>
      <c r="G925" s="26" t="str" cm="1">
        <f t="array" ref="G925">IF(tblPayrollMaster[[#This Row],[Employee ID]]="","",_xlfn.XLOOKUP(selPayPeriodID,tblPayCalendar[PayPeriodID],tblPayCalendar[PeriodStart],""))</f>
        <v/>
      </c>
      <c r="H925" s="26" t="str" cm="1">
        <f t="array" ref="H925">IF(tblPayrollMaster[[#This Row],[Employee ID]]="","",_xlfn.XLOOKUP(selPayPeriodID,tblPayCalendar[PayPeriodID],tblPayCalendar[PeriodEnd],""))</f>
        <v/>
      </c>
      <c r="I925" s="24" t="e" cm="1" vm="1">
        <f t="array" aca="1" ref="I925" ca="1">Table18[Employer Name]</f>
        <v>#VALUE!</v>
      </c>
      <c r="J925" s="3" cm="1">
        <f t="array" ref="J92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25" s="25" t="str">
        <f>_xlfn.XLOOKUP(tblPayrollMaster[[#This Row],[Employee Position]],tblPositionandPayRate[Employee Position],tblPositionandPayRate[Overtime], " ")</f>
        <v xml:space="preserve"> </v>
      </c>
      <c r="L925" s="25">
        <f>_xlfn.XLOOKUP(tblPayrollMaster[[#This Row],[Employee Position]],tblPositionandPayRate[Employee Position],tblPositionandPayRate[Allowance 1],0)*tblPayrollMaster[[#This Row],[Pay Factor]]</f>
        <v>0</v>
      </c>
      <c r="M925" s="25">
        <f>_xlfn.XLOOKUP(tblPayrollMaster[[#This Row],[Employee Position]],tblPositionandPayRate[Employee Position],tblPositionandPayRate[Allowance 2],0)*tblPayrollMaster[[#This Row],[Pay Factor]]</f>
        <v>0</v>
      </c>
      <c r="N925" s="25">
        <f>_xlfn.XLOOKUP(tblPayrollMaster[[#This Row],[Employee Position]],tblPositionandPayRate[Employee Position],tblPositionandPayRate[Allowance 3],0)*tblPayrollMaster[[#This Row],[Pay Factor]]</f>
        <v>0</v>
      </c>
      <c r="O925" s="25">
        <f>_xlfn.XLOOKUP(tblPayrollMaster[[#This Row],[Employee Position]],tblPositionandPayRate[Employee Position],tblPositionandPayRate[Allowance 4],0)*tblPayrollMaster[[#This Row],[Pay Factor]]</f>
        <v>0</v>
      </c>
      <c r="P925" s="25">
        <f>_xlfn.XLOOKUP(tblPayrollMaster[[#This Row],[Employee Position]],tblPositionandPayRate[Employee Position],tblPositionandPayRate[Allowance 5],0)*tblPayrollMaster[[#This Row],[Pay Factor]]</f>
        <v>0</v>
      </c>
      <c r="Q925" s="25">
        <f>SUM(tblPayrollMaster[[#This Row],[Basic Pay]:[Allowance 5]])</f>
        <v>0</v>
      </c>
      <c r="R92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25" s="51" cm="1">
        <f t="array" ref="S9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25" s="3" cm="1">
        <f t="array" ref="T92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25" s="25">
        <f>_xlfn.LET(
_xlpm.tos, _xlfn.XLOOKUP(tblPayrollMaster[[#This Row],[Employee ID]], tblEmployee[Employee ID], tblEmployee[Type of Service], ""),
IF(_xlpm.tos="Contract of Service", 8.25, 0)
)</f>
        <v>0</v>
      </c>
      <c r="V925" s="25">
        <f>tblPayrollMaster[[#This Row],[Basic Earnings]]-tblPayrollMaster[[#This Row],[Tax]]-tblPayrollMaster[[#This Row],[NIS - Employee]]-tblPayrollMaster[[#This Row],[Health Surcharge]]</f>
        <v>0</v>
      </c>
      <c r="W925" s="25">
        <f>tblPayrollMaster[[#This Row],[Net Pay]]</f>
        <v>0</v>
      </c>
      <c r="X925" s="25"/>
    </row>
    <row r="926" spans="1:24" x14ac:dyDescent="0.25">
      <c r="A926" s="24"/>
      <c r="B926" s="24" t="str">
        <f>_xlfn.XLOOKUP(tblPayrollMaster[[#This Row],[Employee ID]],tblEmployee[Employee ID],tblEmployee[Employee Name],"")</f>
        <v/>
      </c>
      <c r="C926" s="24" t="str">
        <f>_xlfn.XLOOKUP(tblPayrollMaster[[#This Row],[Employee ID]],tblEmployee[Employee ID],tblEmployee[Employee Position],"")</f>
        <v/>
      </c>
      <c r="D926" s="24" t="str">
        <f>_xlfn.XLOOKUP(tblPayrollMaster[[#This Row],[Employee ID]], tblEmployee[Employee ID], tblEmployee[Pay Status], "Pay")</f>
        <v>Pay</v>
      </c>
      <c r="E926" s="24" t="str">
        <f>_xlfn.XLOOKUP(tblPayrollMaster[[#This Row],[Employee ID]], tblEmployee[Employee ID], tblEmployee[Payable Flag], "Y")</f>
        <v>Y</v>
      </c>
      <c r="F926" s="45">
        <f>IF(tblPayrollMaster[[#This Row],[Payable Flag]]="N",0,_xlfn.XLOOKUP(tblPayrollMaster[[#This Row],[Employee ID]],tblEmployee[Employee ID],tblEmployee[Pay Factor],1))</f>
        <v>1</v>
      </c>
      <c r="G926" s="26" t="str" cm="1">
        <f t="array" ref="G926">IF(tblPayrollMaster[[#This Row],[Employee ID]]="","",_xlfn.XLOOKUP(selPayPeriodID,tblPayCalendar[PayPeriodID],tblPayCalendar[PeriodStart],""))</f>
        <v/>
      </c>
      <c r="H926" s="26" t="str" cm="1">
        <f t="array" ref="H926">IF(tblPayrollMaster[[#This Row],[Employee ID]]="","",_xlfn.XLOOKUP(selPayPeriodID,tblPayCalendar[PayPeriodID],tblPayCalendar[PeriodEnd],""))</f>
        <v/>
      </c>
      <c r="I926" s="24" t="e" cm="1" vm="1">
        <f t="array" aca="1" ref="I926" ca="1">Table18[Employer Name]</f>
        <v>#VALUE!</v>
      </c>
      <c r="J926" s="3" cm="1">
        <f t="array" ref="J92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26" s="25" t="str">
        <f>_xlfn.XLOOKUP(tblPayrollMaster[[#This Row],[Employee Position]],tblPositionandPayRate[Employee Position],tblPositionandPayRate[Overtime], " ")</f>
        <v xml:space="preserve"> </v>
      </c>
      <c r="L926" s="25">
        <f>_xlfn.XLOOKUP(tblPayrollMaster[[#This Row],[Employee Position]],tblPositionandPayRate[Employee Position],tblPositionandPayRate[Allowance 1],0)*tblPayrollMaster[[#This Row],[Pay Factor]]</f>
        <v>0</v>
      </c>
      <c r="M926" s="25">
        <f>_xlfn.XLOOKUP(tblPayrollMaster[[#This Row],[Employee Position]],tblPositionandPayRate[Employee Position],tblPositionandPayRate[Allowance 2],0)*tblPayrollMaster[[#This Row],[Pay Factor]]</f>
        <v>0</v>
      </c>
      <c r="N926" s="25">
        <f>_xlfn.XLOOKUP(tblPayrollMaster[[#This Row],[Employee Position]],tblPositionandPayRate[Employee Position],tblPositionandPayRate[Allowance 3],0)*tblPayrollMaster[[#This Row],[Pay Factor]]</f>
        <v>0</v>
      </c>
      <c r="O926" s="25">
        <f>_xlfn.XLOOKUP(tblPayrollMaster[[#This Row],[Employee Position]],tblPositionandPayRate[Employee Position],tblPositionandPayRate[Allowance 4],0)*tblPayrollMaster[[#This Row],[Pay Factor]]</f>
        <v>0</v>
      </c>
      <c r="P926" s="25">
        <f>_xlfn.XLOOKUP(tblPayrollMaster[[#This Row],[Employee Position]],tblPositionandPayRate[Employee Position],tblPositionandPayRate[Allowance 5],0)*tblPayrollMaster[[#This Row],[Pay Factor]]</f>
        <v>0</v>
      </c>
      <c r="Q926" s="25">
        <f>SUM(tblPayrollMaster[[#This Row],[Basic Pay]:[Allowance 5]])</f>
        <v>0</v>
      </c>
      <c r="R92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26" s="51" cm="1">
        <f t="array" ref="S9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26" s="3" cm="1">
        <f t="array" ref="T92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26" s="25">
        <f>_xlfn.LET(
_xlpm.tos, _xlfn.XLOOKUP(tblPayrollMaster[[#This Row],[Employee ID]], tblEmployee[Employee ID], tblEmployee[Type of Service], ""),
IF(_xlpm.tos="Contract of Service", 8.25, 0)
)</f>
        <v>0</v>
      </c>
      <c r="V926" s="25">
        <f>tblPayrollMaster[[#This Row],[Basic Earnings]]-tblPayrollMaster[[#This Row],[Tax]]-tblPayrollMaster[[#This Row],[NIS - Employee]]-tblPayrollMaster[[#This Row],[Health Surcharge]]</f>
        <v>0</v>
      </c>
      <c r="W926" s="25">
        <f>tblPayrollMaster[[#This Row],[Net Pay]]</f>
        <v>0</v>
      </c>
      <c r="X926" s="25"/>
    </row>
    <row r="927" spans="1:24" x14ac:dyDescent="0.25">
      <c r="A927" s="24"/>
      <c r="B927" s="24" t="str">
        <f>_xlfn.XLOOKUP(tblPayrollMaster[[#This Row],[Employee ID]],tblEmployee[Employee ID],tblEmployee[Employee Name],"")</f>
        <v/>
      </c>
      <c r="C927" s="24" t="str">
        <f>_xlfn.XLOOKUP(tblPayrollMaster[[#This Row],[Employee ID]],tblEmployee[Employee ID],tblEmployee[Employee Position],"")</f>
        <v/>
      </c>
      <c r="D927" s="24" t="str">
        <f>_xlfn.XLOOKUP(tblPayrollMaster[[#This Row],[Employee ID]], tblEmployee[Employee ID], tblEmployee[Pay Status], "Pay")</f>
        <v>Pay</v>
      </c>
      <c r="E927" s="24" t="str">
        <f>_xlfn.XLOOKUP(tblPayrollMaster[[#This Row],[Employee ID]], tblEmployee[Employee ID], tblEmployee[Payable Flag], "Y")</f>
        <v>Y</v>
      </c>
      <c r="F927" s="45">
        <f>IF(tblPayrollMaster[[#This Row],[Payable Flag]]="N",0,_xlfn.XLOOKUP(tblPayrollMaster[[#This Row],[Employee ID]],tblEmployee[Employee ID],tblEmployee[Pay Factor],1))</f>
        <v>1</v>
      </c>
      <c r="G927" s="26" t="str" cm="1">
        <f t="array" ref="G927">IF(tblPayrollMaster[[#This Row],[Employee ID]]="","",_xlfn.XLOOKUP(selPayPeriodID,tblPayCalendar[PayPeriodID],tblPayCalendar[PeriodStart],""))</f>
        <v/>
      </c>
      <c r="H927" s="26" t="str" cm="1">
        <f t="array" ref="H927">IF(tblPayrollMaster[[#This Row],[Employee ID]]="","",_xlfn.XLOOKUP(selPayPeriodID,tblPayCalendar[PayPeriodID],tblPayCalendar[PeriodEnd],""))</f>
        <v/>
      </c>
      <c r="I927" s="24" t="e" cm="1" vm="1">
        <f t="array" aca="1" ref="I927" ca="1">Table18[Employer Name]</f>
        <v>#VALUE!</v>
      </c>
      <c r="J927" s="3" cm="1">
        <f t="array" ref="J92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27" s="25" t="str">
        <f>_xlfn.XLOOKUP(tblPayrollMaster[[#This Row],[Employee Position]],tblPositionandPayRate[Employee Position],tblPositionandPayRate[Overtime], " ")</f>
        <v xml:space="preserve"> </v>
      </c>
      <c r="L927" s="25">
        <f>_xlfn.XLOOKUP(tblPayrollMaster[[#This Row],[Employee Position]],tblPositionandPayRate[Employee Position],tblPositionandPayRate[Allowance 1],0)*tblPayrollMaster[[#This Row],[Pay Factor]]</f>
        <v>0</v>
      </c>
      <c r="M927" s="25">
        <f>_xlfn.XLOOKUP(tblPayrollMaster[[#This Row],[Employee Position]],tblPositionandPayRate[Employee Position],tblPositionandPayRate[Allowance 2],0)*tblPayrollMaster[[#This Row],[Pay Factor]]</f>
        <v>0</v>
      </c>
      <c r="N927" s="25">
        <f>_xlfn.XLOOKUP(tblPayrollMaster[[#This Row],[Employee Position]],tblPositionandPayRate[Employee Position],tblPositionandPayRate[Allowance 3],0)*tblPayrollMaster[[#This Row],[Pay Factor]]</f>
        <v>0</v>
      </c>
      <c r="O927" s="25">
        <f>_xlfn.XLOOKUP(tblPayrollMaster[[#This Row],[Employee Position]],tblPositionandPayRate[Employee Position],tblPositionandPayRate[Allowance 4],0)*tblPayrollMaster[[#This Row],[Pay Factor]]</f>
        <v>0</v>
      </c>
      <c r="P927" s="25">
        <f>_xlfn.XLOOKUP(tblPayrollMaster[[#This Row],[Employee Position]],tblPositionandPayRate[Employee Position],tblPositionandPayRate[Allowance 5],0)*tblPayrollMaster[[#This Row],[Pay Factor]]</f>
        <v>0</v>
      </c>
      <c r="Q927" s="25">
        <f>SUM(tblPayrollMaster[[#This Row],[Basic Pay]:[Allowance 5]])</f>
        <v>0</v>
      </c>
      <c r="R92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27" s="51" cm="1">
        <f t="array" ref="S9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27" s="3" cm="1">
        <f t="array" ref="T92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27" s="25">
        <f>_xlfn.LET(
_xlpm.tos, _xlfn.XLOOKUP(tblPayrollMaster[[#This Row],[Employee ID]], tblEmployee[Employee ID], tblEmployee[Type of Service], ""),
IF(_xlpm.tos="Contract of Service", 8.25, 0)
)</f>
        <v>0</v>
      </c>
      <c r="V927" s="25">
        <f>tblPayrollMaster[[#This Row],[Basic Earnings]]-tblPayrollMaster[[#This Row],[Tax]]-tblPayrollMaster[[#This Row],[NIS - Employee]]-tblPayrollMaster[[#This Row],[Health Surcharge]]</f>
        <v>0</v>
      </c>
      <c r="W927" s="25">
        <f>tblPayrollMaster[[#This Row],[Net Pay]]</f>
        <v>0</v>
      </c>
      <c r="X927" s="25"/>
    </row>
    <row r="928" spans="1:24" x14ac:dyDescent="0.25">
      <c r="A928" s="24"/>
      <c r="B928" s="24" t="str">
        <f>_xlfn.XLOOKUP(tblPayrollMaster[[#This Row],[Employee ID]],tblEmployee[Employee ID],tblEmployee[Employee Name],"")</f>
        <v/>
      </c>
      <c r="C928" s="24" t="str">
        <f>_xlfn.XLOOKUP(tblPayrollMaster[[#This Row],[Employee ID]],tblEmployee[Employee ID],tblEmployee[Employee Position],"")</f>
        <v/>
      </c>
      <c r="D928" s="24" t="str">
        <f>_xlfn.XLOOKUP(tblPayrollMaster[[#This Row],[Employee ID]], tblEmployee[Employee ID], tblEmployee[Pay Status], "Pay")</f>
        <v>Pay</v>
      </c>
      <c r="E928" s="24" t="str">
        <f>_xlfn.XLOOKUP(tblPayrollMaster[[#This Row],[Employee ID]], tblEmployee[Employee ID], tblEmployee[Payable Flag], "Y")</f>
        <v>Y</v>
      </c>
      <c r="F928" s="45">
        <f>IF(tblPayrollMaster[[#This Row],[Payable Flag]]="N",0,_xlfn.XLOOKUP(tblPayrollMaster[[#This Row],[Employee ID]],tblEmployee[Employee ID],tblEmployee[Pay Factor],1))</f>
        <v>1</v>
      </c>
      <c r="G928" s="26" t="str" cm="1">
        <f t="array" ref="G928">IF(tblPayrollMaster[[#This Row],[Employee ID]]="","",_xlfn.XLOOKUP(selPayPeriodID,tblPayCalendar[PayPeriodID],tblPayCalendar[PeriodStart],""))</f>
        <v/>
      </c>
      <c r="H928" s="26" t="str" cm="1">
        <f t="array" ref="H928">IF(tblPayrollMaster[[#This Row],[Employee ID]]="","",_xlfn.XLOOKUP(selPayPeriodID,tblPayCalendar[PayPeriodID],tblPayCalendar[PeriodEnd],""))</f>
        <v/>
      </c>
      <c r="I928" s="24" t="e" cm="1" vm="1">
        <f t="array" aca="1" ref="I928" ca="1">Table18[Employer Name]</f>
        <v>#VALUE!</v>
      </c>
      <c r="J928" s="3" cm="1">
        <f t="array" ref="J92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28" s="25" t="str">
        <f>_xlfn.XLOOKUP(tblPayrollMaster[[#This Row],[Employee Position]],tblPositionandPayRate[Employee Position],tblPositionandPayRate[Overtime], " ")</f>
        <v xml:space="preserve"> </v>
      </c>
      <c r="L928" s="25">
        <f>_xlfn.XLOOKUP(tblPayrollMaster[[#This Row],[Employee Position]],tblPositionandPayRate[Employee Position],tblPositionandPayRate[Allowance 1],0)*tblPayrollMaster[[#This Row],[Pay Factor]]</f>
        <v>0</v>
      </c>
      <c r="M928" s="25">
        <f>_xlfn.XLOOKUP(tblPayrollMaster[[#This Row],[Employee Position]],tblPositionandPayRate[Employee Position],tblPositionandPayRate[Allowance 2],0)*tblPayrollMaster[[#This Row],[Pay Factor]]</f>
        <v>0</v>
      </c>
      <c r="N928" s="25">
        <f>_xlfn.XLOOKUP(tblPayrollMaster[[#This Row],[Employee Position]],tblPositionandPayRate[Employee Position],tblPositionandPayRate[Allowance 3],0)*tblPayrollMaster[[#This Row],[Pay Factor]]</f>
        <v>0</v>
      </c>
      <c r="O928" s="25">
        <f>_xlfn.XLOOKUP(tblPayrollMaster[[#This Row],[Employee Position]],tblPositionandPayRate[Employee Position],tblPositionandPayRate[Allowance 4],0)*tblPayrollMaster[[#This Row],[Pay Factor]]</f>
        <v>0</v>
      </c>
      <c r="P928" s="25">
        <f>_xlfn.XLOOKUP(tblPayrollMaster[[#This Row],[Employee Position]],tblPositionandPayRate[Employee Position],tblPositionandPayRate[Allowance 5],0)*tblPayrollMaster[[#This Row],[Pay Factor]]</f>
        <v>0</v>
      </c>
      <c r="Q928" s="25">
        <f>SUM(tblPayrollMaster[[#This Row],[Basic Pay]:[Allowance 5]])</f>
        <v>0</v>
      </c>
      <c r="R92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28" s="51" cm="1">
        <f t="array" ref="S9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28" s="3" cm="1">
        <f t="array" ref="T92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28" s="25">
        <f>_xlfn.LET(
_xlpm.tos, _xlfn.XLOOKUP(tblPayrollMaster[[#This Row],[Employee ID]], tblEmployee[Employee ID], tblEmployee[Type of Service], ""),
IF(_xlpm.tos="Contract of Service", 8.25, 0)
)</f>
        <v>0</v>
      </c>
      <c r="V928" s="25">
        <f>tblPayrollMaster[[#This Row],[Basic Earnings]]-tblPayrollMaster[[#This Row],[Tax]]-tblPayrollMaster[[#This Row],[NIS - Employee]]-tblPayrollMaster[[#This Row],[Health Surcharge]]</f>
        <v>0</v>
      </c>
      <c r="W928" s="25">
        <f>tblPayrollMaster[[#This Row],[Net Pay]]</f>
        <v>0</v>
      </c>
      <c r="X928" s="25"/>
    </row>
    <row r="929" spans="1:24" x14ac:dyDescent="0.25">
      <c r="A929" s="24"/>
      <c r="B929" s="24" t="str">
        <f>_xlfn.XLOOKUP(tblPayrollMaster[[#This Row],[Employee ID]],tblEmployee[Employee ID],tblEmployee[Employee Name],"")</f>
        <v/>
      </c>
      <c r="C929" s="24" t="str">
        <f>_xlfn.XLOOKUP(tblPayrollMaster[[#This Row],[Employee ID]],tblEmployee[Employee ID],tblEmployee[Employee Position],"")</f>
        <v/>
      </c>
      <c r="D929" s="24" t="str">
        <f>_xlfn.XLOOKUP(tblPayrollMaster[[#This Row],[Employee ID]], tblEmployee[Employee ID], tblEmployee[Pay Status], "Pay")</f>
        <v>Pay</v>
      </c>
      <c r="E929" s="24" t="str">
        <f>_xlfn.XLOOKUP(tblPayrollMaster[[#This Row],[Employee ID]], tblEmployee[Employee ID], tblEmployee[Payable Flag], "Y")</f>
        <v>Y</v>
      </c>
      <c r="F929" s="45">
        <f>IF(tblPayrollMaster[[#This Row],[Payable Flag]]="N",0,_xlfn.XLOOKUP(tblPayrollMaster[[#This Row],[Employee ID]],tblEmployee[Employee ID],tblEmployee[Pay Factor],1))</f>
        <v>1</v>
      </c>
      <c r="G929" s="26" t="str" cm="1">
        <f t="array" ref="G929">IF(tblPayrollMaster[[#This Row],[Employee ID]]="","",_xlfn.XLOOKUP(selPayPeriodID,tblPayCalendar[PayPeriodID],tblPayCalendar[PeriodStart],""))</f>
        <v/>
      </c>
      <c r="H929" s="26" t="str" cm="1">
        <f t="array" ref="H929">IF(tblPayrollMaster[[#This Row],[Employee ID]]="","",_xlfn.XLOOKUP(selPayPeriodID,tblPayCalendar[PayPeriodID],tblPayCalendar[PeriodEnd],""))</f>
        <v/>
      </c>
      <c r="I929" s="24" t="e" cm="1" vm="1">
        <f t="array" aca="1" ref="I929" ca="1">Table18[Employer Name]</f>
        <v>#VALUE!</v>
      </c>
      <c r="J929" s="3" cm="1">
        <f t="array" ref="J92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29" s="25" t="str">
        <f>_xlfn.XLOOKUP(tblPayrollMaster[[#This Row],[Employee Position]],tblPositionandPayRate[Employee Position],tblPositionandPayRate[Overtime], " ")</f>
        <v xml:space="preserve"> </v>
      </c>
      <c r="L929" s="25">
        <f>_xlfn.XLOOKUP(tblPayrollMaster[[#This Row],[Employee Position]],tblPositionandPayRate[Employee Position],tblPositionandPayRate[Allowance 1],0)*tblPayrollMaster[[#This Row],[Pay Factor]]</f>
        <v>0</v>
      </c>
      <c r="M929" s="25">
        <f>_xlfn.XLOOKUP(tblPayrollMaster[[#This Row],[Employee Position]],tblPositionandPayRate[Employee Position],tblPositionandPayRate[Allowance 2],0)*tblPayrollMaster[[#This Row],[Pay Factor]]</f>
        <v>0</v>
      </c>
      <c r="N929" s="25">
        <f>_xlfn.XLOOKUP(tblPayrollMaster[[#This Row],[Employee Position]],tblPositionandPayRate[Employee Position],tblPositionandPayRate[Allowance 3],0)*tblPayrollMaster[[#This Row],[Pay Factor]]</f>
        <v>0</v>
      </c>
      <c r="O929" s="25">
        <f>_xlfn.XLOOKUP(tblPayrollMaster[[#This Row],[Employee Position]],tblPositionandPayRate[Employee Position],tblPositionandPayRate[Allowance 4],0)*tblPayrollMaster[[#This Row],[Pay Factor]]</f>
        <v>0</v>
      </c>
      <c r="P929" s="25">
        <f>_xlfn.XLOOKUP(tblPayrollMaster[[#This Row],[Employee Position]],tblPositionandPayRate[Employee Position],tblPositionandPayRate[Allowance 5],0)*tblPayrollMaster[[#This Row],[Pay Factor]]</f>
        <v>0</v>
      </c>
      <c r="Q929" s="25">
        <f>SUM(tblPayrollMaster[[#This Row],[Basic Pay]:[Allowance 5]])</f>
        <v>0</v>
      </c>
      <c r="R92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29" s="51" cm="1">
        <f t="array" ref="S9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29" s="3" cm="1">
        <f t="array" ref="T92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29" s="25">
        <f>_xlfn.LET(
_xlpm.tos, _xlfn.XLOOKUP(tblPayrollMaster[[#This Row],[Employee ID]], tblEmployee[Employee ID], tblEmployee[Type of Service], ""),
IF(_xlpm.tos="Contract of Service", 8.25, 0)
)</f>
        <v>0</v>
      </c>
      <c r="V929" s="25">
        <f>tblPayrollMaster[[#This Row],[Basic Earnings]]-tblPayrollMaster[[#This Row],[Tax]]-tblPayrollMaster[[#This Row],[NIS - Employee]]-tblPayrollMaster[[#This Row],[Health Surcharge]]</f>
        <v>0</v>
      </c>
      <c r="W929" s="25">
        <f>tblPayrollMaster[[#This Row],[Net Pay]]</f>
        <v>0</v>
      </c>
      <c r="X929" s="25"/>
    </row>
    <row r="930" spans="1:24" x14ac:dyDescent="0.25">
      <c r="A930" s="24"/>
      <c r="B930" s="24" t="str">
        <f>_xlfn.XLOOKUP(tblPayrollMaster[[#This Row],[Employee ID]],tblEmployee[Employee ID],tblEmployee[Employee Name],"")</f>
        <v/>
      </c>
      <c r="C930" s="24" t="str">
        <f>_xlfn.XLOOKUP(tblPayrollMaster[[#This Row],[Employee ID]],tblEmployee[Employee ID],tblEmployee[Employee Position],"")</f>
        <v/>
      </c>
      <c r="D930" s="24" t="str">
        <f>_xlfn.XLOOKUP(tblPayrollMaster[[#This Row],[Employee ID]], tblEmployee[Employee ID], tblEmployee[Pay Status], "Pay")</f>
        <v>Pay</v>
      </c>
      <c r="E930" s="24" t="str">
        <f>_xlfn.XLOOKUP(tblPayrollMaster[[#This Row],[Employee ID]], tblEmployee[Employee ID], tblEmployee[Payable Flag], "Y")</f>
        <v>Y</v>
      </c>
      <c r="F930" s="45">
        <f>IF(tblPayrollMaster[[#This Row],[Payable Flag]]="N",0,_xlfn.XLOOKUP(tblPayrollMaster[[#This Row],[Employee ID]],tblEmployee[Employee ID],tblEmployee[Pay Factor],1))</f>
        <v>1</v>
      </c>
      <c r="G930" s="26" t="str" cm="1">
        <f t="array" ref="G930">IF(tblPayrollMaster[[#This Row],[Employee ID]]="","",_xlfn.XLOOKUP(selPayPeriodID,tblPayCalendar[PayPeriodID],tblPayCalendar[PeriodStart],""))</f>
        <v/>
      </c>
      <c r="H930" s="26" t="str" cm="1">
        <f t="array" ref="H930">IF(tblPayrollMaster[[#This Row],[Employee ID]]="","",_xlfn.XLOOKUP(selPayPeriodID,tblPayCalendar[PayPeriodID],tblPayCalendar[PeriodEnd],""))</f>
        <v/>
      </c>
      <c r="I930" s="24" t="e" cm="1" vm="1">
        <f t="array" aca="1" ref="I930" ca="1">Table18[Employer Name]</f>
        <v>#VALUE!</v>
      </c>
      <c r="J930" s="3" cm="1">
        <f t="array" ref="J93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30" s="25" t="str">
        <f>_xlfn.XLOOKUP(tblPayrollMaster[[#This Row],[Employee Position]],tblPositionandPayRate[Employee Position],tblPositionandPayRate[Overtime], " ")</f>
        <v xml:space="preserve"> </v>
      </c>
      <c r="L930" s="25">
        <f>_xlfn.XLOOKUP(tblPayrollMaster[[#This Row],[Employee Position]],tblPositionandPayRate[Employee Position],tblPositionandPayRate[Allowance 1],0)*tblPayrollMaster[[#This Row],[Pay Factor]]</f>
        <v>0</v>
      </c>
      <c r="M930" s="25">
        <f>_xlfn.XLOOKUP(tblPayrollMaster[[#This Row],[Employee Position]],tblPositionandPayRate[Employee Position],tblPositionandPayRate[Allowance 2],0)*tblPayrollMaster[[#This Row],[Pay Factor]]</f>
        <v>0</v>
      </c>
      <c r="N930" s="25">
        <f>_xlfn.XLOOKUP(tblPayrollMaster[[#This Row],[Employee Position]],tblPositionandPayRate[Employee Position],tblPositionandPayRate[Allowance 3],0)*tblPayrollMaster[[#This Row],[Pay Factor]]</f>
        <v>0</v>
      </c>
      <c r="O930" s="25">
        <f>_xlfn.XLOOKUP(tblPayrollMaster[[#This Row],[Employee Position]],tblPositionandPayRate[Employee Position],tblPositionandPayRate[Allowance 4],0)*tblPayrollMaster[[#This Row],[Pay Factor]]</f>
        <v>0</v>
      </c>
      <c r="P930" s="25">
        <f>_xlfn.XLOOKUP(tblPayrollMaster[[#This Row],[Employee Position]],tblPositionandPayRate[Employee Position],tblPositionandPayRate[Allowance 5],0)*tblPayrollMaster[[#This Row],[Pay Factor]]</f>
        <v>0</v>
      </c>
      <c r="Q930" s="25">
        <f>SUM(tblPayrollMaster[[#This Row],[Basic Pay]:[Allowance 5]])</f>
        <v>0</v>
      </c>
      <c r="R93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30" s="51" cm="1">
        <f t="array" ref="S9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30" s="3" cm="1">
        <f t="array" ref="T93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30" s="25">
        <f>_xlfn.LET(
_xlpm.tos, _xlfn.XLOOKUP(tblPayrollMaster[[#This Row],[Employee ID]], tblEmployee[Employee ID], tblEmployee[Type of Service], ""),
IF(_xlpm.tos="Contract of Service", 8.25, 0)
)</f>
        <v>0</v>
      </c>
      <c r="V930" s="25">
        <f>tblPayrollMaster[[#This Row],[Basic Earnings]]-tblPayrollMaster[[#This Row],[Tax]]-tblPayrollMaster[[#This Row],[NIS - Employee]]-tblPayrollMaster[[#This Row],[Health Surcharge]]</f>
        <v>0</v>
      </c>
      <c r="W930" s="25">
        <f>tblPayrollMaster[[#This Row],[Net Pay]]</f>
        <v>0</v>
      </c>
      <c r="X930" s="25"/>
    </row>
    <row r="931" spans="1:24" x14ac:dyDescent="0.25">
      <c r="A931" s="24"/>
      <c r="B931" s="24" t="str">
        <f>_xlfn.XLOOKUP(tblPayrollMaster[[#This Row],[Employee ID]],tblEmployee[Employee ID],tblEmployee[Employee Name],"")</f>
        <v/>
      </c>
      <c r="C931" s="24" t="str">
        <f>_xlfn.XLOOKUP(tblPayrollMaster[[#This Row],[Employee ID]],tblEmployee[Employee ID],tblEmployee[Employee Position],"")</f>
        <v/>
      </c>
      <c r="D931" s="24" t="str">
        <f>_xlfn.XLOOKUP(tblPayrollMaster[[#This Row],[Employee ID]], tblEmployee[Employee ID], tblEmployee[Pay Status], "Pay")</f>
        <v>Pay</v>
      </c>
      <c r="E931" s="24" t="str">
        <f>_xlfn.XLOOKUP(tblPayrollMaster[[#This Row],[Employee ID]], tblEmployee[Employee ID], tblEmployee[Payable Flag], "Y")</f>
        <v>Y</v>
      </c>
      <c r="F931" s="45">
        <f>IF(tblPayrollMaster[[#This Row],[Payable Flag]]="N",0,_xlfn.XLOOKUP(tblPayrollMaster[[#This Row],[Employee ID]],tblEmployee[Employee ID],tblEmployee[Pay Factor],1))</f>
        <v>1</v>
      </c>
      <c r="G931" s="26" t="str" cm="1">
        <f t="array" ref="G931">IF(tblPayrollMaster[[#This Row],[Employee ID]]="","",_xlfn.XLOOKUP(selPayPeriodID,tblPayCalendar[PayPeriodID],tblPayCalendar[PeriodStart],""))</f>
        <v/>
      </c>
      <c r="H931" s="26" t="str" cm="1">
        <f t="array" ref="H931">IF(tblPayrollMaster[[#This Row],[Employee ID]]="","",_xlfn.XLOOKUP(selPayPeriodID,tblPayCalendar[PayPeriodID],tblPayCalendar[PeriodEnd],""))</f>
        <v/>
      </c>
      <c r="I931" s="24" t="e" cm="1" vm="1">
        <f t="array" aca="1" ref="I931" ca="1">Table18[Employer Name]</f>
        <v>#VALUE!</v>
      </c>
      <c r="J931" s="3" cm="1">
        <f t="array" ref="J93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31" s="25" t="str">
        <f>_xlfn.XLOOKUP(tblPayrollMaster[[#This Row],[Employee Position]],tblPositionandPayRate[Employee Position],tblPositionandPayRate[Overtime], " ")</f>
        <v xml:space="preserve"> </v>
      </c>
      <c r="L931" s="25">
        <f>_xlfn.XLOOKUP(tblPayrollMaster[[#This Row],[Employee Position]],tblPositionandPayRate[Employee Position],tblPositionandPayRate[Allowance 1],0)*tblPayrollMaster[[#This Row],[Pay Factor]]</f>
        <v>0</v>
      </c>
      <c r="M931" s="25">
        <f>_xlfn.XLOOKUP(tblPayrollMaster[[#This Row],[Employee Position]],tblPositionandPayRate[Employee Position],tblPositionandPayRate[Allowance 2],0)*tblPayrollMaster[[#This Row],[Pay Factor]]</f>
        <v>0</v>
      </c>
      <c r="N931" s="25">
        <f>_xlfn.XLOOKUP(tblPayrollMaster[[#This Row],[Employee Position]],tblPositionandPayRate[Employee Position],tblPositionandPayRate[Allowance 3],0)*tblPayrollMaster[[#This Row],[Pay Factor]]</f>
        <v>0</v>
      </c>
      <c r="O931" s="25">
        <f>_xlfn.XLOOKUP(tblPayrollMaster[[#This Row],[Employee Position]],tblPositionandPayRate[Employee Position],tblPositionandPayRate[Allowance 4],0)*tblPayrollMaster[[#This Row],[Pay Factor]]</f>
        <v>0</v>
      </c>
      <c r="P931" s="25">
        <f>_xlfn.XLOOKUP(tblPayrollMaster[[#This Row],[Employee Position]],tblPositionandPayRate[Employee Position],tblPositionandPayRate[Allowance 5],0)*tblPayrollMaster[[#This Row],[Pay Factor]]</f>
        <v>0</v>
      </c>
      <c r="Q931" s="25">
        <f>SUM(tblPayrollMaster[[#This Row],[Basic Pay]:[Allowance 5]])</f>
        <v>0</v>
      </c>
      <c r="R93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31" s="51" cm="1">
        <f t="array" ref="S9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31" s="3" cm="1">
        <f t="array" ref="T93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31" s="25">
        <f>_xlfn.LET(
_xlpm.tos, _xlfn.XLOOKUP(tblPayrollMaster[[#This Row],[Employee ID]], tblEmployee[Employee ID], tblEmployee[Type of Service], ""),
IF(_xlpm.tos="Contract of Service", 8.25, 0)
)</f>
        <v>0</v>
      </c>
      <c r="V931" s="25">
        <f>tblPayrollMaster[[#This Row],[Basic Earnings]]-tblPayrollMaster[[#This Row],[Tax]]-tblPayrollMaster[[#This Row],[NIS - Employee]]-tblPayrollMaster[[#This Row],[Health Surcharge]]</f>
        <v>0</v>
      </c>
      <c r="W931" s="25">
        <f>tblPayrollMaster[[#This Row],[Net Pay]]</f>
        <v>0</v>
      </c>
      <c r="X931" s="25"/>
    </row>
    <row r="932" spans="1:24" x14ac:dyDescent="0.25">
      <c r="A932" s="24"/>
      <c r="B932" s="24" t="str">
        <f>_xlfn.XLOOKUP(tblPayrollMaster[[#This Row],[Employee ID]],tblEmployee[Employee ID],tblEmployee[Employee Name],"")</f>
        <v/>
      </c>
      <c r="C932" s="24" t="str">
        <f>_xlfn.XLOOKUP(tblPayrollMaster[[#This Row],[Employee ID]],tblEmployee[Employee ID],tblEmployee[Employee Position],"")</f>
        <v/>
      </c>
      <c r="D932" s="24" t="str">
        <f>_xlfn.XLOOKUP(tblPayrollMaster[[#This Row],[Employee ID]], tblEmployee[Employee ID], tblEmployee[Pay Status], "Pay")</f>
        <v>Pay</v>
      </c>
      <c r="E932" s="24" t="str">
        <f>_xlfn.XLOOKUP(tblPayrollMaster[[#This Row],[Employee ID]], tblEmployee[Employee ID], tblEmployee[Payable Flag], "Y")</f>
        <v>Y</v>
      </c>
      <c r="F932" s="45">
        <f>IF(tblPayrollMaster[[#This Row],[Payable Flag]]="N",0,_xlfn.XLOOKUP(tblPayrollMaster[[#This Row],[Employee ID]],tblEmployee[Employee ID],tblEmployee[Pay Factor],1))</f>
        <v>1</v>
      </c>
      <c r="G932" s="26" t="str" cm="1">
        <f t="array" ref="G932">IF(tblPayrollMaster[[#This Row],[Employee ID]]="","",_xlfn.XLOOKUP(selPayPeriodID,tblPayCalendar[PayPeriodID],tblPayCalendar[PeriodStart],""))</f>
        <v/>
      </c>
      <c r="H932" s="26" t="str" cm="1">
        <f t="array" ref="H932">IF(tblPayrollMaster[[#This Row],[Employee ID]]="","",_xlfn.XLOOKUP(selPayPeriodID,tblPayCalendar[PayPeriodID],tblPayCalendar[PeriodEnd],""))</f>
        <v/>
      </c>
      <c r="I932" s="24" t="e" cm="1" vm="1">
        <f t="array" aca="1" ref="I932" ca="1">Table18[Employer Name]</f>
        <v>#VALUE!</v>
      </c>
      <c r="J932" s="3" cm="1">
        <f t="array" ref="J93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32" s="25" t="str">
        <f>_xlfn.XLOOKUP(tblPayrollMaster[[#This Row],[Employee Position]],tblPositionandPayRate[Employee Position],tblPositionandPayRate[Overtime], " ")</f>
        <v xml:space="preserve"> </v>
      </c>
      <c r="L932" s="25">
        <f>_xlfn.XLOOKUP(tblPayrollMaster[[#This Row],[Employee Position]],tblPositionandPayRate[Employee Position],tblPositionandPayRate[Allowance 1],0)*tblPayrollMaster[[#This Row],[Pay Factor]]</f>
        <v>0</v>
      </c>
      <c r="M932" s="25">
        <f>_xlfn.XLOOKUP(tblPayrollMaster[[#This Row],[Employee Position]],tblPositionandPayRate[Employee Position],tblPositionandPayRate[Allowance 2],0)*tblPayrollMaster[[#This Row],[Pay Factor]]</f>
        <v>0</v>
      </c>
      <c r="N932" s="25">
        <f>_xlfn.XLOOKUP(tblPayrollMaster[[#This Row],[Employee Position]],tblPositionandPayRate[Employee Position],tblPositionandPayRate[Allowance 3],0)*tblPayrollMaster[[#This Row],[Pay Factor]]</f>
        <v>0</v>
      </c>
      <c r="O932" s="25">
        <f>_xlfn.XLOOKUP(tblPayrollMaster[[#This Row],[Employee Position]],tblPositionandPayRate[Employee Position],tblPositionandPayRate[Allowance 4],0)*tblPayrollMaster[[#This Row],[Pay Factor]]</f>
        <v>0</v>
      </c>
      <c r="P932" s="25">
        <f>_xlfn.XLOOKUP(tblPayrollMaster[[#This Row],[Employee Position]],tblPositionandPayRate[Employee Position],tblPositionandPayRate[Allowance 5],0)*tblPayrollMaster[[#This Row],[Pay Factor]]</f>
        <v>0</v>
      </c>
      <c r="Q932" s="25">
        <f>SUM(tblPayrollMaster[[#This Row],[Basic Pay]:[Allowance 5]])</f>
        <v>0</v>
      </c>
      <c r="R93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32" s="51" cm="1">
        <f t="array" ref="S9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32" s="3" cm="1">
        <f t="array" ref="T93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32" s="25">
        <f>_xlfn.LET(
_xlpm.tos, _xlfn.XLOOKUP(tblPayrollMaster[[#This Row],[Employee ID]], tblEmployee[Employee ID], tblEmployee[Type of Service], ""),
IF(_xlpm.tos="Contract of Service", 8.25, 0)
)</f>
        <v>0</v>
      </c>
      <c r="V932" s="25">
        <f>tblPayrollMaster[[#This Row],[Basic Earnings]]-tblPayrollMaster[[#This Row],[Tax]]-tblPayrollMaster[[#This Row],[NIS - Employee]]-tblPayrollMaster[[#This Row],[Health Surcharge]]</f>
        <v>0</v>
      </c>
      <c r="W932" s="25">
        <f>tblPayrollMaster[[#This Row],[Net Pay]]</f>
        <v>0</v>
      </c>
      <c r="X932" s="25"/>
    </row>
    <row r="933" spans="1:24" x14ac:dyDescent="0.25">
      <c r="A933" s="24"/>
      <c r="B933" s="24" t="str">
        <f>_xlfn.XLOOKUP(tblPayrollMaster[[#This Row],[Employee ID]],tblEmployee[Employee ID],tblEmployee[Employee Name],"")</f>
        <v/>
      </c>
      <c r="C933" s="24" t="str">
        <f>_xlfn.XLOOKUP(tblPayrollMaster[[#This Row],[Employee ID]],tblEmployee[Employee ID],tblEmployee[Employee Position],"")</f>
        <v/>
      </c>
      <c r="D933" s="24" t="str">
        <f>_xlfn.XLOOKUP(tblPayrollMaster[[#This Row],[Employee ID]], tblEmployee[Employee ID], tblEmployee[Pay Status], "Pay")</f>
        <v>Pay</v>
      </c>
      <c r="E933" s="24" t="str">
        <f>_xlfn.XLOOKUP(tblPayrollMaster[[#This Row],[Employee ID]], tblEmployee[Employee ID], tblEmployee[Payable Flag], "Y")</f>
        <v>Y</v>
      </c>
      <c r="F933" s="45">
        <f>IF(tblPayrollMaster[[#This Row],[Payable Flag]]="N",0,_xlfn.XLOOKUP(tblPayrollMaster[[#This Row],[Employee ID]],tblEmployee[Employee ID],tblEmployee[Pay Factor],1))</f>
        <v>1</v>
      </c>
      <c r="G933" s="26" t="str" cm="1">
        <f t="array" ref="G933">IF(tblPayrollMaster[[#This Row],[Employee ID]]="","",_xlfn.XLOOKUP(selPayPeriodID,tblPayCalendar[PayPeriodID],tblPayCalendar[PeriodStart],""))</f>
        <v/>
      </c>
      <c r="H933" s="26" t="str" cm="1">
        <f t="array" ref="H933">IF(tblPayrollMaster[[#This Row],[Employee ID]]="","",_xlfn.XLOOKUP(selPayPeriodID,tblPayCalendar[PayPeriodID],tblPayCalendar[PeriodEnd],""))</f>
        <v/>
      </c>
      <c r="I933" s="24" t="e" cm="1" vm="1">
        <f t="array" aca="1" ref="I933" ca="1">Table18[Employer Name]</f>
        <v>#VALUE!</v>
      </c>
      <c r="J933" s="3" cm="1">
        <f t="array" ref="J93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33" s="25" t="str">
        <f>_xlfn.XLOOKUP(tblPayrollMaster[[#This Row],[Employee Position]],tblPositionandPayRate[Employee Position],tblPositionandPayRate[Overtime], " ")</f>
        <v xml:space="preserve"> </v>
      </c>
      <c r="L933" s="25">
        <f>_xlfn.XLOOKUP(tblPayrollMaster[[#This Row],[Employee Position]],tblPositionandPayRate[Employee Position],tblPositionandPayRate[Allowance 1],0)*tblPayrollMaster[[#This Row],[Pay Factor]]</f>
        <v>0</v>
      </c>
      <c r="M933" s="25">
        <f>_xlfn.XLOOKUP(tblPayrollMaster[[#This Row],[Employee Position]],tblPositionandPayRate[Employee Position],tblPositionandPayRate[Allowance 2],0)*tblPayrollMaster[[#This Row],[Pay Factor]]</f>
        <v>0</v>
      </c>
      <c r="N933" s="25">
        <f>_xlfn.XLOOKUP(tblPayrollMaster[[#This Row],[Employee Position]],tblPositionandPayRate[Employee Position],tblPositionandPayRate[Allowance 3],0)*tblPayrollMaster[[#This Row],[Pay Factor]]</f>
        <v>0</v>
      </c>
      <c r="O933" s="25">
        <f>_xlfn.XLOOKUP(tblPayrollMaster[[#This Row],[Employee Position]],tblPositionandPayRate[Employee Position],tblPositionandPayRate[Allowance 4],0)*tblPayrollMaster[[#This Row],[Pay Factor]]</f>
        <v>0</v>
      </c>
      <c r="P933" s="25">
        <f>_xlfn.XLOOKUP(tblPayrollMaster[[#This Row],[Employee Position]],tblPositionandPayRate[Employee Position],tblPositionandPayRate[Allowance 5],0)*tblPayrollMaster[[#This Row],[Pay Factor]]</f>
        <v>0</v>
      </c>
      <c r="Q933" s="25">
        <f>SUM(tblPayrollMaster[[#This Row],[Basic Pay]:[Allowance 5]])</f>
        <v>0</v>
      </c>
      <c r="R93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33" s="51" cm="1">
        <f t="array" ref="S9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33" s="3" cm="1">
        <f t="array" ref="T93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33" s="25">
        <f>_xlfn.LET(
_xlpm.tos, _xlfn.XLOOKUP(tblPayrollMaster[[#This Row],[Employee ID]], tblEmployee[Employee ID], tblEmployee[Type of Service], ""),
IF(_xlpm.tos="Contract of Service", 8.25, 0)
)</f>
        <v>0</v>
      </c>
      <c r="V933" s="25">
        <f>tblPayrollMaster[[#This Row],[Basic Earnings]]-tblPayrollMaster[[#This Row],[Tax]]-tblPayrollMaster[[#This Row],[NIS - Employee]]-tblPayrollMaster[[#This Row],[Health Surcharge]]</f>
        <v>0</v>
      </c>
      <c r="W933" s="25">
        <f>tblPayrollMaster[[#This Row],[Net Pay]]</f>
        <v>0</v>
      </c>
      <c r="X933" s="25"/>
    </row>
    <row r="934" spans="1:24" x14ac:dyDescent="0.25">
      <c r="A934" s="24"/>
      <c r="B934" s="24" t="str">
        <f>_xlfn.XLOOKUP(tblPayrollMaster[[#This Row],[Employee ID]],tblEmployee[Employee ID],tblEmployee[Employee Name],"")</f>
        <v/>
      </c>
      <c r="C934" s="24" t="str">
        <f>_xlfn.XLOOKUP(tblPayrollMaster[[#This Row],[Employee ID]],tblEmployee[Employee ID],tblEmployee[Employee Position],"")</f>
        <v/>
      </c>
      <c r="D934" s="24" t="str">
        <f>_xlfn.XLOOKUP(tblPayrollMaster[[#This Row],[Employee ID]], tblEmployee[Employee ID], tblEmployee[Pay Status], "Pay")</f>
        <v>Pay</v>
      </c>
      <c r="E934" s="24" t="str">
        <f>_xlfn.XLOOKUP(tblPayrollMaster[[#This Row],[Employee ID]], tblEmployee[Employee ID], tblEmployee[Payable Flag], "Y")</f>
        <v>Y</v>
      </c>
      <c r="F934" s="45">
        <f>IF(tblPayrollMaster[[#This Row],[Payable Flag]]="N",0,_xlfn.XLOOKUP(tblPayrollMaster[[#This Row],[Employee ID]],tblEmployee[Employee ID],tblEmployee[Pay Factor],1))</f>
        <v>1</v>
      </c>
      <c r="G934" s="26" t="str" cm="1">
        <f t="array" ref="G934">IF(tblPayrollMaster[[#This Row],[Employee ID]]="","",_xlfn.XLOOKUP(selPayPeriodID,tblPayCalendar[PayPeriodID],tblPayCalendar[PeriodStart],""))</f>
        <v/>
      </c>
      <c r="H934" s="26" t="str" cm="1">
        <f t="array" ref="H934">IF(tblPayrollMaster[[#This Row],[Employee ID]]="","",_xlfn.XLOOKUP(selPayPeriodID,tblPayCalendar[PayPeriodID],tblPayCalendar[PeriodEnd],""))</f>
        <v/>
      </c>
      <c r="I934" s="24" t="e" cm="1" vm="1">
        <f t="array" aca="1" ref="I934" ca="1">Table18[Employer Name]</f>
        <v>#VALUE!</v>
      </c>
      <c r="J934" s="3" cm="1">
        <f t="array" ref="J93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34" s="25" t="str">
        <f>_xlfn.XLOOKUP(tblPayrollMaster[[#This Row],[Employee Position]],tblPositionandPayRate[Employee Position],tblPositionandPayRate[Overtime], " ")</f>
        <v xml:space="preserve"> </v>
      </c>
      <c r="L934" s="25">
        <f>_xlfn.XLOOKUP(tblPayrollMaster[[#This Row],[Employee Position]],tblPositionandPayRate[Employee Position],tblPositionandPayRate[Allowance 1],0)*tblPayrollMaster[[#This Row],[Pay Factor]]</f>
        <v>0</v>
      </c>
      <c r="M934" s="25">
        <f>_xlfn.XLOOKUP(tblPayrollMaster[[#This Row],[Employee Position]],tblPositionandPayRate[Employee Position],tblPositionandPayRate[Allowance 2],0)*tblPayrollMaster[[#This Row],[Pay Factor]]</f>
        <v>0</v>
      </c>
      <c r="N934" s="25">
        <f>_xlfn.XLOOKUP(tblPayrollMaster[[#This Row],[Employee Position]],tblPositionandPayRate[Employee Position],tblPositionandPayRate[Allowance 3],0)*tblPayrollMaster[[#This Row],[Pay Factor]]</f>
        <v>0</v>
      </c>
      <c r="O934" s="25">
        <f>_xlfn.XLOOKUP(tblPayrollMaster[[#This Row],[Employee Position]],tblPositionandPayRate[Employee Position],tblPositionandPayRate[Allowance 4],0)*tblPayrollMaster[[#This Row],[Pay Factor]]</f>
        <v>0</v>
      </c>
      <c r="P934" s="25">
        <f>_xlfn.XLOOKUP(tblPayrollMaster[[#This Row],[Employee Position]],tblPositionandPayRate[Employee Position],tblPositionandPayRate[Allowance 5],0)*tblPayrollMaster[[#This Row],[Pay Factor]]</f>
        <v>0</v>
      </c>
      <c r="Q934" s="25">
        <f>SUM(tblPayrollMaster[[#This Row],[Basic Pay]:[Allowance 5]])</f>
        <v>0</v>
      </c>
      <c r="R93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34" s="51" cm="1">
        <f t="array" ref="S9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34" s="3" cm="1">
        <f t="array" ref="T93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34" s="25">
        <f>_xlfn.LET(
_xlpm.tos, _xlfn.XLOOKUP(tblPayrollMaster[[#This Row],[Employee ID]], tblEmployee[Employee ID], tblEmployee[Type of Service], ""),
IF(_xlpm.tos="Contract of Service", 8.25, 0)
)</f>
        <v>0</v>
      </c>
      <c r="V934" s="25">
        <f>tblPayrollMaster[[#This Row],[Basic Earnings]]-tblPayrollMaster[[#This Row],[Tax]]-tblPayrollMaster[[#This Row],[NIS - Employee]]-tblPayrollMaster[[#This Row],[Health Surcharge]]</f>
        <v>0</v>
      </c>
      <c r="W934" s="25">
        <f>tblPayrollMaster[[#This Row],[Net Pay]]</f>
        <v>0</v>
      </c>
      <c r="X934" s="25"/>
    </row>
    <row r="935" spans="1:24" x14ac:dyDescent="0.25">
      <c r="A935" s="24"/>
      <c r="B935" s="24" t="str">
        <f>_xlfn.XLOOKUP(tblPayrollMaster[[#This Row],[Employee ID]],tblEmployee[Employee ID],tblEmployee[Employee Name],"")</f>
        <v/>
      </c>
      <c r="C935" s="24" t="str">
        <f>_xlfn.XLOOKUP(tblPayrollMaster[[#This Row],[Employee ID]],tblEmployee[Employee ID],tblEmployee[Employee Position],"")</f>
        <v/>
      </c>
      <c r="D935" s="24" t="str">
        <f>_xlfn.XLOOKUP(tblPayrollMaster[[#This Row],[Employee ID]], tblEmployee[Employee ID], tblEmployee[Pay Status], "Pay")</f>
        <v>Pay</v>
      </c>
      <c r="E935" s="24" t="str">
        <f>_xlfn.XLOOKUP(tblPayrollMaster[[#This Row],[Employee ID]], tblEmployee[Employee ID], tblEmployee[Payable Flag], "Y")</f>
        <v>Y</v>
      </c>
      <c r="F935" s="45">
        <f>IF(tblPayrollMaster[[#This Row],[Payable Flag]]="N",0,_xlfn.XLOOKUP(tblPayrollMaster[[#This Row],[Employee ID]],tblEmployee[Employee ID],tblEmployee[Pay Factor],1))</f>
        <v>1</v>
      </c>
      <c r="G935" s="26" t="str" cm="1">
        <f t="array" ref="G935">IF(tblPayrollMaster[[#This Row],[Employee ID]]="","",_xlfn.XLOOKUP(selPayPeriodID,tblPayCalendar[PayPeriodID],tblPayCalendar[PeriodStart],""))</f>
        <v/>
      </c>
      <c r="H935" s="26" t="str" cm="1">
        <f t="array" ref="H935">IF(tblPayrollMaster[[#This Row],[Employee ID]]="","",_xlfn.XLOOKUP(selPayPeriodID,tblPayCalendar[PayPeriodID],tblPayCalendar[PeriodEnd],""))</f>
        <v/>
      </c>
      <c r="I935" s="24" t="e" cm="1" vm="1">
        <f t="array" aca="1" ref="I935" ca="1">Table18[Employer Name]</f>
        <v>#VALUE!</v>
      </c>
      <c r="J935" s="3" cm="1">
        <f t="array" ref="J93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35" s="25" t="str">
        <f>_xlfn.XLOOKUP(tblPayrollMaster[[#This Row],[Employee Position]],tblPositionandPayRate[Employee Position],tblPositionandPayRate[Overtime], " ")</f>
        <v xml:space="preserve"> </v>
      </c>
      <c r="L935" s="25">
        <f>_xlfn.XLOOKUP(tblPayrollMaster[[#This Row],[Employee Position]],tblPositionandPayRate[Employee Position],tblPositionandPayRate[Allowance 1],0)*tblPayrollMaster[[#This Row],[Pay Factor]]</f>
        <v>0</v>
      </c>
      <c r="M935" s="25">
        <f>_xlfn.XLOOKUP(tblPayrollMaster[[#This Row],[Employee Position]],tblPositionandPayRate[Employee Position],tblPositionandPayRate[Allowance 2],0)*tblPayrollMaster[[#This Row],[Pay Factor]]</f>
        <v>0</v>
      </c>
      <c r="N935" s="25">
        <f>_xlfn.XLOOKUP(tblPayrollMaster[[#This Row],[Employee Position]],tblPositionandPayRate[Employee Position],tblPositionandPayRate[Allowance 3],0)*tblPayrollMaster[[#This Row],[Pay Factor]]</f>
        <v>0</v>
      </c>
      <c r="O935" s="25">
        <f>_xlfn.XLOOKUP(tblPayrollMaster[[#This Row],[Employee Position]],tblPositionandPayRate[Employee Position],tblPositionandPayRate[Allowance 4],0)*tblPayrollMaster[[#This Row],[Pay Factor]]</f>
        <v>0</v>
      </c>
      <c r="P935" s="25">
        <f>_xlfn.XLOOKUP(tblPayrollMaster[[#This Row],[Employee Position]],tblPositionandPayRate[Employee Position],tblPositionandPayRate[Allowance 5],0)*tblPayrollMaster[[#This Row],[Pay Factor]]</f>
        <v>0</v>
      </c>
      <c r="Q935" s="25">
        <f>SUM(tblPayrollMaster[[#This Row],[Basic Pay]:[Allowance 5]])</f>
        <v>0</v>
      </c>
      <c r="R93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35" s="51" cm="1">
        <f t="array" ref="S9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35" s="3" cm="1">
        <f t="array" ref="T93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35" s="25">
        <f>_xlfn.LET(
_xlpm.tos, _xlfn.XLOOKUP(tblPayrollMaster[[#This Row],[Employee ID]], tblEmployee[Employee ID], tblEmployee[Type of Service], ""),
IF(_xlpm.tos="Contract of Service", 8.25, 0)
)</f>
        <v>0</v>
      </c>
      <c r="V935" s="25">
        <f>tblPayrollMaster[[#This Row],[Basic Earnings]]-tblPayrollMaster[[#This Row],[Tax]]-tblPayrollMaster[[#This Row],[NIS - Employee]]-tblPayrollMaster[[#This Row],[Health Surcharge]]</f>
        <v>0</v>
      </c>
      <c r="W935" s="25">
        <f>tblPayrollMaster[[#This Row],[Net Pay]]</f>
        <v>0</v>
      </c>
      <c r="X935" s="25"/>
    </row>
    <row r="936" spans="1:24" x14ac:dyDescent="0.25">
      <c r="A936" s="24"/>
      <c r="B936" s="24" t="str">
        <f>_xlfn.XLOOKUP(tblPayrollMaster[[#This Row],[Employee ID]],tblEmployee[Employee ID],tblEmployee[Employee Name],"")</f>
        <v/>
      </c>
      <c r="C936" s="24" t="str">
        <f>_xlfn.XLOOKUP(tblPayrollMaster[[#This Row],[Employee ID]],tblEmployee[Employee ID],tblEmployee[Employee Position],"")</f>
        <v/>
      </c>
      <c r="D936" s="24" t="str">
        <f>_xlfn.XLOOKUP(tblPayrollMaster[[#This Row],[Employee ID]], tblEmployee[Employee ID], tblEmployee[Pay Status], "Pay")</f>
        <v>Pay</v>
      </c>
      <c r="E936" s="24" t="str">
        <f>_xlfn.XLOOKUP(tblPayrollMaster[[#This Row],[Employee ID]], tblEmployee[Employee ID], tblEmployee[Payable Flag], "Y")</f>
        <v>Y</v>
      </c>
      <c r="F936" s="45">
        <f>IF(tblPayrollMaster[[#This Row],[Payable Flag]]="N",0,_xlfn.XLOOKUP(tblPayrollMaster[[#This Row],[Employee ID]],tblEmployee[Employee ID],tblEmployee[Pay Factor],1))</f>
        <v>1</v>
      </c>
      <c r="G936" s="26" t="str" cm="1">
        <f t="array" ref="G936">IF(tblPayrollMaster[[#This Row],[Employee ID]]="","",_xlfn.XLOOKUP(selPayPeriodID,tblPayCalendar[PayPeriodID],tblPayCalendar[PeriodStart],""))</f>
        <v/>
      </c>
      <c r="H936" s="26" t="str" cm="1">
        <f t="array" ref="H936">IF(tblPayrollMaster[[#This Row],[Employee ID]]="","",_xlfn.XLOOKUP(selPayPeriodID,tblPayCalendar[PayPeriodID],tblPayCalendar[PeriodEnd],""))</f>
        <v/>
      </c>
      <c r="I936" s="24" t="e" cm="1" vm="1">
        <f t="array" aca="1" ref="I936" ca="1">Table18[Employer Name]</f>
        <v>#VALUE!</v>
      </c>
      <c r="J936" s="3" cm="1">
        <f t="array" ref="J93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36" s="25" t="str">
        <f>_xlfn.XLOOKUP(tblPayrollMaster[[#This Row],[Employee Position]],tblPositionandPayRate[Employee Position],tblPositionandPayRate[Overtime], " ")</f>
        <v xml:space="preserve"> </v>
      </c>
      <c r="L936" s="25">
        <f>_xlfn.XLOOKUP(tblPayrollMaster[[#This Row],[Employee Position]],tblPositionandPayRate[Employee Position],tblPositionandPayRate[Allowance 1],0)*tblPayrollMaster[[#This Row],[Pay Factor]]</f>
        <v>0</v>
      </c>
      <c r="M936" s="25">
        <f>_xlfn.XLOOKUP(tblPayrollMaster[[#This Row],[Employee Position]],tblPositionandPayRate[Employee Position],tblPositionandPayRate[Allowance 2],0)*tblPayrollMaster[[#This Row],[Pay Factor]]</f>
        <v>0</v>
      </c>
      <c r="N936" s="25">
        <f>_xlfn.XLOOKUP(tblPayrollMaster[[#This Row],[Employee Position]],tblPositionandPayRate[Employee Position],tblPositionandPayRate[Allowance 3],0)*tblPayrollMaster[[#This Row],[Pay Factor]]</f>
        <v>0</v>
      </c>
      <c r="O936" s="25">
        <f>_xlfn.XLOOKUP(tblPayrollMaster[[#This Row],[Employee Position]],tblPositionandPayRate[Employee Position],tblPositionandPayRate[Allowance 4],0)*tblPayrollMaster[[#This Row],[Pay Factor]]</f>
        <v>0</v>
      </c>
      <c r="P936" s="25">
        <f>_xlfn.XLOOKUP(tblPayrollMaster[[#This Row],[Employee Position]],tblPositionandPayRate[Employee Position],tblPositionandPayRate[Allowance 5],0)*tblPayrollMaster[[#This Row],[Pay Factor]]</f>
        <v>0</v>
      </c>
      <c r="Q936" s="25">
        <f>SUM(tblPayrollMaster[[#This Row],[Basic Pay]:[Allowance 5]])</f>
        <v>0</v>
      </c>
      <c r="R93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36" s="51" cm="1">
        <f t="array" ref="S9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36" s="3" cm="1">
        <f t="array" ref="T93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36" s="25">
        <f>_xlfn.LET(
_xlpm.tos, _xlfn.XLOOKUP(tblPayrollMaster[[#This Row],[Employee ID]], tblEmployee[Employee ID], tblEmployee[Type of Service], ""),
IF(_xlpm.tos="Contract of Service", 8.25, 0)
)</f>
        <v>0</v>
      </c>
      <c r="V936" s="25">
        <f>tblPayrollMaster[[#This Row],[Basic Earnings]]-tblPayrollMaster[[#This Row],[Tax]]-tblPayrollMaster[[#This Row],[NIS - Employee]]-tblPayrollMaster[[#This Row],[Health Surcharge]]</f>
        <v>0</v>
      </c>
      <c r="W936" s="25">
        <f>tblPayrollMaster[[#This Row],[Net Pay]]</f>
        <v>0</v>
      </c>
      <c r="X936" s="25"/>
    </row>
    <row r="937" spans="1:24" x14ac:dyDescent="0.25">
      <c r="A937" s="24"/>
      <c r="B937" s="24" t="str">
        <f>_xlfn.XLOOKUP(tblPayrollMaster[[#This Row],[Employee ID]],tblEmployee[Employee ID],tblEmployee[Employee Name],"")</f>
        <v/>
      </c>
      <c r="C937" s="24" t="str">
        <f>_xlfn.XLOOKUP(tblPayrollMaster[[#This Row],[Employee ID]],tblEmployee[Employee ID],tblEmployee[Employee Position],"")</f>
        <v/>
      </c>
      <c r="D937" s="24" t="str">
        <f>_xlfn.XLOOKUP(tblPayrollMaster[[#This Row],[Employee ID]], tblEmployee[Employee ID], tblEmployee[Pay Status], "Pay")</f>
        <v>Pay</v>
      </c>
      <c r="E937" s="24" t="str">
        <f>_xlfn.XLOOKUP(tblPayrollMaster[[#This Row],[Employee ID]], tblEmployee[Employee ID], tblEmployee[Payable Flag], "Y")</f>
        <v>Y</v>
      </c>
      <c r="F937" s="45">
        <f>IF(tblPayrollMaster[[#This Row],[Payable Flag]]="N",0,_xlfn.XLOOKUP(tblPayrollMaster[[#This Row],[Employee ID]],tblEmployee[Employee ID],tblEmployee[Pay Factor],1))</f>
        <v>1</v>
      </c>
      <c r="G937" s="26" t="str" cm="1">
        <f t="array" ref="G937">IF(tblPayrollMaster[[#This Row],[Employee ID]]="","",_xlfn.XLOOKUP(selPayPeriodID,tblPayCalendar[PayPeriodID],tblPayCalendar[PeriodStart],""))</f>
        <v/>
      </c>
      <c r="H937" s="26" t="str" cm="1">
        <f t="array" ref="H937">IF(tblPayrollMaster[[#This Row],[Employee ID]]="","",_xlfn.XLOOKUP(selPayPeriodID,tblPayCalendar[PayPeriodID],tblPayCalendar[PeriodEnd],""))</f>
        <v/>
      </c>
      <c r="I937" s="24" t="e" cm="1" vm="1">
        <f t="array" aca="1" ref="I937" ca="1">Table18[Employer Name]</f>
        <v>#VALUE!</v>
      </c>
      <c r="J937" s="3" cm="1">
        <f t="array" ref="J93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37" s="25" t="str">
        <f>_xlfn.XLOOKUP(tblPayrollMaster[[#This Row],[Employee Position]],tblPositionandPayRate[Employee Position],tblPositionandPayRate[Overtime], " ")</f>
        <v xml:space="preserve"> </v>
      </c>
      <c r="L937" s="25">
        <f>_xlfn.XLOOKUP(tblPayrollMaster[[#This Row],[Employee Position]],tblPositionandPayRate[Employee Position],tblPositionandPayRate[Allowance 1],0)*tblPayrollMaster[[#This Row],[Pay Factor]]</f>
        <v>0</v>
      </c>
      <c r="M937" s="25">
        <f>_xlfn.XLOOKUP(tblPayrollMaster[[#This Row],[Employee Position]],tblPositionandPayRate[Employee Position],tblPositionandPayRate[Allowance 2],0)*tblPayrollMaster[[#This Row],[Pay Factor]]</f>
        <v>0</v>
      </c>
      <c r="N937" s="25">
        <f>_xlfn.XLOOKUP(tblPayrollMaster[[#This Row],[Employee Position]],tblPositionandPayRate[Employee Position],tblPositionandPayRate[Allowance 3],0)*tblPayrollMaster[[#This Row],[Pay Factor]]</f>
        <v>0</v>
      </c>
      <c r="O937" s="25">
        <f>_xlfn.XLOOKUP(tblPayrollMaster[[#This Row],[Employee Position]],tblPositionandPayRate[Employee Position],tblPositionandPayRate[Allowance 4],0)*tblPayrollMaster[[#This Row],[Pay Factor]]</f>
        <v>0</v>
      </c>
      <c r="P937" s="25">
        <f>_xlfn.XLOOKUP(tblPayrollMaster[[#This Row],[Employee Position]],tblPositionandPayRate[Employee Position],tblPositionandPayRate[Allowance 5],0)*tblPayrollMaster[[#This Row],[Pay Factor]]</f>
        <v>0</v>
      </c>
      <c r="Q937" s="25">
        <f>SUM(tblPayrollMaster[[#This Row],[Basic Pay]:[Allowance 5]])</f>
        <v>0</v>
      </c>
      <c r="R93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37" s="51" cm="1">
        <f t="array" ref="S9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37" s="3" cm="1">
        <f t="array" ref="T93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37" s="25">
        <f>_xlfn.LET(
_xlpm.tos, _xlfn.XLOOKUP(tblPayrollMaster[[#This Row],[Employee ID]], tblEmployee[Employee ID], tblEmployee[Type of Service], ""),
IF(_xlpm.tos="Contract of Service", 8.25, 0)
)</f>
        <v>0</v>
      </c>
      <c r="V937" s="25">
        <f>tblPayrollMaster[[#This Row],[Basic Earnings]]-tblPayrollMaster[[#This Row],[Tax]]-tblPayrollMaster[[#This Row],[NIS - Employee]]-tblPayrollMaster[[#This Row],[Health Surcharge]]</f>
        <v>0</v>
      </c>
      <c r="W937" s="25">
        <f>tblPayrollMaster[[#This Row],[Net Pay]]</f>
        <v>0</v>
      </c>
      <c r="X937" s="25"/>
    </row>
    <row r="938" spans="1:24" x14ac:dyDescent="0.25">
      <c r="A938" s="24"/>
      <c r="B938" s="24" t="str">
        <f>_xlfn.XLOOKUP(tblPayrollMaster[[#This Row],[Employee ID]],tblEmployee[Employee ID],tblEmployee[Employee Name],"")</f>
        <v/>
      </c>
      <c r="C938" s="24" t="str">
        <f>_xlfn.XLOOKUP(tblPayrollMaster[[#This Row],[Employee ID]],tblEmployee[Employee ID],tblEmployee[Employee Position],"")</f>
        <v/>
      </c>
      <c r="D938" s="24" t="str">
        <f>_xlfn.XLOOKUP(tblPayrollMaster[[#This Row],[Employee ID]], tblEmployee[Employee ID], tblEmployee[Pay Status], "Pay")</f>
        <v>Pay</v>
      </c>
      <c r="E938" s="24" t="str">
        <f>_xlfn.XLOOKUP(tblPayrollMaster[[#This Row],[Employee ID]], tblEmployee[Employee ID], tblEmployee[Payable Flag], "Y")</f>
        <v>Y</v>
      </c>
      <c r="F938" s="45">
        <f>IF(tblPayrollMaster[[#This Row],[Payable Flag]]="N",0,_xlfn.XLOOKUP(tblPayrollMaster[[#This Row],[Employee ID]],tblEmployee[Employee ID],tblEmployee[Pay Factor],1))</f>
        <v>1</v>
      </c>
      <c r="G938" s="26" t="str" cm="1">
        <f t="array" ref="G938">IF(tblPayrollMaster[[#This Row],[Employee ID]]="","",_xlfn.XLOOKUP(selPayPeriodID,tblPayCalendar[PayPeriodID],tblPayCalendar[PeriodStart],""))</f>
        <v/>
      </c>
      <c r="H938" s="26" t="str" cm="1">
        <f t="array" ref="H938">IF(tblPayrollMaster[[#This Row],[Employee ID]]="","",_xlfn.XLOOKUP(selPayPeriodID,tblPayCalendar[PayPeriodID],tblPayCalendar[PeriodEnd],""))</f>
        <v/>
      </c>
      <c r="I938" s="24" t="e" cm="1" vm="1">
        <f t="array" aca="1" ref="I938" ca="1">Table18[Employer Name]</f>
        <v>#VALUE!</v>
      </c>
      <c r="J938" s="3" cm="1">
        <f t="array" ref="J93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38" s="25" t="str">
        <f>_xlfn.XLOOKUP(tblPayrollMaster[[#This Row],[Employee Position]],tblPositionandPayRate[Employee Position],tblPositionandPayRate[Overtime], " ")</f>
        <v xml:space="preserve"> </v>
      </c>
      <c r="L938" s="25">
        <f>_xlfn.XLOOKUP(tblPayrollMaster[[#This Row],[Employee Position]],tblPositionandPayRate[Employee Position],tblPositionandPayRate[Allowance 1],0)*tblPayrollMaster[[#This Row],[Pay Factor]]</f>
        <v>0</v>
      </c>
      <c r="M938" s="25">
        <f>_xlfn.XLOOKUP(tblPayrollMaster[[#This Row],[Employee Position]],tblPositionandPayRate[Employee Position],tblPositionandPayRate[Allowance 2],0)*tblPayrollMaster[[#This Row],[Pay Factor]]</f>
        <v>0</v>
      </c>
      <c r="N938" s="25">
        <f>_xlfn.XLOOKUP(tblPayrollMaster[[#This Row],[Employee Position]],tblPositionandPayRate[Employee Position],tblPositionandPayRate[Allowance 3],0)*tblPayrollMaster[[#This Row],[Pay Factor]]</f>
        <v>0</v>
      </c>
      <c r="O938" s="25">
        <f>_xlfn.XLOOKUP(tblPayrollMaster[[#This Row],[Employee Position]],tblPositionandPayRate[Employee Position],tblPositionandPayRate[Allowance 4],0)*tblPayrollMaster[[#This Row],[Pay Factor]]</f>
        <v>0</v>
      </c>
      <c r="P938" s="25">
        <f>_xlfn.XLOOKUP(tblPayrollMaster[[#This Row],[Employee Position]],tblPositionandPayRate[Employee Position],tblPositionandPayRate[Allowance 5],0)*tblPayrollMaster[[#This Row],[Pay Factor]]</f>
        <v>0</v>
      </c>
      <c r="Q938" s="25">
        <f>SUM(tblPayrollMaster[[#This Row],[Basic Pay]:[Allowance 5]])</f>
        <v>0</v>
      </c>
      <c r="R93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38" s="51" cm="1">
        <f t="array" ref="S9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38" s="3" cm="1">
        <f t="array" ref="T93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38" s="25">
        <f>_xlfn.LET(
_xlpm.tos, _xlfn.XLOOKUP(tblPayrollMaster[[#This Row],[Employee ID]], tblEmployee[Employee ID], tblEmployee[Type of Service], ""),
IF(_xlpm.tos="Contract of Service", 8.25, 0)
)</f>
        <v>0</v>
      </c>
      <c r="V938" s="25">
        <f>tblPayrollMaster[[#This Row],[Basic Earnings]]-tblPayrollMaster[[#This Row],[Tax]]-tblPayrollMaster[[#This Row],[NIS - Employee]]-tblPayrollMaster[[#This Row],[Health Surcharge]]</f>
        <v>0</v>
      </c>
      <c r="W938" s="25">
        <f>tblPayrollMaster[[#This Row],[Net Pay]]</f>
        <v>0</v>
      </c>
      <c r="X938" s="25"/>
    </row>
    <row r="939" spans="1:24" x14ac:dyDescent="0.25">
      <c r="A939" s="24"/>
      <c r="B939" s="24" t="str">
        <f>_xlfn.XLOOKUP(tblPayrollMaster[[#This Row],[Employee ID]],tblEmployee[Employee ID],tblEmployee[Employee Name],"")</f>
        <v/>
      </c>
      <c r="C939" s="24" t="str">
        <f>_xlfn.XLOOKUP(tblPayrollMaster[[#This Row],[Employee ID]],tblEmployee[Employee ID],tblEmployee[Employee Position],"")</f>
        <v/>
      </c>
      <c r="D939" s="24" t="str">
        <f>_xlfn.XLOOKUP(tblPayrollMaster[[#This Row],[Employee ID]], tblEmployee[Employee ID], tblEmployee[Pay Status], "Pay")</f>
        <v>Pay</v>
      </c>
      <c r="E939" s="24" t="str">
        <f>_xlfn.XLOOKUP(tblPayrollMaster[[#This Row],[Employee ID]], tblEmployee[Employee ID], tblEmployee[Payable Flag], "Y")</f>
        <v>Y</v>
      </c>
      <c r="F939" s="45">
        <f>IF(tblPayrollMaster[[#This Row],[Payable Flag]]="N",0,_xlfn.XLOOKUP(tblPayrollMaster[[#This Row],[Employee ID]],tblEmployee[Employee ID],tblEmployee[Pay Factor],1))</f>
        <v>1</v>
      </c>
      <c r="G939" s="26" t="str" cm="1">
        <f t="array" ref="G939">IF(tblPayrollMaster[[#This Row],[Employee ID]]="","",_xlfn.XLOOKUP(selPayPeriodID,tblPayCalendar[PayPeriodID],tblPayCalendar[PeriodStart],""))</f>
        <v/>
      </c>
      <c r="H939" s="26" t="str" cm="1">
        <f t="array" ref="H939">IF(tblPayrollMaster[[#This Row],[Employee ID]]="","",_xlfn.XLOOKUP(selPayPeriodID,tblPayCalendar[PayPeriodID],tblPayCalendar[PeriodEnd],""))</f>
        <v/>
      </c>
      <c r="I939" s="24" t="e" cm="1" vm="1">
        <f t="array" aca="1" ref="I939" ca="1">Table18[Employer Name]</f>
        <v>#VALUE!</v>
      </c>
      <c r="J939" s="3" cm="1">
        <f t="array" ref="J93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39" s="25" t="str">
        <f>_xlfn.XLOOKUP(tblPayrollMaster[[#This Row],[Employee Position]],tblPositionandPayRate[Employee Position],tblPositionandPayRate[Overtime], " ")</f>
        <v xml:space="preserve"> </v>
      </c>
      <c r="L939" s="25">
        <f>_xlfn.XLOOKUP(tblPayrollMaster[[#This Row],[Employee Position]],tblPositionandPayRate[Employee Position],tblPositionandPayRate[Allowance 1],0)*tblPayrollMaster[[#This Row],[Pay Factor]]</f>
        <v>0</v>
      </c>
      <c r="M939" s="25">
        <f>_xlfn.XLOOKUP(tblPayrollMaster[[#This Row],[Employee Position]],tblPositionandPayRate[Employee Position],tblPositionandPayRate[Allowance 2],0)*tblPayrollMaster[[#This Row],[Pay Factor]]</f>
        <v>0</v>
      </c>
      <c r="N939" s="25">
        <f>_xlfn.XLOOKUP(tblPayrollMaster[[#This Row],[Employee Position]],tblPositionandPayRate[Employee Position],tblPositionandPayRate[Allowance 3],0)*tblPayrollMaster[[#This Row],[Pay Factor]]</f>
        <v>0</v>
      </c>
      <c r="O939" s="25">
        <f>_xlfn.XLOOKUP(tblPayrollMaster[[#This Row],[Employee Position]],tblPositionandPayRate[Employee Position],tblPositionandPayRate[Allowance 4],0)*tblPayrollMaster[[#This Row],[Pay Factor]]</f>
        <v>0</v>
      </c>
      <c r="P939" s="25">
        <f>_xlfn.XLOOKUP(tblPayrollMaster[[#This Row],[Employee Position]],tblPositionandPayRate[Employee Position],tblPositionandPayRate[Allowance 5],0)*tblPayrollMaster[[#This Row],[Pay Factor]]</f>
        <v>0</v>
      </c>
      <c r="Q939" s="25">
        <f>SUM(tblPayrollMaster[[#This Row],[Basic Pay]:[Allowance 5]])</f>
        <v>0</v>
      </c>
      <c r="R93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39" s="51" cm="1">
        <f t="array" ref="S9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39" s="3" cm="1">
        <f t="array" ref="T93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39" s="25">
        <f>_xlfn.LET(
_xlpm.tos, _xlfn.XLOOKUP(tblPayrollMaster[[#This Row],[Employee ID]], tblEmployee[Employee ID], tblEmployee[Type of Service], ""),
IF(_xlpm.tos="Contract of Service", 8.25, 0)
)</f>
        <v>0</v>
      </c>
      <c r="V939" s="25">
        <f>tblPayrollMaster[[#This Row],[Basic Earnings]]-tblPayrollMaster[[#This Row],[Tax]]-tblPayrollMaster[[#This Row],[NIS - Employee]]-tblPayrollMaster[[#This Row],[Health Surcharge]]</f>
        <v>0</v>
      </c>
      <c r="W939" s="25">
        <f>tblPayrollMaster[[#This Row],[Net Pay]]</f>
        <v>0</v>
      </c>
      <c r="X939" s="25"/>
    </row>
    <row r="940" spans="1:24" x14ac:dyDescent="0.25">
      <c r="A940" s="24"/>
      <c r="B940" s="24" t="str">
        <f>_xlfn.XLOOKUP(tblPayrollMaster[[#This Row],[Employee ID]],tblEmployee[Employee ID],tblEmployee[Employee Name],"")</f>
        <v/>
      </c>
      <c r="C940" s="24" t="str">
        <f>_xlfn.XLOOKUP(tblPayrollMaster[[#This Row],[Employee ID]],tblEmployee[Employee ID],tblEmployee[Employee Position],"")</f>
        <v/>
      </c>
      <c r="D940" s="24" t="str">
        <f>_xlfn.XLOOKUP(tblPayrollMaster[[#This Row],[Employee ID]], tblEmployee[Employee ID], tblEmployee[Pay Status], "Pay")</f>
        <v>Pay</v>
      </c>
      <c r="E940" s="24" t="str">
        <f>_xlfn.XLOOKUP(tblPayrollMaster[[#This Row],[Employee ID]], tblEmployee[Employee ID], tblEmployee[Payable Flag], "Y")</f>
        <v>Y</v>
      </c>
      <c r="F940" s="45">
        <f>IF(tblPayrollMaster[[#This Row],[Payable Flag]]="N",0,_xlfn.XLOOKUP(tblPayrollMaster[[#This Row],[Employee ID]],tblEmployee[Employee ID],tblEmployee[Pay Factor],1))</f>
        <v>1</v>
      </c>
      <c r="G940" s="26" t="str" cm="1">
        <f t="array" ref="G940">IF(tblPayrollMaster[[#This Row],[Employee ID]]="","",_xlfn.XLOOKUP(selPayPeriodID,tblPayCalendar[PayPeriodID],tblPayCalendar[PeriodStart],""))</f>
        <v/>
      </c>
      <c r="H940" s="26" t="str" cm="1">
        <f t="array" ref="H940">IF(tblPayrollMaster[[#This Row],[Employee ID]]="","",_xlfn.XLOOKUP(selPayPeriodID,tblPayCalendar[PayPeriodID],tblPayCalendar[PeriodEnd],""))</f>
        <v/>
      </c>
      <c r="I940" s="24" t="e" cm="1" vm="1">
        <f t="array" aca="1" ref="I940" ca="1">Table18[Employer Name]</f>
        <v>#VALUE!</v>
      </c>
      <c r="J940" s="3" cm="1">
        <f t="array" ref="J94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40" s="25" t="str">
        <f>_xlfn.XLOOKUP(tblPayrollMaster[[#This Row],[Employee Position]],tblPositionandPayRate[Employee Position],tblPositionandPayRate[Overtime], " ")</f>
        <v xml:space="preserve"> </v>
      </c>
      <c r="L940" s="25">
        <f>_xlfn.XLOOKUP(tblPayrollMaster[[#This Row],[Employee Position]],tblPositionandPayRate[Employee Position],tblPositionandPayRate[Allowance 1],0)*tblPayrollMaster[[#This Row],[Pay Factor]]</f>
        <v>0</v>
      </c>
      <c r="M940" s="25">
        <f>_xlfn.XLOOKUP(tblPayrollMaster[[#This Row],[Employee Position]],tblPositionandPayRate[Employee Position],tblPositionandPayRate[Allowance 2],0)*tblPayrollMaster[[#This Row],[Pay Factor]]</f>
        <v>0</v>
      </c>
      <c r="N940" s="25">
        <f>_xlfn.XLOOKUP(tblPayrollMaster[[#This Row],[Employee Position]],tblPositionandPayRate[Employee Position],tblPositionandPayRate[Allowance 3],0)*tblPayrollMaster[[#This Row],[Pay Factor]]</f>
        <v>0</v>
      </c>
      <c r="O940" s="25">
        <f>_xlfn.XLOOKUP(tblPayrollMaster[[#This Row],[Employee Position]],tblPositionandPayRate[Employee Position],tblPositionandPayRate[Allowance 4],0)*tblPayrollMaster[[#This Row],[Pay Factor]]</f>
        <v>0</v>
      </c>
      <c r="P940" s="25">
        <f>_xlfn.XLOOKUP(tblPayrollMaster[[#This Row],[Employee Position]],tblPositionandPayRate[Employee Position],tblPositionandPayRate[Allowance 5],0)*tblPayrollMaster[[#This Row],[Pay Factor]]</f>
        <v>0</v>
      </c>
      <c r="Q940" s="25">
        <f>SUM(tblPayrollMaster[[#This Row],[Basic Pay]:[Allowance 5]])</f>
        <v>0</v>
      </c>
      <c r="R94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40" s="51" cm="1">
        <f t="array" ref="S9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40" s="3" cm="1">
        <f t="array" ref="T94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40" s="25">
        <f>_xlfn.LET(
_xlpm.tos, _xlfn.XLOOKUP(tblPayrollMaster[[#This Row],[Employee ID]], tblEmployee[Employee ID], tblEmployee[Type of Service], ""),
IF(_xlpm.tos="Contract of Service", 8.25, 0)
)</f>
        <v>0</v>
      </c>
      <c r="V940" s="25">
        <f>tblPayrollMaster[[#This Row],[Basic Earnings]]-tblPayrollMaster[[#This Row],[Tax]]-tblPayrollMaster[[#This Row],[NIS - Employee]]-tblPayrollMaster[[#This Row],[Health Surcharge]]</f>
        <v>0</v>
      </c>
      <c r="W940" s="25">
        <f>tblPayrollMaster[[#This Row],[Net Pay]]</f>
        <v>0</v>
      </c>
      <c r="X940" s="25"/>
    </row>
    <row r="941" spans="1:24" x14ac:dyDescent="0.25">
      <c r="A941" s="24"/>
      <c r="B941" s="24" t="str">
        <f>_xlfn.XLOOKUP(tblPayrollMaster[[#This Row],[Employee ID]],tblEmployee[Employee ID],tblEmployee[Employee Name],"")</f>
        <v/>
      </c>
      <c r="C941" s="24" t="str">
        <f>_xlfn.XLOOKUP(tblPayrollMaster[[#This Row],[Employee ID]],tblEmployee[Employee ID],tblEmployee[Employee Position],"")</f>
        <v/>
      </c>
      <c r="D941" s="24" t="str">
        <f>_xlfn.XLOOKUP(tblPayrollMaster[[#This Row],[Employee ID]], tblEmployee[Employee ID], tblEmployee[Pay Status], "Pay")</f>
        <v>Pay</v>
      </c>
      <c r="E941" s="24" t="str">
        <f>_xlfn.XLOOKUP(tblPayrollMaster[[#This Row],[Employee ID]], tblEmployee[Employee ID], tblEmployee[Payable Flag], "Y")</f>
        <v>Y</v>
      </c>
      <c r="F941" s="45">
        <f>IF(tblPayrollMaster[[#This Row],[Payable Flag]]="N",0,_xlfn.XLOOKUP(tblPayrollMaster[[#This Row],[Employee ID]],tblEmployee[Employee ID],tblEmployee[Pay Factor],1))</f>
        <v>1</v>
      </c>
      <c r="G941" s="26" t="str" cm="1">
        <f t="array" ref="G941">IF(tblPayrollMaster[[#This Row],[Employee ID]]="","",_xlfn.XLOOKUP(selPayPeriodID,tblPayCalendar[PayPeriodID],tblPayCalendar[PeriodStart],""))</f>
        <v/>
      </c>
      <c r="H941" s="26" t="str" cm="1">
        <f t="array" ref="H941">IF(tblPayrollMaster[[#This Row],[Employee ID]]="","",_xlfn.XLOOKUP(selPayPeriodID,tblPayCalendar[PayPeriodID],tblPayCalendar[PeriodEnd],""))</f>
        <v/>
      </c>
      <c r="I941" s="24" t="e" cm="1" vm="1">
        <f t="array" aca="1" ref="I941" ca="1">Table18[Employer Name]</f>
        <v>#VALUE!</v>
      </c>
      <c r="J941" s="3" cm="1">
        <f t="array" ref="J94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41" s="25" t="str">
        <f>_xlfn.XLOOKUP(tblPayrollMaster[[#This Row],[Employee Position]],tblPositionandPayRate[Employee Position],tblPositionandPayRate[Overtime], " ")</f>
        <v xml:space="preserve"> </v>
      </c>
      <c r="L941" s="25">
        <f>_xlfn.XLOOKUP(tblPayrollMaster[[#This Row],[Employee Position]],tblPositionandPayRate[Employee Position],tblPositionandPayRate[Allowance 1],0)*tblPayrollMaster[[#This Row],[Pay Factor]]</f>
        <v>0</v>
      </c>
      <c r="M941" s="25">
        <f>_xlfn.XLOOKUP(tblPayrollMaster[[#This Row],[Employee Position]],tblPositionandPayRate[Employee Position],tblPositionandPayRate[Allowance 2],0)*tblPayrollMaster[[#This Row],[Pay Factor]]</f>
        <v>0</v>
      </c>
      <c r="N941" s="25">
        <f>_xlfn.XLOOKUP(tblPayrollMaster[[#This Row],[Employee Position]],tblPositionandPayRate[Employee Position],tblPositionandPayRate[Allowance 3],0)*tblPayrollMaster[[#This Row],[Pay Factor]]</f>
        <v>0</v>
      </c>
      <c r="O941" s="25">
        <f>_xlfn.XLOOKUP(tblPayrollMaster[[#This Row],[Employee Position]],tblPositionandPayRate[Employee Position],tblPositionandPayRate[Allowance 4],0)*tblPayrollMaster[[#This Row],[Pay Factor]]</f>
        <v>0</v>
      </c>
      <c r="P941" s="25">
        <f>_xlfn.XLOOKUP(tblPayrollMaster[[#This Row],[Employee Position]],tblPositionandPayRate[Employee Position],tblPositionandPayRate[Allowance 5],0)*tblPayrollMaster[[#This Row],[Pay Factor]]</f>
        <v>0</v>
      </c>
      <c r="Q941" s="25">
        <f>SUM(tblPayrollMaster[[#This Row],[Basic Pay]:[Allowance 5]])</f>
        <v>0</v>
      </c>
      <c r="R94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41" s="51" cm="1">
        <f t="array" ref="S9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41" s="3" cm="1">
        <f t="array" ref="T94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41" s="25">
        <f>_xlfn.LET(
_xlpm.tos, _xlfn.XLOOKUP(tblPayrollMaster[[#This Row],[Employee ID]], tblEmployee[Employee ID], tblEmployee[Type of Service], ""),
IF(_xlpm.tos="Contract of Service", 8.25, 0)
)</f>
        <v>0</v>
      </c>
      <c r="V941" s="25">
        <f>tblPayrollMaster[[#This Row],[Basic Earnings]]-tblPayrollMaster[[#This Row],[Tax]]-tblPayrollMaster[[#This Row],[NIS - Employee]]-tblPayrollMaster[[#This Row],[Health Surcharge]]</f>
        <v>0</v>
      </c>
      <c r="W941" s="25">
        <f>tblPayrollMaster[[#This Row],[Net Pay]]</f>
        <v>0</v>
      </c>
      <c r="X941" s="25"/>
    </row>
    <row r="942" spans="1:24" x14ac:dyDescent="0.25">
      <c r="A942" s="24"/>
      <c r="B942" s="24" t="str">
        <f>_xlfn.XLOOKUP(tblPayrollMaster[[#This Row],[Employee ID]],tblEmployee[Employee ID],tblEmployee[Employee Name],"")</f>
        <v/>
      </c>
      <c r="C942" s="24" t="str">
        <f>_xlfn.XLOOKUP(tblPayrollMaster[[#This Row],[Employee ID]],tblEmployee[Employee ID],tblEmployee[Employee Position],"")</f>
        <v/>
      </c>
      <c r="D942" s="24" t="str">
        <f>_xlfn.XLOOKUP(tblPayrollMaster[[#This Row],[Employee ID]], tblEmployee[Employee ID], tblEmployee[Pay Status], "Pay")</f>
        <v>Pay</v>
      </c>
      <c r="E942" s="24" t="str">
        <f>_xlfn.XLOOKUP(tblPayrollMaster[[#This Row],[Employee ID]], tblEmployee[Employee ID], tblEmployee[Payable Flag], "Y")</f>
        <v>Y</v>
      </c>
      <c r="F942" s="45">
        <f>IF(tblPayrollMaster[[#This Row],[Payable Flag]]="N",0,_xlfn.XLOOKUP(tblPayrollMaster[[#This Row],[Employee ID]],tblEmployee[Employee ID],tblEmployee[Pay Factor],1))</f>
        <v>1</v>
      </c>
      <c r="G942" s="26" t="str" cm="1">
        <f t="array" ref="G942">IF(tblPayrollMaster[[#This Row],[Employee ID]]="","",_xlfn.XLOOKUP(selPayPeriodID,tblPayCalendar[PayPeriodID],tblPayCalendar[PeriodStart],""))</f>
        <v/>
      </c>
      <c r="H942" s="26" t="str" cm="1">
        <f t="array" ref="H942">IF(tblPayrollMaster[[#This Row],[Employee ID]]="","",_xlfn.XLOOKUP(selPayPeriodID,tblPayCalendar[PayPeriodID],tblPayCalendar[PeriodEnd],""))</f>
        <v/>
      </c>
      <c r="I942" s="24" t="e" cm="1" vm="1">
        <f t="array" aca="1" ref="I942" ca="1">Table18[Employer Name]</f>
        <v>#VALUE!</v>
      </c>
      <c r="J942" s="3" cm="1">
        <f t="array" ref="J94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42" s="25" t="str">
        <f>_xlfn.XLOOKUP(tblPayrollMaster[[#This Row],[Employee Position]],tblPositionandPayRate[Employee Position],tblPositionandPayRate[Overtime], " ")</f>
        <v xml:space="preserve"> </v>
      </c>
      <c r="L942" s="25">
        <f>_xlfn.XLOOKUP(tblPayrollMaster[[#This Row],[Employee Position]],tblPositionandPayRate[Employee Position],tblPositionandPayRate[Allowance 1],0)*tblPayrollMaster[[#This Row],[Pay Factor]]</f>
        <v>0</v>
      </c>
      <c r="M942" s="25">
        <f>_xlfn.XLOOKUP(tblPayrollMaster[[#This Row],[Employee Position]],tblPositionandPayRate[Employee Position],tblPositionandPayRate[Allowance 2],0)*tblPayrollMaster[[#This Row],[Pay Factor]]</f>
        <v>0</v>
      </c>
      <c r="N942" s="25">
        <f>_xlfn.XLOOKUP(tblPayrollMaster[[#This Row],[Employee Position]],tblPositionandPayRate[Employee Position],tblPositionandPayRate[Allowance 3],0)*tblPayrollMaster[[#This Row],[Pay Factor]]</f>
        <v>0</v>
      </c>
      <c r="O942" s="25">
        <f>_xlfn.XLOOKUP(tblPayrollMaster[[#This Row],[Employee Position]],tblPositionandPayRate[Employee Position],tblPositionandPayRate[Allowance 4],0)*tblPayrollMaster[[#This Row],[Pay Factor]]</f>
        <v>0</v>
      </c>
      <c r="P942" s="25">
        <f>_xlfn.XLOOKUP(tblPayrollMaster[[#This Row],[Employee Position]],tblPositionandPayRate[Employee Position],tblPositionandPayRate[Allowance 5],0)*tblPayrollMaster[[#This Row],[Pay Factor]]</f>
        <v>0</v>
      </c>
      <c r="Q942" s="25">
        <f>SUM(tblPayrollMaster[[#This Row],[Basic Pay]:[Allowance 5]])</f>
        <v>0</v>
      </c>
      <c r="R94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42" s="51" cm="1">
        <f t="array" ref="S9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42" s="3" cm="1">
        <f t="array" ref="T94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42" s="25">
        <f>_xlfn.LET(
_xlpm.tos, _xlfn.XLOOKUP(tblPayrollMaster[[#This Row],[Employee ID]], tblEmployee[Employee ID], tblEmployee[Type of Service], ""),
IF(_xlpm.tos="Contract of Service", 8.25, 0)
)</f>
        <v>0</v>
      </c>
      <c r="V942" s="25">
        <f>tblPayrollMaster[[#This Row],[Basic Earnings]]-tblPayrollMaster[[#This Row],[Tax]]-tblPayrollMaster[[#This Row],[NIS - Employee]]-tblPayrollMaster[[#This Row],[Health Surcharge]]</f>
        <v>0</v>
      </c>
      <c r="W942" s="25">
        <f>tblPayrollMaster[[#This Row],[Net Pay]]</f>
        <v>0</v>
      </c>
      <c r="X942" s="25"/>
    </row>
    <row r="943" spans="1:24" x14ac:dyDescent="0.25">
      <c r="A943" s="24"/>
      <c r="B943" s="24" t="str">
        <f>_xlfn.XLOOKUP(tblPayrollMaster[[#This Row],[Employee ID]],tblEmployee[Employee ID],tblEmployee[Employee Name],"")</f>
        <v/>
      </c>
      <c r="C943" s="24" t="str">
        <f>_xlfn.XLOOKUP(tblPayrollMaster[[#This Row],[Employee ID]],tblEmployee[Employee ID],tblEmployee[Employee Position],"")</f>
        <v/>
      </c>
      <c r="D943" s="24" t="str">
        <f>_xlfn.XLOOKUP(tblPayrollMaster[[#This Row],[Employee ID]], tblEmployee[Employee ID], tblEmployee[Pay Status], "Pay")</f>
        <v>Pay</v>
      </c>
      <c r="E943" s="24" t="str">
        <f>_xlfn.XLOOKUP(tblPayrollMaster[[#This Row],[Employee ID]], tblEmployee[Employee ID], tblEmployee[Payable Flag], "Y")</f>
        <v>Y</v>
      </c>
      <c r="F943" s="45">
        <f>IF(tblPayrollMaster[[#This Row],[Payable Flag]]="N",0,_xlfn.XLOOKUP(tblPayrollMaster[[#This Row],[Employee ID]],tblEmployee[Employee ID],tblEmployee[Pay Factor],1))</f>
        <v>1</v>
      </c>
      <c r="G943" s="26" t="str" cm="1">
        <f t="array" ref="G943">IF(tblPayrollMaster[[#This Row],[Employee ID]]="","",_xlfn.XLOOKUP(selPayPeriodID,tblPayCalendar[PayPeriodID],tblPayCalendar[PeriodStart],""))</f>
        <v/>
      </c>
      <c r="H943" s="26" t="str" cm="1">
        <f t="array" ref="H943">IF(tblPayrollMaster[[#This Row],[Employee ID]]="","",_xlfn.XLOOKUP(selPayPeriodID,tblPayCalendar[PayPeriodID],tblPayCalendar[PeriodEnd],""))</f>
        <v/>
      </c>
      <c r="I943" s="24" t="e" cm="1" vm="1">
        <f t="array" aca="1" ref="I943" ca="1">Table18[Employer Name]</f>
        <v>#VALUE!</v>
      </c>
      <c r="J943" s="3" cm="1">
        <f t="array" ref="J94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43" s="25" t="str">
        <f>_xlfn.XLOOKUP(tblPayrollMaster[[#This Row],[Employee Position]],tblPositionandPayRate[Employee Position],tblPositionandPayRate[Overtime], " ")</f>
        <v xml:space="preserve"> </v>
      </c>
      <c r="L943" s="25">
        <f>_xlfn.XLOOKUP(tblPayrollMaster[[#This Row],[Employee Position]],tblPositionandPayRate[Employee Position],tblPositionandPayRate[Allowance 1],0)*tblPayrollMaster[[#This Row],[Pay Factor]]</f>
        <v>0</v>
      </c>
      <c r="M943" s="25">
        <f>_xlfn.XLOOKUP(tblPayrollMaster[[#This Row],[Employee Position]],tblPositionandPayRate[Employee Position],tblPositionandPayRate[Allowance 2],0)*tblPayrollMaster[[#This Row],[Pay Factor]]</f>
        <v>0</v>
      </c>
      <c r="N943" s="25">
        <f>_xlfn.XLOOKUP(tblPayrollMaster[[#This Row],[Employee Position]],tblPositionandPayRate[Employee Position],tblPositionandPayRate[Allowance 3],0)*tblPayrollMaster[[#This Row],[Pay Factor]]</f>
        <v>0</v>
      </c>
      <c r="O943" s="25">
        <f>_xlfn.XLOOKUP(tblPayrollMaster[[#This Row],[Employee Position]],tblPositionandPayRate[Employee Position],tblPositionandPayRate[Allowance 4],0)*tblPayrollMaster[[#This Row],[Pay Factor]]</f>
        <v>0</v>
      </c>
      <c r="P943" s="25">
        <f>_xlfn.XLOOKUP(tblPayrollMaster[[#This Row],[Employee Position]],tblPositionandPayRate[Employee Position],tblPositionandPayRate[Allowance 5],0)*tblPayrollMaster[[#This Row],[Pay Factor]]</f>
        <v>0</v>
      </c>
      <c r="Q943" s="25">
        <f>SUM(tblPayrollMaster[[#This Row],[Basic Pay]:[Allowance 5]])</f>
        <v>0</v>
      </c>
      <c r="R94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43" s="51" cm="1">
        <f t="array" ref="S9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43" s="3" cm="1">
        <f t="array" ref="T94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43" s="25">
        <f>_xlfn.LET(
_xlpm.tos, _xlfn.XLOOKUP(tblPayrollMaster[[#This Row],[Employee ID]], tblEmployee[Employee ID], tblEmployee[Type of Service], ""),
IF(_xlpm.tos="Contract of Service", 8.25, 0)
)</f>
        <v>0</v>
      </c>
      <c r="V943" s="25">
        <f>tblPayrollMaster[[#This Row],[Basic Earnings]]-tblPayrollMaster[[#This Row],[Tax]]-tblPayrollMaster[[#This Row],[NIS - Employee]]-tblPayrollMaster[[#This Row],[Health Surcharge]]</f>
        <v>0</v>
      </c>
      <c r="W943" s="25">
        <f>tblPayrollMaster[[#This Row],[Net Pay]]</f>
        <v>0</v>
      </c>
      <c r="X943" s="25"/>
    </row>
    <row r="944" spans="1:24" x14ac:dyDescent="0.25">
      <c r="A944" s="24"/>
      <c r="B944" s="24" t="str">
        <f>_xlfn.XLOOKUP(tblPayrollMaster[[#This Row],[Employee ID]],tblEmployee[Employee ID],tblEmployee[Employee Name],"")</f>
        <v/>
      </c>
      <c r="C944" s="24" t="str">
        <f>_xlfn.XLOOKUP(tblPayrollMaster[[#This Row],[Employee ID]],tblEmployee[Employee ID],tblEmployee[Employee Position],"")</f>
        <v/>
      </c>
      <c r="D944" s="24" t="str">
        <f>_xlfn.XLOOKUP(tblPayrollMaster[[#This Row],[Employee ID]], tblEmployee[Employee ID], tblEmployee[Pay Status], "Pay")</f>
        <v>Pay</v>
      </c>
      <c r="E944" s="24" t="str">
        <f>_xlfn.XLOOKUP(tblPayrollMaster[[#This Row],[Employee ID]], tblEmployee[Employee ID], tblEmployee[Payable Flag], "Y")</f>
        <v>Y</v>
      </c>
      <c r="F944" s="45">
        <f>IF(tblPayrollMaster[[#This Row],[Payable Flag]]="N",0,_xlfn.XLOOKUP(tblPayrollMaster[[#This Row],[Employee ID]],tblEmployee[Employee ID],tblEmployee[Pay Factor],1))</f>
        <v>1</v>
      </c>
      <c r="G944" s="26" t="str" cm="1">
        <f t="array" ref="G944">IF(tblPayrollMaster[[#This Row],[Employee ID]]="","",_xlfn.XLOOKUP(selPayPeriodID,tblPayCalendar[PayPeriodID],tblPayCalendar[PeriodStart],""))</f>
        <v/>
      </c>
      <c r="H944" s="26" t="str" cm="1">
        <f t="array" ref="H944">IF(tblPayrollMaster[[#This Row],[Employee ID]]="","",_xlfn.XLOOKUP(selPayPeriodID,tblPayCalendar[PayPeriodID],tblPayCalendar[PeriodEnd],""))</f>
        <v/>
      </c>
      <c r="I944" s="24" t="e" cm="1" vm="1">
        <f t="array" aca="1" ref="I944" ca="1">Table18[Employer Name]</f>
        <v>#VALUE!</v>
      </c>
      <c r="J944" s="3" cm="1">
        <f t="array" ref="J94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44" s="25" t="str">
        <f>_xlfn.XLOOKUP(tblPayrollMaster[[#This Row],[Employee Position]],tblPositionandPayRate[Employee Position],tblPositionandPayRate[Overtime], " ")</f>
        <v xml:space="preserve"> </v>
      </c>
      <c r="L944" s="25">
        <f>_xlfn.XLOOKUP(tblPayrollMaster[[#This Row],[Employee Position]],tblPositionandPayRate[Employee Position],tblPositionandPayRate[Allowance 1],0)*tblPayrollMaster[[#This Row],[Pay Factor]]</f>
        <v>0</v>
      </c>
      <c r="M944" s="25">
        <f>_xlfn.XLOOKUP(tblPayrollMaster[[#This Row],[Employee Position]],tblPositionandPayRate[Employee Position],tblPositionandPayRate[Allowance 2],0)*tblPayrollMaster[[#This Row],[Pay Factor]]</f>
        <v>0</v>
      </c>
      <c r="N944" s="25">
        <f>_xlfn.XLOOKUP(tblPayrollMaster[[#This Row],[Employee Position]],tblPositionandPayRate[Employee Position],tblPositionandPayRate[Allowance 3],0)*tblPayrollMaster[[#This Row],[Pay Factor]]</f>
        <v>0</v>
      </c>
      <c r="O944" s="25">
        <f>_xlfn.XLOOKUP(tblPayrollMaster[[#This Row],[Employee Position]],tblPositionandPayRate[Employee Position],tblPositionandPayRate[Allowance 4],0)*tblPayrollMaster[[#This Row],[Pay Factor]]</f>
        <v>0</v>
      </c>
      <c r="P944" s="25">
        <f>_xlfn.XLOOKUP(tblPayrollMaster[[#This Row],[Employee Position]],tblPositionandPayRate[Employee Position],tblPositionandPayRate[Allowance 5],0)*tblPayrollMaster[[#This Row],[Pay Factor]]</f>
        <v>0</v>
      </c>
      <c r="Q944" s="25">
        <f>SUM(tblPayrollMaster[[#This Row],[Basic Pay]:[Allowance 5]])</f>
        <v>0</v>
      </c>
      <c r="R94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44" s="51" cm="1">
        <f t="array" ref="S9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44" s="3" cm="1">
        <f t="array" ref="T94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44" s="25">
        <f>_xlfn.LET(
_xlpm.tos, _xlfn.XLOOKUP(tblPayrollMaster[[#This Row],[Employee ID]], tblEmployee[Employee ID], tblEmployee[Type of Service], ""),
IF(_xlpm.tos="Contract of Service", 8.25, 0)
)</f>
        <v>0</v>
      </c>
      <c r="V944" s="25">
        <f>tblPayrollMaster[[#This Row],[Basic Earnings]]-tblPayrollMaster[[#This Row],[Tax]]-tblPayrollMaster[[#This Row],[NIS - Employee]]-tblPayrollMaster[[#This Row],[Health Surcharge]]</f>
        <v>0</v>
      </c>
      <c r="W944" s="25">
        <f>tblPayrollMaster[[#This Row],[Net Pay]]</f>
        <v>0</v>
      </c>
      <c r="X944" s="25"/>
    </row>
    <row r="945" spans="1:24" x14ac:dyDescent="0.25">
      <c r="A945" s="24"/>
      <c r="B945" s="24" t="str">
        <f>_xlfn.XLOOKUP(tblPayrollMaster[[#This Row],[Employee ID]],tblEmployee[Employee ID],tblEmployee[Employee Name],"")</f>
        <v/>
      </c>
      <c r="C945" s="24" t="str">
        <f>_xlfn.XLOOKUP(tblPayrollMaster[[#This Row],[Employee ID]],tblEmployee[Employee ID],tblEmployee[Employee Position],"")</f>
        <v/>
      </c>
      <c r="D945" s="24" t="str">
        <f>_xlfn.XLOOKUP(tblPayrollMaster[[#This Row],[Employee ID]], tblEmployee[Employee ID], tblEmployee[Pay Status], "Pay")</f>
        <v>Pay</v>
      </c>
      <c r="E945" s="24" t="str">
        <f>_xlfn.XLOOKUP(tblPayrollMaster[[#This Row],[Employee ID]], tblEmployee[Employee ID], tblEmployee[Payable Flag], "Y")</f>
        <v>Y</v>
      </c>
      <c r="F945" s="45">
        <f>IF(tblPayrollMaster[[#This Row],[Payable Flag]]="N",0,_xlfn.XLOOKUP(tblPayrollMaster[[#This Row],[Employee ID]],tblEmployee[Employee ID],tblEmployee[Pay Factor],1))</f>
        <v>1</v>
      </c>
      <c r="G945" s="26" t="str" cm="1">
        <f t="array" ref="G945">IF(tblPayrollMaster[[#This Row],[Employee ID]]="","",_xlfn.XLOOKUP(selPayPeriodID,tblPayCalendar[PayPeriodID],tblPayCalendar[PeriodStart],""))</f>
        <v/>
      </c>
      <c r="H945" s="26" t="str" cm="1">
        <f t="array" ref="H945">IF(tblPayrollMaster[[#This Row],[Employee ID]]="","",_xlfn.XLOOKUP(selPayPeriodID,tblPayCalendar[PayPeriodID],tblPayCalendar[PeriodEnd],""))</f>
        <v/>
      </c>
      <c r="I945" s="24" t="e" cm="1" vm="1">
        <f t="array" aca="1" ref="I945" ca="1">Table18[Employer Name]</f>
        <v>#VALUE!</v>
      </c>
      <c r="J945" s="3" cm="1">
        <f t="array" ref="J94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45" s="25" t="str">
        <f>_xlfn.XLOOKUP(tblPayrollMaster[[#This Row],[Employee Position]],tblPositionandPayRate[Employee Position],tblPositionandPayRate[Overtime], " ")</f>
        <v xml:space="preserve"> </v>
      </c>
      <c r="L945" s="25">
        <f>_xlfn.XLOOKUP(tblPayrollMaster[[#This Row],[Employee Position]],tblPositionandPayRate[Employee Position],tblPositionandPayRate[Allowance 1],0)*tblPayrollMaster[[#This Row],[Pay Factor]]</f>
        <v>0</v>
      </c>
      <c r="M945" s="25">
        <f>_xlfn.XLOOKUP(tblPayrollMaster[[#This Row],[Employee Position]],tblPositionandPayRate[Employee Position],tblPositionandPayRate[Allowance 2],0)*tblPayrollMaster[[#This Row],[Pay Factor]]</f>
        <v>0</v>
      </c>
      <c r="N945" s="25">
        <f>_xlfn.XLOOKUP(tblPayrollMaster[[#This Row],[Employee Position]],tblPositionandPayRate[Employee Position],tblPositionandPayRate[Allowance 3],0)*tblPayrollMaster[[#This Row],[Pay Factor]]</f>
        <v>0</v>
      </c>
      <c r="O945" s="25">
        <f>_xlfn.XLOOKUP(tblPayrollMaster[[#This Row],[Employee Position]],tblPositionandPayRate[Employee Position],tblPositionandPayRate[Allowance 4],0)*tblPayrollMaster[[#This Row],[Pay Factor]]</f>
        <v>0</v>
      </c>
      <c r="P945" s="25">
        <f>_xlfn.XLOOKUP(tblPayrollMaster[[#This Row],[Employee Position]],tblPositionandPayRate[Employee Position],tblPositionandPayRate[Allowance 5],0)*tblPayrollMaster[[#This Row],[Pay Factor]]</f>
        <v>0</v>
      </c>
      <c r="Q945" s="25">
        <f>SUM(tblPayrollMaster[[#This Row],[Basic Pay]:[Allowance 5]])</f>
        <v>0</v>
      </c>
      <c r="R94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45" s="51" cm="1">
        <f t="array" ref="S9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45" s="3" cm="1">
        <f t="array" ref="T94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45" s="25">
        <f>_xlfn.LET(
_xlpm.tos, _xlfn.XLOOKUP(tblPayrollMaster[[#This Row],[Employee ID]], tblEmployee[Employee ID], tblEmployee[Type of Service], ""),
IF(_xlpm.tos="Contract of Service", 8.25, 0)
)</f>
        <v>0</v>
      </c>
      <c r="V945" s="25">
        <f>tblPayrollMaster[[#This Row],[Basic Earnings]]-tblPayrollMaster[[#This Row],[Tax]]-tblPayrollMaster[[#This Row],[NIS - Employee]]-tblPayrollMaster[[#This Row],[Health Surcharge]]</f>
        <v>0</v>
      </c>
      <c r="W945" s="25">
        <f>tblPayrollMaster[[#This Row],[Net Pay]]</f>
        <v>0</v>
      </c>
      <c r="X945" s="25"/>
    </row>
    <row r="946" spans="1:24" x14ac:dyDescent="0.25">
      <c r="A946" s="24"/>
      <c r="B946" s="24" t="str">
        <f>_xlfn.XLOOKUP(tblPayrollMaster[[#This Row],[Employee ID]],tblEmployee[Employee ID],tblEmployee[Employee Name],"")</f>
        <v/>
      </c>
      <c r="C946" s="24" t="str">
        <f>_xlfn.XLOOKUP(tblPayrollMaster[[#This Row],[Employee ID]],tblEmployee[Employee ID],tblEmployee[Employee Position],"")</f>
        <v/>
      </c>
      <c r="D946" s="24" t="str">
        <f>_xlfn.XLOOKUP(tblPayrollMaster[[#This Row],[Employee ID]], tblEmployee[Employee ID], tblEmployee[Pay Status], "Pay")</f>
        <v>Pay</v>
      </c>
      <c r="E946" s="24" t="str">
        <f>_xlfn.XLOOKUP(tblPayrollMaster[[#This Row],[Employee ID]], tblEmployee[Employee ID], tblEmployee[Payable Flag], "Y")</f>
        <v>Y</v>
      </c>
      <c r="F946" s="45">
        <f>IF(tblPayrollMaster[[#This Row],[Payable Flag]]="N",0,_xlfn.XLOOKUP(tblPayrollMaster[[#This Row],[Employee ID]],tblEmployee[Employee ID],tblEmployee[Pay Factor],1))</f>
        <v>1</v>
      </c>
      <c r="G946" s="26" t="str" cm="1">
        <f t="array" ref="G946">IF(tblPayrollMaster[[#This Row],[Employee ID]]="","",_xlfn.XLOOKUP(selPayPeriodID,tblPayCalendar[PayPeriodID],tblPayCalendar[PeriodStart],""))</f>
        <v/>
      </c>
      <c r="H946" s="26" t="str" cm="1">
        <f t="array" ref="H946">IF(tblPayrollMaster[[#This Row],[Employee ID]]="","",_xlfn.XLOOKUP(selPayPeriodID,tblPayCalendar[PayPeriodID],tblPayCalendar[PeriodEnd],""))</f>
        <v/>
      </c>
      <c r="I946" s="24" t="e" cm="1" vm="1">
        <f t="array" aca="1" ref="I946" ca="1">Table18[Employer Name]</f>
        <v>#VALUE!</v>
      </c>
      <c r="J946" s="3" cm="1">
        <f t="array" ref="J94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46" s="25" t="str">
        <f>_xlfn.XLOOKUP(tblPayrollMaster[[#This Row],[Employee Position]],tblPositionandPayRate[Employee Position],tblPositionandPayRate[Overtime], " ")</f>
        <v xml:space="preserve"> </v>
      </c>
      <c r="L946" s="25">
        <f>_xlfn.XLOOKUP(tblPayrollMaster[[#This Row],[Employee Position]],tblPositionandPayRate[Employee Position],tblPositionandPayRate[Allowance 1],0)*tblPayrollMaster[[#This Row],[Pay Factor]]</f>
        <v>0</v>
      </c>
      <c r="M946" s="25">
        <f>_xlfn.XLOOKUP(tblPayrollMaster[[#This Row],[Employee Position]],tblPositionandPayRate[Employee Position],tblPositionandPayRate[Allowance 2],0)*tblPayrollMaster[[#This Row],[Pay Factor]]</f>
        <v>0</v>
      </c>
      <c r="N946" s="25">
        <f>_xlfn.XLOOKUP(tblPayrollMaster[[#This Row],[Employee Position]],tblPositionandPayRate[Employee Position],tblPositionandPayRate[Allowance 3],0)*tblPayrollMaster[[#This Row],[Pay Factor]]</f>
        <v>0</v>
      </c>
      <c r="O946" s="25">
        <f>_xlfn.XLOOKUP(tblPayrollMaster[[#This Row],[Employee Position]],tblPositionandPayRate[Employee Position],tblPositionandPayRate[Allowance 4],0)*tblPayrollMaster[[#This Row],[Pay Factor]]</f>
        <v>0</v>
      </c>
      <c r="P946" s="25">
        <f>_xlfn.XLOOKUP(tblPayrollMaster[[#This Row],[Employee Position]],tblPositionandPayRate[Employee Position],tblPositionandPayRate[Allowance 5],0)*tblPayrollMaster[[#This Row],[Pay Factor]]</f>
        <v>0</v>
      </c>
      <c r="Q946" s="25">
        <f>SUM(tblPayrollMaster[[#This Row],[Basic Pay]:[Allowance 5]])</f>
        <v>0</v>
      </c>
      <c r="R94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46" s="51" cm="1">
        <f t="array" ref="S9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46" s="3" cm="1">
        <f t="array" ref="T94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46" s="25">
        <f>_xlfn.LET(
_xlpm.tos, _xlfn.XLOOKUP(tblPayrollMaster[[#This Row],[Employee ID]], tblEmployee[Employee ID], tblEmployee[Type of Service], ""),
IF(_xlpm.tos="Contract of Service", 8.25, 0)
)</f>
        <v>0</v>
      </c>
      <c r="V946" s="25">
        <f>tblPayrollMaster[[#This Row],[Basic Earnings]]-tblPayrollMaster[[#This Row],[Tax]]-tblPayrollMaster[[#This Row],[NIS - Employee]]-tblPayrollMaster[[#This Row],[Health Surcharge]]</f>
        <v>0</v>
      </c>
      <c r="W946" s="25">
        <f>tblPayrollMaster[[#This Row],[Net Pay]]</f>
        <v>0</v>
      </c>
      <c r="X946" s="25"/>
    </row>
    <row r="947" spans="1:24" x14ac:dyDescent="0.25">
      <c r="A947" s="24"/>
      <c r="B947" s="24" t="str">
        <f>_xlfn.XLOOKUP(tblPayrollMaster[[#This Row],[Employee ID]],tblEmployee[Employee ID],tblEmployee[Employee Name],"")</f>
        <v/>
      </c>
      <c r="C947" s="24" t="str">
        <f>_xlfn.XLOOKUP(tblPayrollMaster[[#This Row],[Employee ID]],tblEmployee[Employee ID],tblEmployee[Employee Position],"")</f>
        <v/>
      </c>
      <c r="D947" s="24" t="str">
        <f>_xlfn.XLOOKUP(tblPayrollMaster[[#This Row],[Employee ID]], tblEmployee[Employee ID], tblEmployee[Pay Status], "Pay")</f>
        <v>Pay</v>
      </c>
      <c r="E947" s="24" t="str">
        <f>_xlfn.XLOOKUP(tblPayrollMaster[[#This Row],[Employee ID]], tblEmployee[Employee ID], tblEmployee[Payable Flag], "Y")</f>
        <v>Y</v>
      </c>
      <c r="F947" s="45">
        <f>IF(tblPayrollMaster[[#This Row],[Payable Flag]]="N",0,_xlfn.XLOOKUP(tblPayrollMaster[[#This Row],[Employee ID]],tblEmployee[Employee ID],tblEmployee[Pay Factor],1))</f>
        <v>1</v>
      </c>
      <c r="G947" s="26" t="str" cm="1">
        <f t="array" ref="G947">IF(tblPayrollMaster[[#This Row],[Employee ID]]="","",_xlfn.XLOOKUP(selPayPeriodID,tblPayCalendar[PayPeriodID],tblPayCalendar[PeriodStart],""))</f>
        <v/>
      </c>
      <c r="H947" s="26" t="str" cm="1">
        <f t="array" ref="H947">IF(tblPayrollMaster[[#This Row],[Employee ID]]="","",_xlfn.XLOOKUP(selPayPeriodID,tblPayCalendar[PayPeriodID],tblPayCalendar[PeriodEnd],""))</f>
        <v/>
      </c>
      <c r="I947" s="24" t="e" cm="1" vm="1">
        <f t="array" aca="1" ref="I947" ca="1">Table18[Employer Name]</f>
        <v>#VALUE!</v>
      </c>
      <c r="J947" s="3" cm="1">
        <f t="array" ref="J94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47" s="25" t="str">
        <f>_xlfn.XLOOKUP(tblPayrollMaster[[#This Row],[Employee Position]],tblPositionandPayRate[Employee Position],tblPositionandPayRate[Overtime], " ")</f>
        <v xml:space="preserve"> </v>
      </c>
      <c r="L947" s="25">
        <f>_xlfn.XLOOKUP(tblPayrollMaster[[#This Row],[Employee Position]],tblPositionandPayRate[Employee Position],tblPositionandPayRate[Allowance 1],0)*tblPayrollMaster[[#This Row],[Pay Factor]]</f>
        <v>0</v>
      </c>
      <c r="M947" s="25">
        <f>_xlfn.XLOOKUP(tblPayrollMaster[[#This Row],[Employee Position]],tblPositionandPayRate[Employee Position],tblPositionandPayRate[Allowance 2],0)*tblPayrollMaster[[#This Row],[Pay Factor]]</f>
        <v>0</v>
      </c>
      <c r="N947" s="25">
        <f>_xlfn.XLOOKUP(tblPayrollMaster[[#This Row],[Employee Position]],tblPositionandPayRate[Employee Position],tblPositionandPayRate[Allowance 3],0)*tblPayrollMaster[[#This Row],[Pay Factor]]</f>
        <v>0</v>
      </c>
      <c r="O947" s="25">
        <f>_xlfn.XLOOKUP(tblPayrollMaster[[#This Row],[Employee Position]],tblPositionandPayRate[Employee Position],tblPositionandPayRate[Allowance 4],0)*tblPayrollMaster[[#This Row],[Pay Factor]]</f>
        <v>0</v>
      </c>
      <c r="P947" s="25">
        <f>_xlfn.XLOOKUP(tblPayrollMaster[[#This Row],[Employee Position]],tblPositionandPayRate[Employee Position],tblPositionandPayRate[Allowance 5],0)*tblPayrollMaster[[#This Row],[Pay Factor]]</f>
        <v>0</v>
      </c>
      <c r="Q947" s="25">
        <f>SUM(tblPayrollMaster[[#This Row],[Basic Pay]:[Allowance 5]])</f>
        <v>0</v>
      </c>
      <c r="R94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47" s="51" cm="1">
        <f t="array" ref="S9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47" s="3" cm="1">
        <f t="array" ref="T94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47" s="25">
        <f>_xlfn.LET(
_xlpm.tos, _xlfn.XLOOKUP(tblPayrollMaster[[#This Row],[Employee ID]], tblEmployee[Employee ID], tblEmployee[Type of Service], ""),
IF(_xlpm.tos="Contract of Service", 8.25, 0)
)</f>
        <v>0</v>
      </c>
      <c r="V947" s="25">
        <f>tblPayrollMaster[[#This Row],[Basic Earnings]]-tblPayrollMaster[[#This Row],[Tax]]-tblPayrollMaster[[#This Row],[NIS - Employee]]-tblPayrollMaster[[#This Row],[Health Surcharge]]</f>
        <v>0</v>
      </c>
      <c r="W947" s="25">
        <f>tblPayrollMaster[[#This Row],[Net Pay]]</f>
        <v>0</v>
      </c>
      <c r="X947" s="25"/>
    </row>
    <row r="948" spans="1:24" x14ac:dyDescent="0.25">
      <c r="A948" s="24"/>
      <c r="B948" s="24" t="str">
        <f>_xlfn.XLOOKUP(tblPayrollMaster[[#This Row],[Employee ID]],tblEmployee[Employee ID],tblEmployee[Employee Name],"")</f>
        <v/>
      </c>
      <c r="C948" s="24" t="str">
        <f>_xlfn.XLOOKUP(tblPayrollMaster[[#This Row],[Employee ID]],tblEmployee[Employee ID],tblEmployee[Employee Position],"")</f>
        <v/>
      </c>
      <c r="D948" s="24" t="str">
        <f>_xlfn.XLOOKUP(tblPayrollMaster[[#This Row],[Employee ID]], tblEmployee[Employee ID], tblEmployee[Pay Status], "Pay")</f>
        <v>Pay</v>
      </c>
      <c r="E948" s="24" t="str">
        <f>_xlfn.XLOOKUP(tblPayrollMaster[[#This Row],[Employee ID]], tblEmployee[Employee ID], tblEmployee[Payable Flag], "Y")</f>
        <v>Y</v>
      </c>
      <c r="F948" s="45">
        <f>IF(tblPayrollMaster[[#This Row],[Payable Flag]]="N",0,_xlfn.XLOOKUP(tblPayrollMaster[[#This Row],[Employee ID]],tblEmployee[Employee ID],tblEmployee[Pay Factor],1))</f>
        <v>1</v>
      </c>
      <c r="G948" s="26" t="str" cm="1">
        <f t="array" ref="G948">IF(tblPayrollMaster[[#This Row],[Employee ID]]="","",_xlfn.XLOOKUP(selPayPeriodID,tblPayCalendar[PayPeriodID],tblPayCalendar[PeriodStart],""))</f>
        <v/>
      </c>
      <c r="H948" s="26" t="str" cm="1">
        <f t="array" ref="H948">IF(tblPayrollMaster[[#This Row],[Employee ID]]="","",_xlfn.XLOOKUP(selPayPeriodID,tblPayCalendar[PayPeriodID],tblPayCalendar[PeriodEnd],""))</f>
        <v/>
      </c>
      <c r="I948" s="24" t="e" cm="1" vm="1">
        <f t="array" aca="1" ref="I948" ca="1">Table18[Employer Name]</f>
        <v>#VALUE!</v>
      </c>
      <c r="J948" s="3" cm="1">
        <f t="array" ref="J94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48" s="25" t="str">
        <f>_xlfn.XLOOKUP(tblPayrollMaster[[#This Row],[Employee Position]],tblPositionandPayRate[Employee Position],tblPositionandPayRate[Overtime], " ")</f>
        <v xml:space="preserve"> </v>
      </c>
      <c r="L948" s="25">
        <f>_xlfn.XLOOKUP(tblPayrollMaster[[#This Row],[Employee Position]],tblPositionandPayRate[Employee Position],tblPositionandPayRate[Allowance 1],0)*tblPayrollMaster[[#This Row],[Pay Factor]]</f>
        <v>0</v>
      </c>
      <c r="M948" s="25">
        <f>_xlfn.XLOOKUP(tblPayrollMaster[[#This Row],[Employee Position]],tblPositionandPayRate[Employee Position],tblPositionandPayRate[Allowance 2],0)*tblPayrollMaster[[#This Row],[Pay Factor]]</f>
        <v>0</v>
      </c>
      <c r="N948" s="25">
        <f>_xlfn.XLOOKUP(tblPayrollMaster[[#This Row],[Employee Position]],tblPositionandPayRate[Employee Position],tblPositionandPayRate[Allowance 3],0)*tblPayrollMaster[[#This Row],[Pay Factor]]</f>
        <v>0</v>
      </c>
      <c r="O948" s="25">
        <f>_xlfn.XLOOKUP(tblPayrollMaster[[#This Row],[Employee Position]],tblPositionandPayRate[Employee Position],tblPositionandPayRate[Allowance 4],0)*tblPayrollMaster[[#This Row],[Pay Factor]]</f>
        <v>0</v>
      </c>
      <c r="P948" s="25">
        <f>_xlfn.XLOOKUP(tblPayrollMaster[[#This Row],[Employee Position]],tblPositionandPayRate[Employee Position],tblPositionandPayRate[Allowance 5],0)*tblPayrollMaster[[#This Row],[Pay Factor]]</f>
        <v>0</v>
      </c>
      <c r="Q948" s="25">
        <f>SUM(tblPayrollMaster[[#This Row],[Basic Pay]:[Allowance 5]])</f>
        <v>0</v>
      </c>
      <c r="R94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48" s="51" cm="1">
        <f t="array" ref="S9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48" s="3" cm="1">
        <f t="array" ref="T94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48" s="25">
        <f>_xlfn.LET(
_xlpm.tos, _xlfn.XLOOKUP(tblPayrollMaster[[#This Row],[Employee ID]], tblEmployee[Employee ID], tblEmployee[Type of Service], ""),
IF(_xlpm.tos="Contract of Service", 8.25, 0)
)</f>
        <v>0</v>
      </c>
      <c r="V948" s="25">
        <f>tblPayrollMaster[[#This Row],[Basic Earnings]]-tblPayrollMaster[[#This Row],[Tax]]-tblPayrollMaster[[#This Row],[NIS - Employee]]-tblPayrollMaster[[#This Row],[Health Surcharge]]</f>
        <v>0</v>
      </c>
      <c r="W948" s="25">
        <f>tblPayrollMaster[[#This Row],[Net Pay]]</f>
        <v>0</v>
      </c>
      <c r="X948" s="25"/>
    </row>
    <row r="949" spans="1:24" x14ac:dyDescent="0.25">
      <c r="A949" s="24"/>
      <c r="B949" s="24" t="str">
        <f>_xlfn.XLOOKUP(tblPayrollMaster[[#This Row],[Employee ID]],tblEmployee[Employee ID],tblEmployee[Employee Name],"")</f>
        <v/>
      </c>
      <c r="C949" s="24" t="str">
        <f>_xlfn.XLOOKUP(tblPayrollMaster[[#This Row],[Employee ID]],tblEmployee[Employee ID],tblEmployee[Employee Position],"")</f>
        <v/>
      </c>
      <c r="D949" s="24" t="str">
        <f>_xlfn.XLOOKUP(tblPayrollMaster[[#This Row],[Employee ID]], tblEmployee[Employee ID], tblEmployee[Pay Status], "Pay")</f>
        <v>Pay</v>
      </c>
      <c r="E949" s="24" t="str">
        <f>_xlfn.XLOOKUP(tblPayrollMaster[[#This Row],[Employee ID]], tblEmployee[Employee ID], tblEmployee[Payable Flag], "Y")</f>
        <v>Y</v>
      </c>
      <c r="F949" s="45">
        <f>IF(tblPayrollMaster[[#This Row],[Payable Flag]]="N",0,_xlfn.XLOOKUP(tblPayrollMaster[[#This Row],[Employee ID]],tblEmployee[Employee ID],tblEmployee[Pay Factor],1))</f>
        <v>1</v>
      </c>
      <c r="G949" s="26" t="str" cm="1">
        <f t="array" ref="G949">IF(tblPayrollMaster[[#This Row],[Employee ID]]="","",_xlfn.XLOOKUP(selPayPeriodID,tblPayCalendar[PayPeriodID],tblPayCalendar[PeriodStart],""))</f>
        <v/>
      </c>
      <c r="H949" s="26" t="str" cm="1">
        <f t="array" ref="H949">IF(tblPayrollMaster[[#This Row],[Employee ID]]="","",_xlfn.XLOOKUP(selPayPeriodID,tblPayCalendar[PayPeriodID],tblPayCalendar[PeriodEnd],""))</f>
        <v/>
      </c>
      <c r="I949" s="24" t="e" cm="1" vm="1">
        <f t="array" aca="1" ref="I949" ca="1">Table18[Employer Name]</f>
        <v>#VALUE!</v>
      </c>
      <c r="J949" s="3" cm="1">
        <f t="array" ref="J94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49" s="25" t="str">
        <f>_xlfn.XLOOKUP(tblPayrollMaster[[#This Row],[Employee Position]],tblPositionandPayRate[Employee Position],tblPositionandPayRate[Overtime], " ")</f>
        <v xml:space="preserve"> </v>
      </c>
      <c r="L949" s="25">
        <f>_xlfn.XLOOKUP(tblPayrollMaster[[#This Row],[Employee Position]],tblPositionandPayRate[Employee Position],tblPositionandPayRate[Allowance 1],0)*tblPayrollMaster[[#This Row],[Pay Factor]]</f>
        <v>0</v>
      </c>
      <c r="M949" s="25">
        <f>_xlfn.XLOOKUP(tblPayrollMaster[[#This Row],[Employee Position]],tblPositionandPayRate[Employee Position],tblPositionandPayRate[Allowance 2],0)*tblPayrollMaster[[#This Row],[Pay Factor]]</f>
        <v>0</v>
      </c>
      <c r="N949" s="25">
        <f>_xlfn.XLOOKUP(tblPayrollMaster[[#This Row],[Employee Position]],tblPositionandPayRate[Employee Position],tblPositionandPayRate[Allowance 3],0)*tblPayrollMaster[[#This Row],[Pay Factor]]</f>
        <v>0</v>
      </c>
      <c r="O949" s="25">
        <f>_xlfn.XLOOKUP(tblPayrollMaster[[#This Row],[Employee Position]],tblPositionandPayRate[Employee Position],tblPositionandPayRate[Allowance 4],0)*tblPayrollMaster[[#This Row],[Pay Factor]]</f>
        <v>0</v>
      </c>
      <c r="P949" s="25">
        <f>_xlfn.XLOOKUP(tblPayrollMaster[[#This Row],[Employee Position]],tblPositionandPayRate[Employee Position],tblPositionandPayRate[Allowance 5],0)*tblPayrollMaster[[#This Row],[Pay Factor]]</f>
        <v>0</v>
      </c>
      <c r="Q949" s="25">
        <f>SUM(tblPayrollMaster[[#This Row],[Basic Pay]:[Allowance 5]])</f>
        <v>0</v>
      </c>
      <c r="R94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49" s="51" cm="1">
        <f t="array" ref="S9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49" s="3" cm="1">
        <f t="array" ref="T94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49" s="25">
        <f>_xlfn.LET(
_xlpm.tos, _xlfn.XLOOKUP(tblPayrollMaster[[#This Row],[Employee ID]], tblEmployee[Employee ID], tblEmployee[Type of Service], ""),
IF(_xlpm.tos="Contract of Service", 8.25, 0)
)</f>
        <v>0</v>
      </c>
      <c r="V949" s="25">
        <f>tblPayrollMaster[[#This Row],[Basic Earnings]]-tblPayrollMaster[[#This Row],[Tax]]-tblPayrollMaster[[#This Row],[NIS - Employee]]-tblPayrollMaster[[#This Row],[Health Surcharge]]</f>
        <v>0</v>
      </c>
      <c r="W949" s="25">
        <f>tblPayrollMaster[[#This Row],[Net Pay]]</f>
        <v>0</v>
      </c>
      <c r="X949" s="25"/>
    </row>
    <row r="950" spans="1:24" x14ac:dyDescent="0.25">
      <c r="A950" s="24"/>
      <c r="B950" s="24" t="str">
        <f>_xlfn.XLOOKUP(tblPayrollMaster[[#This Row],[Employee ID]],tblEmployee[Employee ID],tblEmployee[Employee Name],"")</f>
        <v/>
      </c>
      <c r="C950" s="24" t="str">
        <f>_xlfn.XLOOKUP(tblPayrollMaster[[#This Row],[Employee ID]],tblEmployee[Employee ID],tblEmployee[Employee Position],"")</f>
        <v/>
      </c>
      <c r="D950" s="24" t="str">
        <f>_xlfn.XLOOKUP(tblPayrollMaster[[#This Row],[Employee ID]], tblEmployee[Employee ID], tblEmployee[Pay Status], "Pay")</f>
        <v>Pay</v>
      </c>
      <c r="E950" s="24" t="str">
        <f>_xlfn.XLOOKUP(tblPayrollMaster[[#This Row],[Employee ID]], tblEmployee[Employee ID], tblEmployee[Payable Flag], "Y")</f>
        <v>Y</v>
      </c>
      <c r="F950" s="45">
        <f>IF(tblPayrollMaster[[#This Row],[Payable Flag]]="N",0,_xlfn.XLOOKUP(tblPayrollMaster[[#This Row],[Employee ID]],tblEmployee[Employee ID],tblEmployee[Pay Factor],1))</f>
        <v>1</v>
      </c>
      <c r="G950" s="26" t="str" cm="1">
        <f t="array" ref="G950">IF(tblPayrollMaster[[#This Row],[Employee ID]]="","",_xlfn.XLOOKUP(selPayPeriodID,tblPayCalendar[PayPeriodID],tblPayCalendar[PeriodStart],""))</f>
        <v/>
      </c>
      <c r="H950" s="26" t="str" cm="1">
        <f t="array" ref="H950">IF(tblPayrollMaster[[#This Row],[Employee ID]]="","",_xlfn.XLOOKUP(selPayPeriodID,tblPayCalendar[PayPeriodID],tblPayCalendar[PeriodEnd],""))</f>
        <v/>
      </c>
      <c r="I950" s="24" t="e" cm="1" vm="1">
        <f t="array" aca="1" ref="I950" ca="1">Table18[Employer Name]</f>
        <v>#VALUE!</v>
      </c>
      <c r="J950" s="3" cm="1">
        <f t="array" ref="J95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50" s="25" t="str">
        <f>_xlfn.XLOOKUP(tblPayrollMaster[[#This Row],[Employee Position]],tblPositionandPayRate[Employee Position],tblPositionandPayRate[Overtime], " ")</f>
        <v xml:space="preserve"> </v>
      </c>
      <c r="L950" s="25">
        <f>_xlfn.XLOOKUP(tblPayrollMaster[[#This Row],[Employee Position]],tblPositionandPayRate[Employee Position],tblPositionandPayRate[Allowance 1],0)*tblPayrollMaster[[#This Row],[Pay Factor]]</f>
        <v>0</v>
      </c>
      <c r="M950" s="25">
        <f>_xlfn.XLOOKUP(tblPayrollMaster[[#This Row],[Employee Position]],tblPositionandPayRate[Employee Position],tblPositionandPayRate[Allowance 2],0)*tblPayrollMaster[[#This Row],[Pay Factor]]</f>
        <v>0</v>
      </c>
      <c r="N950" s="25">
        <f>_xlfn.XLOOKUP(tblPayrollMaster[[#This Row],[Employee Position]],tblPositionandPayRate[Employee Position],tblPositionandPayRate[Allowance 3],0)*tblPayrollMaster[[#This Row],[Pay Factor]]</f>
        <v>0</v>
      </c>
      <c r="O950" s="25">
        <f>_xlfn.XLOOKUP(tblPayrollMaster[[#This Row],[Employee Position]],tblPositionandPayRate[Employee Position],tblPositionandPayRate[Allowance 4],0)*tblPayrollMaster[[#This Row],[Pay Factor]]</f>
        <v>0</v>
      </c>
      <c r="P950" s="25">
        <f>_xlfn.XLOOKUP(tblPayrollMaster[[#This Row],[Employee Position]],tblPositionandPayRate[Employee Position],tblPositionandPayRate[Allowance 5],0)*tblPayrollMaster[[#This Row],[Pay Factor]]</f>
        <v>0</v>
      </c>
      <c r="Q950" s="25">
        <f>SUM(tblPayrollMaster[[#This Row],[Basic Pay]:[Allowance 5]])</f>
        <v>0</v>
      </c>
      <c r="R95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50" s="51" cm="1">
        <f t="array" ref="S9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50" s="3" cm="1">
        <f t="array" ref="T95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50" s="25">
        <f>_xlfn.LET(
_xlpm.tos, _xlfn.XLOOKUP(tblPayrollMaster[[#This Row],[Employee ID]], tblEmployee[Employee ID], tblEmployee[Type of Service], ""),
IF(_xlpm.tos="Contract of Service", 8.25, 0)
)</f>
        <v>0</v>
      </c>
      <c r="V950" s="25">
        <f>tblPayrollMaster[[#This Row],[Basic Earnings]]-tblPayrollMaster[[#This Row],[Tax]]-tblPayrollMaster[[#This Row],[NIS - Employee]]-tblPayrollMaster[[#This Row],[Health Surcharge]]</f>
        <v>0</v>
      </c>
      <c r="W950" s="25">
        <f>tblPayrollMaster[[#This Row],[Net Pay]]</f>
        <v>0</v>
      </c>
      <c r="X950" s="25"/>
    </row>
    <row r="951" spans="1:24" x14ac:dyDescent="0.25">
      <c r="A951" s="24"/>
      <c r="B951" s="24" t="str">
        <f>_xlfn.XLOOKUP(tblPayrollMaster[[#This Row],[Employee ID]],tblEmployee[Employee ID],tblEmployee[Employee Name],"")</f>
        <v/>
      </c>
      <c r="C951" s="24" t="str">
        <f>_xlfn.XLOOKUP(tblPayrollMaster[[#This Row],[Employee ID]],tblEmployee[Employee ID],tblEmployee[Employee Position],"")</f>
        <v/>
      </c>
      <c r="D951" s="24" t="str">
        <f>_xlfn.XLOOKUP(tblPayrollMaster[[#This Row],[Employee ID]], tblEmployee[Employee ID], tblEmployee[Pay Status], "Pay")</f>
        <v>Pay</v>
      </c>
      <c r="E951" s="24" t="str">
        <f>_xlfn.XLOOKUP(tblPayrollMaster[[#This Row],[Employee ID]], tblEmployee[Employee ID], tblEmployee[Payable Flag], "Y")</f>
        <v>Y</v>
      </c>
      <c r="F951" s="45">
        <f>IF(tblPayrollMaster[[#This Row],[Payable Flag]]="N",0,_xlfn.XLOOKUP(tblPayrollMaster[[#This Row],[Employee ID]],tblEmployee[Employee ID],tblEmployee[Pay Factor],1))</f>
        <v>1</v>
      </c>
      <c r="G951" s="26" t="str" cm="1">
        <f t="array" ref="G951">IF(tblPayrollMaster[[#This Row],[Employee ID]]="","",_xlfn.XLOOKUP(selPayPeriodID,tblPayCalendar[PayPeriodID],tblPayCalendar[PeriodStart],""))</f>
        <v/>
      </c>
      <c r="H951" s="26" t="str" cm="1">
        <f t="array" ref="H951">IF(tblPayrollMaster[[#This Row],[Employee ID]]="","",_xlfn.XLOOKUP(selPayPeriodID,tblPayCalendar[PayPeriodID],tblPayCalendar[PeriodEnd],""))</f>
        <v/>
      </c>
      <c r="I951" s="24" t="e" cm="1" vm="1">
        <f t="array" aca="1" ref="I951" ca="1">Table18[Employer Name]</f>
        <v>#VALUE!</v>
      </c>
      <c r="J951" s="3" cm="1">
        <f t="array" ref="J95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51" s="25" t="str">
        <f>_xlfn.XLOOKUP(tblPayrollMaster[[#This Row],[Employee Position]],tblPositionandPayRate[Employee Position],tblPositionandPayRate[Overtime], " ")</f>
        <v xml:space="preserve"> </v>
      </c>
      <c r="L951" s="25">
        <f>_xlfn.XLOOKUP(tblPayrollMaster[[#This Row],[Employee Position]],tblPositionandPayRate[Employee Position],tblPositionandPayRate[Allowance 1],0)*tblPayrollMaster[[#This Row],[Pay Factor]]</f>
        <v>0</v>
      </c>
      <c r="M951" s="25">
        <f>_xlfn.XLOOKUP(tblPayrollMaster[[#This Row],[Employee Position]],tblPositionandPayRate[Employee Position],tblPositionandPayRate[Allowance 2],0)*tblPayrollMaster[[#This Row],[Pay Factor]]</f>
        <v>0</v>
      </c>
      <c r="N951" s="25">
        <f>_xlfn.XLOOKUP(tblPayrollMaster[[#This Row],[Employee Position]],tblPositionandPayRate[Employee Position],tblPositionandPayRate[Allowance 3],0)*tblPayrollMaster[[#This Row],[Pay Factor]]</f>
        <v>0</v>
      </c>
      <c r="O951" s="25">
        <f>_xlfn.XLOOKUP(tblPayrollMaster[[#This Row],[Employee Position]],tblPositionandPayRate[Employee Position],tblPositionandPayRate[Allowance 4],0)*tblPayrollMaster[[#This Row],[Pay Factor]]</f>
        <v>0</v>
      </c>
      <c r="P951" s="25">
        <f>_xlfn.XLOOKUP(tblPayrollMaster[[#This Row],[Employee Position]],tblPositionandPayRate[Employee Position],tblPositionandPayRate[Allowance 5],0)*tblPayrollMaster[[#This Row],[Pay Factor]]</f>
        <v>0</v>
      </c>
      <c r="Q951" s="25">
        <f>SUM(tblPayrollMaster[[#This Row],[Basic Pay]:[Allowance 5]])</f>
        <v>0</v>
      </c>
      <c r="R95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51" s="51" cm="1">
        <f t="array" ref="S9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51" s="3" cm="1">
        <f t="array" ref="T95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51" s="25">
        <f>_xlfn.LET(
_xlpm.tos, _xlfn.XLOOKUP(tblPayrollMaster[[#This Row],[Employee ID]], tblEmployee[Employee ID], tblEmployee[Type of Service], ""),
IF(_xlpm.tos="Contract of Service", 8.25, 0)
)</f>
        <v>0</v>
      </c>
      <c r="V951" s="25">
        <f>tblPayrollMaster[[#This Row],[Basic Earnings]]-tblPayrollMaster[[#This Row],[Tax]]-tblPayrollMaster[[#This Row],[NIS - Employee]]-tblPayrollMaster[[#This Row],[Health Surcharge]]</f>
        <v>0</v>
      </c>
      <c r="W951" s="25">
        <f>tblPayrollMaster[[#This Row],[Net Pay]]</f>
        <v>0</v>
      </c>
      <c r="X951" s="25"/>
    </row>
    <row r="952" spans="1:24" x14ac:dyDescent="0.25">
      <c r="A952" s="24"/>
      <c r="B952" s="24" t="str">
        <f>_xlfn.XLOOKUP(tblPayrollMaster[[#This Row],[Employee ID]],tblEmployee[Employee ID],tblEmployee[Employee Name],"")</f>
        <v/>
      </c>
      <c r="C952" s="24" t="str">
        <f>_xlfn.XLOOKUP(tblPayrollMaster[[#This Row],[Employee ID]],tblEmployee[Employee ID],tblEmployee[Employee Position],"")</f>
        <v/>
      </c>
      <c r="D952" s="24" t="str">
        <f>_xlfn.XLOOKUP(tblPayrollMaster[[#This Row],[Employee ID]], tblEmployee[Employee ID], tblEmployee[Pay Status], "Pay")</f>
        <v>Pay</v>
      </c>
      <c r="E952" s="24" t="str">
        <f>_xlfn.XLOOKUP(tblPayrollMaster[[#This Row],[Employee ID]], tblEmployee[Employee ID], tblEmployee[Payable Flag], "Y")</f>
        <v>Y</v>
      </c>
      <c r="F952" s="45">
        <f>IF(tblPayrollMaster[[#This Row],[Payable Flag]]="N",0,_xlfn.XLOOKUP(tblPayrollMaster[[#This Row],[Employee ID]],tblEmployee[Employee ID],tblEmployee[Pay Factor],1))</f>
        <v>1</v>
      </c>
      <c r="G952" s="26" t="str" cm="1">
        <f t="array" ref="G952">IF(tblPayrollMaster[[#This Row],[Employee ID]]="","",_xlfn.XLOOKUP(selPayPeriodID,tblPayCalendar[PayPeriodID],tblPayCalendar[PeriodStart],""))</f>
        <v/>
      </c>
      <c r="H952" s="26" t="str" cm="1">
        <f t="array" ref="H952">IF(tblPayrollMaster[[#This Row],[Employee ID]]="","",_xlfn.XLOOKUP(selPayPeriodID,tblPayCalendar[PayPeriodID],tblPayCalendar[PeriodEnd],""))</f>
        <v/>
      </c>
      <c r="I952" s="24" t="e" cm="1" vm="1">
        <f t="array" aca="1" ref="I952" ca="1">Table18[Employer Name]</f>
        <v>#VALUE!</v>
      </c>
      <c r="J952" s="3" cm="1">
        <f t="array" ref="J95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52" s="25" t="str">
        <f>_xlfn.XLOOKUP(tblPayrollMaster[[#This Row],[Employee Position]],tblPositionandPayRate[Employee Position],tblPositionandPayRate[Overtime], " ")</f>
        <v xml:space="preserve"> </v>
      </c>
      <c r="L952" s="25">
        <f>_xlfn.XLOOKUP(tblPayrollMaster[[#This Row],[Employee Position]],tblPositionandPayRate[Employee Position],tblPositionandPayRate[Allowance 1],0)*tblPayrollMaster[[#This Row],[Pay Factor]]</f>
        <v>0</v>
      </c>
      <c r="M952" s="25">
        <f>_xlfn.XLOOKUP(tblPayrollMaster[[#This Row],[Employee Position]],tblPositionandPayRate[Employee Position],tblPositionandPayRate[Allowance 2],0)*tblPayrollMaster[[#This Row],[Pay Factor]]</f>
        <v>0</v>
      </c>
      <c r="N952" s="25">
        <f>_xlfn.XLOOKUP(tblPayrollMaster[[#This Row],[Employee Position]],tblPositionandPayRate[Employee Position],tblPositionandPayRate[Allowance 3],0)*tblPayrollMaster[[#This Row],[Pay Factor]]</f>
        <v>0</v>
      </c>
      <c r="O952" s="25">
        <f>_xlfn.XLOOKUP(tblPayrollMaster[[#This Row],[Employee Position]],tblPositionandPayRate[Employee Position],tblPositionandPayRate[Allowance 4],0)*tblPayrollMaster[[#This Row],[Pay Factor]]</f>
        <v>0</v>
      </c>
      <c r="P952" s="25">
        <f>_xlfn.XLOOKUP(tblPayrollMaster[[#This Row],[Employee Position]],tblPositionandPayRate[Employee Position],tblPositionandPayRate[Allowance 5],0)*tblPayrollMaster[[#This Row],[Pay Factor]]</f>
        <v>0</v>
      </c>
      <c r="Q952" s="25">
        <f>SUM(tblPayrollMaster[[#This Row],[Basic Pay]:[Allowance 5]])</f>
        <v>0</v>
      </c>
      <c r="R95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52" s="51" cm="1">
        <f t="array" ref="S9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52" s="3" cm="1">
        <f t="array" ref="T95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52" s="25">
        <f>_xlfn.LET(
_xlpm.tos, _xlfn.XLOOKUP(tblPayrollMaster[[#This Row],[Employee ID]], tblEmployee[Employee ID], tblEmployee[Type of Service], ""),
IF(_xlpm.tos="Contract of Service", 8.25, 0)
)</f>
        <v>0</v>
      </c>
      <c r="V952" s="25">
        <f>tblPayrollMaster[[#This Row],[Basic Earnings]]-tblPayrollMaster[[#This Row],[Tax]]-tblPayrollMaster[[#This Row],[NIS - Employee]]-tblPayrollMaster[[#This Row],[Health Surcharge]]</f>
        <v>0</v>
      </c>
      <c r="W952" s="25">
        <f>tblPayrollMaster[[#This Row],[Net Pay]]</f>
        <v>0</v>
      </c>
      <c r="X952" s="25"/>
    </row>
    <row r="953" spans="1:24" x14ac:dyDescent="0.25">
      <c r="A953" s="24"/>
      <c r="B953" s="24" t="str">
        <f>_xlfn.XLOOKUP(tblPayrollMaster[[#This Row],[Employee ID]],tblEmployee[Employee ID],tblEmployee[Employee Name],"")</f>
        <v/>
      </c>
      <c r="C953" s="24" t="str">
        <f>_xlfn.XLOOKUP(tblPayrollMaster[[#This Row],[Employee ID]],tblEmployee[Employee ID],tblEmployee[Employee Position],"")</f>
        <v/>
      </c>
      <c r="D953" s="24" t="str">
        <f>_xlfn.XLOOKUP(tblPayrollMaster[[#This Row],[Employee ID]], tblEmployee[Employee ID], tblEmployee[Pay Status], "Pay")</f>
        <v>Pay</v>
      </c>
      <c r="E953" s="24" t="str">
        <f>_xlfn.XLOOKUP(tblPayrollMaster[[#This Row],[Employee ID]], tblEmployee[Employee ID], tblEmployee[Payable Flag], "Y")</f>
        <v>Y</v>
      </c>
      <c r="F953" s="45">
        <f>IF(tblPayrollMaster[[#This Row],[Payable Flag]]="N",0,_xlfn.XLOOKUP(tblPayrollMaster[[#This Row],[Employee ID]],tblEmployee[Employee ID],tblEmployee[Pay Factor],1))</f>
        <v>1</v>
      </c>
      <c r="G953" s="26" t="str" cm="1">
        <f t="array" ref="G953">IF(tblPayrollMaster[[#This Row],[Employee ID]]="","",_xlfn.XLOOKUP(selPayPeriodID,tblPayCalendar[PayPeriodID],tblPayCalendar[PeriodStart],""))</f>
        <v/>
      </c>
      <c r="H953" s="26" t="str" cm="1">
        <f t="array" ref="H953">IF(tblPayrollMaster[[#This Row],[Employee ID]]="","",_xlfn.XLOOKUP(selPayPeriodID,tblPayCalendar[PayPeriodID],tblPayCalendar[PeriodEnd],""))</f>
        <v/>
      </c>
      <c r="I953" s="24" t="e" cm="1" vm="1">
        <f t="array" aca="1" ref="I953" ca="1">Table18[Employer Name]</f>
        <v>#VALUE!</v>
      </c>
      <c r="J953" s="3" cm="1">
        <f t="array" ref="J95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53" s="25" t="str">
        <f>_xlfn.XLOOKUP(tblPayrollMaster[[#This Row],[Employee Position]],tblPositionandPayRate[Employee Position],tblPositionandPayRate[Overtime], " ")</f>
        <v xml:space="preserve"> </v>
      </c>
      <c r="L953" s="25">
        <f>_xlfn.XLOOKUP(tblPayrollMaster[[#This Row],[Employee Position]],tblPositionandPayRate[Employee Position],tblPositionandPayRate[Allowance 1],0)*tblPayrollMaster[[#This Row],[Pay Factor]]</f>
        <v>0</v>
      </c>
      <c r="M953" s="25">
        <f>_xlfn.XLOOKUP(tblPayrollMaster[[#This Row],[Employee Position]],tblPositionandPayRate[Employee Position],tblPositionandPayRate[Allowance 2],0)*tblPayrollMaster[[#This Row],[Pay Factor]]</f>
        <v>0</v>
      </c>
      <c r="N953" s="25">
        <f>_xlfn.XLOOKUP(tblPayrollMaster[[#This Row],[Employee Position]],tblPositionandPayRate[Employee Position],tblPositionandPayRate[Allowance 3],0)*tblPayrollMaster[[#This Row],[Pay Factor]]</f>
        <v>0</v>
      </c>
      <c r="O953" s="25">
        <f>_xlfn.XLOOKUP(tblPayrollMaster[[#This Row],[Employee Position]],tblPositionandPayRate[Employee Position],tblPositionandPayRate[Allowance 4],0)*tblPayrollMaster[[#This Row],[Pay Factor]]</f>
        <v>0</v>
      </c>
      <c r="P953" s="25">
        <f>_xlfn.XLOOKUP(tblPayrollMaster[[#This Row],[Employee Position]],tblPositionandPayRate[Employee Position],tblPositionandPayRate[Allowance 5],0)*tblPayrollMaster[[#This Row],[Pay Factor]]</f>
        <v>0</v>
      </c>
      <c r="Q953" s="25">
        <f>SUM(tblPayrollMaster[[#This Row],[Basic Pay]:[Allowance 5]])</f>
        <v>0</v>
      </c>
      <c r="R95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53" s="51" cm="1">
        <f t="array" ref="S9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53" s="3" cm="1">
        <f t="array" ref="T95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53" s="25">
        <f>_xlfn.LET(
_xlpm.tos, _xlfn.XLOOKUP(tblPayrollMaster[[#This Row],[Employee ID]], tblEmployee[Employee ID], tblEmployee[Type of Service], ""),
IF(_xlpm.tos="Contract of Service", 8.25, 0)
)</f>
        <v>0</v>
      </c>
      <c r="V953" s="25">
        <f>tblPayrollMaster[[#This Row],[Basic Earnings]]-tblPayrollMaster[[#This Row],[Tax]]-tblPayrollMaster[[#This Row],[NIS - Employee]]-tblPayrollMaster[[#This Row],[Health Surcharge]]</f>
        <v>0</v>
      </c>
      <c r="W953" s="25">
        <f>tblPayrollMaster[[#This Row],[Net Pay]]</f>
        <v>0</v>
      </c>
      <c r="X953" s="25"/>
    </row>
    <row r="954" spans="1:24" x14ac:dyDescent="0.25">
      <c r="A954" s="24"/>
      <c r="B954" s="24" t="str">
        <f>_xlfn.XLOOKUP(tblPayrollMaster[[#This Row],[Employee ID]],tblEmployee[Employee ID],tblEmployee[Employee Name],"")</f>
        <v/>
      </c>
      <c r="C954" s="24" t="str">
        <f>_xlfn.XLOOKUP(tblPayrollMaster[[#This Row],[Employee ID]],tblEmployee[Employee ID],tblEmployee[Employee Position],"")</f>
        <v/>
      </c>
      <c r="D954" s="24" t="str">
        <f>_xlfn.XLOOKUP(tblPayrollMaster[[#This Row],[Employee ID]], tblEmployee[Employee ID], tblEmployee[Pay Status], "Pay")</f>
        <v>Pay</v>
      </c>
      <c r="E954" s="24" t="str">
        <f>_xlfn.XLOOKUP(tblPayrollMaster[[#This Row],[Employee ID]], tblEmployee[Employee ID], tblEmployee[Payable Flag], "Y")</f>
        <v>Y</v>
      </c>
      <c r="F954" s="45">
        <f>IF(tblPayrollMaster[[#This Row],[Payable Flag]]="N",0,_xlfn.XLOOKUP(tblPayrollMaster[[#This Row],[Employee ID]],tblEmployee[Employee ID],tblEmployee[Pay Factor],1))</f>
        <v>1</v>
      </c>
      <c r="G954" s="26" t="str" cm="1">
        <f t="array" ref="G954">IF(tblPayrollMaster[[#This Row],[Employee ID]]="","",_xlfn.XLOOKUP(selPayPeriodID,tblPayCalendar[PayPeriodID],tblPayCalendar[PeriodStart],""))</f>
        <v/>
      </c>
      <c r="H954" s="26" t="str" cm="1">
        <f t="array" ref="H954">IF(tblPayrollMaster[[#This Row],[Employee ID]]="","",_xlfn.XLOOKUP(selPayPeriodID,tblPayCalendar[PayPeriodID],tblPayCalendar[PeriodEnd],""))</f>
        <v/>
      </c>
      <c r="I954" s="24" t="e" cm="1" vm="1">
        <f t="array" aca="1" ref="I954" ca="1">Table18[Employer Name]</f>
        <v>#VALUE!</v>
      </c>
      <c r="J954" s="3" cm="1">
        <f t="array" ref="J95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54" s="25" t="str">
        <f>_xlfn.XLOOKUP(tblPayrollMaster[[#This Row],[Employee Position]],tblPositionandPayRate[Employee Position],tblPositionandPayRate[Overtime], " ")</f>
        <v xml:space="preserve"> </v>
      </c>
      <c r="L954" s="25">
        <f>_xlfn.XLOOKUP(tblPayrollMaster[[#This Row],[Employee Position]],tblPositionandPayRate[Employee Position],tblPositionandPayRate[Allowance 1],0)*tblPayrollMaster[[#This Row],[Pay Factor]]</f>
        <v>0</v>
      </c>
      <c r="M954" s="25">
        <f>_xlfn.XLOOKUP(tblPayrollMaster[[#This Row],[Employee Position]],tblPositionandPayRate[Employee Position],tblPositionandPayRate[Allowance 2],0)*tblPayrollMaster[[#This Row],[Pay Factor]]</f>
        <v>0</v>
      </c>
      <c r="N954" s="25">
        <f>_xlfn.XLOOKUP(tblPayrollMaster[[#This Row],[Employee Position]],tblPositionandPayRate[Employee Position],tblPositionandPayRate[Allowance 3],0)*tblPayrollMaster[[#This Row],[Pay Factor]]</f>
        <v>0</v>
      </c>
      <c r="O954" s="25">
        <f>_xlfn.XLOOKUP(tblPayrollMaster[[#This Row],[Employee Position]],tblPositionandPayRate[Employee Position],tblPositionandPayRate[Allowance 4],0)*tblPayrollMaster[[#This Row],[Pay Factor]]</f>
        <v>0</v>
      </c>
      <c r="P954" s="25">
        <f>_xlfn.XLOOKUP(tblPayrollMaster[[#This Row],[Employee Position]],tblPositionandPayRate[Employee Position],tblPositionandPayRate[Allowance 5],0)*tblPayrollMaster[[#This Row],[Pay Factor]]</f>
        <v>0</v>
      </c>
      <c r="Q954" s="25">
        <f>SUM(tblPayrollMaster[[#This Row],[Basic Pay]:[Allowance 5]])</f>
        <v>0</v>
      </c>
      <c r="R95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54" s="51" cm="1">
        <f t="array" ref="S9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54" s="3" cm="1">
        <f t="array" ref="T95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54" s="25">
        <f>_xlfn.LET(
_xlpm.tos, _xlfn.XLOOKUP(tblPayrollMaster[[#This Row],[Employee ID]], tblEmployee[Employee ID], tblEmployee[Type of Service], ""),
IF(_xlpm.tos="Contract of Service", 8.25, 0)
)</f>
        <v>0</v>
      </c>
      <c r="V954" s="25">
        <f>tblPayrollMaster[[#This Row],[Basic Earnings]]-tblPayrollMaster[[#This Row],[Tax]]-tblPayrollMaster[[#This Row],[NIS - Employee]]-tblPayrollMaster[[#This Row],[Health Surcharge]]</f>
        <v>0</v>
      </c>
      <c r="W954" s="25">
        <f>tblPayrollMaster[[#This Row],[Net Pay]]</f>
        <v>0</v>
      </c>
      <c r="X954" s="25"/>
    </row>
    <row r="955" spans="1:24" x14ac:dyDescent="0.25">
      <c r="A955" s="24"/>
      <c r="B955" s="24" t="str">
        <f>_xlfn.XLOOKUP(tblPayrollMaster[[#This Row],[Employee ID]],tblEmployee[Employee ID],tblEmployee[Employee Name],"")</f>
        <v/>
      </c>
      <c r="C955" s="24" t="str">
        <f>_xlfn.XLOOKUP(tblPayrollMaster[[#This Row],[Employee ID]],tblEmployee[Employee ID],tblEmployee[Employee Position],"")</f>
        <v/>
      </c>
      <c r="D955" s="24" t="str">
        <f>_xlfn.XLOOKUP(tblPayrollMaster[[#This Row],[Employee ID]], tblEmployee[Employee ID], tblEmployee[Pay Status], "Pay")</f>
        <v>Pay</v>
      </c>
      <c r="E955" s="24" t="str">
        <f>_xlfn.XLOOKUP(tblPayrollMaster[[#This Row],[Employee ID]], tblEmployee[Employee ID], tblEmployee[Payable Flag], "Y")</f>
        <v>Y</v>
      </c>
      <c r="F955" s="45">
        <f>IF(tblPayrollMaster[[#This Row],[Payable Flag]]="N",0,_xlfn.XLOOKUP(tblPayrollMaster[[#This Row],[Employee ID]],tblEmployee[Employee ID],tblEmployee[Pay Factor],1))</f>
        <v>1</v>
      </c>
      <c r="G955" s="26" t="str" cm="1">
        <f t="array" ref="G955">IF(tblPayrollMaster[[#This Row],[Employee ID]]="","",_xlfn.XLOOKUP(selPayPeriodID,tblPayCalendar[PayPeriodID],tblPayCalendar[PeriodStart],""))</f>
        <v/>
      </c>
      <c r="H955" s="26" t="str" cm="1">
        <f t="array" ref="H955">IF(tblPayrollMaster[[#This Row],[Employee ID]]="","",_xlfn.XLOOKUP(selPayPeriodID,tblPayCalendar[PayPeriodID],tblPayCalendar[PeriodEnd],""))</f>
        <v/>
      </c>
      <c r="I955" s="24" t="e" cm="1" vm="1">
        <f t="array" aca="1" ref="I955" ca="1">Table18[Employer Name]</f>
        <v>#VALUE!</v>
      </c>
      <c r="J955" s="3" cm="1">
        <f t="array" ref="J95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55" s="25" t="str">
        <f>_xlfn.XLOOKUP(tblPayrollMaster[[#This Row],[Employee Position]],tblPositionandPayRate[Employee Position],tblPositionandPayRate[Overtime], " ")</f>
        <v xml:space="preserve"> </v>
      </c>
      <c r="L955" s="25">
        <f>_xlfn.XLOOKUP(tblPayrollMaster[[#This Row],[Employee Position]],tblPositionandPayRate[Employee Position],tblPositionandPayRate[Allowance 1],0)*tblPayrollMaster[[#This Row],[Pay Factor]]</f>
        <v>0</v>
      </c>
      <c r="M955" s="25">
        <f>_xlfn.XLOOKUP(tblPayrollMaster[[#This Row],[Employee Position]],tblPositionandPayRate[Employee Position],tblPositionandPayRate[Allowance 2],0)*tblPayrollMaster[[#This Row],[Pay Factor]]</f>
        <v>0</v>
      </c>
      <c r="N955" s="25">
        <f>_xlfn.XLOOKUP(tblPayrollMaster[[#This Row],[Employee Position]],tblPositionandPayRate[Employee Position],tblPositionandPayRate[Allowance 3],0)*tblPayrollMaster[[#This Row],[Pay Factor]]</f>
        <v>0</v>
      </c>
      <c r="O955" s="25">
        <f>_xlfn.XLOOKUP(tblPayrollMaster[[#This Row],[Employee Position]],tblPositionandPayRate[Employee Position],tblPositionandPayRate[Allowance 4],0)*tblPayrollMaster[[#This Row],[Pay Factor]]</f>
        <v>0</v>
      </c>
      <c r="P955" s="25">
        <f>_xlfn.XLOOKUP(tblPayrollMaster[[#This Row],[Employee Position]],tblPositionandPayRate[Employee Position],tblPositionandPayRate[Allowance 5],0)*tblPayrollMaster[[#This Row],[Pay Factor]]</f>
        <v>0</v>
      </c>
      <c r="Q955" s="25">
        <f>SUM(tblPayrollMaster[[#This Row],[Basic Pay]:[Allowance 5]])</f>
        <v>0</v>
      </c>
      <c r="R95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55" s="51" cm="1">
        <f t="array" ref="S9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55" s="3" cm="1">
        <f t="array" ref="T95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55" s="25">
        <f>_xlfn.LET(
_xlpm.tos, _xlfn.XLOOKUP(tblPayrollMaster[[#This Row],[Employee ID]], tblEmployee[Employee ID], tblEmployee[Type of Service], ""),
IF(_xlpm.tos="Contract of Service", 8.25, 0)
)</f>
        <v>0</v>
      </c>
      <c r="V955" s="25">
        <f>tblPayrollMaster[[#This Row],[Basic Earnings]]-tblPayrollMaster[[#This Row],[Tax]]-tblPayrollMaster[[#This Row],[NIS - Employee]]-tblPayrollMaster[[#This Row],[Health Surcharge]]</f>
        <v>0</v>
      </c>
      <c r="W955" s="25">
        <f>tblPayrollMaster[[#This Row],[Net Pay]]</f>
        <v>0</v>
      </c>
      <c r="X955" s="25"/>
    </row>
    <row r="956" spans="1:24" x14ac:dyDescent="0.25">
      <c r="A956" s="24"/>
      <c r="B956" s="24" t="str">
        <f>_xlfn.XLOOKUP(tblPayrollMaster[[#This Row],[Employee ID]],tblEmployee[Employee ID],tblEmployee[Employee Name],"")</f>
        <v/>
      </c>
      <c r="C956" s="24" t="str">
        <f>_xlfn.XLOOKUP(tblPayrollMaster[[#This Row],[Employee ID]],tblEmployee[Employee ID],tblEmployee[Employee Position],"")</f>
        <v/>
      </c>
      <c r="D956" s="24" t="str">
        <f>_xlfn.XLOOKUP(tblPayrollMaster[[#This Row],[Employee ID]], tblEmployee[Employee ID], tblEmployee[Pay Status], "Pay")</f>
        <v>Pay</v>
      </c>
      <c r="E956" s="24" t="str">
        <f>_xlfn.XLOOKUP(tblPayrollMaster[[#This Row],[Employee ID]], tblEmployee[Employee ID], tblEmployee[Payable Flag], "Y")</f>
        <v>Y</v>
      </c>
      <c r="F956" s="45">
        <f>IF(tblPayrollMaster[[#This Row],[Payable Flag]]="N",0,_xlfn.XLOOKUP(tblPayrollMaster[[#This Row],[Employee ID]],tblEmployee[Employee ID],tblEmployee[Pay Factor],1))</f>
        <v>1</v>
      </c>
      <c r="G956" s="26" t="str" cm="1">
        <f t="array" ref="G956">IF(tblPayrollMaster[[#This Row],[Employee ID]]="","",_xlfn.XLOOKUP(selPayPeriodID,tblPayCalendar[PayPeriodID],tblPayCalendar[PeriodStart],""))</f>
        <v/>
      </c>
      <c r="H956" s="26" t="str" cm="1">
        <f t="array" ref="H956">IF(tblPayrollMaster[[#This Row],[Employee ID]]="","",_xlfn.XLOOKUP(selPayPeriodID,tblPayCalendar[PayPeriodID],tblPayCalendar[PeriodEnd],""))</f>
        <v/>
      </c>
      <c r="I956" s="24" t="e" cm="1" vm="1">
        <f t="array" aca="1" ref="I956" ca="1">Table18[Employer Name]</f>
        <v>#VALUE!</v>
      </c>
      <c r="J956" s="3" cm="1">
        <f t="array" ref="J95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56" s="25" t="str">
        <f>_xlfn.XLOOKUP(tblPayrollMaster[[#This Row],[Employee Position]],tblPositionandPayRate[Employee Position],tblPositionandPayRate[Overtime], " ")</f>
        <v xml:space="preserve"> </v>
      </c>
      <c r="L956" s="25">
        <f>_xlfn.XLOOKUP(tblPayrollMaster[[#This Row],[Employee Position]],tblPositionandPayRate[Employee Position],tblPositionandPayRate[Allowance 1],0)*tblPayrollMaster[[#This Row],[Pay Factor]]</f>
        <v>0</v>
      </c>
      <c r="M956" s="25">
        <f>_xlfn.XLOOKUP(tblPayrollMaster[[#This Row],[Employee Position]],tblPositionandPayRate[Employee Position],tblPositionandPayRate[Allowance 2],0)*tblPayrollMaster[[#This Row],[Pay Factor]]</f>
        <v>0</v>
      </c>
      <c r="N956" s="25">
        <f>_xlfn.XLOOKUP(tblPayrollMaster[[#This Row],[Employee Position]],tblPositionandPayRate[Employee Position],tblPositionandPayRate[Allowance 3],0)*tblPayrollMaster[[#This Row],[Pay Factor]]</f>
        <v>0</v>
      </c>
      <c r="O956" s="25">
        <f>_xlfn.XLOOKUP(tblPayrollMaster[[#This Row],[Employee Position]],tblPositionandPayRate[Employee Position],tblPositionandPayRate[Allowance 4],0)*tblPayrollMaster[[#This Row],[Pay Factor]]</f>
        <v>0</v>
      </c>
      <c r="P956" s="25">
        <f>_xlfn.XLOOKUP(tblPayrollMaster[[#This Row],[Employee Position]],tblPositionandPayRate[Employee Position],tblPositionandPayRate[Allowance 5],0)*tblPayrollMaster[[#This Row],[Pay Factor]]</f>
        <v>0</v>
      </c>
      <c r="Q956" s="25">
        <f>SUM(tblPayrollMaster[[#This Row],[Basic Pay]:[Allowance 5]])</f>
        <v>0</v>
      </c>
      <c r="R95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56" s="51" cm="1">
        <f t="array" ref="S9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56" s="3" cm="1">
        <f t="array" ref="T95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56" s="25">
        <f>_xlfn.LET(
_xlpm.tos, _xlfn.XLOOKUP(tblPayrollMaster[[#This Row],[Employee ID]], tblEmployee[Employee ID], tblEmployee[Type of Service], ""),
IF(_xlpm.tos="Contract of Service", 8.25, 0)
)</f>
        <v>0</v>
      </c>
      <c r="V956" s="25">
        <f>tblPayrollMaster[[#This Row],[Basic Earnings]]-tblPayrollMaster[[#This Row],[Tax]]-tblPayrollMaster[[#This Row],[NIS - Employee]]-tblPayrollMaster[[#This Row],[Health Surcharge]]</f>
        <v>0</v>
      </c>
      <c r="W956" s="25">
        <f>tblPayrollMaster[[#This Row],[Net Pay]]</f>
        <v>0</v>
      </c>
      <c r="X956" s="25"/>
    </row>
    <row r="957" spans="1:24" x14ac:dyDescent="0.25">
      <c r="A957" s="24"/>
      <c r="B957" s="24" t="str">
        <f>_xlfn.XLOOKUP(tblPayrollMaster[[#This Row],[Employee ID]],tblEmployee[Employee ID],tblEmployee[Employee Name],"")</f>
        <v/>
      </c>
      <c r="C957" s="24" t="str">
        <f>_xlfn.XLOOKUP(tblPayrollMaster[[#This Row],[Employee ID]],tblEmployee[Employee ID],tblEmployee[Employee Position],"")</f>
        <v/>
      </c>
      <c r="D957" s="24" t="str">
        <f>_xlfn.XLOOKUP(tblPayrollMaster[[#This Row],[Employee ID]], tblEmployee[Employee ID], tblEmployee[Pay Status], "Pay")</f>
        <v>Pay</v>
      </c>
      <c r="E957" s="24" t="str">
        <f>_xlfn.XLOOKUP(tblPayrollMaster[[#This Row],[Employee ID]], tblEmployee[Employee ID], tblEmployee[Payable Flag], "Y")</f>
        <v>Y</v>
      </c>
      <c r="F957" s="45">
        <f>IF(tblPayrollMaster[[#This Row],[Payable Flag]]="N",0,_xlfn.XLOOKUP(tblPayrollMaster[[#This Row],[Employee ID]],tblEmployee[Employee ID],tblEmployee[Pay Factor],1))</f>
        <v>1</v>
      </c>
      <c r="G957" s="26" t="str" cm="1">
        <f t="array" ref="G957">IF(tblPayrollMaster[[#This Row],[Employee ID]]="","",_xlfn.XLOOKUP(selPayPeriodID,tblPayCalendar[PayPeriodID],tblPayCalendar[PeriodStart],""))</f>
        <v/>
      </c>
      <c r="H957" s="26" t="str" cm="1">
        <f t="array" ref="H957">IF(tblPayrollMaster[[#This Row],[Employee ID]]="","",_xlfn.XLOOKUP(selPayPeriodID,tblPayCalendar[PayPeriodID],tblPayCalendar[PeriodEnd],""))</f>
        <v/>
      </c>
      <c r="I957" s="24" t="e" cm="1" vm="1">
        <f t="array" aca="1" ref="I957" ca="1">Table18[Employer Name]</f>
        <v>#VALUE!</v>
      </c>
      <c r="J957" s="3" cm="1">
        <f t="array" ref="J95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57" s="25" t="str">
        <f>_xlfn.XLOOKUP(tblPayrollMaster[[#This Row],[Employee Position]],tblPositionandPayRate[Employee Position],tblPositionandPayRate[Overtime], " ")</f>
        <v xml:space="preserve"> </v>
      </c>
      <c r="L957" s="25">
        <f>_xlfn.XLOOKUP(tblPayrollMaster[[#This Row],[Employee Position]],tblPositionandPayRate[Employee Position],tblPositionandPayRate[Allowance 1],0)*tblPayrollMaster[[#This Row],[Pay Factor]]</f>
        <v>0</v>
      </c>
      <c r="M957" s="25">
        <f>_xlfn.XLOOKUP(tblPayrollMaster[[#This Row],[Employee Position]],tblPositionandPayRate[Employee Position],tblPositionandPayRate[Allowance 2],0)*tblPayrollMaster[[#This Row],[Pay Factor]]</f>
        <v>0</v>
      </c>
      <c r="N957" s="25">
        <f>_xlfn.XLOOKUP(tblPayrollMaster[[#This Row],[Employee Position]],tblPositionandPayRate[Employee Position],tblPositionandPayRate[Allowance 3],0)*tblPayrollMaster[[#This Row],[Pay Factor]]</f>
        <v>0</v>
      </c>
      <c r="O957" s="25">
        <f>_xlfn.XLOOKUP(tblPayrollMaster[[#This Row],[Employee Position]],tblPositionandPayRate[Employee Position],tblPositionandPayRate[Allowance 4],0)*tblPayrollMaster[[#This Row],[Pay Factor]]</f>
        <v>0</v>
      </c>
      <c r="P957" s="25">
        <f>_xlfn.XLOOKUP(tblPayrollMaster[[#This Row],[Employee Position]],tblPositionandPayRate[Employee Position],tblPositionandPayRate[Allowance 5],0)*tblPayrollMaster[[#This Row],[Pay Factor]]</f>
        <v>0</v>
      </c>
      <c r="Q957" s="25">
        <f>SUM(tblPayrollMaster[[#This Row],[Basic Pay]:[Allowance 5]])</f>
        <v>0</v>
      </c>
      <c r="R95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57" s="51" cm="1">
        <f t="array" ref="S9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57" s="3" cm="1">
        <f t="array" ref="T95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57" s="25">
        <f>_xlfn.LET(
_xlpm.tos, _xlfn.XLOOKUP(tblPayrollMaster[[#This Row],[Employee ID]], tblEmployee[Employee ID], tblEmployee[Type of Service], ""),
IF(_xlpm.tos="Contract of Service", 8.25, 0)
)</f>
        <v>0</v>
      </c>
      <c r="V957" s="25">
        <f>tblPayrollMaster[[#This Row],[Basic Earnings]]-tblPayrollMaster[[#This Row],[Tax]]-tblPayrollMaster[[#This Row],[NIS - Employee]]-tblPayrollMaster[[#This Row],[Health Surcharge]]</f>
        <v>0</v>
      </c>
      <c r="W957" s="25">
        <f>tblPayrollMaster[[#This Row],[Net Pay]]</f>
        <v>0</v>
      </c>
      <c r="X957" s="25"/>
    </row>
    <row r="958" spans="1:24" x14ac:dyDescent="0.25">
      <c r="A958" s="24"/>
      <c r="B958" s="24" t="str">
        <f>_xlfn.XLOOKUP(tblPayrollMaster[[#This Row],[Employee ID]],tblEmployee[Employee ID],tblEmployee[Employee Name],"")</f>
        <v/>
      </c>
      <c r="C958" s="24" t="str">
        <f>_xlfn.XLOOKUP(tblPayrollMaster[[#This Row],[Employee ID]],tblEmployee[Employee ID],tblEmployee[Employee Position],"")</f>
        <v/>
      </c>
      <c r="D958" s="24" t="str">
        <f>_xlfn.XLOOKUP(tblPayrollMaster[[#This Row],[Employee ID]], tblEmployee[Employee ID], tblEmployee[Pay Status], "Pay")</f>
        <v>Pay</v>
      </c>
      <c r="E958" s="24" t="str">
        <f>_xlfn.XLOOKUP(tblPayrollMaster[[#This Row],[Employee ID]], tblEmployee[Employee ID], tblEmployee[Payable Flag], "Y")</f>
        <v>Y</v>
      </c>
      <c r="F958" s="45">
        <f>IF(tblPayrollMaster[[#This Row],[Payable Flag]]="N",0,_xlfn.XLOOKUP(tblPayrollMaster[[#This Row],[Employee ID]],tblEmployee[Employee ID],tblEmployee[Pay Factor],1))</f>
        <v>1</v>
      </c>
      <c r="G958" s="26" t="str" cm="1">
        <f t="array" ref="G958">IF(tblPayrollMaster[[#This Row],[Employee ID]]="","",_xlfn.XLOOKUP(selPayPeriodID,tblPayCalendar[PayPeriodID],tblPayCalendar[PeriodStart],""))</f>
        <v/>
      </c>
      <c r="H958" s="26" t="str" cm="1">
        <f t="array" ref="H958">IF(tblPayrollMaster[[#This Row],[Employee ID]]="","",_xlfn.XLOOKUP(selPayPeriodID,tblPayCalendar[PayPeriodID],tblPayCalendar[PeriodEnd],""))</f>
        <v/>
      </c>
      <c r="I958" s="24" t="e" cm="1" vm="1">
        <f t="array" aca="1" ref="I958" ca="1">Table18[Employer Name]</f>
        <v>#VALUE!</v>
      </c>
      <c r="J958" s="3" cm="1">
        <f t="array" ref="J95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58" s="25" t="str">
        <f>_xlfn.XLOOKUP(tblPayrollMaster[[#This Row],[Employee Position]],tblPositionandPayRate[Employee Position],tblPositionandPayRate[Overtime], " ")</f>
        <v xml:space="preserve"> </v>
      </c>
      <c r="L958" s="25">
        <f>_xlfn.XLOOKUP(tblPayrollMaster[[#This Row],[Employee Position]],tblPositionandPayRate[Employee Position],tblPositionandPayRate[Allowance 1],0)*tblPayrollMaster[[#This Row],[Pay Factor]]</f>
        <v>0</v>
      </c>
      <c r="M958" s="25">
        <f>_xlfn.XLOOKUP(tblPayrollMaster[[#This Row],[Employee Position]],tblPositionandPayRate[Employee Position],tblPositionandPayRate[Allowance 2],0)*tblPayrollMaster[[#This Row],[Pay Factor]]</f>
        <v>0</v>
      </c>
      <c r="N958" s="25">
        <f>_xlfn.XLOOKUP(tblPayrollMaster[[#This Row],[Employee Position]],tblPositionandPayRate[Employee Position],tblPositionandPayRate[Allowance 3],0)*tblPayrollMaster[[#This Row],[Pay Factor]]</f>
        <v>0</v>
      </c>
      <c r="O958" s="25">
        <f>_xlfn.XLOOKUP(tblPayrollMaster[[#This Row],[Employee Position]],tblPositionandPayRate[Employee Position],tblPositionandPayRate[Allowance 4],0)*tblPayrollMaster[[#This Row],[Pay Factor]]</f>
        <v>0</v>
      </c>
      <c r="P958" s="25">
        <f>_xlfn.XLOOKUP(tblPayrollMaster[[#This Row],[Employee Position]],tblPositionandPayRate[Employee Position],tblPositionandPayRate[Allowance 5],0)*tblPayrollMaster[[#This Row],[Pay Factor]]</f>
        <v>0</v>
      </c>
      <c r="Q958" s="25">
        <f>SUM(tblPayrollMaster[[#This Row],[Basic Pay]:[Allowance 5]])</f>
        <v>0</v>
      </c>
      <c r="R95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58" s="51" cm="1">
        <f t="array" ref="S9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58" s="3" cm="1">
        <f t="array" ref="T95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58" s="25">
        <f>_xlfn.LET(
_xlpm.tos, _xlfn.XLOOKUP(tblPayrollMaster[[#This Row],[Employee ID]], tblEmployee[Employee ID], tblEmployee[Type of Service], ""),
IF(_xlpm.tos="Contract of Service", 8.25, 0)
)</f>
        <v>0</v>
      </c>
      <c r="V958" s="25">
        <f>tblPayrollMaster[[#This Row],[Basic Earnings]]-tblPayrollMaster[[#This Row],[Tax]]-tblPayrollMaster[[#This Row],[NIS - Employee]]-tblPayrollMaster[[#This Row],[Health Surcharge]]</f>
        <v>0</v>
      </c>
      <c r="W958" s="25">
        <f>tblPayrollMaster[[#This Row],[Net Pay]]</f>
        <v>0</v>
      </c>
      <c r="X958" s="25"/>
    </row>
    <row r="959" spans="1:24" x14ac:dyDescent="0.25">
      <c r="A959" s="24"/>
      <c r="B959" s="24" t="str">
        <f>_xlfn.XLOOKUP(tblPayrollMaster[[#This Row],[Employee ID]],tblEmployee[Employee ID],tblEmployee[Employee Name],"")</f>
        <v/>
      </c>
      <c r="C959" s="24" t="str">
        <f>_xlfn.XLOOKUP(tblPayrollMaster[[#This Row],[Employee ID]],tblEmployee[Employee ID],tblEmployee[Employee Position],"")</f>
        <v/>
      </c>
      <c r="D959" s="24" t="str">
        <f>_xlfn.XLOOKUP(tblPayrollMaster[[#This Row],[Employee ID]], tblEmployee[Employee ID], tblEmployee[Pay Status], "Pay")</f>
        <v>Pay</v>
      </c>
      <c r="E959" s="24" t="str">
        <f>_xlfn.XLOOKUP(tblPayrollMaster[[#This Row],[Employee ID]], tblEmployee[Employee ID], tblEmployee[Payable Flag], "Y")</f>
        <v>Y</v>
      </c>
      <c r="F959" s="45">
        <f>IF(tblPayrollMaster[[#This Row],[Payable Flag]]="N",0,_xlfn.XLOOKUP(tblPayrollMaster[[#This Row],[Employee ID]],tblEmployee[Employee ID],tblEmployee[Pay Factor],1))</f>
        <v>1</v>
      </c>
      <c r="G959" s="26" t="str" cm="1">
        <f t="array" ref="G959">IF(tblPayrollMaster[[#This Row],[Employee ID]]="","",_xlfn.XLOOKUP(selPayPeriodID,tblPayCalendar[PayPeriodID],tblPayCalendar[PeriodStart],""))</f>
        <v/>
      </c>
      <c r="H959" s="26" t="str" cm="1">
        <f t="array" ref="H959">IF(tblPayrollMaster[[#This Row],[Employee ID]]="","",_xlfn.XLOOKUP(selPayPeriodID,tblPayCalendar[PayPeriodID],tblPayCalendar[PeriodEnd],""))</f>
        <v/>
      </c>
      <c r="I959" s="24" t="e" cm="1" vm="1">
        <f t="array" aca="1" ref="I959" ca="1">Table18[Employer Name]</f>
        <v>#VALUE!</v>
      </c>
      <c r="J959" s="3" cm="1">
        <f t="array" ref="J95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59" s="25" t="str">
        <f>_xlfn.XLOOKUP(tblPayrollMaster[[#This Row],[Employee Position]],tblPositionandPayRate[Employee Position],tblPositionandPayRate[Overtime], " ")</f>
        <v xml:space="preserve"> </v>
      </c>
      <c r="L959" s="25">
        <f>_xlfn.XLOOKUP(tblPayrollMaster[[#This Row],[Employee Position]],tblPositionandPayRate[Employee Position],tblPositionandPayRate[Allowance 1],0)*tblPayrollMaster[[#This Row],[Pay Factor]]</f>
        <v>0</v>
      </c>
      <c r="M959" s="25">
        <f>_xlfn.XLOOKUP(tblPayrollMaster[[#This Row],[Employee Position]],tblPositionandPayRate[Employee Position],tblPositionandPayRate[Allowance 2],0)*tblPayrollMaster[[#This Row],[Pay Factor]]</f>
        <v>0</v>
      </c>
      <c r="N959" s="25">
        <f>_xlfn.XLOOKUP(tblPayrollMaster[[#This Row],[Employee Position]],tblPositionandPayRate[Employee Position],tblPositionandPayRate[Allowance 3],0)*tblPayrollMaster[[#This Row],[Pay Factor]]</f>
        <v>0</v>
      </c>
      <c r="O959" s="25">
        <f>_xlfn.XLOOKUP(tblPayrollMaster[[#This Row],[Employee Position]],tblPositionandPayRate[Employee Position],tblPositionandPayRate[Allowance 4],0)*tblPayrollMaster[[#This Row],[Pay Factor]]</f>
        <v>0</v>
      </c>
      <c r="P959" s="25">
        <f>_xlfn.XLOOKUP(tblPayrollMaster[[#This Row],[Employee Position]],tblPositionandPayRate[Employee Position],tblPositionandPayRate[Allowance 5],0)*tblPayrollMaster[[#This Row],[Pay Factor]]</f>
        <v>0</v>
      </c>
      <c r="Q959" s="25">
        <f>SUM(tblPayrollMaster[[#This Row],[Basic Pay]:[Allowance 5]])</f>
        <v>0</v>
      </c>
      <c r="R95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59" s="51" cm="1">
        <f t="array" ref="S9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59" s="3" cm="1">
        <f t="array" ref="T95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59" s="25">
        <f>_xlfn.LET(
_xlpm.tos, _xlfn.XLOOKUP(tblPayrollMaster[[#This Row],[Employee ID]], tblEmployee[Employee ID], tblEmployee[Type of Service], ""),
IF(_xlpm.tos="Contract of Service", 8.25, 0)
)</f>
        <v>0</v>
      </c>
      <c r="V959" s="25">
        <f>tblPayrollMaster[[#This Row],[Basic Earnings]]-tblPayrollMaster[[#This Row],[Tax]]-tblPayrollMaster[[#This Row],[NIS - Employee]]-tblPayrollMaster[[#This Row],[Health Surcharge]]</f>
        <v>0</v>
      </c>
      <c r="W959" s="25">
        <f>tblPayrollMaster[[#This Row],[Net Pay]]</f>
        <v>0</v>
      </c>
      <c r="X959" s="25"/>
    </row>
    <row r="960" spans="1:24" x14ac:dyDescent="0.25">
      <c r="A960" s="24"/>
      <c r="B960" s="24" t="str">
        <f>_xlfn.XLOOKUP(tblPayrollMaster[[#This Row],[Employee ID]],tblEmployee[Employee ID],tblEmployee[Employee Name],"")</f>
        <v/>
      </c>
      <c r="C960" s="24" t="str">
        <f>_xlfn.XLOOKUP(tblPayrollMaster[[#This Row],[Employee ID]],tblEmployee[Employee ID],tblEmployee[Employee Position],"")</f>
        <v/>
      </c>
      <c r="D960" s="24" t="str">
        <f>_xlfn.XLOOKUP(tblPayrollMaster[[#This Row],[Employee ID]], tblEmployee[Employee ID], tblEmployee[Pay Status], "Pay")</f>
        <v>Pay</v>
      </c>
      <c r="E960" s="24" t="str">
        <f>_xlfn.XLOOKUP(tblPayrollMaster[[#This Row],[Employee ID]], tblEmployee[Employee ID], tblEmployee[Payable Flag], "Y")</f>
        <v>Y</v>
      </c>
      <c r="F960" s="45">
        <f>IF(tblPayrollMaster[[#This Row],[Payable Flag]]="N",0,_xlfn.XLOOKUP(tblPayrollMaster[[#This Row],[Employee ID]],tblEmployee[Employee ID],tblEmployee[Pay Factor],1))</f>
        <v>1</v>
      </c>
      <c r="G960" s="26" t="str" cm="1">
        <f t="array" ref="G960">IF(tblPayrollMaster[[#This Row],[Employee ID]]="","",_xlfn.XLOOKUP(selPayPeriodID,tblPayCalendar[PayPeriodID],tblPayCalendar[PeriodStart],""))</f>
        <v/>
      </c>
      <c r="H960" s="26" t="str" cm="1">
        <f t="array" ref="H960">IF(tblPayrollMaster[[#This Row],[Employee ID]]="","",_xlfn.XLOOKUP(selPayPeriodID,tblPayCalendar[PayPeriodID],tblPayCalendar[PeriodEnd],""))</f>
        <v/>
      </c>
      <c r="I960" s="24" t="e" cm="1" vm="1">
        <f t="array" aca="1" ref="I960" ca="1">Table18[Employer Name]</f>
        <v>#VALUE!</v>
      </c>
      <c r="J960" s="3" cm="1">
        <f t="array" ref="J96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60" s="25" t="str">
        <f>_xlfn.XLOOKUP(tblPayrollMaster[[#This Row],[Employee Position]],tblPositionandPayRate[Employee Position],tblPositionandPayRate[Overtime], " ")</f>
        <v xml:space="preserve"> </v>
      </c>
      <c r="L960" s="25">
        <f>_xlfn.XLOOKUP(tblPayrollMaster[[#This Row],[Employee Position]],tblPositionandPayRate[Employee Position],tblPositionandPayRate[Allowance 1],0)*tblPayrollMaster[[#This Row],[Pay Factor]]</f>
        <v>0</v>
      </c>
      <c r="M960" s="25">
        <f>_xlfn.XLOOKUP(tblPayrollMaster[[#This Row],[Employee Position]],tblPositionandPayRate[Employee Position],tblPositionandPayRate[Allowance 2],0)*tblPayrollMaster[[#This Row],[Pay Factor]]</f>
        <v>0</v>
      </c>
      <c r="N960" s="25">
        <f>_xlfn.XLOOKUP(tblPayrollMaster[[#This Row],[Employee Position]],tblPositionandPayRate[Employee Position],tblPositionandPayRate[Allowance 3],0)*tblPayrollMaster[[#This Row],[Pay Factor]]</f>
        <v>0</v>
      </c>
      <c r="O960" s="25">
        <f>_xlfn.XLOOKUP(tblPayrollMaster[[#This Row],[Employee Position]],tblPositionandPayRate[Employee Position],tblPositionandPayRate[Allowance 4],0)*tblPayrollMaster[[#This Row],[Pay Factor]]</f>
        <v>0</v>
      </c>
      <c r="P960" s="25">
        <f>_xlfn.XLOOKUP(tblPayrollMaster[[#This Row],[Employee Position]],tblPositionandPayRate[Employee Position],tblPositionandPayRate[Allowance 5],0)*tblPayrollMaster[[#This Row],[Pay Factor]]</f>
        <v>0</v>
      </c>
      <c r="Q960" s="25">
        <f>SUM(tblPayrollMaster[[#This Row],[Basic Pay]:[Allowance 5]])</f>
        <v>0</v>
      </c>
      <c r="R96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60" s="51" cm="1">
        <f t="array" ref="S9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60" s="3" cm="1">
        <f t="array" ref="T96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60" s="25">
        <f>_xlfn.LET(
_xlpm.tos, _xlfn.XLOOKUP(tblPayrollMaster[[#This Row],[Employee ID]], tblEmployee[Employee ID], tblEmployee[Type of Service], ""),
IF(_xlpm.tos="Contract of Service", 8.25, 0)
)</f>
        <v>0</v>
      </c>
      <c r="V960" s="25">
        <f>tblPayrollMaster[[#This Row],[Basic Earnings]]-tblPayrollMaster[[#This Row],[Tax]]-tblPayrollMaster[[#This Row],[NIS - Employee]]-tblPayrollMaster[[#This Row],[Health Surcharge]]</f>
        <v>0</v>
      </c>
      <c r="W960" s="25">
        <f>tblPayrollMaster[[#This Row],[Net Pay]]</f>
        <v>0</v>
      </c>
      <c r="X960" s="25"/>
    </row>
    <row r="961" spans="1:24" x14ac:dyDescent="0.25">
      <c r="A961" s="24"/>
      <c r="B961" s="24" t="str">
        <f>_xlfn.XLOOKUP(tblPayrollMaster[[#This Row],[Employee ID]],tblEmployee[Employee ID],tblEmployee[Employee Name],"")</f>
        <v/>
      </c>
      <c r="C961" s="24" t="str">
        <f>_xlfn.XLOOKUP(tblPayrollMaster[[#This Row],[Employee ID]],tblEmployee[Employee ID],tblEmployee[Employee Position],"")</f>
        <v/>
      </c>
      <c r="D961" s="24" t="str">
        <f>_xlfn.XLOOKUP(tblPayrollMaster[[#This Row],[Employee ID]], tblEmployee[Employee ID], tblEmployee[Pay Status], "Pay")</f>
        <v>Pay</v>
      </c>
      <c r="E961" s="24" t="str">
        <f>_xlfn.XLOOKUP(tblPayrollMaster[[#This Row],[Employee ID]], tblEmployee[Employee ID], tblEmployee[Payable Flag], "Y")</f>
        <v>Y</v>
      </c>
      <c r="F961" s="45">
        <f>IF(tblPayrollMaster[[#This Row],[Payable Flag]]="N",0,_xlfn.XLOOKUP(tblPayrollMaster[[#This Row],[Employee ID]],tblEmployee[Employee ID],tblEmployee[Pay Factor],1))</f>
        <v>1</v>
      </c>
      <c r="G961" s="26" t="str" cm="1">
        <f t="array" ref="G961">IF(tblPayrollMaster[[#This Row],[Employee ID]]="","",_xlfn.XLOOKUP(selPayPeriodID,tblPayCalendar[PayPeriodID],tblPayCalendar[PeriodStart],""))</f>
        <v/>
      </c>
      <c r="H961" s="26" t="str" cm="1">
        <f t="array" ref="H961">IF(tblPayrollMaster[[#This Row],[Employee ID]]="","",_xlfn.XLOOKUP(selPayPeriodID,tblPayCalendar[PayPeriodID],tblPayCalendar[PeriodEnd],""))</f>
        <v/>
      </c>
      <c r="I961" s="24" t="e" cm="1" vm="1">
        <f t="array" aca="1" ref="I961" ca="1">Table18[Employer Name]</f>
        <v>#VALUE!</v>
      </c>
      <c r="J961" s="3" cm="1">
        <f t="array" ref="J96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61" s="25" t="str">
        <f>_xlfn.XLOOKUP(tblPayrollMaster[[#This Row],[Employee Position]],tblPositionandPayRate[Employee Position],tblPositionandPayRate[Overtime], " ")</f>
        <v xml:space="preserve"> </v>
      </c>
      <c r="L961" s="25">
        <f>_xlfn.XLOOKUP(tblPayrollMaster[[#This Row],[Employee Position]],tblPositionandPayRate[Employee Position],tblPositionandPayRate[Allowance 1],0)*tblPayrollMaster[[#This Row],[Pay Factor]]</f>
        <v>0</v>
      </c>
      <c r="M961" s="25">
        <f>_xlfn.XLOOKUP(tblPayrollMaster[[#This Row],[Employee Position]],tblPositionandPayRate[Employee Position],tblPositionandPayRate[Allowance 2],0)*tblPayrollMaster[[#This Row],[Pay Factor]]</f>
        <v>0</v>
      </c>
      <c r="N961" s="25">
        <f>_xlfn.XLOOKUP(tblPayrollMaster[[#This Row],[Employee Position]],tblPositionandPayRate[Employee Position],tblPositionandPayRate[Allowance 3],0)*tblPayrollMaster[[#This Row],[Pay Factor]]</f>
        <v>0</v>
      </c>
      <c r="O961" s="25">
        <f>_xlfn.XLOOKUP(tblPayrollMaster[[#This Row],[Employee Position]],tblPositionandPayRate[Employee Position],tblPositionandPayRate[Allowance 4],0)*tblPayrollMaster[[#This Row],[Pay Factor]]</f>
        <v>0</v>
      </c>
      <c r="P961" s="25">
        <f>_xlfn.XLOOKUP(tblPayrollMaster[[#This Row],[Employee Position]],tblPositionandPayRate[Employee Position],tblPositionandPayRate[Allowance 5],0)*tblPayrollMaster[[#This Row],[Pay Factor]]</f>
        <v>0</v>
      </c>
      <c r="Q961" s="25">
        <f>SUM(tblPayrollMaster[[#This Row],[Basic Pay]:[Allowance 5]])</f>
        <v>0</v>
      </c>
      <c r="R96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61" s="51" cm="1">
        <f t="array" ref="S9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61" s="3" cm="1">
        <f t="array" ref="T96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61" s="25">
        <f>_xlfn.LET(
_xlpm.tos, _xlfn.XLOOKUP(tblPayrollMaster[[#This Row],[Employee ID]], tblEmployee[Employee ID], tblEmployee[Type of Service], ""),
IF(_xlpm.tos="Contract of Service", 8.25, 0)
)</f>
        <v>0</v>
      </c>
      <c r="V961" s="25">
        <f>tblPayrollMaster[[#This Row],[Basic Earnings]]-tblPayrollMaster[[#This Row],[Tax]]-tblPayrollMaster[[#This Row],[NIS - Employee]]-tblPayrollMaster[[#This Row],[Health Surcharge]]</f>
        <v>0</v>
      </c>
      <c r="W961" s="25">
        <f>tblPayrollMaster[[#This Row],[Net Pay]]</f>
        <v>0</v>
      </c>
      <c r="X961" s="25"/>
    </row>
    <row r="962" spans="1:24" x14ac:dyDescent="0.25">
      <c r="A962" s="24"/>
      <c r="B962" s="24" t="str">
        <f>_xlfn.XLOOKUP(tblPayrollMaster[[#This Row],[Employee ID]],tblEmployee[Employee ID],tblEmployee[Employee Name],"")</f>
        <v/>
      </c>
      <c r="C962" s="24" t="str">
        <f>_xlfn.XLOOKUP(tblPayrollMaster[[#This Row],[Employee ID]],tblEmployee[Employee ID],tblEmployee[Employee Position],"")</f>
        <v/>
      </c>
      <c r="D962" s="24" t="str">
        <f>_xlfn.XLOOKUP(tblPayrollMaster[[#This Row],[Employee ID]], tblEmployee[Employee ID], tblEmployee[Pay Status], "Pay")</f>
        <v>Pay</v>
      </c>
      <c r="E962" s="24" t="str">
        <f>_xlfn.XLOOKUP(tblPayrollMaster[[#This Row],[Employee ID]], tblEmployee[Employee ID], tblEmployee[Payable Flag], "Y")</f>
        <v>Y</v>
      </c>
      <c r="F962" s="45">
        <f>IF(tblPayrollMaster[[#This Row],[Payable Flag]]="N",0,_xlfn.XLOOKUP(tblPayrollMaster[[#This Row],[Employee ID]],tblEmployee[Employee ID],tblEmployee[Pay Factor],1))</f>
        <v>1</v>
      </c>
      <c r="G962" s="26" t="str" cm="1">
        <f t="array" ref="G962">IF(tblPayrollMaster[[#This Row],[Employee ID]]="","",_xlfn.XLOOKUP(selPayPeriodID,tblPayCalendar[PayPeriodID],tblPayCalendar[PeriodStart],""))</f>
        <v/>
      </c>
      <c r="H962" s="26" t="str" cm="1">
        <f t="array" ref="H962">IF(tblPayrollMaster[[#This Row],[Employee ID]]="","",_xlfn.XLOOKUP(selPayPeriodID,tblPayCalendar[PayPeriodID],tblPayCalendar[PeriodEnd],""))</f>
        <v/>
      </c>
      <c r="I962" s="24" t="e" cm="1" vm="1">
        <f t="array" aca="1" ref="I962" ca="1">Table18[Employer Name]</f>
        <v>#VALUE!</v>
      </c>
      <c r="J962" s="3" cm="1">
        <f t="array" ref="J96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62" s="25" t="str">
        <f>_xlfn.XLOOKUP(tblPayrollMaster[[#This Row],[Employee Position]],tblPositionandPayRate[Employee Position],tblPositionandPayRate[Overtime], " ")</f>
        <v xml:space="preserve"> </v>
      </c>
      <c r="L962" s="25">
        <f>_xlfn.XLOOKUP(tblPayrollMaster[[#This Row],[Employee Position]],tblPositionandPayRate[Employee Position],tblPositionandPayRate[Allowance 1],0)*tblPayrollMaster[[#This Row],[Pay Factor]]</f>
        <v>0</v>
      </c>
      <c r="M962" s="25">
        <f>_xlfn.XLOOKUP(tblPayrollMaster[[#This Row],[Employee Position]],tblPositionandPayRate[Employee Position],tblPositionandPayRate[Allowance 2],0)*tblPayrollMaster[[#This Row],[Pay Factor]]</f>
        <v>0</v>
      </c>
      <c r="N962" s="25">
        <f>_xlfn.XLOOKUP(tblPayrollMaster[[#This Row],[Employee Position]],tblPositionandPayRate[Employee Position],tblPositionandPayRate[Allowance 3],0)*tblPayrollMaster[[#This Row],[Pay Factor]]</f>
        <v>0</v>
      </c>
      <c r="O962" s="25">
        <f>_xlfn.XLOOKUP(tblPayrollMaster[[#This Row],[Employee Position]],tblPositionandPayRate[Employee Position],tblPositionandPayRate[Allowance 4],0)*tblPayrollMaster[[#This Row],[Pay Factor]]</f>
        <v>0</v>
      </c>
      <c r="P962" s="25">
        <f>_xlfn.XLOOKUP(tblPayrollMaster[[#This Row],[Employee Position]],tblPositionandPayRate[Employee Position],tblPositionandPayRate[Allowance 5],0)*tblPayrollMaster[[#This Row],[Pay Factor]]</f>
        <v>0</v>
      </c>
      <c r="Q962" s="25">
        <f>SUM(tblPayrollMaster[[#This Row],[Basic Pay]:[Allowance 5]])</f>
        <v>0</v>
      </c>
      <c r="R96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62" s="51" cm="1">
        <f t="array" ref="S9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62" s="3" cm="1">
        <f t="array" ref="T96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62" s="25">
        <f>_xlfn.LET(
_xlpm.tos, _xlfn.XLOOKUP(tblPayrollMaster[[#This Row],[Employee ID]], tblEmployee[Employee ID], tblEmployee[Type of Service], ""),
IF(_xlpm.tos="Contract of Service", 8.25, 0)
)</f>
        <v>0</v>
      </c>
      <c r="V962" s="25">
        <f>tblPayrollMaster[[#This Row],[Basic Earnings]]-tblPayrollMaster[[#This Row],[Tax]]-tblPayrollMaster[[#This Row],[NIS - Employee]]-tblPayrollMaster[[#This Row],[Health Surcharge]]</f>
        <v>0</v>
      </c>
      <c r="W962" s="25">
        <f>tblPayrollMaster[[#This Row],[Net Pay]]</f>
        <v>0</v>
      </c>
      <c r="X962" s="25"/>
    </row>
    <row r="963" spans="1:24" x14ac:dyDescent="0.25">
      <c r="A963" s="24"/>
      <c r="B963" s="24" t="str">
        <f>_xlfn.XLOOKUP(tblPayrollMaster[[#This Row],[Employee ID]],tblEmployee[Employee ID],tblEmployee[Employee Name],"")</f>
        <v/>
      </c>
      <c r="C963" s="24" t="str">
        <f>_xlfn.XLOOKUP(tblPayrollMaster[[#This Row],[Employee ID]],tblEmployee[Employee ID],tblEmployee[Employee Position],"")</f>
        <v/>
      </c>
      <c r="D963" s="24" t="str">
        <f>_xlfn.XLOOKUP(tblPayrollMaster[[#This Row],[Employee ID]], tblEmployee[Employee ID], tblEmployee[Pay Status], "Pay")</f>
        <v>Pay</v>
      </c>
      <c r="E963" s="24" t="str">
        <f>_xlfn.XLOOKUP(tblPayrollMaster[[#This Row],[Employee ID]], tblEmployee[Employee ID], tblEmployee[Payable Flag], "Y")</f>
        <v>Y</v>
      </c>
      <c r="F963" s="45">
        <f>IF(tblPayrollMaster[[#This Row],[Payable Flag]]="N",0,_xlfn.XLOOKUP(tblPayrollMaster[[#This Row],[Employee ID]],tblEmployee[Employee ID],tblEmployee[Pay Factor],1))</f>
        <v>1</v>
      </c>
      <c r="G963" s="26" t="str" cm="1">
        <f t="array" ref="G963">IF(tblPayrollMaster[[#This Row],[Employee ID]]="","",_xlfn.XLOOKUP(selPayPeriodID,tblPayCalendar[PayPeriodID],tblPayCalendar[PeriodStart],""))</f>
        <v/>
      </c>
      <c r="H963" s="26" t="str" cm="1">
        <f t="array" ref="H963">IF(tblPayrollMaster[[#This Row],[Employee ID]]="","",_xlfn.XLOOKUP(selPayPeriodID,tblPayCalendar[PayPeriodID],tblPayCalendar[PeriodEnd],""))</f>
        <v/>
      </c>
      <c r="I963" s="24" t="e" cm="1" vm="1">
        <f t="array" aca="1" ref="I963" ca="1">Table18[Employer Name]</f>
        <v>#VALUE!</v>
      </c>
      <c r="J963" s="3" cm="1">
        <f t="array" ref="J96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63" s="25" t="str">
        <f>_xlfn.XLOOKUP(tblPayrollMaster[[#This Row],[Employee Position]],tblPositionandPayRate[Employee Position],tblPositionandPayRate[Overtime], " ")</f>
        <v xml:space="preserve"> </v>
      </c>
      <c r="L963" s="25">
        <f>_xlfn.XLOOKUP(tblPayrollMaster[[#This Row],[Employee Position]],tblPositionandPayRate[Employee Position],tblPositionandPayRate[Allowance 1],0)*tblPayrollMaster[[#This Row],[Pay Factor]]</f>
        <v>0</v>
      </c>
      <c r="M963" s="25">
        <f>_xlfn.XLOOKUP(tblPayrollMaster[[#This Row],[Employee Position]],tblPositionandPayRate[Employee Position],tblPositionandPayRate[Allowance 2],0)*tblPayrollMaster[[#This Row],[Pay Factor]]</f>
        <v>0</v>
      </c>
      <c r="N963" s="25">
        <f>_xlfn.XLOOKUP(tblPayrollMaster[[#This Row],[Employee Position]],tblPositionandPayRate[Employee Position],tblPositionandPayRate[Allowance 3],0)*tblPayrollMaster[[#This Row],[Pay Factor]]</f>
        <v>0</v>
      </c>
      <c r="O963" s="25">
        <f>_xlfn.XLOOKUP(tblPayrollMaster[[#This Row],[Employee Position]],tblPositionandPayRate[Employee Position],tblPositionandPayRate[Allowance 4],0)*tblPayrollMaster[[#This Row],[Pay Factor]]</f>
        <v>0</v>
      </c>
      <c r="P963" s="25">
        <f>_xlfn.XLOOKUP(tblPayrollMaster[[#This Row],[Employee Position]],tblPositionandPayRate[Employee Position],tblPositionandPayRate[Allowance 5],0)*tblPayrollMaster[[#This Row],[Pay Factor]]</f>
        <v>0</v>
      </c>
      <c r="Q963" s="25">
        <f>SUM(tblPayrollMaster[[#This Row],[Basic Pay]:[Allowance 5]])</f>
        <v>0</v>
      </c>
      <c r="R96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63" s="51" cm="1">
        <f t="array" ref="S9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63" s="3" cm="1">
        <f t="array" ref="T96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63" s="25">
        <f>_xlfn.LET(
_xlpm.tos, _xlfn.XLOOKUP(tblPayrollMaster[[#This Row],[Employee ID]], tblEmployee[Employee ID], tblEmployee[Type of Service], ""),
IF(_xlpm.tos="Contract of Service", 8.25, 0)
)</f>
        <v>0</v>
      </c>
      <c r="V963" s="25">
        <f>tblPayrollMaster[[#This Row],[Basic Earnings]]-tblPayrollMaster[[#This Row],[Tax]]-tblPayrollMaster[[#This Row],[NIS - Employee]]-tblPayrollMaster[[#This Row],[Health Surcharge]]</f>
        <v>0</v>
      </c>
      <c r="W963" s="25">
        <f>tblPayrollMaster[[#This Row],[Net Pay]]</f>
        <v>0</v>
      </c>
      <c r="X963" s="25"/>
    </row>
    <row r="964" spans="1:24" x14ac:dyDescent="0.25">
      <c r="A964" s="24"/>
      <c r="B964" s="24" t="str">
        <f>_xlfn.XLOOKUP(tblPayrollMaster[[#This Row],[Employee ID]],tblEmployee[Employee ID],tblEmployee[Employee Name],"")</f>
        <v/>
      </c>
      <c r="C964" s="24" t="str">
        <f>_xlfn.XLOOKUP(tblPayrollMaster[[#This Row],[Employee ID]],tblEmployee[Employee ID],tblEmployee[Employee Position],"")</f>
        <v/>
      </c>
      <c r="D964" s="24" t="str">
        <f>_xlfn.XLOOKUP(tblPayrollMaster[[#This Row],[Employee ID]], tblEmployee[Employee ID], tblEmployee[Pay Status], "Pay")</f>
        <v>Pay</v>
      </c>
      <c r="E964" s="24" t="str">
        <f>_xlfn.XLOOKUP(tblPayrollMaster[[#This Row],[Employee ID]], tblEmployee[Employee ID], tblEmployee[Payable Flag], "Y")</f>
        <v>Y</v>
      </c>
      <c r="F964" s="45">
        <f>IF(tblPayrollMaster[[#This Row],[Payable Flag]]="N",0,_xlfn.XLOOKUP(tblPayrollMaster[[#This Row],[Employee ID]],tblEmployee[Employee ID],tblEmployee[Pay Factor],1))</f>
        <v>1</v>
      </c>
      <c r="G964" s="26" t="str" cm="1">
        <f t="array" ref="G964">IF(tblPayrollMaster[[#This Row],[Employee ID]]="","",_xlfn.XLOOKUP(selPayPeriodID,tblPayCalendar[PayPeriodID],tblPayCalendar[PeriodStart],""))</f>
        <v/>
      </c>
      <c r="H964" s="26" t="str" cm="1">
        <f t="array" ref="H964">IF(tblPayrollMaster[[#This Row],[Employee ID]]="","",_xlfn.XLOOKUP(selPayPeriodID,tblPayCalendar[PayPeriodID],tblPayCalendar[PeriodEnd],""))</f>
        <v/>
      </c>
      <c r="I964" s="24" t="e" cm="1" vm="1">
        <f t="array" aca="1" ref="I964" ca="1">Table18[Employer Name]</f>
        <v>#VALUE!</v>
      </c>
      <c r="J964" s="3" cm="1">
        <f t="array" ref="J96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64" s="25" t="str">
        <f>_xlfn.XLOOKUP(tblPayrollMaster[[#This Row],[Employee Position]],tblPositionandPayRate[Employee Position],tblPositionandPayRate[Overtime], " ")</f>
        <v xml:space="preserve"> </v>
      </c>
      <c r="L964" s="25">
        <f>_xlfn.XLOOKUP(tblPayrollMaster[[#This Row],[Employee Position]],tblPositionandPayRate[Employee Position],tblPositionandPayRate[Allowance 1],0)*tblPayrollMaster[[#This Row],[Pay Factor]]</f>
        <v>0</v>
      </c>
      <c r="M964" s="25">
        <f>_xlfn.XLOOKUP(tblPayrollMaster[[#This Row],[Employee Position]],tblPositionandPayRate[Employee Position],tblPositionandPayRate[Allowance 2],0)*tblPayrollMaster[[#This Row],[Pay Factor]]</f>
        <v>0</v>
      </c>
      <c r="N964" s="25">
        <f>_xlfn.XLOOKUP(tblPayrollMaster[[#This Row],[Employee Position]],tblPositionandPayRate[Employee Position],tblPositionandPayRate[Allowance 3],0)*tblPayrollMaster[[#This Row],[Pay Factor]]</f>
        <v>0</v>
      </c>
      <c r="O964" s="25">
        <f>_xlfn.XLOOKUP(tblPayrollMaster[[#This Row],[Employee Position]],tblPositionandPayRate[Employee Position],tblPositionandPayRate[Allowance 4],0)*tblPayrollMaster[[#This Row],[Pay Factor]]</f>
        <v>0</v>
      </c>
      <c r="P964" s="25">
        <f>_xlfn.XLOOKUP(tblPayrollMaster[[#This Row],[Employee Position]],tblPositionandPayRate[Employee Position],tblPositionandPayRate[Allowance 5],0)*tblPayrollMaster[[#This Row],[Pay Factor]]</f>
        <v>0</v>
      </c>
      <c r="Q964" s="25">
        <f>SUM(tblPayrollMaster[[#This Row],[Basic Pay]:[Allowance 5]])</f>
        <v>0</v>
      </c>
      <c r="R96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64" s="51" cm="1">
        <f t="array" ref="S9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64" s="3" cm="1">
        <f t="array" ref="T96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64" s="25">
        <f>_xlfn.LET(
_xlpm.tos, _xlfn.XLOOKUP(tblPayrollMaster[[#This Row],[Employee ID]], tblEmployee[Employee ID], tblEmployee[Type of Service], ""),
IF(_xlpm.tos="Contract of Service", 8.25, 0)
)</f>
        <v>0</v>
      </c>
      <c r="V964" s="25">
        <f>tblPayrollMaster[[#This Row],[Basic Earnings]]-tblPayrollMaster[[#This Row],[Tax]]-tblPayrollMaster[[#This Row],[NIS - Employee]]-tblPayrollMaster[[#This Row],[Health Surcharge]]</f>
        <v>0</v>
      </c>
      <c r="W964" s="25">
        <f>tblPayrollMaster[[#This Row],[Net Pay]]</f>
        <v>0</v>
      </c>
      <c r="X964" s="25"/>
    </row>
    <row r="965" spans="1:24" x14ac:dyDescent="0.25">
      <c r="A965" s="24"/>
      <c r="B965" s="24" t="str">
        <f>_xlfn.XLOOKUP(tblPayrollMaster[[#This Row],[Employee ID]],tblEmployee[Employee ID],tblEmployee[Employee Name],"")</f>
        <v/>
      </c>
      <c r="C965" s="24" t="str">
        <f>_xlfn.XLOOKUP(tblPayrollMaster[[#This Row],[Employee ID]],tblEmployee[Employee ID],tblEmployee[Employee Position],"")</f>
        <v/>
      </c>
      <c r="D965" s="24" t="str">
        <f>_xlfn.XLOOKUP(tblPayrollMaster[[#This Row],[Employee ID]], tblEmployee[Employee ID], tblEmployee[Pay Status], "Pay")</f>
        <v>Pay</v>
      </c>
      <c r="E965" s="24" t="str">
        <f>_xlfn.XLOOKUP(tblPayrollMaster[[#This Row],[Employee ID]], tblEmployee[Employee ID], tblEmployee[Payable Flag], "Y")</f>
        <v>Y</v>
      </c>
      <c r="F965" s="45">
        <f>IF(tblPayrollMaster[[#This Row],[Payable Flag]]="N",0,_xlfn.XLOOKUP(tblPayrollMaster[[#This Row],[Employee ID]],tblEmployee[Employee ID],tblEmployee[Pay Factor],1))</f>
        <v>1</v>
      </c>
      <c r="G965" s="26" t="str" cm="1">
        <f t="array" ref="G965">IF(tblPayrollMaster[[#This Row],[Employee ID]]="","",_xlfn.XLOOKUP(selPayPeriodID,tblPayCalendar[PayPeriodID],tblPayCalendar[PeriodStart],""))</f>
        <v/>
      </c>
      <c r="H965" s="26" t="str" cm="1">
        <f t="array" ref="H965">IF(tblPayrollMaster[[#This Row],[Employee ID]]="","",_xlfn.XLOOKUP(selPayPeriodID,tblPayCalendar[PayPeriodID],tblPayCalendar[PeriodEnd],""))</f>
        <v/>
      </c>
      <c r="I965" s="24" t="e" cm="1" vm="1">
        <f t="array" aca="1" ref="I965" ca="1">Table18[Employer Name]</f>
        <v>#VALUE!</v>
      </c>
      <c r="J965" s="3" cm="1">
        <f t="array" ref="J96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65" s="25" t="str">
        <f>_xlfn.XLOOKUP(tblPayrollMaster[[#This Row],[Employee Position]],tblPositionandPayRate[Employee Position],tblPositionandPayRate[Overtime], " ")</f>
        <v xml:space="preserve"> </v>
      </c>
      <c r="L965" s="25">
        <f>_xlfn.XLOOKUP(tblPayrollMaster[[#This Row],[Employee Position]],tblPositionandPayRate[Employee Position],tblPositionandPayRate[Allowance 1],0)*tblPayrollMaster[[#This Row],[Pay Factor]]</f>
        <v>0</v>
      </c>
      <c r="M965" s="25">
        <f>_xlfn.XLOOKUP(tblPayrollMaster[[#This Row],[Employee Position]],tblPositionandPayRate[Employee Position],tblPositionandPayRate[Allowance 2],0)*tblPayrollMaster[[#This Row],[Pay Factor]]</f>
        <v>0</v>
      </c>
      <c r="N965" s="25">
        <f>_xlfn.XLOOKUP(tblPayrollMaster[[#This Row],[Employee Position]],tblPositionandPayRate[Employee Position],tblPositionandPayRate[Allowance 3],0)*tblPayrollMaster[[#This Row],[Pay Factor]]</f>
        <v>0</v>
      </c>
      <c r="O965" s="25">
        <f>_xlfn.XLOOKUP(tblPayrollMaster[[#This Row],[Employee Position]],tblPositionandPayRate[Employee Position],tblPositionandPayRate[Allowance 4],0)*tblPayrollMaster[[#This Row],[Pay Factor]]</f>
        <v>0</v>
      </c>
      <c r="P965" s="25">
        <f>_xlfn.XLOOKUP(tblPayrollMaster[[#This Row],[Employee Position]],tblPositionandPayRate[Employee Position],tblPositionandPayRate[Allowance 5],0)*tblPayrollMaster[[#This Row],[Pay Factor]]</f>
        <v>0</v>
      </c>
      <c r="Q965" s="25">
        <f>SUM(tblPayrollMaster[[#This Row],[Basic Pay]:[Allowance 5]])</f>
        <v>0</v>
      </c>
      <c r="R96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65" s="51" cm="1">
        <f t="array" ref="S9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65" s="3" cm="1">
        <f t="array" ref="T96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65" s="25">
        <f>_xlfn.LET(
_xlpm.tos, _xlfn.XLOOKUP(tblPayrollMaster[[#This Row],[Employee ID]], tblEmployee[Employee ID], tblEmployee[Type of Service], ""),
IF(_xlpm.tos="Contract of Service", 8.25, 0)
)</f>
        <v>0</v>
      </c>
      <c r="V965" s="25">
        <f>tblPayrollMaster[[#This Row],[Basic Earnings]]-tblPayrollMaster[[#This Row],[Tax]]-tblPayrollMaster[[#This Row],[NIS - Employee]]-tblPayrollMaster[[#This Row],[Health Surcharge]]</f>
        <v>0</v>
      </c>
      <c r="W965" s="25">
        <f>tblPayrollMaster[[#This Row],[Net Pay]]</f>
        <v>0</v>
      </c>
      <c r="X965" s="25"/>
    </row>
    <row r="966" spans="1:24" x14ac:dyDescent="0.25">
      <c r="A966" s="24"/>
      <c r="B966" s="24" t="str">
        <f>_xlfn.XLOOKUP(tblPayrollMaster[[#This Row],[Employee ID]],tblEmployee[Employee ID],tblEmployee[Employee Name],"")</f>
        <v/>
      </c>
      <c r="C966" s="24" t="str">
        <f>_xlfn.XLOOKUP(tblPayrollMaster[[#This Row],[Employee ID]],tblEmployee[Employee ID],tblEmployee[Employee Position],"")</f>
        <v/>
      </c>
      <c r="D966" s="24" t="str">
        <f>_xlfn.XLOOKUP(tblPayrollMaster[[#This Row],[Employee ID]], tblEmployee[Employee ID], tblEmployee[Pay Status], "Pay")</f>
        <v>Pay</v>
      </c>
      <c r="E966" s="24" t="str">
        <f>_xlfn.XLOOKUP(tblPayrollMaster[[#This Row],[Employee ID]], tblEmployee[Employee ID], tblEmployee[Payable Flag], "Y")</f>
        <v>Y</v>
      </c>
      <c r="F966" s="45">
        <f>IF(tblPayrollMaster[[#This Row],[Payable Flag]]="N",0,_xlfn.XLOOKUP(tblPayrollMaster[[#This Row],[Employee ID]],tblEmployee[Employee ID],tblEmployee[Pay Factor],1))</f>
        <v>1</v>
      </c>
      <c r="G966" s="26" t="str" cm="1">
        <f t="array" ref="G966">IF(tblPayrollMaster[[#This Row],[Employee ID]]="","",_xlfn.XLOOKUP(selPayPeriodID,tblPayCalendar[PayPeriodID],tblPayCalendar[PeriodStart],""))</f>
        <v/>
      </c>
      <c r="H966" s="26" t="str" cm="1">
        <f t="array" ref="H966">IF(tblPayrollMaster[[#This Row],[Employee ID]]="","",_xlfn.XLOOKUP(selPayPeriodID,tblPayCalendar[PayPeriodID],tblPayCalendar[PeriodEnd],""))</f>
        <v/>
      </c>
      <c r="I966" s="24" t="e" cm="1" vm="1">
        <f t="array" aca="1" ref="I966" ca="1">Table18[Employer Name]</f>
        <v>#VALUE!</v>
      </c>
      <c r="J966" s="3" cm="1">
        <f t="array" ref="J96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66" s="25" t="str">
        <f>_xlfn.XLOOKUP(tblPayrollMaster[[#This Row],[Employee Position]],tblPositionandPayRate[Employee Position],tblPositionandPayRate[Overtime], " ")</f>
        <v xml:space="preserve"> </v>
      </c>
      <c r="L966" s="25">
        <f>_xlfn.XLOOKUP(tblPayrollMaster[[#This Row],[Employee Position]],tblPositionandPayRate[Employee Position],tblPositionandPayRate[Allowance 1],0)*tblPayrollMaster[[#This Row],[Pay Factor]]</f>
        <v>0</v>
      </c>
      <c r="M966" s="25">
        <f>_xlfn.XLOOKUP(tblPayrollMaster[[#This Row],[Employee Position]],tblPositionandPayRate[Employee Position],tblPositionandPayRate[Allowance 2],0)*tblPayrollMaster[[#This Row],[Pay Factor]]</f>
        <v>0</v>
      </c>
      <c r="N966" s="25">
        <f>_xlfn.XLOOKUP(tblPayrollMaster[[#This Row],[Employee Position]],tblPositionandPayRate[Employee Position],tblPositionandPayRate[Allowance 3],0)*tblPayrollMaster[[#This Row],[Pay Factor]]</f>
        <v>0</v>
      </c>
      <c r="O966" s="25">
        <f>_xlfn.XLOOKUP(tblPayrollMaster[[#This Row],[Employee Position]],tblPositionandPayRate[Employee Position],tblPositionandPayRate[Allowance 4],0)*tblPayrollMaster[[#This Row],[Pay Factor]]</f>
        <v>0</v>
      </c>
      <c r="P966" s="25">
        <f>_xlfn.XLOOKUP(tblPayrollMaster[[#This Row],[Employee Position]],tblPositionandPayRate[Employee Position],tblPositionandPayRate[Allowance 5],0)*tblPayrollMaster[[#This Row],[Pay Factor]]</f>
        <v>0</v>
      </c>
      <c r="Q966" s="25">
        <f>SUM(tblPayrollMaster[[#This Row],[Basic Pay]:[Allowance 5]])</f>
        <v>0</v>
      </c>
      <c r="R96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66" s="51" cm="1">
        <f t="array" ref="S9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66" s="3" cm="1">
        <f t="array" ref="T96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66" s="25">
        <f>_xlfn.LET(
_xlpm.tos, _xlfn.XLOOKUP(tblPayrollMaster[[#This Row],[Employee ID]], tblEmployee[Employee ID], tblEmployee[Type of Service], ""),
IF(_xlpm.tos="Contract of Service", 8.25, 0)
)</f>
        <v>0</v>
      </c>
      <c r="V966" s="25">
        <f>tblPayrollMaster[[#This Row],[Basic Earnings]]-tblPayrollMaster[[#This Row],[Tax]]-tblPayrollMaster[[#This Row],[NIS - Employee]]-tblPayrollMaster[[#This Row],[Health Surcharge]]</f>
        <v>0</v>
      </c>
      <c r="W966" s="25">
        <f>tblPayrollMaster[[#This Row],[Net Pay]]</f>
        <v>0</v>
      </c>
      <c r="X966" s="25"/>
    </row>
    <row r="967" spans="1:24" x14ac:dyDescent="0.25">
      <c r="A967" s="24"/>
      <c r="B967" s="24" t="str">
        <f>_xlfn.XLOOKUP(tblPayrollMaster[[#This Row],[Employee ID]],tblEmployee[Employee ID],tblEmployee[Employee Name],"")</f>
        <v/>
      </c>
      <c r="C967" s="24" t="str">
        <f>_xlfn.XLOOKUP(tblPayrollMaster[[#This Row],[Employee ID]],tblEmployee[Employee ID],tblEmployee[Employee Position],"")</f>
        <v/>
      </c>
      <c r="D967" s="24" t="str">
        <f>_xlfn.XLOOKUP(tblPayrollMaster[[#This Row],[Employee ID]], tblEmployee[Employee ID], tblEmployee[Pay Status], "Pay")</f>
        <v>Pay</v>
      </c>
      <c r="E967" s="24" t="str">
        <f>_xlfn.XLOOKUP(tblPayrollMaster[[#This Row],[Employee ID]], tblEmployee[Employee ID], tblEmployee[Payable Flag], "Y")</f>
        <v>Y</v>
      </c>
      <c r="F967" s="45">
        <f>IF(tblPayrollMaster[[#This Row],[Payable Flag]]="N",0,_xlfn.XLOOKUP(tblPayrollMaster[[#This Row],[Employee ID]],tblEmployee[Employee ID],tblEmployee[Pay Factor],1))</f>
        <v>1</v>
      </c>
      <c r="G967" s="26" t="str" cm="1">
        <f t="array" ref="G967">IF(tblPayrollMaster[[#This Row],[Employee ID]]="","",_xlfn.XLOOKUP(selPayPeriodID,tblPayCalendar[PayPeriodID],tblPayCalendar[PeriodStart],""))</f>
        <v/>
      </c>
      <c r="H967" s="26" t="str" cm="1">
        <f t="array" ref="H967">IF(tblPayrollMaster[[#This Row],[Employee ID]]="","",_xlfn.XLOOKUP(selPayPeriodID,tblPayCalendar[PayPeriodID],tblPayCalendar[PeriodEnd],""))</f>
        <v/>
      </c>
      <c r="I967" s="24" t="e" cm="1" vm="1">
        <f t="array" aca="1" ref="I967" ca="1">Table18[Employer Name]</f>
        <v>#VALUE!</v>
      </c>
      <c r="J967" s="3" cm="1">
        <f t="array" ref="J96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67" s="25" t="str">
        <f>_xlfn.XLOOKUP(tblPayrollMaster[[#This Row],[Employee Position]],tblPositionandPayRate[Employee Position],tblPositionandPayRate[Overtime], " ")</f>
        <v xml:space="preserve"> </v>
      </c>
      <c r="L967" s="25">
        <f>_xlfn.XLOOKUP(tblPayrollMaster[[#This Row],[Employee Position]],tblPositionandPayRate[Employee Position],tblPositionandPayRate[Allowance 1],0)*tblPayrollMaster[[#This Row],[Pay Factor]]</f>
        <v>0</v>
      </c>
      <c r="M967" s="25">
        <f>_xlfn.XLOOKUP(tblPayrollMaster[[#This Row],[Employee Position]],tblPositionandPayRate[Employee Position],tblPositionandPayRate[Allowance 2],0)*tblPayrollMaster[[#This Row],[Pay Factor]]</f>
        <v>0</v>
      </c>
      <c r="N967" s="25">
        <f>_xlfn.XLOOKUP(tblPayrollMaster[[#This Row],[Employee Position]],tblPositionandPayRate[Employee Position],tblPositionandPayRate[Allowance 3],0)*tblPayrollMaster[[#This Row],[Pay Factor]]</f>
        <v>0</v>
      </c>
      <c r="O967" s="25">
        <f>_xlfn.XLOOKUP(tblPayrollMaster[[#This Row],[Employee Position]],tblPositionandPayRate[Employee Position],tblPositionandPayRate[Allowance 4],0)*tblPayrollMaster[[#This Row],[Pay Factor]]</f>
        <v>0</v>
      </c>
      <c r="P967" s="25">
        <f>_xlfn.XLOOKUP(tblPayrollMaster[[#This Row],[Employee Position]],tblPositionandPayRate[Employee Position],tblPositionandPayRate[Allowance 5],0)*tblPayrollMaster[[#This Row],[Pay Factor]]</f>
        <v>0</v>
      </c>
      <c r="Q967" s="25">
        <f>SUM(tblPayrollMaster[[#This Row],[Basic Pay]:[Allowance 5]])</f>
        <v>0</v>
      </c>
      <c r="R96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67" s="51" cm="1">
        <f t="array" ref="S9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67" s="3" cm="1">
        <f t="array" ref="T96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67" s="25">
        <f>_xlfn.LET(
_xlpm.tos, _xlfn.XLOOKUP(tblPayrollMaster[[#This Row],[Employee ID]], tblEmployee[Employee ID], tblEmployee[Type of Service], ""),
IF(_xlpm.tos="Contract of Service", 8.25, 0)
)</f>
        <v>0</v>
      </c>
      <c r="V967" s="25">
        <f>tblPayrollMaster[[#This Row],[Basic Earnings]]-tblPayrollMaster[[#This Row],[Tax]]-tblPayrollMaster[[#This Row],[NIS - Employee]]-tblPayrollMaster[[#This Row],[Health Surcharge]]</f>
        <v>0</v>
      </c>
      <c r="W967" s="25">
        <f>tblPayrollMaster[[#This Row],[Net Pay]]</f>
        <v>0</v>
      </c>
      <c r="X967" s="25"/>
    </row>
    <row r="968" spans="1:24" x14ac:dyDescent="0.25">
      <c r="A968" s="24"/>
      <c r="B968" s="24" t="str">
        <f>_xlfn.XLOOKUP(tblPayrollMaster[[#This Row],[Employee ID]],tblEmployee[Employee ID],tblEmployee[Employee Name],"")</f>
        <v/>
      </c>
      <c r="C968" s="24" t="str">
        <f>_xlfn.XLOOKUP(tblPayrollMaster[[#This Row],[Employee ID]],tblEmployee[Employee ID],tblEmployee[Employee Position],"")</f>
        <v/>
      </c>
      <c r="D968" s="24" t="str">
        <f>_xlfn.XLOOKUP(tblPayrollMaster[[#This Row],[Employee ID]], tblEmployee[Employee ID], tblEmployee[Pay Status], "Pay")</f>
        <v>Pay</v>
      </c>
      <c r="E968" s="24" t="str">
        <f>_xlfn.XLOOKUP(tblPayrollMaster[[#This Row],[Employee ID]], tblEmployee[Employee ID], tblEmployee[Payable Flag], "Y")</f>
        <v>Y</v>
      </c>
      <c r="F968" s="45">
        <f>IF(tblPayrollMaster[[#This Row],[Payable Flag]]="N",0,_xlfn.XLOOKUP(tblPayrollMaster[[#This Row],[Employee ID]],tblEmployee[Employee ID],tblEmployee[Pay Factor],1))</f>
        <v>1</v>
      </c>
      <c r="G968" s="26" t="str" cm="1">
        <f t="array" ref="G968">IF(tblPayrollMaster[[#This Row],[Employee ID]]="","",_xlfn.XLOOKUP(selPayPeriodID,tblPayCalendar[PayPeriodID],tblPayCalendar[PeriodStart],""))</f>
        <v/>
      </c>
      <c r="H968" s="26" t="str" cm="1">
        <f t="array" ref="H968">IF(tblPayrollMaster[[#This Row],[Employee ID]]="","",_xlfn.XLOOKUP(selPayPeriodID,tblPayCalendar[PayPeriodID],tblPayCalendar[PeriodEnd],""))</f>
        <v/>
      </c>
      <c r="I968" s="24" t="e" cm="1" vm="1">
        <f t="array" aca="1" ref="I968" ca="1">Table18[Employer Name]</f>
        <v>#VALUE!</v>
      </c>
      <c r="J968" s="3" cm="1">
        <f t="array" ref="J96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68" s="25" t="str">
        <f>_xlfn.XLOOKUP(tblPayrollMaster[[#This Row],[Employee Position]],tblPositionandPayRate[Employee Position],tblPositionandPayRate[Overtime], " ")</f>
        <v xml:space="preserve"> </v>
      </c>
      <c r="L968" s="25">
        <f>_xlfn.XLOOKUP(tblPayrollMaster[[#This Row],[Employee Position]],tblPositionandPayRate[Employee Position],tblPositionandPayRate[Allowance 1],0)*tblPayrollMaster[[#This Row],[Pay Factor]]</f>
        <v>0</v>
      </c>
      <c r="M968" s="25">
        <f>_xlfn.XLOOKUP(tblPayrollMaster[[#This Row],[Employee Position]],tblPositionandPayRate[Employee Position],tblPositionandPayRate[Allowance 2],0)*tblPayrollMaster[[#This Row],[Pay Factor]]</f>
        <v>0</v>
      </c>
      <c r="N968" s="25">
        <f>_xlfn.XLOOKUP(tblPayrollMaster[[#This Row],[Employee Position]],tblPositionandPayRate[Employee Position],tblPositionandPayRate[Allowance 3],0)*tblPayrollMaster[[#This Row],[Pay Factor]]</f>
        <v>0</v>
      </c>
      <c r="O968" s="25">
        <f>_xlfn.XLOOKUP(tblPayrollMaster[[#This Row],[Employee Position]],tblPositionandPayRate[Employee Position],tblPositionandPayRate[Allowance 4],0)*tblPayrollMaster[[#This Row],[Pay Factor]]</f>
        <v>0</v>
      </c>
      <c r="P968" s="25">
        <f>_xlfn.XLOOKUP(tblPayrollMaster[[#This Row],[Employee Position]],tblPositionandPayRate[Employee Position],tblPositionandPayRate[Allowance 5],0)*tblPayrollMaster[[#This Row],[Pay Factor]]</f>
        <v>0</v>
      </c>
      <c r="Q968" s="25">
        <f>SUM(tblPayrollMaster[[#This Row],[Basic Pay]:[Allowance 5]])</f>
        <v>0</v>
      </c>
      <c r="R96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68" s="51" cm="1">
        <f t="array" ref="S9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68" s="3" cm="1">
        <f t="array" ref="T96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68" s="25">
        <f>_xlfn.LET(
_xlpm.tos, _xlfn.XLOOKUP(tblPayrollMaster[[#This Row],[Employee ID]], tblEmployee[Employee ID], tblEmployee[Type of Service], ""),
IF(_xlpm.tos="Contract of Service", 8.25, 0)
)</f>
        <v>0</v>
      </c>
      <c r="V968" s="25">
        <f>tblPayrollMaster[[#This Row],[Basic Earnings]]-tblPayrollMaster[[#This Row],[Tax]]-tblPayrollMaster[[#This Row],[NIS - Employee]]-tblPayrollMaster[[#This Row],[Health Surcharge]]</f>
        <v>0</v>
      </c>
      <c r="W968" s="25">
        <f>tblPayrollMaster[[#This Row],[Net Pay]]</f>
        <v>0</v>
      </c>
      <c r="X968" s="25"/>
    </row>
    <row r="969" spans="1:24" x14ac:dyDescent="0.25">
      <c r="A969" s="24"/>
      <c r="B969" s="24" t="str">
        <f>_xlfn.XLOOKUP(tblPayrollMaster[[#This Row],[Employee ID]],tblEmployee[Employee ID],tblEmployee[Employee Name],"")</f>
        <v/>
      </c>
      <c r="C969" s="24" t="str">
        <f>_xlfn.XLOOKUP(tblPayrollMaster[[#This Row],[Employee ID]],tblEmployee[Employee ID],tblEmployee[Employee Position],"")</f>
        <v/>
      </c>
      <c r="D969" s="24" t="str">
        <f>_xlfn.XLOOKUP(tblPayrollMaster[[#This Row],[Employee ID]], tblEmployee[Employee ID], tblEmployee[Pay Status], "Pay")</f>
        <v>Pay</v>
      </c>
      <c r="E969" s="24" t="str">
        <f>_xlfn.XLOOKUP(tblPayrollMaster[[#This Row],[Employee ID]], tblEmployee[Employee ID], tblEmployee[Payable Flag], "Y")</f>
        <v>Y</v>
      </c>
      <c r="F969" s="45">
        <f>IF(tblPayrollMaster[[#This Row],[Payable Flag]]="N",0,_xlfn.XLOOKUP(tblPayrollMaster[[#This Row],[Employee ID]],tblEmployee[Employee ID],tblEmployee[Pay Factor],1))</f>
        <v>1</v>
      </c>
      <c r="G969" s="26" t="str" cm="1">
        <f t="array" ref="G969">IF(tblPayrollMaster[[#This Row],[Employee ID]]="","",_xlfn.XLOOKUP(selPayPeriodID,tblPayCalendar[PayPeriodID],tblPayCalendar[PeriodStart],""))</f>
        <v/>
      </c>
      <c r="H969" s="26" t="str" cm="1">
        <f t="array" ref="H969">IF(tblPayrollMaster[[#This Row],[Employee ID]]="","",_xlfn.XLOOKUP(selPayPeriodID,tblPayCalendar[PayPeriodID],tblPayCalendar[PeriodEnd],""))</f>
        <v/>
      </c>
      <c r="I969" s="24" t="e" cm="1" vm="1">
        <f t="array" aca="1" ref="I969" ca="1">Table18[Employer Name]</f>
        <v>#VALUE!</v>
      </c>
      <c r="J969" s="3" cm="1">
        <f t="array" ref="J96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69" s="25" t="str">
        <f>_xlfn.XLOOKUP(tblPayrollMaster[[#This Row],[Employee Position]],tblPositionandPayRate[Employee Position],tblPositionandPayRate[Overtime], " ")</f>
        <v xml:space="preserve"> </v>
      </c>
      <c r="L969" s="25">
        <f>_xlfn.XLOOKUP(tblPayrollMaster[[#This Row],[Employee Position]],tblPositionandPayRate[Employee Position],tblPositionandPayRate[Allowance 1],0)*tblPayrollMaster[[#This Row],[Pay Factor]]</f>
        <v>0</v>
      </c>
      <c r="M969" s="25">
        <f>_xlfn.XLOOKUP(tblPayrollMaster[[#This Row],[Employee Position]],tblPositionandPayRate[Employee Position],tblPositionandPayRate[Allowance 2],0)*tblPayrollMaster[[#This Row],[Pay Factor]]</f>
        <v>0</v>
      </c>
      <c r="N969" s="25">
        <f>_xlfn.XLOOKUP(tblPayrollMaster[[#This Row],[Employee Position]],tblPositionandPayRate[Employee Position],tblPositionandPayRate[Allowance 3],0)*tblPayrollMaster[[#This Row],[Pay Factor]]</f>
        <v>0</v>
      </c>
      <c r="O969" s="25">
        <f>_xlfn.XLOOKUP(tblPayrollMaster[[#This Row],[Employee Position]],tblPositionandPayRate[Employee Position],tblPositionandPayRate[Allowance 4],0)*tblPayrollMaster[[#This Row],[Pay Factor]]</f>
        <v>0</v>
      </c>
      <c r="P969" s="25">
        <f>_xlfn.XLOOKUP(tblPayrollMaster[[#This Row],[Employee Position]],tblPositionandPayRate[Employee Position],tblPositionandPayRate[Allowance 5],0)*tblPayrollMaster[[#This Row],[Pay Factor]]</f>
        <v>0</v>
      </c>
      <c r="Q969" s="25">
        <f>SUM(tblPayrollMaster[[#This Row],[Basic Pay]:[Allowance 5]])</f>
        <v>0</v>
      </c>
      <c r="R96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69" s="51" cm="1">
        <f t="array" ref="S9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69" s="3" cm="1">
        <f t="array" ref="T96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69" s="25">
        <f>_xlfn.LET(
_xlpm.tos, _xlfn.XLOOKUP(tblPayrollMaster[[#This Row],[Employee ID]], tblEmployee[Employee ID], tblEmployee[Type of Service], ""),
IF(_xlpm.tos="Contract of Service", 8.25, 0)
)</f>
        <v>0</v>
      </c>
      <c r="V969" s="25">
        <f>tblPayrollMaster[[#This Row],[Basic Earnings]]-tblPayrollMaster[[#This Row],[Tax]]-tblPayrollMaster[[#This Row],[NIS - Employee]]-tblPayrollMaster[[#This Row],[Health Surcharge]]</f>
        <v>0</v>
      </c>
      <c r="W969" s="25">
        <f>tblPayrollMaster[[#This Row],[Net Pay]]</f>
        <v>0</v>
      </c>
      <c r="X969" s="25"/>
    </row>
    <row r="970" spans="1:24" x14ac:dyDescent="0.25">
      <c r="A970" s="24"/>
      <c r="B970" s="24" t="str">
        <f>_xlfn.XLOOKUP(tblPayrollMaster[[#This Row],[Employee ID]],tblEmployee[Employee ID],tblEmployee[Employee Name],"")</f>
        <v/>
      </c>
      <c r="C970" s="24" t="str">
        <f>_xlfn.XLOOKUP(tblPayrollMaster[[#This Row],[Employee ID]],tblEmployee[Employee ID],tblEmployee[Employee Position],"")</f>
        <v/>
      </c>
      <c r="D970" s="24" t="str">
        <f>_xlfn.XLOOKUP(tblPayrollMaster[[#This Row],[Employee ID]], tblEmployee[Employee ID], tblEmployee[Pay Status], "Pay")</f>
        <v>Pay</v>
      </c>
      <c r="E970" s="24" t="str">
        <f>_xlfn.XLOOKUP(tblPayrollMaster[[#This Row],[Employee ID]], tblEmployee[Employee ID], tblEmployee[Payable Flag], "Y")</f>
        <v>Y</v>
      </c>
      <c r="F970" s="45">
        <f>IF(tblPayrollMaster[[#This Row],[Payable Flag]]="N",0,_xlfn.XLOOKUP(tblPayrollMaster[[#This Row],[Employee ID]],tblEmployee[Employee ID],tblEmployee[Pay Factor],1))</f>
        <v>1</v>
      </c>
      <c r="G970" s="26" t="str" cm="1">
        <f t="array" ref="G970">IF(tblPayrollMaster[[#This Row],[Employee ID]]="","",_xlfn.XLOOKUP(selPayPeriodID,tblPayCalendar[PayPeriodID],tblPayCalendar[PeriodStart],""))</f>
        <v/>
      </c>
      <c r="H970" s="26" t="str" cm="1">
        <f t="array" ref="H970">IF(tblPayrollMaster[[#This Row],[Employee ID]]="","",_xlfn.XLOOKUP(selPayPeriodID,tblPayCalendar[PayPeriodID],tblPayCalendar[PeriodEnd],""))</f>
        <v/>
      </c>
      <c r="I970" s="24" t="e" cm="1" vm="1">
        <f t="array" aca="1" ref="I970" ca="1">Table18[Employer Name]</f>
        <v>#VALUE!</v>
      </c>
      <c r="J970" s="3" cm="1">
        <f t="array" ref="J97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70" s="25" t="str">
        <f>_xlfn.XLOOKUP(tblPayrollMaster[[#This Row],[Employee Position]],tblPositionandPayRate[Employee Position],tblPositionandPayRate[Overtime], " ")</f>
        <v xml:space="preserve"> </v>
      </c>
      <c r="L970" s="25">
        <f>_xlfn.XLOOKUP(tblPayrollMaster[[#This Row],[Employee Position]],tblPositionandPayRate[Employee Position],tblPositionandPayRate[Allowance 1],0)*tblPayrollMaster[[#This Row],[Pay Factor]]</f>
        <v>0</v>
      </c>
      <c r="M970" s="25">
        <f>_xlfn.XLOOKUP(tblPayrollMaster[[#This Row],[Employee Position]],tblPositionandPayRate[Employee Position],tblPositionandPayRate[Allowance 2],0)*tblPayrollMaster[[#This Row],[Pay Factor]]</f>
        <v>0</v>
      </c>
      <c r="N970" s="25">
        <f>_xlfn.XLOOKUP(tblPayrollMaster[[#This Row],[Employee Position]],tblPositionandPayRate[Employee Position],tblPositionandPayRate[Allowance 3],0)*tblPayrollMaster[[#This Row],[Pay Factor]]</f>
        <v>0</v>
      </c>
      <c r="O970" s="25">
        <f>_xlfn.XLOOKUP(tblPayrollMaster[[#This Row],[Employee Position]],tblPositionandPayRate[Employee Position],tblPositionandPayRate[Allowance 4],0)*tblPayrollMaster[[#This Row],[Pay Factor]]</f>
        <v>0</v>
      </c>
      <c r="P970" s="25">
        <f>_xlfn.XLOOKUP(tblPayrollMaster[[#This Row],[Employee Position]],tblPositionandPayRate[Employee Position],tblPositionandPayRate[Allowance 5],0)*tblPayrollMaster[[#This Row],[Pay Factor]]</f>
        <v>0</v>
      </c>
      <c r="Q970" s="25">
        <f>SUM(tblPayrollMaster[[#This Row],[Basic Pay]:[Allowance 5]])</f>
        <v>0</v>
      </c>
      <c r="R97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70" s="51" cm="1">
        <f t="array" ref="S9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70" s="3" cm="1">
        <f t="array" ref="T97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70" s="25">
        <f>_xlfn.LET(
_xlpm.tos, _xlfn.XLOOKUP(tblPayrollMaster[[#This Row],[Employee ID]], tblEmployee[Employee ID], tblEmployee[Type of Service], ""),
IF(_xlpm.tos="Contract of Service", 8.25, 0)
)</f>
        <v>0</v>
      </c>
      <c r="V970" s="25">
        <f>tblPayrollMaster[[#This Row],[Basic Earnings]]-tblPayrollMaster[[#This Row],[Tax]]-tblPayrollMaster[[#This Row],[NIS - Employee]]-tblPayrollMaster[[#This Row],[Health Surcharge]]</f>
        <v>0</v>
      </c>
      <c r="W970" s="25">
        <f>tblPayrollMaster[[#This Row],[Net Pay]]</f>
        <v>0</v>
      </c>
      <c r="X970" s="25"/>
    </row>
    <row r="971" spans="1:24" x14ac:dyDescent="0.25">
      <c r="A971" s="24"/>
      <c r="B971" s="24" t="str">
        <f>_xlfn.XLOOKUP(tblPayrollMaster[[#This Row],[Employee ID]],tblEmployee[Employee ID],tblEmployee[Employee Name],"")</f>
        <v/>
      </c>
      <c r="C971" s="24" t="str">
        <f>_xlfn.XLOOKUP(tblPayrollMaster[[#This Row],[Employee ID]],tblEmployee[Employee ID],tblEmployee[Employee Position],"")</f>
        <v/>
      </c>
      <c r="D971" s="24" t="str">
        <f>_xlfn.XLOOKUP(tblPayrollMaster[[#This Row],[Employee ID]], tblEmployee[Employee ID], tblEmployee[Pay Status], "Pay")</f>
        <v>Pay</v>
      </c>
      <c r="E971" s="24" t="str">
        <f>_xlfn.XLOOKUP(tblPayrollMaster[[#This Row],[Employee ID]], tblEmployee[Employee ID], tblEmployee[Payable Flag], "Y")</f>
        <v>Y</v>
      </c>
      <c r="F971" s="45">
        <f>IF(tblPayrollMaster[[#This Row],[Payable Flag]]="N",0,_xlfn.XLOOKUP(tblPayrollMaster[[#This Row],[Employee ID]],tblEmployee[Employee ID],tblEmployee[Pay Factor],1))</f>
        <v>1</v>
      </c>
      <c r="G971" s="26" t="str" cm="1">
        <f t="array" ref="G971">IF(tblPayrollMaster[[#This Row],[Employee ID]]="","",_xlfn.XLOOKUP(selPayPeriodID,tblPayCalendar[PayPeriodID],tblPayCalendar[PeriodStart],""))</f>
        <v/>
      </c>
      <c r="H971" s="26" t="str" cm="1">
        <f t="array" ref="H971">IF(tblPayrollMaster[[#This Row],[Employee ID]]="","",_xlfn.XLOOKUP(selPayPeriodID,tblPayCalendar[PayPeriodID],tblPayCalendar[PeriodEnd],""))</f>
        <v/>
      </c>
      <c r="I971" s="24" t="e" cm="1" vm="1">
        <f t="array" aca="1" ref="I971" ca="1">Table18[Employer Name]</f>
        <v>#VALUE!</v>
      </c>
      <c r="J971" s="3" cm="1">
        <f t="array" ref="J97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71" s="25" t="str">
        <f>_xlfn.XLOOKUP(tblPayrollMaster[[#This Row],[Employee Position]],tblPositionandPayRate[Employee Position],tblPositionandPayRate[Overtime], " ")</f>
        <v xml:space="preserve"> </v>
      </c>
      <c r="L971" s="25">
        <f>_xlfn.XLOOKUP(tblPayrollMaster[[#This Row],[Employee Position]],tblPositionandPayRate[Employee Position],tblPositionandPayRate[Allowance 1],0)*tblPayrollMaster[[#This Row],[Pay Factor]]</f>
        <v>0</v>
      </c>
      <c r="M971" s="25">
        <f>_xlfn.XLOOKUP(tblPayrollMaster[[#This Row],[Employee Position]],tblPositionandPayRate[Employee Position],tblPositionandPayRate[Allowance 2],0)*tblPayrollMaster[[#This Row],[Pay Factor]]</f>
        <v>0</v>
      </c>
      <c r="N971" s="25">
        <f>_xlfn.XLOOKUP(tblPayrollMaster[[#This Row],[Employee Position]],tblPositionandPayRate[Employee Position],tblPositionandPayRate[Allowance 3],0)*tblPayrollMaster[[#This Row],[Pay Factor]]</f>
        <v>0</v>
      </c>
      <c r="O971" s="25">
        <f>_xlfn.XLOOKUP(tblPayrollMaster[[#This Row],[Employee Position]],tblPositionandPayRate[Employee Position],tblPositionandPayRate[Allowance 4],0)*tblPayrollMaster[[#This Row],[Pay Factor]]</f>
        <v>0</v>
      </c>
      <c r="P971" s="25">
        <f>_xlfn.XLOOKUP(tblPayrollMaster[[#This Row],[Employee Position]],tblPositionandPayRate[Employee Position],tblPositionandPayRate[Allowance 5],0)*tblPayrollMaster[[#This Row],[Pay Factor]]</f>
        <v>0</v>
      </c>
      <c r="Q971" s="25">
        <f>SUM(tblPayrollMaster[[#This Row],[Basic Pay]:[Allowance 5]])</f>
        <v>0</v>
      </c>
      <c r="R97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71" s="51" cm="1">
        <f t="array" ref="S9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71" s="3" cm="1">
        <f t="array" ref="T97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71" s="25">
        <f>_xlfn.LET(
_xlpm.tos, _xlfn.XLOOKUP(tblPayrollMaster[[#This Row],[Employee ID]], tblEmployee[Employee ID], tblEmployee[Type of Service], ""),
IF(_xlpm.tos="Contract of Service", 8.25, 0)
)</f>
        <v>0</v>
      </c>
      <c r="V971" s="25">
        <f>tblPayrollMaster[[#This Row],[Basic Earnings]]-tblPayrollMaster[[#This Row],[Tax]]-tblPayrollMaster[[#This Row],[NIS - Employee]]-tblPayrollMaster[[#This Row],[Health Surcharge]]</f>
        <v>0</v>
      </c>
      <c r="W971" s="25">
        <f>tblPayrollMaster[[#This Row],[Net Pay]]</f>
        <v>0</v>
      </c>
      <c r="X971" s="25"/>
    </row>
    <row r="972" spans="1:24" x14ac:dyDescent="0.25">
      <c r="A972" s="24"/>
      <c r="B972" s="24" t="str">
        <f>_xlfn.XLOOKUP(tblPayrollMaster[[#This Row],[Employee ID]],tblEmployee[Employee ID],tblEmployee[Employee Name],"")</f>
        <v/>
      </c>
      <c r="C972" s="24" t="str">
        <f>_xlfn.XLOOKUP(tblPayrollMaster[[#This Row],[Employee ID]],tblEmployee[Employee ID],tblEmployee[Employee Position],"")</f>
        <v/>
      </c>
      <c r="D972" s="24" t="str">
        <f>_xlfn.XLOOKUP(tblPayrollMaster[[#This Row],[Employee ID]], tblEmployee[Employee ID], tblEmployee[Pay Status], "Pay")</f>
        <v>Pay</v>
      </c>
      <c r="E972" s="24" t="str">
        <f>_xlfn.XLOOKUP(tblPayrollMaster[[#This Row],[Employee ID]], tblEmployee[Employee ID], tblEmployee[Payable Flag], "Y")</f>
        <v>Y</v>
      </c>
      <c r="F972" s="45">
        <f>IF(tblPayrollMaster[[#This Row],[Payable Flag]]="N",0,_xlfn.XLOOKUP(tblPayrollMaster[[#This Row],[Employee ID]],tblEmployee[Employee ID],tblEmployee[Pay Factor],1))</f>
        <v>1</v>
      </c>
      <c r="G972" s="26" t="str" cm="1">
        <f t="array" ref="G972">IF(tblPayrollMaster[[#This Row],[Employee ID]]="","",_xlfn.XLOOKUP(selPayPeriodID,tblPayCalendar[PayPeriodID],tblPayCalendar[PeriodStart],""))</f>
        <v/>
      </c>
      <c r="H972" s="26" t="str" cm="1">
        <f t="array" ref="H972">IF(tblPayrollMaster[[#This Row],[Employee ID]]="","",_xlfn.XLOOKUP(selPayPeriodID,tblPayCalendar[PayPeriodID],tblPayCalendar[PeriodEnd],""))</f>
        <v/>
      </c>
      <c r="I972" s="24" t="e" cm="1" vm="1">
        <f t="array" aca="1" ref="I972" ca="1">Table18[Employer Name]</f>
        <v>#VALUE!</v>
      </c>
      <c r="J972" s="3" cm="1">
        <f t="array" ref="J97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72" s="25" t="str">
        <f>_xlfn.XLOOKUP(tblPayrollMaster[[#This Row],[Employee Position]],tblPositionandPayRate[Employee Position],tblPositionandPayRate[Overtime], " ")</f>
        <v xml:space="preserve"> </v>
      </c>
      <c r="L972" s="25">
        <f>_xlfn.XLOOKUP(tblPayrollMaster[[#This Row],[Employee Position]],tblPositionandPayRate[Employee Position],tblPositionandPayRate[Allowance 1],0)*tblPayrollMaster[[#This Row],[Pay Factor]]</f>
        <v>0</v>
      </c>
      <c r="M972" s="25">
        <f>_xlfn.XLOOKUP(tblPayrollMaster[[#This Row],[Employee Position]],tblPositionandPayRate[Employee Position],tblPositionandPayRate[Allowance 2],0)*tblPayrollMaster[[#This Row],[Pay Factor]]</f>
        <v>0</v>
      </c>
      <c r="N972" s="25">
        <f>_xlfn.XLOOKUP(tblPayrollMaster[[#This Row],[Employee Position]],tblPositionandPayRate[Employee Position],tblPositionandPayRate[Allowance 3],0)*tblPayrollMaster[[#This Row],[Pay Factor]]</f>
        <v>0</v>
      </c>
      <c r="O972" s="25">
        <f>_xlfn.XLOOKUP(tblPayrollMaster[[#This Row],[Employee Position]],tblPositionandPayRate[Employee Position],tblPositionandPayRate[Allowance 4],0)*tblPayrollMaster[[#This Row],[Pay Factor]]</f>
        <v>0</v>
      </c>
      <c r="P972" s="25">
        <f>_xlfn.XLOOKUP(tblPayrollMaster[[#This Row],[Employee Position]],tblPositionandPayRate[Employee Position],tblPositionandPayRate[Allowance 5],0)*tblPayrollMaster[[#This Row],[Pay Factor]]</f>
        <v>0</v>
      </c>
      <c r="Q972" s="25">
        <f>SUM(tblPayrollMaster[[#This Row],[Basic Pay]:[Allowance 5]])</f>
        <v>0</v>
      </c>
      <c r="R97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72" s="51" cm="1">
        <f t="array" ref="S9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72" s="3" cm="1">
        <f t="array" ref="T97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72" s="25">
        <f>_xlfn.LET(
_xlpm.tos, _xlfn.XLOOKUP(tblPayrollMaster[[#This Row],[Employee ID]], tblEmployee[Employee ID], tblEmployee[Type of Service], ""),
IF(_xlpm.tos="Contract of Service", 8.25, 0)
)</f>
        <v>0</v>
      </c>
      <c r="V972" s="25">
        <f>tblPayrollMaster[[#This Row],[Basic Earnings]]-tblPayrollMaster[[#This Row],[Tax]]-tblPayrollMaster[[#This Row],[NIS - Employee]]-tblPayrollMaster[[#This Row],[Health Surcharge]]</f>
        <v>0</v>
      </c>
      <c r="W972" s="25">
        <f>tblPayrollMaster[[#This Row],[Net Pay]]</f>
        <v>0</v>
      </c>
      <c r="X972" s="25"/>
    </row>
    <row r="973" spans="1:24" x14ac:dyDescent="0.25">
      <c r="A973" s="24"/>
      <c r="B973" s="24" t="str">
        <f>_xlfn.XLOOKUP(tblPayrollMaster[[#This Row],[Employee ID]],tblEmployee[Employee ID],tblEmployee[Employee Name],"")</f>
        <v/>
      </c>
      <c r="C973" s="24" t="str">
        <f>_xlfn.XLOOKUP(tblPayrollMaster[[#This Row],[Employee ID]],tblEmployee[Employee ID],tblEmployee[Employee Position],"")</f>
        <v/>
      </c>
      <c r="D973" s="24" t="str">
        <f>_xlfn.XLOOKUP(tblPayrollMaster[[#This Row],[Employee ID]], tblEmployee[Employee ID], tblEmployee[Pay Status], "Pay")</f>
        <v>Pay</v>
      </c>
      <c r="E973" s="24" t="str">
        <f>_xlfn.XLOOKUP(tblPayrollMaster[[#This Row],[Employee ID]], tblEmployee[Employee ID], tblEmployee[Payable Flag], "Y")</f>
        <v>Y</v>
      </c>
      <c r="F973" s="45">
        <f>IF(tblPayrollMaster[[#This Row],[Payable Flag]]="N",0,_xlfn.XLOOKUP(tblPayrollMaster[[#This Row],[Employee ID]],tblEmployee[Employee ID],tblEmployee[Pay Factor],1))</f>
        <v>1</v>
      </c>
      <c r="G973" s="26" t="str" cm="1">
        <f t="array" ref="G973">IF(tblPayrollMaster[[#This Row],[Employee ID]]="","",_xlfn.XLOOKUP(selPayPeriodID,tblPayCalendar[PayPeriodID],tblPayCalendar[PeriodStart],""))</f>
        <v/>
      </c>
      <c r="H973" s="26" t="str" cm="1">
        <f t="array" ref="H973">IF(tblPayrollMaster[[#This Row],[Employee ID]]="","",_xlfn.XLOOKUP(selPayPeriodID,tblPayCalendar[PayPeriodID],tblPayCalendar[PeriodEnd],""))</f>
        <v/>
      </c>
      <c r="I973" s="24" t="e" cm="1" vm="1">
        <f t="array" aca="1" ref="I973" ca="1">Table18[Employer Name]</f>
        <v>#VALUE!</v>
      </c>
      <c r="J973" s="3" cm="1">
        <f t="array" ref="J97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73" s="25" t="str">
        <f>_xlfn.XLOOKUP(tblPayrollMaster[[#This Row],[Employee Position]],tblPositionandPayRate[Employee Position],tblPositionandPayRate[Overtime], " ")</f>
        <v xml:space="preserve"> </v>
      </c>
      <c r="L973" s="25">
        <f>_xlfn.XLOOKUP(tblPayrollMaster[[#This Row],[Employee Position]],tblPositionandPayRate[Employee Position],tblPositionandPayRate[Allowance 1],0)*tblPayrollMaster[[#This Row],[Pay Factor]]</f>
        <v>0</v>
      </c>
      <c r="M973" s="25">
        <f>_xlfn.XLOOKUP(tblPayrollMaster[[#This Row],[Employee Position]],tblPositionandPayRate[Employee Position],tblPositionandPayRate[Allowance 2],0)*tblPayrollMaster[[#This Row],[Pay Factor]]</f>
        <v>0</v>
      </c>
      <c r="N973" s="25">
        <f>_xlfn.XLOOKUP(tblPayrollMaster[[#This Row],[Employee Position]],tblPositionandPayRate[Employee Position],tblPositionandPayRate[Allowance 3],0)*tblPayrollMaster[[#This Row],[Pay Factor]]</f>
        <v>0</v>
      </c>
      <c r="O973" s="25">
        <f>_xlfn.XLOOKUP(tblPayrollMaster[[#This Row],[Employee Position]],tblPositionandPayRate[Employee Position],tblPositionandPayRate[Allowance 4],0)*tblPayrollMaster[[#This Row],[Pay Factor]]</f>
        <v>0</v>
      </c>
      <c r="P973" s="25">
        <f>_xlfn.XLOOKUP(tblPayrollMaster[[#This Row],[Employee Position]],tblPositionandPayRate[Employee Position],tblPositionandPayRate[Allowance 5],0)*tblPayrollMaster[[#This Row],[Pay Factor]]</f>
        <v>0</v>
      </c>
      <c r="Q973" s="25">
        <f>SUM(tblPayrollMaster[[#This Row],[Basic Pay]:[Allowance 5]])</f>
        <v>0</v>
      </c>
      <c r="R97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73" s="51" cm="1">
        <f t="array" ref="S9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73" s="3" cm="1">
        <f t="array" ref="T97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73" s="25">
        <f>_xlfn.LET(
_xlpm.tos, _xlfn.XLOOKUP(tblPayrollMaster[[#This Row],[Employee ID]], tblEmployee[Employee ID], tblEmployee[Type of Service], ""),
IF(_xlpm.tos="Contract of Service", 8.25, 0)
)</f>
        <v>0</v>
      </c>
      <c r="V973" s="25">
        <f>tblPayrollMaster[[#This Row],[Basic Earnings]]-tblPayrollMaster[[#This Row],[Tax]]-tblPayrollMaster[[#This Row],[NIS - Employee]]-tblPayrollMaster[[#This Row],[Health Surcharge]]</f>
        <v>0</v>
      </c>
      <c r="W973" s="25">
        <f>tblPayrollMaster[[#This Row],[Net Pay]]</f>
        <v>0</v>
      </c>
      <c r="X973" s="25"/>
    </row>
    <row r="974" spans="1:24" x14ac:dyDescent="0.25">
      <c r="A974" s="24"/>
      <c r="B974" s="24" t="str">
        <f>_xlfn.XLOOKUP(tblPayrollMaster[[#This Row],[Employee ID]],tblEmployee[Employee ID],tblEmployee[Employee Name],"")</f>
        <v/>
      </c>
      <c r="C974" s="24" t="str">
        <f>_xlfn.XLOOKUP(tblPayrollMaster[[#This Row],[Employee ID]],tblEmployee[Employee ID],tblEmployee[Employee Position],"")</f>
        <v/>
      </c>
      <c r="D974" s="24" t="str">
        <f>_xlfn.XLOOKUP(tblPayrollMaster[[#This Row],[Employee ID]], tblEmployee[Employee ID], tblEmployee[Pay Status], "Pay")</f>
        <v>Pay</v>
      </c>
      <c r="E974" s="24" t="str">
        <f>_xlfn.XLOOKUP(tblPayrollMaster[[#This Row],[Employee ID]], tblEmployee[Employee ID], tblEmployee[Payable Flag], "Y")</f>
        <v>Y</v>
      </c>
      <c r="F974" s="45">
        <f>IF(tblPayrollMaster[[#This Row],[Payable Flag]]="N",0,_xlfn.XLOOKUP(tblPayrollMaster[[#This Row],[Employee ID]],tblEmployee[Employee ID],tblEmployee[Pay Factor],1))</f>
        <v>1</v>
      </c>
      <c r="G974" s="26" t="str" cm="1">
        <f t="array" ref="G974">IF(tblPayrollMaster[[#This Row],[Employee ID]]="","",_xlfn.XLOOKUP(selPayPeriodID,tblPayCalendar[PayPeriodID],tblPayCalendar[PeriodStart],""))</f>
        <v/>
      </c>
      <c r="H974" s="26" t="str" cm="1">
        <f t="array" ref="H974">IF(tblPayrollMaster[[#This Row],[Employee ID]]="","",_xlfn.XLOOKUP(selPayPeriodID,tblPayCalendar[PayPeriodID],tblPayCalendar[PeriodEnd],""))</f>
        <v/>
      </c>
      <c r="I974" s="24" t="e" cm="1" vm="1">
        <f t="array" aca="1" ref="I974" ca="1">Table18[Employer Name]</f>
        <v>#VALUE!</v>
      </c>
      <c r="J974" s="3" cm="1">
        <f t="array" ref="J97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74" s="25" t="str">
        <f>_xlfn.XLOOKUP(tblPayrollMaster[[#This Row],[Employee Position]],tblPositionandPayRate[Employee Position],tblPositionandPayRate[Overtime], " ")</f>
        <v xml:space="preserve"> </v>
      </c>
      <c r="L974" s="25">
        <f>_xlfn.XLOOKUP(tblPayrollMaster[[#This Row],[Employee Position]],tblPositionandPayRate[Employee Position],tblPositionandPayRate[Allowance 1],0)*tblPayrollMaster[[#This Row],[Pay Factor]]</f>
        <v>0</v>
      </c>
      <c r="M974" s="25">
        <f>_xlfn.XLOOKUP(tblPayrollMaster[[#This Row],[Employee Position]],tblPositionandPayRate[Employee Position],tblPositionandPayRate[Allowance 2],0)*tblPayrollMaster[[#This Row],[Pay Factor]]</f>
        <v>0</v>
      </c>
      <c r="N974" s="25">
        <f>_xlfn.XLOOKUP(tblPayrollMaster[[#This Row],[Employee Position]],tblPositionandPayRate[Employee Position],tblPositionandPayRate[Allowance 3],0)*tblPayrollMaster[[#This Row],[Pay Factor]]</f>
        <v>0</v>
      </c>
      <c r="O974" s="25">
        <f>_xlfn.XLOOKUP(tblPayrollMaster[[#This Row],[Employee Position]],tblPositionandPayRate[Employee Position],tblPositionandPayRate[Allowance 4],0)*tblPayrollMaster[[#This Row],[Pay Factor]]</f>
        <v>0</v>
      </c>
      <c r="P974" s="25">
        <f>_xlfn.XLOOKUP(tblPayrollMaster[[#This Row],[Employee Position]],tblPositionandPayRate[Employee Position],tblPositionandPayRate[Allowance 5],0)*tblPayrollMaster[[#This Row],[Pay Factor]]</f>
        <v>0</v>
      </c>
      <c r="Q974" s="25">
        <f>SUM(tblPayrollMaster[[#This Row],[Basic Pay]:[Allowance 5]])</f>
        <v>0</v>
      </c>
      <c r="R97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74" s="51" cm="1">
        <f t="array" ref="S9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74" s="3" cm="1">
        <f t="array" ref="T97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74" s="25">
        <f>_xlfn.LET(
_xlpm.tos, _xlfn.XLOOKUP(tblPayrollMaster[[#This Row],[Employee ID]], tblEmployee[Employee ID], tblEmployee[Type of Service], ""),
IF(_xlpm.tos="Contract of Service", 8.25, 0)
)</f>
        <v>0</v>
      </c>
      <c r="V974" s="25">
        <f>tblPayrollMaster[[#This Row],[Basic Earnings]]-tblPayrollMaster[[#This Row],[Tax]]-tblPayrollMaster[[#This Row],[NIS - Employee]]-tblPayrollMaster[[#This Row],[Health Surcharge]]</f>
        <v>0</v>
      </c>
      <c r="W974" s="25">
        <f>tblPayrollMaster[[#This Row],[Net Pay]]</f>
        <v>0</v>
      </c>
      <c r="X974" s="25"/>
    </row>
    <row r="975" spans="1:24" x14ac:dyDescent="0.25">
      <c r="A975" s="24"/>
      <c r="B975" s="24" t="str">
        <f>_xlfn.XLOOKUP(tblPayrollMaster[[#This Row],[Employee ID]],tblEmployee[Employee ID],tblEmployee[Employee Name],"")</f>
        <v/>
      </c>
      <c r="C975" s="24" t="str">
        <f>_xlfn.XLOOKUP(tblPayrollMaster[[#This Row],[Employee ID]],tblEmployee[Employee ID],tblEmployee[Employee Position],"")</f>
        <v/>
      </c>
      <c r="D975" s="24" t="str">
        <f>_xlfn.XLOOKUP(tblPayrollMaster[[#This Row],[Employee ID]], tblEmployee[Employee ID], tblEmployee[Pay Status], "Pay")</f>
        <v>Pay</v>
      </c>
      <c r="E975" s="24" t="str">
        <f>_xlfn.XLOOKUP(tblPayrollMaster[[#This Row],[Employee ID]], tblEmployee[Employee ID], tblEmployee[Payable Flag], "Y")</f>
        <v>Y</v>
      </c>
      <c r="F975" s="45">
        <f>IF(tblPayrollMaster[[#This Row],[Payable Flag]]="N",0,_xlfn.XLOOKUP(tblPayrollMaster[[#This Row],[Employee ID]],tblEmployee[Employee ID],tblEmployee[Pay Factor],1))</f>
        <v>1</v>
      </c>
      <c r="G975" s="26" t="str" cm="1">
        <f t="array" ref="G975">IF(tblPayrollMaster[[#This Row],[Employee ID]]="","",_xlfn.XLOOKUP(selPayPeriodID,tblPayCalendar[PayPeriodID],tblPayCalendar[PeriodStart],""))</f>
        <v/>
      </c>
      <c r="H975" s="26" t="str" cm="1">
        <f t="array" ref="H975">IF(tblPayrollMaster[[#This Row],[Employee ID]]="","",_xlfn.XLOOKUP(selPayPeriodID,tblPayCalendar[PayPeriodID],tblPayCalendar[PeriodEnd],""))</f>
        <v/>
      </c>
      <c r="I975" s="24" t="e" cm="1" vm="1">
        <f t="array" aca="1" ref="I975" ca="1">Table18[Employer Name]</f>
        <v>#VALUE!</v>
      </c>
      <c r="J975" s="3" cm="1">
        <f t="array" ref="J97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75" s="25" t="str">
        <f>_xlfn.XLOOKUP(tblPayrollMaster[[#This Row],[Employee Position]],tblPositionandPayRate[Employee Position],tblPositionandPayRate[Overtime], " ")</f>
        <v xml:space="preserve"> </v>
      </c>
      <c r="L975" s="25">
        <f>_xlfn.XLOOKUP(tblPayrollMaster[[#This Row],[Employee Position]],tblPositionandPayRate[Employee Position],tblPositionandPayRate[Allowance 1],0)*tblPayrollMaster[[#This Row],[Pay Factor]]</f>
        <v>0</v>
      </c>
      <c r="M975" s="25">
        <f>_xlfn.XLOOKUP(tblPayrollMaster[[#This Row],[Employee Position]],tblPositionandPayRate[Employee Position],tblPositionandPayRate[Allowance 2],0)*tblPayrollMaster[[#This Row],[Pay Factor]]</f>
        <v>0</v>
      </c>
      <c r="N975" s="25">
        <f>_xlfn.XLOOKUP(tblPayrollMaster[[#This Row],[Employee Position]],tblPositionandPayRate[Employee Position],tblPositionandPayRate[Allowance 3],0)*tblPayrollMaster[[#This Row],[Pay Factor]]</f>
        <v>0</v>
      </c>
      <c r="O975" s="25">
        <f>_xlfn.XLOOKUP(tblPayrollMaster[[#This Row],[Employee Position]],tblPositionandPayRate[Employee Position],tblPositionandPayRate[Allowance 4],0)*tblPayrollMaster[[#This Row],[Pay Factor]]</f>
        <v>0</v>
      </c>
      <c r="P975" s="25">
        <f>_xlfn.XLOOKUP(tblPayrollMaster[[#This Row],[Employee Position]],tblPositionandPayRate[Employee Position],tblPositionandPayRate[Allowance 5],0)*tblPayrollMaster[[#This Row],[Pay Factor]]</f>
        <v>0</v>
      </c>
      <c r="Q975" s="25">
        <f>SUM(tblPayrollMaster[[#This Row],[Basic Pay]:[Allowance 5]])</f>
        <v>0</v>
      </c>
      <c r="R97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75" s="51" cm="1">
        <f t="array" ref="S9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75" s="3" cm="1">
        <f t="array" ref="T97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75" s="25">
        <f>_xlfn.LET(
_xlpm.tos, _xlfn.XLOOKUP(tblPayrollMaster[[#This Row],[Employee ID]], tblEmployee[Employee ID], tblEmployee[Type of Service], ""),
IF(_xlpm.tos="Contract of Service", 8.25, 0)
)</f>
        <v>0</v>
      </c>
      <c r="V975" s="25">
        <f>tblPayrollMaster[[#This Row],[Basic Earnings]]-tblPayrollMaster[[#This Row],[Tax]]-tblPayrollMaster[[#This Row],[NIS - Employee]]-tblPayrollMaster[[#This Row],[Health Surcharge]]</f>
        <v>0</v>
      </c>
      <c r="W975" s="25">
        <f>tblPayrollMaster[[#This Row],[Net Pay]]</f>
        <v>0</v>
      </c>
      <c r="X975" s="25"/>
    </row>
    <row r="976" spans="1:24" x14ac:dyDescent="0.25">
      <c r="A976" s="24"/>
      <c r="B976" s="24" t="str">
        <f>_xlfn.XLOOKUP(tblPayrollMaster[[#This Row],[Employee ID]],tblEmployee[Employee ID],tblEmployee[Employee Name],"")</f>
        <v/>
      </c>
      <c r="C976" s="24" t="str">
        <f>_xlfn.XLOOKUP(tblPayrollMaster[[#This Row],[Employee ID]],tblEmployee[Employee ID],tblEmployee[Employee Position],"")</f>
        <v/>
      </c>
      <c r="D976" s="24" t="str">
        <f>_xlfn.XLOOKUP(tblPayrollMaster[[#This Row],[Employee ID]], tblEmployee[Employee ID], tblEmployee[Pay Status], "Pay")</f>
        <v>Pay</v>
      </c>
      <c r="E976" s="24" t="str">
        <f>_xlfn.XLOOKUP(tblPayrollMaster[[#This Row],[Employee ID]], tblEmployee[Employee ID], tblEmployee[Payable Flag], "Y")</f>
        <v>Y</v>
      </c>
      <c r="F976" s="45">
        <f>IF(tblPayrollMaster[[#This Row],[Payable Flag]]="N",0,_xlfn.XLOOKUP(tblPayrollMaster[[#This Row],[Employee ID]],tblEmployee[Employee ID],tblEmployee[Pay Factor],1))</f>
        <v>1</v>
      </c>
      <c r="G976" s="26" t="str" cm="1">
        <f t="array" ref="G976">IF(tblPayrollMaster[[#This Row],[Employee ID]]="","",_xlfn.XLOOKUP(selPayPeriodID,tblPayCalendar[PayPeriodID],tblPayCalendar[PeriodStart],""))</f>
        <v/>
      </c>
      <c r="H976" s="26" t="str" cm="1">
        <f t="array" ref="H976">IF(tblPayrollMaster[[#This Row],[Employee ID]]="","",_xlfn.XLOOKUP(selPayPeriodID,tblPayCalendar[PayPeriodID],tblPayCalendar[PeriodEnd],""))</f>
        <v/>
      </c>
      <c r="I976" s="24" t="e" cm="1" vm="1">
        <f t="array" aca="1" ref="I976" ca="1">Table18[Employer Name]</f>
        <v>#VALUE!</v>
      </c>
      <c r="J976" s="3" cm="1">
        <f t="array" ref="J97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76" s="25" t="str">
        <f>_xlfn.XLOOKUP(tblPayrollMaster[[#This Row],[Employee Position]],tblPositionandPayRate[Employee Position],tblPositionandPayRate[Overtime], " ")</f>
        <v xml:space="preserve"> </v>
      </c>
      <c r="L976" s="25">
        <f>_xlfn.XLOOKUP(tblPayrollMaster[[#This Row],[Employee Position]],tblPositionandPayRate[Employee Position],tblPositionandPayRate[Allowance 1],0)*tblPayrollMaster[[#This Row],[Pay Factor]]</f>
        <v>0</v>
      </c>
      <c r="M976" s="25">
        <f>_xlfn.XLOOKUP(tblPayrollMaster[[#This Row],[Employee Position]],tblPositionandPayRate[Employee Position],tblPositionandPayRate[Allowance 2],0)*tblPayrollMaster[[#This Row],[Pay Factor]]</f>
        <v>0</v>
      </c>
      <c r="N976" s="25">
        <f>_xlfn.XLOOKUP(tblPayrollMaster[[#This Row],[Employee Position]],tblPositionandPayRate[Employee Position],tblPositionandPayRate[Allowance 3],0)*tblPayrollMaster[[#This Row],[Pay Factor]]</f>
        <v>0</v>
      </c>
      <c r="O976" s="25">
        <f>_xlfn.XLOOKUP(tblPayrollMaster[[#This Row],[Employee Position]],tblPositionandPayRate[Employee Position],tblPositionandPayRate[Allowance 4],0)*tblPayrollMaster[[#This Row],[Pay Factor]]</f>
        <v>0</v>
      </c>
      <c r="P976" s="25">
        <f>_xlfn.XLOOKUP(tblPayrollMaster[[#This Row],[Employee Position]],tblPositionandPayRate[Employee Position],tblPositionandPayRate[Allowance 5],0)*tblPayrollMaster[[#This Row],[Pay Factor]]</f>
        <v>0</v>
      </c>
      <c r="Q976" s="25">
        <f>SUM(tblPayrollMaster[[#This Row],[Basic Pay]:[Allowance 5]])</f>
        <v>0</v>
      </c>
      <c r="R97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76" s="51" cm="1">
        <f t="array" ref="S9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76" s="3" cm="1">
        <f t="array" ref="T97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76" s="25">
        <f>_xlfn.LET(
_xlpm.tos, _xlfn.XLOOKUP(tblPayrollMaster[[#This Row],[Employee ID]], tblEmployee[Employee ID], tblEmployee[Type of Service], ""),
IF(_xlpm.tos="Contract of Service", 8.25, 0)
)</f>
        <v>0</v>
      </c>
      <c r="V976" s="25">
        <f>tblPayrollMaster[[#This Row],[Basic Earnings]]-tblPayrollMaster[[#This Row],[Tax]]-tblPayrollMaster[[#This Row],[NIS - Employee]]-tblPayrollMaster[[#This Row],[Health Surcharge]]</f>
        <v>0</v>
      </c>
      <c r="W976" s="25">
        <f>tblPayrollMaster[[#This Row],[Net Pay]]</f>
        <v>0</v>
      </c>
      <c r="X976" s="25"/>
    </row>
    <row r="977" spans="1:24" x14ac:dyDescent="0.25">
      <c r="A977" s="24"/>
      <c r="B977" s="24" t="str">
        <f>_xlfn.XLOOKUP(tblPayrollMaster[[#This Row],[Employee ID]],tblEmployee[Employee ID],tblEmployee[Employee Name],"")</f>
        <v/>
      </c>
      <c r="C977" s="24" t="str">
        <f>_xlfn.XLOOKUP(tblPayrollMaster[[#This Row],[Employee ID]],tblEmployee[Employee ID],tblEmployee[Employee Position],"")</f>
        <v/>
      </c>
      <c r="D977" s="24" t="str">
        <f>_xlfn.XLOOKUP(tblPayrollMaster[[#This Row],[Employee ID]], tblEmployee[Employee ID], tblEmployee[Pay Status], "Pay")</f>
        <v>Pay</v>
      </c>
      <c r="E977" s="24" t="str">
        <f>_xlfn.XLOOKUP(tblPayrollMaster[[#This Row],[Employee ID]], tblEmployee[Employee ID], tblEmployee[Payable Flag], "Y")</f>
        <v>Y</v>
      </c>
      <c r="F977" s="45">
        <f>IF(tblPayrollMaster[[#This Row],[Payable Flag]]="N",0,_xlfn.XLOOKUP(tblPayrollMaster[[#This Row],[Employee ID]],tblEmployee[Employee ID],tblEmployee[Pay Factor],1))</f>
        <v>1</v>
      </c>
      <c r="G977" s="26" t="str" cm="1">
        <f t="array" ref="G977">IF(tblPayrollMaster[[#This Row],[Employee ID]]="","",_xlfn.XLOOKUP(selPayPeriodID,tblPayCalendar[PayPeriodID],tblPayCalendar[PeriodStart],""))</f>
        <v/>
      </c>
      <c r="H977" s="26" t="str" cm="1">
        <f t="array" ref="H977">IF(tblPayrollMaster[[#This Row],[Employee ID]]="","",_xlfn.XLOOKUP(selPayPeriodID,tblPayCalendar[PayPeriodID],tblPayCalendar[PeriodEnd],""))</f>
        <v/>
      </c>
      <c r="I977" s="24" t="e" cm="1" vm="1">
        <f t="array" aca="1" ref="I977" ca="1">Table18[Employer Name]</f>
        <v>#VALUE!</v>
      </c>
      <c r="J977" s="3" cm="1">
        <f t="array" ref="J97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77" s="25" t="str">
        <f>_xlfn.XLOOKUP(tblPayrollMaster[[#This Row],[Employee Position]],tblPositionandPayRate[Employee Position],tblPositionandPayRate[Overtime], " ")</f>
        <v xml:space="preserve"> </v>
      </c>
      <c r="L977" s="25">
        <f>_xlfn.XLOOKUP(tblPayrollMaster[[#This Row],[Employee Position]],tblPositionandPayRate[Employee Position],tblPositionandPayRate[Allowance 1],0)*tblPayrollMaster[[#This Row],[Pay Factor]]</f>
        <v>0</v>
      </c>
      <c r="M977" s="25">
        <f>_xlfn.XLOOKUP(tblPayrollMaster[[#This Row],[Employee Position]],tblPositionandPayRate[Employee Position],tblPositionandPayRate[Allowance 2],0)*tblPayrollMaster[[#This Row],[Pay Factor]]</f>
        <v>0</v>
      </c>
      <c r="N977" s="25">
        <f>_xlfn.XLOOKUP(tblPayrollMaster[[#This Row],[Employee Position]],tblPositionandPayRate[Employee Position],tblPositionandPayRate[Allowance 3],0)*tblPayrollMaster[[#This Row],[Pay Factor]]</f>
        <v>0</v>
      </c>
      <c r="O977" s="25">
        <f>_xlfn.XLOOKUP(tblPayrollMaster[[#This Row],[Employee Position]],tblPositionandPayRate[Employee Position],tblPositionandPayRate[Allowance 4],0)*tblPayrollMaster[[#This Row],[Pay Factor]]</f>
        <v>0</v>
      </c>
      <c r="P977" s="25">
        <f>_xlfn.XLOOKUP(tblPayrollMaster[[#This Row],[Employee Position]],tblPositionandPayRate[Employee Position],tblPositionandPayRate[Allowance 5],0)*tblPayrollMaster[[#This Row],[Pay Factor]]</f>
        <v>0</v>
      </c>
      <c r="Q977" s="25">
        <f>SUM(tblPayrollMaster[[#This Row],[Basic Pay]:[Allowance 5]])</f>
        <v>0</v>
      </c>
      <c r="R97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77" s="51" cm="1">
        <f t="array" ref="S9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77" s="3" cm="1">
        <f t="array" ref="T97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77" s="25">
        <f>_xlfn.LET(
_xlpm.tos, _xlfn.XLOOKUP(tblPayrollMaster[[#This Row],[Employee ID]], tblEmployee[Employee ID], tblEmployee[Type of Service], ""),
IF(_xlpm.tos="Contract of Service", 8.25, 0)
)</f>
        <v>0</v>
      </c>
      <c r="V977" s="25">
        <f>tblPayrollMaster[[#This Row],[Basic Earnings]]-tblPayrollMaster[[#This Row],[Tax]]-tblPayrollMaster[[#This Row],[NIS - Employee]]-tblPayrollMaster[[#This Row],[Health Surcharge]]</f>
        <v>0</v>
      </c>
      <c r="W977" s="25">
        <f>tblPayrollMaster[[#This Row],[Net Pay]]</f>
        <v>0</v>
      </c>
      <c r="X977" s="25"/>
    </row>
    <row r="978" spans="1:24" x14ac:dyDescent="0.25">
      <c r="A978" s="24"/>
      <c r="B978" s="24" t="str">
        <f>_xlfn.XLOOKUP(tblPayrollMaster[[#This Row],[Employee ID]],tblEmployee[Employee ID],tblEmployee[Employee Name],"")</f>
        <v/>
      </c>
      <c r="C978" s="24" t="str">
        <f>_xlfn.XLOOKUP(tblPayrollMaster[[#This Row],[Employee ID]],tblEmployee[Employee ID],tblEmployee[Employee Position],"")</f>
        <v/>
      </c>
      <c r="D978" s="24" t="str">
        <f>_xlfn.XLOOKUP(tblPayrollMaster[[#This Row],[Employee ID]], tblEmployee[Employee ID], tblEmployee[Pay Status], "Pay")</f>
        <v>Pay</v>
      </c>
      <c r="E978" s="24" t="str">
        <f>_xlfn.XLOOKUP(tblPayrollMaster[[#This Row],[Employee ID]], tblEmployee[Employee ID], tblEmployee[Payable Flag], "Y")</f>
        <v>Y</v>
      </c>
      <c r="F978" s="45">
        <f>IF(tblPayrollMaster[[#This Row],[Payable Flag]]="N",0,_xlfn.XLOOKUP(tblPayrollMaster[[#This Row],[Employee ID]],tblEmployee[Employee ID],tblEmployee[Pay Factor],1))</f>
        <v>1</v>
      </c>
      <c r="G978" s="26" t="str" cm="1">
        <f t="array" ref="G978">IF(tblPayrollMaster[[#This Row],[Employee ID]]="","",_xlfn.XLOOKUP(selPayPeriodID,tblPayCalendar[PayPeriodID],tblPayCalendar[PeriodStart],""))</f>
        <v/>
      </c>
      <c r="H978" s="26" t="str" cm="1">
        <f t="array" ref="H978">IF(tblPayrollMaster[[#This Row],[Employee ID]]="","",_xlfn.XLOOKUP(selPayPeriodID,tblPayCalendar[PayPeriodID],tblPayCalendar[PeriodEnd],""))</f>
        <v/>
      </c>
      <c r="I978" s="24" t="e" cm="1" vm="1">
        <f t="array" aca="1" ref="I978" ca="1">Table18[Employer Name]</f>
        <v>#VALUE!</v>
      </c>
      <c r="J978" s="3" cm="1">
        <f t="array" ref="J97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78" s="25" t="str">
        <f>_xlfn.XLOOKUP(tblPayrollMaster[[#This Row],[Employee Position]],tblPositionandPayRate[Employee Position],tblPositionandPayRate[Overtime], " ")</f>
        <v xml:space="preserve"> </v>
      </c>
      <c r="L978" s="25">
        <f>_xlfn.XLOOKUP(tblPayrollMaster[[#This Row],[Employee Position]],tblPositionandPayRate[Employee Position],tblPositionandPayRate[Allowance 1],0)*tblPayrollMaster[[#This Row],[Pay Factor]]</f>
        <v>0</v>
      </c>
      <c r="M978" s="25">
        <f>_xlfn.XLOOKUP(tblPayrollMaster[[#This Row],[Employee Position]],tblPositionandPayRate[Employee Position],tblPositionandPayRate[Allowance 2],0)*tblPayrollMaster[[#This Row],[Pay Factor]]</f>
        <v>0</v>
      </c>
      <c r="N978" s="25">
        <f>_xlfn.XLOOKUP(tblPayrollMaster[[#This Row],[Employee Position]],tblPositionandPayRate[Employee Position],tblPositionandPayRate[Allowance 3],0)*tblPayrollMaster[[#This Row],[Pay Factor]]</f>
        <v>0</v>
      </c>
      <c r="O978" s="25">
        <f>_xlfn.XLOOKUP(tblPayrollMaster[[#This Row],[Employee Position]],tblPositionandPayRate[Employee Position],tblPositionandPayRate[Allowance 4],0)*tblPayrollMaster[[#This Row],[Pay Factor]]</f>
        <v>0</v>
      </c>
      <c r="P978" s="25">
        <f>_xlfn.XLOOKUP(tblPayrollMaster[[#This Row],[Employee Position]],tblPositionandPayRate[Employee Position],tblPositionandPayRate[Allowance 5],0)*tblPayrollMaster[[#This Row],[Pay Factor]]</f>
        <v>0</v>
      </c>
      <c r="Q978" s="25">
        <f>SUM(tblPayrollMaster[[#This Row],[Basic Pay]:[Allowance 5]])</f>
        <v>0</v>
      </c>
      <c r="R97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78" s="51" cm="1">
        <f t="array" ref="S9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78" s="3" cm="1">
        <f t="array" ref="T97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78" s="25">
        <f>_xlfn.LET(
_xlpm.tos, _xlfn.XLOOKUP(tblPayrollMaster[[#This Row],[Employee ID]], tblEmployee[Employee ID], tblEmployee[Type of Service], ""),
IF(_xlpm.tos="Contract of Service", 8.25, 0)
)</f>
        <v>0</v>
      </c>
      <c r="V978" s="25">
        <f>tblPayrollMaster[[#This Row],[Basic Earnings]]-tblPayrollMaster[[#This Row],[Tax]]-tblPayrollMaster[[#This Row],[NIS - Employee]]-tblPayrollMaster[[#This Row],[Health Surcharge]]</f>
        <v>0</v>
      </c>
      <c r="W978" s="25">
        <f>tblPayrollMaster[[#This Row],[Net Pay]]</f>
        <v>0</v>
      </c>
      <c r="X978" s="25"/>
    </row>
    <row r="979" spans="1:24" x14ac:dyDescent="0.25">
      <c r="A979" s="24"/>
      <c r="B979" s="24" t="str">
        <f>_xlfn.XLOOKUP(tblPayrollMaster[[#This Row],[Employee ID]],tblEmployee[Employee ID],tblEmployee[Employee Name],"")</f>
        <v/>
      </c>
      <c r="C979" s="24" t="str">
        <f>_xlfn.XLOOKUP(tblPayrollMaster[[#This Row],[Employee ID]],tblEmployee[Employee ID],tblEmployee[Employee Position],"")</f>
        <v/>
      </c>
      <c r="D979" s="24" t="str">
        <f>_xlfn.XLOOKUP(tblPayrollMaster[[#This Row],[Employee ID]], tblEmployee[Employee ID], tblEmployee[Pay Status], "Pay")</f>
        <v>Pay</v>
      </c>
      <c r="E979" s="24" t="str">
        <f>_xlfn.XLOOKUP(tblPayrollMaster[[#This Row],[Employee ID]], tblEmployee[Employee ID], tblEmployee[Payable Flag], "Y")</f>
        <v>Y</v>
      </c>
      <c r="F979" s="45">
        <f>IF(tblPayrollMaster[[#This Row],[Payable Flag]]="N",0,_xlfn.XLOOKUP(tblPayrollMaster[[#This Row],[Employee ID]],tblEmployee[Employee ID],tblEmployee[Pay Factor],1))</f>
        <v>1</v>
      </c>
      <c r="G979" s="26" t="str" cm="1">
        <f t="array" ref="G979">IF(tblPayrollMaster[[#This Row],[Employee ID]]="","",_xlfn.XLOOKUP(selPayPeriodID,tblPayCalendar[PayPeriodID],tblPayCalendar[PeriodStart],""))</f>
        <v/>
      </c>
      <c r="H979" s="26" t="str" cm="1">
        <f t="array" ref="H979">IF(tblPayrollMaster[[#This Row],[Employee ID]]="","",_xlfn.XLOOKUP(selPayPeriodID,tblPayCalendar[PayPeriodID],tblPayCalendar[PeriodEnd],""))</f>
        <v/>
      </c>
      <c r="I979" s="24" t="e" cm="1" vm="1">
        <f t="array" aca="1" ref="I979" ca="1">Table18[Employer Name]</f>
        <v>#VALUE!</v>
      </c>
      <c r="J979" s="3" cm="1">
        <f t="array" ref="J97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79" s="25" t="str">
        <f>_xlfn.XLOOKUP(tblPayrollMaster[[#This Row],[Employee Position]],tblPositionandPayRate[Employee Position],tblPositionandPayRate[Overtime], " ")</f>
        <v xml:space="preserve"> </v>
      </c>
      <c r="L979" s="25">
        <f>_xlfn.XLOOKUP(tblPayrollMaster[[#This Row],[Employee Position]],tblPositionandPayRate[Employee Position],tblPositionandPayRate[Allowance 1],0)*tblPayrollMaster[[#This Row],[Pay Factor]]</f>
        <v>0</v>
      </c>
      <c r="M979" s="25">
        <f>_xlfn.XLOOKUP(tblPayrollMaster[[#This Row],[Employee Position]],tblPositionandPayRate[Employee Position],tblPositionandPayRate[Allowance 2],0)*tblPayrollMaster[[#This Row],[Pay Factor]]</f>
        <v>0</v>
      </c>
      <c r="N979" s="25">
        <f>_xlfn.XLOOKUP(tblPayrollMaster[[#This Row],[Employee Position]],tblPositionandPayRate[Employee Position],tblPositionandPayRate[Allowance 3],0)*tblPayrollMaster[[#This Row],[Pay Factor]]</f>
        <v>0</v>
      </c>
      <c r="O979" s="25">
        <f>_xlfn.XLOOKUP(tblPayrollMaster[[#This Row],[Employee Position]],tblPositionandPayRate[Employee Position],tblPositionandPayRate[Allowance 4],0)*tblPayrollMaster[[#This Row],[Pay Factor]]</f>
        <v>0</v>
      </c>
      <c r="P979" s="25">
        <f>_xlfn.XLOOKUP(tblPayrollMaster[[#This Row],[Employee Position]],tblPositionandPayRate[Employee Position],tblPositionandPayRate[Allowance 5],0)*tblPayrollMaster[[#This Row],[Pay Factor]]</f>
        <v>0</v>
      </c>
      <c r="Q979" s="25">
        <f>SUM(tblPayrollMaster[[#This Row],[Basic Pay]:[Allowance 5]])</f>
        <v>0</v>
      </c>
      <c r="R97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79" s="51" cm="1">
        <f t="array" ref="S9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79" s="3" cm="1">
        <f t="array" ref="T97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79" s="25">
        <f>_xlfn.LET(
_xlpm.tos, _xlfn.XLOOKUP(tblPayrollMaster[[#This Row],[Employee ID]], tblEmployee[Employee ID], tblEmployee[Type of Service], ""),
IF(_xlpm.tos="Contract of Service", 8.25, 0)
)</f>
        <v>0</v>
      </c>
      <c r="V979" s="25">
        <f>tblPayrollMaster[[#This Row],[Basic Earnings]]-tblPayrollMaster[[#This Row],[Tax]]-tblPayrollMaster[[#This Row],[NIS - Employee]]-tblPayrollMaster[[#This Row],[Health Surcharge]]</f>
        <v>0</v>
      </c>
      <c r="W979" s="25">
        <f>tblPayrollMaster[[#This Row],[Net Pay]]</f>
        <v>0</v>
      </c>
      <c r="X979" s="25"/>
    </row>
    <row r="980" spans="1:24" x14ac:dyDescent="0.25">
      <c r="A980" s="24"/>
      <c r="B980" s="24" t="str">
        <f>_xlfn.XLOOKUP(tblPayrollMaster[[#This Row],[Employee ID]],tblEmployee[Employee ID],tblEmployee[Employee Name],"")</f>
        <v/>
      </c>
      <c r="C980" s="24" t="str">
        <f>_xlfn.XLOOKUP(tblPayrollMaster[[#This Row],[Employee ID]],tblEmployee[Employee ID],tblEmployee[Employee Position],"")</f>
        <v/>
      </c>
      <c r="D980" s="24" t="str">
        <f>_xlfn.XLOOKUP(tblPayrollMaster[[#This Row],[Employee ID]], tblEmployee[Employee ID], tblEmployee[Pay Status], "Pay")</f>
        <v>Pay</v>
      </c>
      <c r="E980" s="24" t="str">
        <f>_xlfn.XLOOKUP(tblPayrollMaster[[#This Row],[Employee ID]], tblEmployee[Employee ID], tblEmployee[Payable Flag], "Y")</f>
        <v>Y</v>
      </c>
      <c r="F980" s="45">
        <f>IF(tblPayrollMaster[[#This Row],[Payable Flag]]="N",0,_xlfn.XLOOKUP(tblPayrollMaster[[#This Row],[Employee ID]],tblEmployee[Employee ID],tblEmployee[Pay Factor],1))</f>
        <v>1</v>
      </c>
      <c r="G980" s="26" t="str" cm="1">
        <f t="array" ref="G980">IF(tblPayrollMaster[[#This Row],[Employee ID]]="","",_xlfn.XLOOKUP(selPayPeriodID,tblPayCalendar[PayPeriodID],tblPayCalendar[PeriodStart],""))</f>
        <v/>
      </c>
      <c r="H980" s="26" t="str" cm="1">
        <f t="array" ref="H980">IF(tblPayrollMaster[[#This Row],[Employee ID]]="","",_xlfn.XLOOKUP(selPayPeriodID,tblPayCalendar[PayPeriodID],tblPayCalendar[PeriodEnd],""))</f>
        <v/>
      </c>
      <c r="I980" s="24" t="e" cm="1" vm="1">
        <f t="array" aca="1" ref="I980" ca="1">Table18[Employer Name]</f>
        <v>#VALUE!</v>
      </c>
      <c r="J980" s="3" cm="1">
        <f t="array" ref="J98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80" s="25" t="str">
        <f>_xlfn.XLOOKUP(tblPayrollMaster[[#This Row],[Employee Position]],tblPositionandPayRate[Employee Position],tblPositionandPayRate[Overtime], " ")</f>
        <v xml:space="preserve"> </v>
      </c>
      <c r="L980" s="25">
        <f>_xlfn.XLOOKUP(tblPayrollMaster[[#This Row],[Employee Position]],tblPositionandPayRate[Employee Position],tblPositionandPayRate[Allowance 1],0)*tblPayrollMaster[[#This Row],[Pay Factor]]</f>
        <v>0</v>
      </c>
      <c r="M980" s="25">
        <f>_xlfn.XLOOKUP(tblPayrollMaster[[#This Row],[Employee Position]],tblPositionandPayRate[Employee Position],tblPositionandPayRate[Allowance 2],0)*tblPayrollMaster[[#This Row],[Pay Factor]]</f>
        <v>0</v>
      </c>
      <c r="N980" s="25">
        <f>_xlfn.XLOOKUP(tblPayrollMaster[[#This Row],[Employee Position]],tblPositionandPayRate[Employee Position],tblPositionandPayRate[Allowance 3],0)*tblPayrollMaster[[#This Row],[Pay Factor]]</f>
        <v>0</v>
      </c>
      <c r="O980" s="25">
        <f>_xlfn.XLOOKUP(tblPayrollMaster[[#This Row],[Employee Position]],tblPositionandPayRate[Employee Position],tblPositionandPayRate[Allowance 4],0)*tblPayrollMaster[[#This Row],[Pay Factor]]</f>
        <v>0</v>
      </c>
      <c r="P980" s="25">
        <f>_xlfn.XLOOKUP(tblPayrollMaster[[#This Row],[Employee Position]],tblPositionandPayRate[Employee Position],tblPositionandPayRate[Allowance 5],0)*tblPayrollMaster[[#This Row],[Pay Factor]]</f>
        <v>0</v>
      </c>
      <c r="Q980" s="25">
        <f>SUM(tblPayrollMaster[[#This Row],[Basic Pay]:[Allowance 5]])</f>
        <v>0</v>
      </c>
      <c r="R98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80" s="51" cm="1">
        <f t="array" ref="S9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80" s="3" cm="1">
        <f t="array" ref="T98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80" s="25">
        <f>_xlfn.LET(
_xlpm.tos, _xlfn.XLOOKUP(tblPayrollMaster[[#This Row],[Employee ID]], tblEmployee[Employee ID], tblEmployee[Type of Service], ""),
IF(_xlpm.tos="Contract of Service", 8.25, 0)
)</f>
        <v>0</v>
      </c>
      <c r="V980" s="25">
        <f>tblPayrollMaster[[#This Row],[Basic Earnings]]-tblPayrollMaster[[#This Row],[Tax]]-tblPayrollMaster[[#This Row],[NIS - Employee]]-tblPayrollMaster[[#This Row],[Health Surcharge]]</f>
        <v>0</v>
      </c>
      <c r="W980" s="25">
        <f>tblPayrollMaster[[#This Row],[Net Pay]]</f>
        <v>0</v>
      </c>
      <c r="X980" s="25"/>
    </row>
    <row r="981" spans="1:24" x14ac:dyDescent="0.25">
      <c r="A981" s="24"/>
      <c r="B981" s="24" t="str">
        <f>_xlfn.XLOOKUP(tblPayrollMaster[[#This Row],[Employee ID]],tblEmployee[Employee ID],tblEmployee[Employee Name],"")</f>
        <v/>
      </c>
      <c r="C981" s="24" t="str">
        <f>_xlfn.XLOOKUP(tblPayrollMaster[[#This Row],[Employee ID]],tblEmployee[Employee ID],tblEmployee[Employee Position],"")</f>
        <v/>
      </c>
      <c r="D981" s="24" t="str">
        <f>_xlfn.XLOOKUP(tblPayrollMaster[[#This Row],[Employee ID]], tblEmployee[Employee ID], tblEmployee[Pay Status], "Pay")</f>
        <v>Pay</v>
      </c>
      <c r="E981" s="24" t="str">
        <f>_xlfn.XLOOKUP(tblPayrollMaster[[#This Row],[Employee ID]], tblEmployee[Employee ID], tblEmployee[Payable Flag], "Y")</f>
        <v>Y</v>
      </c>
      <c r="F981" s="45">
        <f>IF(tblPayrollMaster[[#This Row],[Payable Flag]]="N",0,_xlfn.XLOOKUP(tblPayrollMaster[[#This Row],[Employee ID]],tblEmployee[Employee ID],tblEmployee[Pay Factor],1))</f>
        <v>1</v>
      </c>
      <c r="G981" s="26" t="str" cm="1">
        <f t="array" ref="G981">IF(tblPayrollMaster[[#This Row],[Employee ID]]="","",_xlfn.XLOOKUP(selPayPeriodID,tblPayCalendar[PayPeriodID],tblPayCalendar[PeriodStart],""))</f>
        <v/>
      </c>
      <c r="H981" s="26" t="str" cm="1">
        <f t="array" ref="H981">IF(tblPayrollMaster[[#This Row],[Employee ID]]="","",_xlfn.XLOOKUP(selPayPeriodID,tblPayCalendar[PayPeriodID],tblPayCalendar[PeriodEnd],""))</f>
        <v/>
      </c>
      <c r="I981" s="24" t="e" cm="1" vm="1">
        <f t="array" aca="1" ref="I981" ca="1">Table18[Employer Name]</f>
        <v>#VALUE!</v>
      </c>
      <c r="J981" s="3" cm="1">
        <f t="array" ref="J98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81" s="25" t="str">
        <f>_xlfn.XLOOKUP(tblPayrollMaster[[#This Row],[Employee Position]],tblPositionandPayRate[Employee Position],tblPositionandPayRate[Overtime], " ")</f>
        <v xml:space="preserve"> </v>
      </c>
      <c r="L981" s="25">
        <f>_xlfn.XLOOKUP(tblPayrollMaster[[#This Row],[Employee Position]],tblPositionandPayRate[Employee Position],tblPositionandPayRate[Allowance 1],0)*tblPayrollMaster[[#This Row],[Pay Factor]]</f>
        <v>0</v>
      </c>
      <c r="M981" s="25">
        <f>_xlfn.XLOOKUP(tblPayrollMaster[[#This Row],[Employee Position]],tblPositionandPayRate[Employee Position],tblPositionandPayRate[Allowance 2],0)*tblPayrollMaster[[#This Row],[Pay Factor]]</f>
        <v>0</v>
      </c>
      <c r="N981" s="25">
        <f>_xlfn.XLOOKUP(tblPayrollMaster[[#This Row],[Employee Position]],tblPositionandPayRate[Employee Position],tblPositionandPayRate[Allowance 3],0)*tblPayrollMaster[[#This Row],[Pay Factor]]</f>
        <v>0</v>
      </c>
      <c r="O981" s="25">
        <f>_xlfn.XLOOKUP(tblPayrollMaster[[#This Row],[Employee Position]],tblPositionandPayRate[Employee Position],tblPositionandPayRate[Allowance 4],0)*tblPayrollMaster[[#This Row],[Pay Factor]]</f>
        <v>0</v>
      </c>
      <c r="P981" s="25">
        <f>_xlfn.XLOOKUP(tblPayrollMaster[[#This Row],[Employee Position]],tblPositionandPayRate[Employee Position],tblPositionandPayRate[Allowance 5],0)*tblPayrollMaster[[#This Row],[Pay Factor]]</f>
        <v>0</v>
      </c>
      <c r="Q981" s="25">
        <f>SUM(tblPayrollMaster[[#This Row],[Basic Pay]:[Allowance 5]])</f>
        <v>0</v>
      </c>
      <c r="R98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81" s="51" cm="1">
        <f t="array" ref="S9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81" s="3" cm="1">
        <f t="array" ref="T98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81" s="25">
        <f>_xlfn.LET(
_xlpm.tos, _xlfn.XLOOKUP(tblPayrollMaster[[#This Row],[Employee ID]], tblEmployee[Employee ID], tblEmployee[Type of Service], ""),
IF(_xlpm.tos="Contract of Service", 8.25, 0)
)</f>
        <v>0</v>
      </c>
      <c r="V981" s="25">
        <f>tblPayrollMaster[[#This Row],[Basic Earnings]]-tblPayrollMaster[[#This Row],[Tax]]-tblPayrollMaster[[#This Row],[NIS - Employee]]-tblPayrollMaster[[#This Row],[Health Surcharge]]</f>
        <v>0</v>
      </c>
      <c r="W981" s="25">
        <f>tblPayrollMaster[[#This Row],[Net Pay]]</f>
        <v>0</v>
      </c>
      <c r="X981" s="25"/>
    </row>
    <row r="982" spans="1:24" x14ac:dyDescent="0.25">
      <c r="A982" s="24"/>
      <c r="B982" s="24" t="str">
        <f>_xlfn.XLOOKUP(tblPayrollMaster[[#This Row],[Employee ID]],tblEmployee[Employee ID],tblEmployee[Employee Name],"")</f>
        <v/>
      </c>
      <c r="C982" s="24" t="str">
        <f>_xlfn.XLOOKUP(tblPayrollMaster[[#This Row],[Employee ID]],tblEmployee[Employee ID],tblEmployee[Employee Position],"")</f>
        <v/>
      </c>
      <c r="D982" s="24" t="str">
        <f>_xlfn.XLOOKUP(tblPayrollMaster[[#This Row],[Employee ID]], tblEmployee[Employee ID], tblEmployee[Pay Status], "Pay")</f>
        <v>Pay</v>
      </c>
      <c r="E982" s="24" t="str">
        <f>_xlfn.XLOOKUP(tblPayrollMaster[[#This Row],[Employee ID]], tblEmployee[Employee ID], tblEmployee[Payable Flag], "Y")</f>
        <v>Y</v>
      </c>
      <c r="F982" s="45">
        <f>IF(tblPayrollMaster[[#This Row],[Payable Flag]]="N",0,_xlfn.XLOOKUP(tblPayrollMaster[[#This Row],[Employee ID]],tblEmployee[Employee ID],tblEmployee[Pay Factor],1))</f>
        <v>1</v>
      </c>
      <c r="G982" s="26" t="str" cm="1">
        <f t="array" ref="G982">IF(tblPayrollMaster[[#This Row],[Employee ID]]="","",_xlfn.XLOOKUP(selPayPeriodID,tblPayCalendar[PayPeriodID],tblPayCalendar[PeriodStart],""))</f>
        <v/>
      </c>
      <c r="H982" s="26" t="str" cm="1">
        <f t="array" ref="H982">IF(tblPayrollMaster[[#This Row],[Employee ID]]="","",_xlfn.XLOOKUP(selPayPeriodID,tblPayCalendar[PayPeriodID],tblPayCalendar[PeriodEnd],""))</f>
        <v/>
      </c>
      <c r="I982" s="24" t="e" cm="1" vm="1">
        <f t="array" aca="1" ref="I982" ca="1">Table18[Employer Name]</f>
        <v>#VALUE!</v>
      </c>
      <c r="J982" s="3" cm="1">
        <f t="array" ref="J98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82" s="25" t="str">
        <f>_xlfn.XLOOKUP(tblPayrollMaster[[#This Row],[Employee Position]],tblPositionandPayRate[Employee Position],tblPositionandPayRate[Overtime], " ")</f>
        <v xml:space="preserve"> </v>
      </c>
      <c r="L982" s="25">
        <f>_xlfn.XLOOKUP(tblPayrollMaster[[#This Row],[Employee Position]],tblPositionandPayRate[Employee Position],tblPositionandPayRate[Allowance 1],0)*tblPayrollMaster[[#This Row],[Pay Factor]]</f>
        <v>0</v>
      </c>
      <c r="M982" s="25">
        <f>_xlfn.XLOOKUP(tblPayrollMaster[[#This Row],[Employee Position]],tblPositionandPayRate[Employee Position],tblPositionandPayRate[Allowance 2],0)*tblPayrollMaster[[#This Row],[Pay Factor]]</f>
        <v>0</v>
      </c>
      <c r="N982" s="25">
        <f>_xlfn.XLOOKUP(tblPayrollMaster[[#This Row],[Employee Position]],tblPositionandPayRate[Employee Position],tblPositionandPayRate[Allowance 3],0)*tblPayrollMaster[[#This Row],[Pay Factor]]</f>
        <v>0</v>
      </c>
      <c r="O982" s="25">
        <f>_xlfn.XLOOKUP(tblPayrollMaster[[#This Row],[Employee Position]],tblPositionandPayRate[Employee Position],tblPositionandPayRate[Allowance 4],0)*tblPayrollMaster[[#This Row],[Pay Factor]]</f>
        <v>0</v>
      </c>
      <c r="P982" s="25">
        <f>_xlfn.XLOOKUP(tblPayrollMaster[[#This Row],[Employee Position]],tblPositionandPayRate[Employee Position],tblPositionandPayRate[Allowance 5],0)*tblPayrollMaster[[#This Row],[Pay Factor]]</f>
        <v>0</v>
      </c>
      <c r="Q982" s="25">
        <f>SUM(tblPayrollMaster[[#This Row],[Basic Pay]:[Allowance 5]])</f>
        <v>0</v>
      </c>
      <c r="R98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82" s="51" cm="1">
        <f t="array" ref="S9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82" s="3" cm="1">
        <f t="array" ref="T98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82" s="25">
        <f>_xlfn.LET(
_xlpm.tos, _xlfn.XLOOKUP(tblPayrollMaster[[#This Row],[Employee ID]], tblEmployee[Employee ID], tblEmployee[Type of Service], ""),
IF(_xlpm.tos="Contract of Service", 8.25, 0)
)</f>
        <v>0</v>
      </c>
      <c r="V982" s="25">
        <f>tblPayrollMaster[[#This Row],[Basic Earnings]]-tblPayrollMaster[[#This Row],[Tax]]-tblPayrollMaster[[#This Row],[NIS - Employee]]-tblPayrollMaster[[#This Row],[Health Surcharge]]</f>
        <v>0</v>
      </c>
      <c r="W982" s="25">
        <f>tblPayrollMaster[[#This Row],[Net Pay]]</f>
        <v>0</v>
      </c>
      <c r="X982" s="25"/>
    </row>
    <row r="983" spans="1:24" x14ac:dyDescent="0.25">
      <c r="A983" s="24"/>
      <c r="B983" s="24" t="str">
        <f>_xlfn.XLOOKUP(tblPayrollMaster[[#This Row],[Employee ID]],tblEmployee[Employee ID],tblEmployee[Employee Name],"")</f>
        <v/>
      </c>
      <c r="C983" s="24" t="str">
        <f>_xlfn.XLOOKUP(tblPayrollMaster[[#This Row],[Employee ID]],tblEmployee[Employee ID],tblEmployee[Employee Position],"")</f>
        <v/>
      </c>
      <c r="D983" s="24" t="str">
        <f>_xlfn.XLOOKUP(tblPayrollMaster[[#This Row],[Employee ID]], tblEmployee[Employee ID], tblEmployee[Pay Status], "Pay")</f>
        <v>Pay</v>
      </c>
      <c r="E983" s="24" t="str">
        <f>_xlfn.XLOOKUP(tblPayrollMaster[[#This Row],[Employee ID]], tblEmployee[Employee ID], tblEmployee[Payable Flag], "Y")</f>
        <v>Y</v>
      </c>
      <c r="F983" s="45">
        <f>IF(tblPayrollMaster[[#This Row],[Payable Flag]]="N",0,_xlfn.XLOOKUP(tblPayrollMaster[[#This Row],[Employee ID]],tblEmployee[Employee ID],tblEmployee[Pay Factor],1))</f>
        <v>1</v>
      </c>
      <c r="G983" s="26" t="str" cm="1">
        <f t="array" ref="G983">IF(tblPayrollMaster[[#This Row],[Employee ID]]="","",_xlfn.XLOOKUP(selPayPeriodID,tblPayCalendar[PayPeriodID],tblPayCalendar[PeriodStart],""))</f>
        <v/>
      </c>
      <c r="H983" s="26" t="str" cm="1">
        <f t="array" ref="H983">IF(tblPayrollMaster[[#This Row],[Employee ID]]="","",_xlfn.XLOOKUP(selPayPeriodID,tblPayCalendar[PayPeriodID],tblPayCalendar[PeriodEnd],""))</f>
        <v/>
      </c>
      <c r="I983" s="24" t="e" cm="1" vm="1">
        <f t="array" aca="1" ref="I983" ca="1">Table18[Employer Name]</f>
        <v>#VALUE!</v>
      </c>
      <c r="J983" s="3" cm="1">
        <f t="array" ref="J98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83" s="25" t="str">
        <f>_xlfn.XLOOKUP(tblPayrollMaster[[#This Row],[Employee Position]],tblPositionandPayRate[Employee Position],tblPositionandPayRate[Overtime], " ")</f>
        <v xml:space="preserve"> </v>
      </c>
      <c r="L983" s="25">
        <f>_xlfn.XLOOKUP(tblPayrollMaster[[#This Row],[Employee Position]],tblPositionandPayRate[Employee Position],tblPositionandPayRate[Allowance 1],0)*tblPayrollMaster[[#This Row],[Pay Factor]]</f>
        <v>0</v>
      </c>
      <c r="M983" s="25">
        <f>_xlfn.XLOOKUP(tblPayrollMaster[[#This Row],[Employee Position]],tblPositionandPayRate[Employee Position],tblPositionandPayRate[Allowance 2],0)*tblPayrollMaster[[#This Row],[Pay Factor]]</f>
        <v>0</v>
      </c>
      <c r="N983" s="25">
        <f>_xlfn.XLOOKUP(tblPayrollMaster[[#This Row],[Employee Position]],tblPositionandPayRate[Employee Position],tblPositionandPayRate[Allowance 3],0)*tblPayrollMaster[[#This Row],[Pay Factor]]</f>
        <v>0</v>
      </c>
      <c r="O983" s="25">
        <f>_xlfn.XLOOKUP(tblPayrollMaster[[#This Row],[Employee Position]],tblPositionandPayRate[Employee Position],tblPositionandPayRate[Allowance 4],0)*tblPayrollMaster[[#This Row],[Pay Factor]]</f>
        <v>0</v>
      </c>
      <c r="P983" s="25">
        <f>_xlfn.XLOOKUP(tblPayrollMaster[[#This Row],[Employee Position]],tblPositionandPayRate[Employee Position],tblPositionandPayRate[Allowance 5],0)*tblPayrollMaster[[#This Row],[Pay Factor]]</f>
        <v>0</v>
      </c>
      <c r="Q983" s="25">
        <f>SUM(tblPayrollMaster[[#This Row],[Basic Pay]:[Allowance 5]])</f>
        <v>0</v>
      </c>
      <c r="R98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83" s="51" cm="1">
        <f t="array" ref="S9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83" s="3" cm="1">
        <f t="array" ref="T98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83" s="25">
        <f>_xlfn.LET(
_xlpm.tos, _xlfn.XLOOKUP(tblPayrollMaster[[#This Row],[Employee ID]], tblEmployee[Employee ID], tblEmployee[Type of Service], ""),
IF(_xlpm.tos="Contract of Service", 8.25, 0)
)</f>
        <v>0</v>
      </c>
      <c r="V983" s="25">
        <f>tblPayrollMaster[[#This Row],[Basic Earnings]]-tblPayrollMaster[[#This Row],[Tax]]-tblPayrollMaster[[#This Row],[NIS - Employee]]-tblPayrollMaster[[#This Row],[Health Surcharge]]</f>
        <v>0</v>
      </c>
      <c r="W983" s="25">
        <f>tblPayrollMaster[[#This Row],[Net Pay]]</f>
        <v>0</v>
      </c>
      <c r="X983" s="25"/>
    </row>
    <row r="984" spans="1:24" x14ac:dyDescent="0.25">
      <c r="A984" s="24"/>
      <c r="B984" s="24" t="str">
        <f>_xlfn.XLOOKUP(tblPayrollMaster[[#This Row],[Employee ID]],tblEmployee[Employee ID],tblEmployee[Employee Name],"")</f>
        <v/>
      </c>
      <c r="C984" s="24" t="str">
        <f>_xlfn.XLOOKUP(tblPayrollMaster[[#This Row],[Employee ID]],tblEmployee[Employee ID],tblEmployee[Employee Position],"")</f>
        <v/>
      </c>
      <c r="D984" s="24" t="str">
        <f>_xlfn.XLOOKUP(tblPayrollMaster[[#This Row],[Employee ID]], tblEmployee[Employee ID], tblEmployee[Pay Status], "Pay")</f>
        <v>Pay</v>
      </c>
      <c r="E984" s="24" t="str">
        <f>_xlfn.XLOOKUP(tblPayrollMaster[[#This Row],[Employee ID]], tblEmployee[Employee ID], tblEmployee[Payable Flag], "Y")</f>
        <v>Y</v>
      </c>
      <c r="F984" s="45">
        <f>IF(tblPayrollMaster[[#This Row],[Payable Flag]]="N",0,_xlfn.XLOOKUP(tblPayrollMaster[[#This Row],[Employee ID]],tblEmployee[Employee ID],tblEmployee[Pay Factor],1))</f>
        <v>1</v>
      </c>
      <c r="G984" s="26" t="str" cm="1">
        <f t="array" ref="G984">IF(tblPayrollMaster[[#This Row],[Employee ID]]="","",_xlfn.XLOOKUP(selPayPeriodID,tblPayCalendar[PayPeriodID],tblPayCalendar[PeriodStart],""))</f>
        <v/>
      </c>
      <c r="H984" s="26" t="str" cm="1">
        <f t="array" ref="H984">IF(tblPayrollMaster[[#This Row],[Employee ID]]="","",_xlfn.XLOOKUP(selPayPeriodID,tblPayCalendar[PayPeriodID],tblPayCalendar[PeriodEnd],""))</f>
        <v/>
      </c>
      <c r="I984" s="24" t="e" cm="1" vm="1">
        <f t="array" aca="1" ref="I984" ca="1">Table18[Employer Name]</f>
        <v>#VALUE!</v>
      </c>
      <c r="J984" s="3" cm="1">
        <f t="array" ref="J98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84" s="25" t="str">
        <f>_xlfn.XLOOKUP(tblPayrollMaster[[#This Row],[Employee Position]],tblPositionandPayRate[Employee Position],tblPositionandPayRate[Overtime], " ")</f>
        <v xml:space="preserve"> </v>
      </c>
      <c r="L984" s="25">
        <f>_xlfn.XLOOKUP(tblPayrollMaster[[#This Row],[Employee Position]],tblPositionandPayRate[Employee Position],tblPositionandPayRate[Allowance 1],0)*tblPayrollMaster[[#This Row],[Pay Factor]]</f>
        <v>0</v>
      </c>
      <c r="M984" s="25">
        <f>_xlfn.XLOOKUP(tblPayrollMaster[[#This Row],[Employee Position]],tblPositionandPayRate[Employee Position],tblPositionandPayRate[Allowance 2],0)*tblPayrollMaster[[#This Row],[Pay Factor]]</f>
        <v>0</v>
      </c>
      <c r="N984" s="25">
        <f>_xlfn.XLOOKUP(tblPayrollMaster[[#This Row],[Employee Position]],tblPositionandPayRate[Employee Position],tblPositionandPayRate[Allowance 3],0)*tblPayrollMaster[[#This Row],[Pay Factor]]</f>
        <v>0</v>
      </c>
      <c r="O984" s="25">
        <f>_xlfn.XLOOKUP(tblPayrollMaster[[#This Row],[Employee Position]],tblPositionandPayRate[Employee Position],tblPositionandPayRate[Allowance 4],0)*tblPayrollMaster[[#This Row],[Pay Factor]]</f>
        <v>0</v>
      </c>
      <c r="P984" s="25">
        <f>_xlfn.XLOOKUP(tblPayrollMaster[[#This Row],[Employee Position]],tblPositionandPayRate[Employee Position],tblPositionandPayRate[Allowance 5],0)*tblPayrollMaster[[#This Row],[Pay Factor]]</f>
        <v>0</v>
      </c>
      <c r="Q984" s="25">
        <f>SUM(tblPayrollMaster[[#This Row],[Basic Pay]:[Allowance 5]])</f>
        <v>0</v>
      </c>
      <c r="R98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84" s="51" cm="1">
        <f t="array" ref="S9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84" s="3" cm="1">
        <f t="array" ref="T98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84" s="25">
        <f>_xlfn.LET(
_xlpm.tos, _xlfn.XLOOKUP(tblPayrollMaster[[#This Row],[Employee ID]], tblEmployee[Employee ID], tblEmployee[Type of Service], ""),
IF(_xlpm.tos="Contract of Service", 8.25, 0)
)</f>
        <v>0</v>
      </c>
      <c r="V984" s="25">
        <f>tblPayrollMaster[[#This Row],[Basic Earnings]]-tblPayrollMaster[[#This Row],[Tax]]-tblPayrollMaster[[#This Row],[NIS - Employee]]-tblPayrollMaster[[#This Row],[Health Surcharge]]</f>
        <v>0</v>
      </c>
      <c r="W984" s="25">
        <f>tblPayrollMaster[[#This Row],[Net Pay]]</f>
        <v>0</v>
      </c>
      <c r="X984" s="25"/>
    </row>
    <row r="985" spans="1:24" x14ac:dyDescent="0.25">
      <c r="A985" s="24"/>
      <c r="B985" s="24" t="str">
        <f>_xlfn.XLOOKUP(tblPayrollMaster[[#This Row],[Employee ID]],tblEmployee[Employee ID],tblEmployee[Employee Name],"")</f>
        <v/>
      </c>
      <c r="C985" s="24" t="str">
        <f>_xlfn.XLOOKUP(tblPayrollMaster[[#This Row],[Employee ID]],tblEmployee[Employee ID],tblEmployee[Employee Position],"")</f>
        <v/>
      </c>
      <c r="D985" s="24" t="str">
        <f>_xlfn.XLOOKUP(tblPayrollMaster[[#This Row],[Employee ID]], tblEmployee[Employee ID], tblEmployee[Pay Status], "Pay")</f>
        <v>Pay</v>
      </c>
      <c r="E985" s="24" t="str">
        <f>_xlfn.XLOOKUP(tblPayrollMaster[[#This Row],[Employee ID]], tblEmployee[Employee ID], tblEmployee[Payable Flag], "Y")</f>
        <v>Y</v>
      </c>
      <c r="F985" s="45">
        <f>IF(tblPayrollMaster[[#This Row],[Payable Flag]]="N",0,_xlfn.XLOOKUP(tblPayrollMaster[[#This Row],[Employee ID]],tblEmployee[Employee ID],tblEmployee[Pay Factor],1))</f>
        <v>1</v>
      </c>
      <c r="G985" s="26" t="str" cm="1">
        <f t="array" ref="G985">IF(tblPayrollMaster[[#This Row],[Employee ID]]="","",_xlfn.XLOOKUP(selPayPeriodID,tblPayCalendar[PayPeriodID],tblPayCalendar[PeriodStart],""))</f>
        <v/>
      </c>
      <c r="H985" s="26" t="str" cm="1">
        <f t="array" ref="H985">IF(tblPayrollMaster[[#This Row],[Employee ID]]="","",_xlfn.XLOOKUP(selPayPeriodID,tblPayCalendar[PayPeriodID],tblPayCalendar[PeriodEnd],""))</f>
        <v/>
      </c>
      <c r="I985" s="24" t="e" cm="1" vm="1">
        <f t="array" aca="1" ref="I985" ca="1">Table18[Employer Name]</f>
        <v>#VALUE!</v>
      </c>
      <c r="J985" s="3" cm="1">
        <f t="array" ref="J98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85" s="25" t="str">
        <f>_xlfn.XLOOKUP(tblPayrollMaster[[#This Row],[Employee Position]],tblPositionandPayRate[Employee Position],tblPositionandPayRate[Overtime], " ")</f>
        <v xml:space="preserve"> </v>
      </c>
      <c r="L985" s="25">
        <f>_xlfn.XLOOKUP(tblPayrollMaster[[#This Row],[Employee Position]],tblPositionandPayRate[Employee Position],tblPositionandPayRate[Allowance 1],0)*tblPayrollMaster[[#This Row],[Pay Factor]]</f>
        <v>0</v>
      </c>
      <c r="M985" s="25">
        <f>_xlfn.XLOOKUP(tblPayrollMaster[[#This Row],[Employee Position]],tblPositionandPayRate[Employee Position],tblPositionandPayRate[Allowance 2],0)*tblPayrollMaster[[#This Row],[Pay Factor]]</f>
        <v>0</v>
      </c>
      <c r="N985" s="25">
        <f>_xlfn.XLOOKUP(tblPayrollMaster[[#This Row],[Employee Position]],tblPositionandPayRate[Employee Position],tblPositionandPayRate[Allowance 3],0)*tblPayrollMaster[[#This Row],[Pay Factor]]</f>
        <v>0</v>
      </c>
      <c r="O985" s="25">
        <f>_xlfn.XLOOKUP(tblPayrollMaster[[#This Row],[Employee Position]],tblPositionandPayRate[Employee Position],tblPositionandPayRate[Allowance 4],0)*tblPayrollMaster[[#This Row],[Pay Factor]]</f>
        <v>0</v>
      </c>
      <c r="P985" s="25">
        <f>_xlfn.XLOOKUP(tblPayrollMaster[[#This Row],[Employee Position]],tblPositionandPayRate[Employee Position],tblPositionandPayRate[Allowance 5],0)*tblPayrollMaster[[#This Row],[Pay Factor]]</f>
        <v>0</v>
      </c>
      <c r="Q985" s="25">
        <f>SUM(tblPayrollMaster[[#This Row],[Basic Pay]:[Allowance 5]])</f>
        <v>0</v>
      </c>
      <c r="R98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85" s="51" cm="1">
        <f t="array" ref="S9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85" s="3" cm="1">
        <f t="array" ref="T98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85" s="25">
        <f>_xlfn.LET(
_xlpm.tos, _xlfn.XLOOKUP(tblPayrollMaster[[#This Row],[Employee ID]], tblEmployee[Employee ID], tblEmployee[Type of Service], ""),
IF(_xlpm.tos="Contract of Service", 8.25, 0)
)</f>
        <v>0</v>
      </c>
      <c r="V985" s="25">
        <f>tblPayrollMaster[[#This Row],[Basic Earnings]]-tblPayrollMaster[[#This Row],[Tax]]-tblPayrollMaster[[#This Row],[NIS - Employee]]-tblPayrollMaster[[#This Row],[Health Surcharge]]</f>
        <v>0</v>
      </c>
      <c r="W985" s="25">
        <f>tblPayrollMaster[[#This Row],[Net Pay]]</f>
        <v>0</v>
      </c>
      <c r="X985" s="25"/>
    </row>
    <row r="986" spans="1:24" x14ac:dyDescent="0.25">
      <c r="A986" s="24"/>
      <c r="B986" s="24" t="str">
        <f>_xlfn.XLOOKUP(tblPayrollMaster[[#This Row],[Employee ID]],tblEmployee[Employee ID],tblEmployee[Employee Name],"")</f>
        <v/>
      </c>
      <c r="C986" s="24" t="str">
        <f>_xlfn.XLOOKUP(tblPayrollMaster[[#This Row],[Employee ID]],tblEmployee[Employee ID],tblEmployee[Employee Position],"")</f>
        <v/>
      </c>
      <c r="D986" s="24" t="str">
        <f>_xlfn.XLOOKUP(tblPayrollMaster[[#This Row],[Employee ID]], tblEmployee[Employee ID], tblEmployee[Pay Status], "Pay")</f>
        <v>Pay</v>
      </c>
      <c r="E986" s="24" t="str">
        <f>_xlfn.XLOOKUP(tblPayrollMaster[[#This Row],[Employee ID]], tblEmployee[Employee ID], tblEmployee[Payable Flag], "Y")</f>
        <v>Y</v>
      </c>
      <c r="F986" s="45">
        <f>IF(tblPayrollMaster[[#This Row],[Payable Flag]]="N",0,_xlfn.XLOOKUP(tblPayrollMaster[[#This Row],[Employee ID]],tblEmployee[Employee ID],tblEmployee[Pay Factor],1))</f>
        <v>1</v>
      </c>
      <c r="G986" s="26" t="str" cm="1">
        <f t="array" ref="G986">IF(tblPayrollMaster[[#This Row],[Employee ID]]="","",_xlfn.XLOOKUP(selPayPeriodID,tblPayCalendar[PayPeriodID],tblPayCalendar[PeriodStart],""))</f>
        <v/>
      </c>
      <c r="H986" s="26" t="str" cm="1">
        <f t="array" ref="H986">IF(tblPayrollMaster[[#This Row],[Employee ID]]="","",_xlfn.XLOOKUP(selPayPeriodID,tblPayCalendar[PayPeriodID],tblPayCalendar[PeriodEnd],""))</f>
        <v/>
      </c>
      <c r="I986" s="24" t="e" cm="1" vm="1">
        <f t="array" aca="1" ref="I986" ca="1">Table18[Employer Name]</f>
        <v>#VALUE!</v>
      </c>
      <c r="J986" s="3" cm="1">
        <f t="array" ref="J98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86" s="25" t="str">
        <f>_xlfn.XLOOKUP(tblPayrollMaster[[#This Row],[Employee Position]],tblPositionandPayRate[Employee Position],tblPositionandPayRate[Overtime], " ")</f>
        <v xml:space="preserve"> </v>
      </c>
      <c r="L986" s="25">
        <f>_xlfn.XLOOKUP(tblPayrollMaster[[#This Row],[Employee Position]],tblPositionandPayRate[Employee Position],tblPositionandPayRate[Allowance 1],0)*tblPayrollMaster[[#This Row],[Pay Factor]]</f>
        <v>0</v>
      </c>
      <c r="M986" s="25">
        <f>_xlfn.XLOOKUP(tblPayrollMaster[[#This Row],[Employee Position]],tblPositionandPayRate[Employee Position],tblPositionandPayRate[Allowance 2],0)*tblPayrollMaster[[#This Row],[Pay Factor]]</f>
        <v>0</v>
      </c>
      <c r="N986" s="25">
        <f>_xlfn.XLOOKUP(tblPayrollMaster[[#This Row],[Employee Position]],tblPositionandPayRate[Employee Position],tblPositionandPayRate[Allowance 3],0)*tblPayrollMaster[[#This Row],[Pay Factor]]</f>
        <v>0</v>
      </c>
      <c r="O986" s="25">
        <f>_xlfn.XLOOKUP(tblPayrollMaster[[#This Row],[Employee Position]],tblPositionandPayRate[Employee Position],tblPositionandPayRate[Allowance 4],0)*tblPayrollMaster[[#This Row],[Pay Factor]]</f>
        <v>0</v>
      </c>
      <c r="P986" s="25">
        <f>_xlfn.XLOOKUP(tblPayrollMaster[[#This Row],[Employee Position]],tblPositionandPayRate[Employee Position],tblPositionandPayRate[Allowance 5],0)*tblPayrollMaster[[#This Row],[Pay Factor]]</f>
        <v>0</v>
      </c>
      <c r="Q986" s="25">
        <f>SUM(tblPayrollMaster[[#This Row],[Basic Pay]:[Allowance 5]])</f>
        <v>0</v>
      </c>
      <c r="R98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86" s="51" cm="1">
        <f t="array" ref="S9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86" s="3" cm="1">
        <f t="array" ref="T98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86" s="25">
        <f>_xlfn.LET(
_xlpm.tos, _xlfn.XLOOKUP(tblPayrollMaster[[#This Row],[Employee ID]], tblEmployee[Employee ID], tblEmployee[Type of Service], ""),
IF(_xlpm.tos="Contract of Service", 8.25, 0)
)</f>
        <v>0</v>
      </c>
      <c r="V986" s="25">
        <f>tblPayrollMaster[[#This Row],[Basic Earnings]]-tblPayrollMaster[[#This Row],[Tax]]-tblPayrollMaster[[#This Row],[NIS - Employee]]-tblPayrollMaster[[#This Row],[Health Surcharge]]</f>
        <v>0</v>
      </c>
      <c r="W986" s="25">
        <f>tblPayrollMaster[[#This Row],[Net Pay]]</f>
        <v>0</v>
      </c>
      <c r="X986" s="25"/>
    </row>
    <row r="987" spans="1:24" x14ac:dyDescent="0.25">
      <c r="A987" s="24"/>
      <c r="B987" s="24" t="str">
        <f>_xlfn.XLOOKUP(tblPayrollMaster[[#This Row],[Employee ID]],tblEmployee[Employee ID],tblEmployee[Employee Name],"")</f>
        <v/>
      </c>
      <c r="C987" s="24" t="str">
        <f>_xlfn.XLOOKUP(tblPayrollMaster[[#This Row],[Employee ID]],tblEmployee[Employee ID],tblEmployee[Employee Position],"")</f>
        <v/>
      </c>
      <c r="D987" s="24" t="str">
        <f>_xlfn.XLOOKUP(tblPayrollMaster[[#This Row],[Employee ID]], tblEmployee[Employee ID], tblEmployee[Pay Status], "Pay")</f>
        <v>Pay</v>
      </c>
      <c r="E987" s="24" t="str">
        <f>_xlfn.XLOOKUP(tblPayrollMaster[[#This Row],[Employee ID]], tblEmployee[Employee ID], tblEmployee[Payable Flag], "Y")</f>
        <v>Y</v>
      </c>
      <c r="F987" s="45">
        <f>IF(tblPayrollMaster[[#This Row],[Payable Flag]]="N",0,_xlfn.XLOOKUP(tblPayrollMaster[[#This Row],[Employee ID]],tblEmployee[Employee ID],tblEmployee[Pay Factor],1))</f>
        <v>1</v>
      </c>
      <c r="G987" s="26" t="str" cm="1">
        <f t="array" ref="G987">IF(tblPayrollMaster[[#This Row],[Employee ID]]="","",_xlfn.XLOOKUP(selPayPeriodID,tblPayCalendar[PayPeriodID],tblPayCalendar[PeriodStart],""))</f>
        <v/>
      </c>
      <c r="H987" s="26" t="str" cm="1">
        <f t="array" ref="H987">IF(tblPayrollMaster[[#This Row],[Employee ID]]="","",_xlfn.XLOOKUP(selPayPeriodID,tblPayCalendar[PayPeriodID],tblPayCalendar[PeriodEnd],""))</f>
        <v/>
      </c>
      <c r="I987" s="24" t="e" cm="1" vm="1">
        <f t="array" aca="1" ref="I987" ca="1">Table18[Employer Name]</f>
        <v>#VALUE!</v>
      </c>
      <c r="J987" s="3" cm="1">
        <f t="array" ref="J98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87" s="25" t="str">
        <f>_xlfn.XLOOKUP(tblPayrollMaster[[#This Row],[Employee Position]],tblPositionandPayRate[Employee Position],tblPositionandPayRate[Overtime], " ")</f>
        <v xml:space="preserve"> </v>
      </c>
      <c r="L987" s="25">
        <f>_xlfn.XLOOKUP(tblPayrollMaster[[#This Row],[Employee Position]],tblPositionandPayRate[Employee Position],tblPositionandPayRate[Allowance 1],0)*tblPayrollMaster[[#This Row],[Pay Factor]]</f>
        <v>0</v>
      </c>
      <c r="M987" s="25">
        <f>_xlfn.XLOOKUP(tblPayrollMaster[[#This Row],[Employee Position]],tblPositionandPayRate[Employee Position],tblPositionandPayRate[Allowance 2],0)*tblPayrollMaster[[#This Row],[Pay Factor]]</f>
        <v>0</v>
      </c>
      <c r="N987" s="25">
        <f>_xlfn.XLOOKUP(tblPayrollMaster[[#This Row],[Employee Position]],tblPositionandPayRate[Employee Position],tblPositionandPayRate[Allowance 3],0)*tblPayrollMaster[[#This Row],[Pay Factor]]</f>
        <v>0</v>
      </c>
      <c r="O987" s="25">
        <f>_xlfn.XLOOKUP(tblPayrollMaster[[#This Row],[Employee Position]],tblPositionandPayRate[Employee Position],tblPositionandPayRate[Allowance 4],0)*tblPayrollMaster[[#This Row],[Pay Factor]]</f>
        <v>0</v>
      </c>
      <c r="P987" s="25">
        <f>_xlfn.XLOOKUP(tblPayrollMaster[[#This Row],[Employee Position]],tblPositionandPayRate[Employee Position],tblPositionandPayRate[Allowance 5],0)*tblPayrollMaster[[#This Row],[Pay Factor]]</f>
        <v>0</v>
      </c>
      <c r="Q987" s="25">
        <f>SUM(tblPayrollMaster[[#This Row],[Basic Pay]:[Allowance 5]])</f>
        <v>0</v>
      </c>
      <c r="R98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87" s="51" cm="1">
        <f t="array" ref="S9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87" s="3" cm="1">
        <f t="array" ref="T98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87" s="25">
        <f>_xlfn.LET(
_xlpm.tos, _xlfn.XLOOKUP(tblPayrollMaster[[#This Row],[Employee ID]], tblEmployee[Employee ID], tblEmployee[Type of Service], ""),
IF(_xlpm.tos="Contract of Service", 8.25, 0)
)</f>
        <v>0</v>
      </c>
      <c r="V987" s="25">
        <f>tblPayrollMaster[[#This Row],[Basic Earnings]]-tblPayrollMaster[[#This Row],[Tax]]-tblPayrollMaster[[#This Row],[NIS - Employee]]-tblPayrollMaster[[#This Row],[Health Surcharge]]</f>
        <v>0</v>
      </c>
      <c r="W987" s="25">
        <f>tblPayrollMaster[[#This Row],[Net Pay]]</f>
        <v>0</v>
      </c>
      <c r="X987" s="25"/>
    </row>
    <row r="988" spans="1:24" x14ac:dyDescent="0.25">
      <c r="A988" s="24"/>
      <c r="B988" s="24" t="str">
        <f>_xlfn.XLOOKUP(tblPayrollMaster[[#This Row],[Employee ID]],tblEmployee[Employee ID],tblEmployee[Employee Name],"")</f>
        <v/>
      </c>
      <c r="C988" s="24" t="str">
        <f>_xlfn.XLOOKUP(tblPayrollMaster[[#This Row],[Employee ID]],tblEmployee[Employee ID],tblEmployee[Employee Position],"")</f>
        <v/>
      </c>
      <c r="D988" s="24" t="str">
        <f>_xlfn.XLOOKUP(tblPayrollMaster[[#This Row],[Employee ID]], tblEmployee[Employee ID], tblEmployee[Pay Status], "Pay")</f>
        <v>Pay</v>
      </c>
      <c r="E988" s="24" t="str">
        <f>_xlfn.XLOOKUP(tblPayrollMaster[[#This Row],[Employee ID]], tblEmployee[Employee ID], tblEmployee[Payable Flag], "Y")</f>
        <v>Y</v>
      </c>
      <c r="F988" s="45">
        <f>IF(tblPayrollMaster[[#This Row],[Payable Flag]]="N",0,_xlfn.XLOOKUP(tblPayrollMaster[[#This Row],[Employee ID]],tblEmployee[Employee ID],tblEmployee[Pay Factor],1))</f>
        <v>1</v>
      </c>
      <c r="G988" s="26" t="str" cm="1">
        <f t="array" ref="G988">IF(tblPayrollMaster[[#This Row],[Employee ID]]="","",_xlfn.XLOOKUP(selPayPeriodID,tblPayCalendar[PayPeriodID],tblPayCalendar[PeriodStart],""))</f>
        <v/>
      </c>
      <c r="H988" s="26" t="str" cm="1">
        <f t="array" ref="H988">IF(tblPayrollMaster[[#This Row],[Employee ID]]="","",_xlfn.XLOOKUP(selPayPeriodID,tblPayCalendar[PayPeriodID],tblPayCalendar[PeriodEnd],""))</f>
        <v/>
      </c>
      <c r="I988" s="24" t="e" cm="1" vm="1">
        <f t="array" aca="1" ref="I988" ca="1">Table18[Employer Name]</f>
        <v>#VALUE!</v>
      </c>
      <c r="J988" s="3" cm="1">
        <f t="array" ref="J98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88" s="25" t="str">
        <f>_xlfn.XLOOKUP(tblPayrollMaster[[#This Row],[Employee Position]],tblPositionandPayRate[Employee Position],tblPositionandPayRate[Overtime], " ")</f>
        <v xml:space="preserve"> </v>
      </c>
      <c r="L988" s="25">
        <f>_xlfn.XLOOKUP(tblPayrollMaster[[#This Row],[Employee Position]],tblPositionandPayRate[Employee Position],tblPositionandPayRate[Allowance 1],0)*tblPayrollMaster[[#This Row],[Pay Factor]]</f>
        <v>0</v>
      </c>
      <c r="M988" s="25">
        <f>_xlfn.XLOOKUP(tblPayrollMaster[[#This Row],[Employee Position]],tblPositionandPayRate[Employee Position],tblPositionandPayRate[Allowance 2],0)*tblPayrollMaster[[#This Row],[Pay Factor]]</f>
        <v>0</v>
      </c>
      <c r="N988" s="25">
        <f>_xlfn.XLOOKUP(tblPayrollMaster[[#This Row],[Employee Position]],tblPositionandPayRate[Employee Position],tblPositionandPayRate[Allowance 3],0)*tblPayrollMaster[[#This Row],[Pay Factor]]</f>
        <v>0</v>
      </c>
      <c r="O988" s="25">
        <f>_xlfn.XLOOKUP(tblPayrollMaster[[#This Row],[Employee Position]],tblPositionandPayRate[Employee Position],tblPositionandPayRate[Allowance 4],0)*tblPayrollMaster[[#This Row],[Pay Factor]]</f>
        <v>0</v>
      </c>
      <c r="P988" s="25">
        <f>_xlfn.XLOOKUP(tblPayrollMaster[[#This Row],[Employee Position]],tblPositionandPayRate[Employee Position],tblPositionandPayRate[Allowance 5],0)*tblPayrollMaster[[#This Row],[Pay Factor]]</f>
        <v>0</v>
      </c>
      <c r="Q988" s="25">
        <f>SUM(tblPayrollMaster[[#This Row],[Basic Pay]:[Allowance 5]])</f>
        <v>0</v>
      </c>
      <c r="R98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88" s="51" cm="1">
        <f t="array" ref="S9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88" s="3" cm="1">
        <f t="array" ref="T98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88" s="25">
        <f>_xlfn.LET(
_xlpm.tos, _xlfn.XLOOKUP(tblPayrollMaster[[#This Row],[Employee ID]], tblEmployee[Employee ID], tblEmployee[Type of Service], ""),
IF(_xlpm.tos="Contract of Service", 8.25, 0)
)</f>
        <v>0</v>
      </c>
      <c r="V988" s="25">
        <f>tblPayrollMaster[[#This Row],[Basic Earnings]]-tblPayrollMaster[[#This Row],[Tax]]-tblPayrollMaster[[#This Row],[NIS - Employee]]-tblPayrollMaster[[#This Row],[Health Surcharge]]</f>
        <v>0</v>
      </c>
      <c r="W988" s="25">
        <f>tblPayrollMaster[[#This Row],[Net Pay]]</f>
        <v>0</v>
      </c>
      <c r="X988" s="25"/>
    </row>
    <row r="989" spans="1:24" x14ac:dyDescent="0.25">
      <c r="A989" s="24"/>
      <c r="B989" s="24" t="str">
        <f>_xlfn.XLOOKUP(tblPayrollMaster[[#This Row],[Employee ID]],tblEmployee[Employee ID],tblEmployee[Employee Name],"")</f>
        <v/>
      </c>
      <c r="C989" s="24" t="str">
        <f>_xlfn.XLOOKUP(tblPayrollMaster[[#This Row],[Employee ID]],tblEmployee[Employee ID],tblEmployee[Employee Position],"")</f>
        <v/>
      </c>
      <c r="D989" s="24" t="str">
        <f>_xlfn.XLOOKUP(tblPayrollMaster[[#This Row],[Employee ID]], tblEmployee[Employee ID], tblEmployee[Pay Status], "Pay")</f>
        <v>Pay</v>
      </c>
      <c r="E989" s="24" t="str">
        <f>_xlfn.XLOOKUP(tblPayrollMaster[[#This Row],[Employee ID]], tblEmployee[Employee ID], tblEmployee[Payable Flag], "Y")</f>
        <v>Y</v>
      </c>
      <c r="F989" s="45">
        <f>IF(tblPayrollMaster[[#This Row],[Payable Flag]]="N",0,_xlfn.XLOOKUP(tblPayrollMaster[[#This Row],[Employee ID]],tblEmployee[Employee ID],tblEmployee[Pay Factor],1))</f>
        <v>1</v>
      </c>
      <c r="G989" s="26" t="str" cm="1">
        <f t="array" ref="G989">IF(tblPayrollMaster[[#This Row],[Employee ID]]="","",_xlfn.XLOOKUP(selPayPeriodID,tblPayCalendar[PayPeriodID],tblPayCalendar[PeriodStart],""))</f>
        <v/>
      </c>
      <c r="H989" s="26" t="str" cm="1">
        <f t="array" ref="H989">IF(tblPayrollMaster[[#This Row],[Employee ID]]="","",_xlfn.XLOOKUP(selPayPeriodID,tblPayCalendar[PayPeriodID],tblPayCalendar[PeriodEnd],""))</f>
        <v/>
      </c>
      <c r="I989" s="24" t="e" cm="1" vm="1">
        <f t="array" aca="1" ref="I989" ca="1">Table18[Employer Name]</f>
        <v>#VALUE!</v>
      </c>
      <c r="J989" s="3" cm="1">
        <f t="array" ref="J98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89" s="25" t="str">
        <f>_xlfn.XLOOKUP(tblPayrollMaster[[#This Row],[Employee Position]],tblPositionandPayRate[Employee Position],tblPositionandPayRate[Overtime], " ")</f>
        <v xml:space="preserve"> </v>
      </c>
      <c r="L989" s="25">
        <f>_xlfn.XLOOKUP(tblPayrollMaster[[#This Row],[Employee Position]],tblPositionandPayRate[Employee Position],tblPositionandPayRate[Allowance 1],0)*tblPayrollMaster[[#This Row],[Pay Factor]]</f>
        <v>0</v>
      </c>
      <c r="M989" s="25">
        <f>_xlfn.XLOOKUP(tblPayrollMaster[[#This Row],[Employee Position]],tblPositionandPayRate[Employee Position],tblPositionandPayRate[Allowance 2],0)*tblPayrollMaster[[#This Row],[Pay Factor]]</f>
        <v>0</v>
      </c>
      <c r="N989" s="25">
        <f>_xlfn.XLOOKUP(tblPayrollMaster[[#This Row],[Employee Position]],tblPositionandPayRate[Employee Position],tblPositionandPayRate[Allowance 3],0)*tblPayrollMaster[[#This Row],[Pay Factor]]</f>
        <v>0</v>
      </c>
      <c r="O989" s="25">
        <f>_xlfn.XLOOKUP(tblPayrollMaster[[#This Row],[Employee Position]],tblPositionandPayRate[Employee Position],tblPositionandPayRate[Allowance 4],0)*tblPayrollMaster[[#This Row],[Pay Factor]]</f>
        <v>0</v>
      </c>
      <c r="P989" s="25">
        <f>_xlfn.XLOOKUP(tblPayrollMaster[[#This Row],[Employee Position]],tblPositionandPayRate[Employee Position],tblPositionandPayRate[Allowance 5],0)*tblPayrollMaster[[#This Row],[Pay Factor]]</f>
        <v>0</v>
      </c>
      <c r="Q989" s="25">
        <f>SUM(tblPayrollMaster[[#This Row],[Basic Pay]:[Allowance 5]])</f>
        <v>0</v>
      </c>
      <c r="R98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89" s="51" cm="1">
        <f t="array" ref="S9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89" s="3" cm="1">
        <f t="array" ref="T98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89" s="25">
        <f>_xlfn.LET(
_xlpm.tos, _xlfn.XLOOKUP(tblPayrollMaster[[#This Row],[Employee ID]], tblEmployee[Employee ID], tblEmployee[Type of Service], ""),
IF(_xlpm.tos="Contract of Service", 8.25, 0)
)</f>
        <v>0</v>
      </c>
      <c r="V989" s="25">
        <f>tblPayrollMaster[[#This Row],[Basic Earnings]]-tblPayrollMaster[[#This Row],[Tax]]-tblPayrollMaster[[#This Row],[NIS - Employee]]-tblPayrollMaster[[#This Row],[Health Surcharge]]</f>
        <v>0</v>
      </c>
      <c r="W989" s="25">
        <f>tblPayrollMaster[[#This Row],[Net Pay]]</f>
        <v>0</v>
      </c>
      <c r="X989" s="25"/>
    </row>
    <row r="990" spans="1:24" x14ac:dyDescent="0.25">
      <c r="A990" s="24"/>
      <c r="B990" s="24" t="str">
        <f>_xlfn.XLOOKUP(tblPayrollMaster[[#This Row],[Employee ID]],tblEmployee[Employee ID],tblEmployee[Employee Name],"")</f>
        <v/>
      </c>
      <c r="C990" s="24" t="str">
        <f>_xlfn.XLOOKUP(tblPayrollMaster[[#This Row],[Employee ID]],tblEmployee[Employee ID],tblEmployee[Employee Position],"")</f>
        <v/>
      </c>
      <c r="D990" s="24" t="str">
        <f>_xlfn.XLOOKUP(tblPayrollMaster[[#This Row],[Employee ID]], tblEmployee[Employee ID], tblEmployee[Pay Status], "Pay")</f>
        <v>Pay</v>
      </c>
      <c r="E990" s="24" t="str">
        <f>_xlfn.XLOOKUP(tblPayrollMaster[[#This Row],[Employee ID]], tblEmployee[Employee ID], tblEmployee[Payable Flag], "Y")</f>
        <v>Y</v>
      </c>
      <c r="F990" s="45">
        <f>IF(tblPayrollMaster[[#This Row],[Payable Flag]]="N",0,_xlfn.XLOOKUP(tblPayrollMaster[[#This Row],[Employee ID]],tblEmployee[Employee ID],tblEmployee[Pay Factor],1))</f>
        <v>1</v>
      </c>
      <c r="G990" s="26" t="str" cm="1">
        <f t="array" ref="G990">IF(tblPayrollMaster[[#This Row],[Employee ID]]="","",_xlfn.XLOOKUP(selPayPeriodID,tblPayCalendar[PayPeriodID],tblPayCalendar[PeriodStart],""))</f>
        <v/>
      </c>
      <c r="H990" s="26" t="str" cm="1">
        <f t="array" ref="H990">IF(tblPayrollMaster[[#This Row],[Employee ID]]="","",_xlfn.XLOOKUP(selPayPeriodID,tblPayCalendar[PayPeriodID],tblPayCalendar[PeriodEnd],""))</f>
        <v/>
      </c>
      <c r="I990" s="24" t="e" cm="1" vm="1">
        <f t="array" aca="1" ref="I990" ca="1">Table18[Employer Name]</f>
        <v>#VALUE!</v>
      </c>
      <c r="J990" s="3" cm="1">
        <f t="array" ref="J990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90" s="25" t="str">
        <f>_xlfn.XLOOKUP(tblPayrollMaster[[#This Row],[Employee Position]],tblPositionandPayRate[Employee Position],tblPositionandPayRate[Overtime], " ")</f>
        <v xml:space="preserve"> </v>
      </c>
      <c r="L990" s="25">
        <f>_xlfn.XLOOKUP(tblPayrollMaster[[#This Row],[Employee Position]],tblPositionandPayRate[Employee Position],tblPositionandPayRate[Allowance 1],0)*tblPayrollMaster[[#This Row],[Pay Factor]]</f>
        <v>0</v>
      </c>
      <c r="M990" s="25">
        <f>_xlfn.XLOOKUP(tblPayrollMaster[[#This Row],[Employee Position]],tblPositionandPayRate[Employee Position],tblPositionandPayRate[Allowance 2],0)*tblPayrollMaster[[#This Row],[Pay Factor]]</f>
        <v>0</v>
      </c>
      <c r="N990" s="25">
        <f>_xlfn.XLOOKUP(tblPayrollMaster[[#This Row],[Employee Position]],tblPositionandPayRate[Employee Position],tblPositionandPayRate[Allowance 3],0)*tblPayrollMaster[[#This Row],[Pay Factor]]</f>
        <v>0</v>
      </c>
      <c r="O990" s="25">
        <f>_xlfn.XLOOKUP(tblPayrollMaster[[#This Row],[Employee Position]],tblPositionandPayRate[Employee Position],tblPositionandPayRate[Allowance 4],0)*tblPayrollMaster[[#This Row],[Pay Factor]]</f>
        <v>0</v>
      </c>
      <c r="P990" s="25">
        <f>_xlfn.XLOOKUP(tblPayrollMaster[[#This Row],[Employee Position]],tblPositionandPayRate[Employee Position],tblPositionandPayRate[Allowance 5],0)*tblPayrollMaster[[#This Row],[Pay Factor]]</f>
        <v>0</v>
      </c>
      <c r="Q990" s="25">
        <f>SUM(tblPayrollMaster[[#This Row],[Basic Pay]:[Allowance 5]])</f>
        <v>0</v>
      </c>
      <c r="R990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90" s="51" cm="1">
        <f t="array" ref="S9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90" s="3" cm="1">
        <f t="array" ref="T990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90" s="25">
        <f>_xlfn.LET(
_xlpm.tos, _xlfn.XLOOKUP(tblPayrollMaster[[#This Row],[Employee ID]], tblEmployee[Employee ID], tblEmployee[Type of Service], ""),
IF(_xlpm.tos="Contract of Service", 8.25, 0)
)</f>
        <v>0</v>
      </c>
      <c r="V990" s="25">
        <f>tblPayrollMaster[[#This Row],[Basic Earnings]]-tblPayrollMaster[[#This Row],[Tax]]-tblPayrollMaster[[#This Row],[NIS - Employee]]-tblPayrollMaster[[#This Row],[Health Surcharge]]</f>
        <v>0</v>
      </c>
      <c r="W990" s="25">
        <f>tblPayrollMaster[[#This Row],[Net Pay]]</f>
        <v>0</v>
      </c>
      <c r="X990" s="25"/>
    </row>
    <row r="991" spans="1:24" x14ac:dyDescent="0.25">
      <c r="A991" s="24"/>
      <c r="B991" s="24" t="str">
        <f>_xlfn.XLOOKUP(tblPayrollMaster[[#This Row],[Employee ID]],tblEmployee[Employee ID],tblEmployee[Employee Name],"")</f>
        <v/>
      </c>
      <c r="C991" s="24" t="str">
        <f>_xlfn.XLOOKUP(tblPayrollMaster[[#This Row],[Employee ID]],tblEmployee[Employee ID],tblEmployee[Employee Position],"")</f>
        <v/>
      </c>
      <c r="D991" s="24" t="str">
        <f>_xlfn.XLOOKUP(tblPayrollMaster[[#This Row],[Employee ID]], tblEmployee[Employee ID], tblEmployee[Pay Status], "Pay")</f>
        <v>Pay</v>
      </c>
      <c r="E991" s="24" t="str">
        <f>_xlfn.XLOOKUP(tblPayrollMaster[[#This Row],[Employee ID]], tblEmployee[Employee ID], tblEmployee[Payable Flag], "Y")</f>
        <v>Y</v>
      </c>
      <c r="F991" s="45">
        <f>IF(tblPayrollMaster[[#This Row],[Payable Flag]]="N",0,_xlfn.XLOOKUP(tblPayrollMaster[[#This Row],[Employee ID]],tblEmployee[Employee ID],tblEmployee[Pay Factor],1))</f>
        <v>1</v>
      </c>
      <c r="G991" s="26" t="str" cm="1">
        <f t="array" ref="G991">IF(tblPayrollMaster[[#This Row],[Employee ID]]="","",_xlfn.XLOOKUP(selPayPeriodID,tblPayCalendar[PayPeriodID],tblPayCalendar[PeriodStart],""))</f>
        <v/>
      </c>
      <c r="H991" s="26" t="str" cm="1">
        <f t="array" ref="H991">IF(tblPayrollMaster[[#This Row],[Employee ID]]="","",_xlfn.XLOOKUP(selPayPeriodID,tblPayCalendar[PayPeriodID],tblPayCalendar[PeriodEnd],""))</f>
        <v/>
      </c>
      <c r="I991" s="24" t="e" cm="1" vm="1">
        <f t="array" aca="1" ref="I991" ca="1">Table18[Employer Name]</f>
        <v>#VALUE!</v>
      </c>
      <c r="J991" s="3" cm="1">
        <f t="array" ref="J991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91" s="25" t="str">
        <f>_xlfn.XLOOKUP(tblPayrollMaster[[#This Row],[Employee Position]],tblPositionandPayRate[Employee Position],tblPositionandPayRate[Overtime], " ")</f>
        <v xml:space="preserve"> </v>
      </c>
      <c r="L991" s="25">
        <f>_xlfn.XLOOKUP(tblPayrollMaster[[#This Row],[Employee Position]],tblPositionandPayRate[Employee Position],tblPositionandPayRate[Allowance 1],0)*tblPayrollMaster[[#This Row],[Pay Factor]]</f>
        <v>0</v>
      </c>
      <c r="M991" s="25">
        <f>_xlfn.XLOOKUP(tblPayrollMaster[[#This Row],[Employee Position]],tblPositionandPayRate[Employee Position],tblPositionandPayRate[Allowance 2],0)*tblPayrollMaster[[#This Row],[Pay Factor]]</f>
        <v>0</v>
      </c>
      <c r="N991" s="25">
        <f>_xlfn.XLOOKUP(tblPayrollMaster[[#This Row],[Employee Position]],tblPositionandPayRate[Employee Position],tblPositionandPayRate[Allowance 3],0)*tblPayrollMaster[[#This Row],[Pay Factor]]</f>
        <v>0</v>
      </c>
      <c r="O991" s="25">
        <f>_xlfn.XLOOKUP(tblPayrollMaster[[#This Row],[Employee Position]],tblPositionandPayRate[Employee Position],tblPositionandPayRate[Allowance 4],0)*tblPayrollMaster[[#This Row],[Pay Factor]]</f>
        <v>0</v>
      </c>
      <c r="P991" s="25">
        <f>_xlfn.XLOOKUP(tblPayrollMaster[[#This Row],[Employee Position]],tblPositionandPayRate[Employee Position],tblPositionandPayRate[Allowance 5],0)*tblPayrollMaster[[#This Row],[Pay Factor]]</f>
        <v>0</v>
      </c>
      <c r="Q991" s="25">
        <f>SUM(tblPayrollMaster[[#This Row],[Basic Pay]:[Allowance 5]])</f>
        <v>0</v>
      </c>
      <c r="R991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91" s="51" cm="1">
        <f t="array" ref="S9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91" s="3" cm="1">
        <f t="array" ref="T991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91" s="25">
        <f>_xlfn.LET(
_xlpm.tos, _xlfn.XLOOKUP(tblPayrollMaster[[#This Row],[Employee ID]], tblEmployee[Employee ID], tblEmployee[Type of Service], ""),
IF(_xlpm.tos="Contract of Service", 8.25, 0)
)</f>
        <v>0</v>
      </c>
      <c r="V991" s="25">
        <f>tblPayrollMaster[[#This Row],[Basic Earnings]]-tblPayrollMaster[[#This Row],[Tax]]-tblPayrollMaster[[#This Row],[NIS - Employee]]-tblPayrollMaster[[#This Row],[Health Surcharge]]</f>
        <v>0</v>
      </c>
      <c r="W991" s="25">
        <f>tblPayrollMaster[[#This Row],[Net Pay]]</f>
        <v>0</v>
      </c>
      <c r="X991" s="25"/>
    </row>
    <row r="992" spans="1:24" x14ac:dyDescent="0.25">
      <c r="A992" s="24"/>
      <c r="B992" s="24" t="str">
        <f>_xlfn.XLOOKUP(tblPayrollMaster[[#This Row],[Employee ID]],tblEmployee[Employee ID],tblEmployee[Employee Name],"")</f>
        <v/>
      </c>
      <c r="C992" s="24" t="str">
        <f>_xlfn.XLOOKUP(tblPayrollMaster[[#This Row],[Employee ID]],tblEmployee[Employee ID],tblEmployee[Employee Position],"")</f>
        <v/>
      </c>
      <c r="D992" s="24" t="str">
        <f>_xlfn.XLOOKUP(tblPayrollMaster[[#This Row],[Employee ID]], tblEmployee[Employee ID], tblEmployee[Pay Status], "Pay")</f>
        <v>Pay</v>
      </c>
      <c r="E992" s="24" t="str">
        <f>_xlfn.XLOOKUP(tblPayrollMaster[[#This Row],[Employee ID]], tblEmployee[Employee ID], tblEmployee[Payable Flag], "Y")</f>
        <v>Y</v>
      </c>
      <c r="F992" s="45">
        <f>IF(tblPayrollMaster[[#This Row],[Payable Flag]]="N",0,_xlfn.XLOOKUP(tblPayrollMaster[[#This Row],[Employee ID]],tblEmployee[Employee ID],tblEmployee[Pay Factor],1))</f>
        <v>1</v>
      </c>
      <c r="G992" s="26" t="str" cm="1">
        <f t="array" ref="G992">IF(tblPayrollMaster[[#This Row],[Employee ID]]="","",_xlfn.XLOOKUP(selPayPeriodID,tblPayCalendar[PayPeriodID],tblPayCalendar[PeriodStart],""))</f>
        <v/>
      </c>
      <c r="H992" s="26" t="str" cm="1">
        <f t="array" ref="H992">IF(tblPayrollMaster[[#This Row],[Employee ID]]="","",_xlfn.XLOOKUP(selPayPeriodID,tblPayCalendar[PayPeriodID],tblPayCalendar[PeriodEnd],""))</f>
        <v/>
      </c>
      <c r="I992" s="24" t="e" cm="1" vm="1">
        <f t="array" aca="1" ref="I992" ca="1">Table18[Employer Name]</f>
        <v>#VALUE!</v>
      </c>
      <c r="J992" s="3" cm="1">
        <f t="array" ref="J992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92" s="25" t="str">
        <f>_xlfn.XLOOKUP(tblPayrollMaster[[#This Row],[Employee Position]],tblPositionandPayRate[Employee Position],tblPositionandPayRate[Overtime], " ")</f>
        <v xml:space="preserve"> </v>
      </c>
      <c r="L992" s="25">
        <f>_xlfn.XLOOKUP(tblPayrollMaster[[#This Row],[Employee Position]],tblPositionandPayRate[Employee Position],tblPositionandPayRate[Allowance 1],0)*tblPayrollMaster[[#This Row],[Pay Factor]]</f>
        <v>0</v>
      </c>
      <c r="M992" s="25">
        <f>_xlfn.XLOOKUP(tblPayrollMaster[[#This Row],[Employee Position]],tblPositionandPayRate[Employee Position],tblPositionandPayRate[Allowance 2],0)*tblPayrollMaster[[#This Row],[Pay Factor]]</f>
        <v>0</v>
      </c>
      <c r="N992" s="25">
        <f>_xlfn.XLOOKUP(tblPayrollMaster[[#This Row],[Employee Position]],tblPositionandPayRate[Employee Position],tblPositionandPayRate[Allowance 3],0)*tblPayrollMaster[[#This Row],[Pay Factor]]</f>
        <v>0</v>
      </c>
      <c r="O992" s="25">
        <f>_xlfn.XLOOKUP(tblPayrollMaster[[#This Row],[Employee Position]],tblPositionandPayRate[Employee Position],tblPositionandPayRate[Allowance 4],0)*tblPayrollMaster[[#This Row],[Pay Factor]]</f>
        <v>0</v>
      </c>
      <c r="P992" s="25">
        <f>_xlfn.XLOOKUP(tblPayrollMaster[[#This Row],[Employee Position]],tblPositionandPayRate[Employee Position],tblPositionandPayRate[Allowance 5],0)*tblPayrollMaster[[#This Row],[Pay Factor]]</f>
        <v>0</v>
      </c>
      <c r="Q992" s="25">
        <f>SUM(tblPayrollMaster[[#This Row],[Basic Pay]:[Allowance 5]])</f>
        <v>0</v>
      </c>
      <c r="R992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92" s="51" cm="1">
        <f t="array" ref="S9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92" s="3" cm="1">
        <f t="array" ref="T992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92" s="25">
        <f>_xlfn.LET(
_xlpm.tos, _xlfn.XLOOKUP(tblPayrollMaster[[#This Row],[Employee ID]], tblEmployee[Employee ID], tblEmployee[Type of Service], ""),
IF(_xlpm.tos="Contract of Service", 8.25, 0)
)</f>
        <v>0</v>
      </c>
      <c r="V992" s="25">
        <f>tblPayrollMaster[[#This Row],[Basic Earnings]]-tblPayrollMaster[[#This Row],[Tax]]-tblPayrollMaster[[#This Row],[NIS - Employee]]-tblPayrollMaster[[#This Row],[Health Surcharge]]</f>
        <v>0</v>
      </c>
      <c r="W992" s="25">
        <f>tblPayrollMaster[[#This Row],[Net Pay]]</f>
        <v>0</v>
      </c>
      <c r="X992" s="25"/>
    </row>
    <row r="993" spans="1:24" x14ac:dyDescent="0.25">
      <c r="A993" s="24"/>
      <c r="B993" s="24" t="str">
        <f>_xlfn.XLOOKUP(tblPayrollMaster[[#This Row],[Employee ID]],tblEmployee[Employee ID],tblEmployee[Employee Name],"")</f>
        <v/>
      </c>
      <c r="C993" s="24" t="str">
        <f>_xlfn.XLOOKUP(tblPayrollMaster[[#This Row],[Employee ID]],tblEmployee[Employee ID],tblEmployee[Employee Position],"")</f>
        <v/>
      </c>
      <c r="D993" s="24" t="str">
        <f>_xlfn.XLOOKUP(tblPayrollMaster[[#This Row],[Employee ID]], tblEmployee[Employee ID], tblEmployee[Pay Status], "Pay")</f>
        <v>Pay</v>
      </c>
      <c r="E993" s="24" t="str">
        <f>_xlfn.XLOOKUP(tblPayrollMaster[[#This Row],[Employee ID]], tblEmployee[Employee ID], tblEmployee[Payable Flag], "Y")</f>
        <v>Y</v>
      </c>
      <c r="F993" s="45">
        <f>IF(tblPayrollMaster[[#This Row],[Payable Flag]]="N",0,_xlfn.XLOOKUP(tblPayrollMaster[[#This Row],[Employee ID]],tblEmployee[Employee ID],tblEmployee[Pay Factor],1))</f>
        <v>1</v>
      </c>
      <c r="G993" s="26" t="str" cm="1">
        <f t="array" ref="G993">IF(tblPayrollMaster[[#This Row],[Employee ID]]="","",_xlfn.XLOOKUP(selPayPeriodID,tblPayCalendar[PayPeriodID],tblPayCalendar[PeriodStart],""))</f>
        <v/>
      </c>
      <c r="H993" s="26" t="str" cm="1">
        <f t="array" ref="H993">IF(tblPayrollMaster[[#This Row],[Employee ID]]="","",_xlfn.XLOOKUP(selPayPeriodID,tblPayCalendar[PayPeriodID],tblPayCalendar[PeriodEnd],""))</f>
        <v/>
      </c>
      <c r="I993" s="24" t="e" cm="1" vm="1">
        <f t="array" aca="1" ref="I993" ca="1">Table18[Employer Name]</f>
        <v>#VALUE!</v>
      </c>
      <c r="J993" s="3" cm="1">
        <f t="array" ref="J993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93" s="25" t="str">
        <f>_xlfn.XLOOKUP(tblPayrollMaster[[#This Row],[Employee Position]],tblPositionandPayRate[Employee Position],tblPositionandPayRate[Overtime], " ")</f>
        <v xml:space="preserve"> </v>
      </c>
      <c r="L993" s="25">
        <f>_xlfn.XLOOKUP(tblPayrollMaster[[#This Row],[Employee Position]],tblPositionandPayRate[Employee Position],tblPositionandPayRate[Allowance 1],0)*tblPayrollMaster[[#This Row],[Pay Factor]]</f>
        <v>0</v>
      </c>
      <c r="M993" s="25">
        <f>_xlfn.XLOOKUP(tblPayrollMaster[[#This Row],[Employee Position]],tblPositionandPayRate[Employee Position],tblPositionandPayRate[Allowance 2],0)*tblPayrollMaster[[#This Row],[Pay Factor]]</f>
        <v>0</v>
      </c>
      <c r="N993" s="25">
        <f>_xlfn.XLOOKUP(tblPayrollMaster[[#This Row],[Employee Position]],tblPositionandPayRate[Employee Position],tblPositionandPayRate[Allowance 3],0)*tblPayrollMaster[[#This Row],[Pay Factor]]</f>
        <v>0</v>
      </c>
      <c r="O993" s="25">
        <f>_xlfn.XLOOKUP(tblPayrollMaster[[#This Row],[Employee Position]],tblPositionandPayRate[Employee Position],tblPositionandPayRate[Allowance 4],0)*tblPayrollMaster[[#This Row],[Pay Factor]]</f>
        <v>0</v>
      </c>
      <c r="P993" s="25">
        <f>_xlfn.XLOOKUP(tblPayrollMaster[[#This Row],[Employee Position]],tblPositionandPayRate[Employee Position],tblPositionandPayRate[Allowance 5],0)*tblPayrollMaster[[#This Row],[Pay Factor]]</f>
        <v>0</v>
      </c>
      <c r="Q993" s="25">
        <f>SUM(tblPayrollMaster[[#This Row],[Basic Pay]:[Allowance 5]])</f>
        <v>0</v>
      </c>
      <c r="R993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93" s="51" cm="1">
        <f t="array" ref="S9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93" s="3" cm="1">
        <f t="array" ref="T993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93" s="25">
        <f>_xlfn.LET(
_xlpm.tos, _xlfn.XLOOKUP(tblPayrollMaster[[#This Row],[Employee ID]], tblEmployee[Employee ID], tblEmployee[Type of Service], ""),
IF(_xlpm.tos="Contract of Service", 8.25, 0)
)</f>
        <v>0</v>
      </c>
      <c r="V993" s="25">
        <f>tblPayrollMaster[[#This Row],[Basic Earnings]]-tblPayrollMaster[[#This Row],[Tax]]-tblPayrollMaster[[#This Row],[NIS - Employee]]-tblPayrollMaster[[#This Row],[Health Surcharge]]</f>
        <v>0</v>
      </c>
      <c r="W993" s="25">
        <f>tblPayrollMaster[[#This Row],[Net Pay]]</f>
        <v>0</v>
      </c>
      <c r="X993" s="25"/>
    </row>
    <row r="994" spans="1:24" x14ac:dyDescent="0.25">
      <c r="A994" s="24"/>
      <c r="B994" s="24" t="str">
        <f>_xlfn.XLOOKUP(tblPayrollMaster[[#This Row],[Employee ID]],tblEmployee[Employee ID],tblEmployee[Employee Name],"")</f>
        <v/>
      </c>
      <c r="C994" s="24" t="str">
        <f>_xlfn.XLOOKUP(tblPayrollMaster[[#This Row],[Employee ID]],tblEmployee[Employee ID],tblEmployee[Employee Position],"")</f>
        <v/>
      </c>
      <c r="D994" s="24" t="str">
        <f>_xlfn.XLOOKUP(tblPayrollMaster[[#This Row],[Employee ID]], tblEmployee[Employee ID], tblEmployee[Pay Status], "Pay")</f>
        <v>Pay</v>
      </c>
      <c r="E994" s="24" t="str">
        <f>_xlfn.XLOOKUP(tblPayrollMaster[[#This Row],[Employee ID]], tblEmployee[Employee ID], tblEmployee[Payable Flag], "Y")</f>
        <v>Y</v>
      </c>
      <c r="F994" s="45">
        <f>IF(tblPayrollMaster[[#This Row],[Payable Flag]]="N",0,_xlfn.XLOOKUP(tblPayrollMaster[[#This Row],[Employee ID]],tblEmployee[Employee ID],tblEmployee[Pay Factor],1))</f>
        <v>1</v>
      </c>
      <c r="G994" s="26" t="str" cm="1">
        <f t="array" ref="G994">IF(tblPayrollMaster[[#This Row],[Employee ID]]="","",_xlfn.XLOOKUP(selPayPeriodID,tblPayCalendar[PayPeriodID],tblPayCalendar[PeriodStart],""))</f>
        <v/>
      </c>
      <c r="H994" s="26" t="str" cm="1">
        <f t="array" ref="H994">IF(tblPayrollMaster[[#This Row],[Employee ID]]="","",_xlfn.XLOOKUP(selPayPeriodID,tblPayCalendar[PayPeriodID],tblPayCalendar[PeriodEnd],""))</f>
        <v/>
      </c>
      <c r="I994" s="24" t="e" cm="1" vm="1">
        <f t="array" aca="1" ref="I994" ca="1">Table18[Employer Name]</f>
        <v>#VALUE!</v>
      </c>
      <c r="J994" s="3" cm="1">
        <f t="array" ref="J994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94" s="25" t="str">
        <f>_xlfn.XLOOKUP(tblPayrollMaster[[#This Row],[Employee Position]],tblPositionandPayRate[Employee Position],tblPositionandPayRate[Overtime], " ")</f>
        <v xml:space="preserve"> </v>
      </c>
      <c r="L994" s="25">
        <f>_xlfn.XLOOKUP(tblPayrollMaster[[#This Row],[Employee Position]],tblPositionandPayRate[Employee Position],tblPositionandPayRate[Allowance 1],0)*tblPayrollMaster[[#This Row],[Pay Factor]]</f>
        <v>0</v>
      </c>
      <c r="M994" s="25">
        <f>_xlfn.XLOOKUP(tblPayrollMaster[[#This Row],[Employee Position]],tblPositionandPayRate[Employee Position],tblPositionandPayRate[Allowance 2],0)*tblPayrollMaster[[#This Row],[Pay Factor]]</f>
        <v>0</v>
      </c>
      <c r="N994" s="25">
        <f>_xlfn.XLOOKUP(tblPayrollMaster[[#This Row],[Employee Position]],tblPositionandPayRate[Employee Position],tblPositionandPayRate[Allowance 3],0)*tblPayrollMaster[[#This Row],[Pay Factor]]</f>
        <v>0</v>
      </c>
      <c r="O994" s="25">
        <f>_xlfn.XLOOKUP(tblPayrollMaster[[#This Row],[Employee Position]],tblPositionandPayRate[Employee Position],tblPositionandPayRate[Allowance 4],0)*tblPayrollMaster[[#This Row],[Pay Factor]]</f>
        <v>0</v>
      </c>
      <c r="P994" s="25">
        <f>_xlfn.XLOOKUP(tblPayrollMaster[[#This Row],[Employee Position]],tblPositionandPayRate[Employee Position],tblPositionandPayRate[Allowance 5],0)*tblPayrollMaster[[#This Row],[Pay Factor]]</f>
        <v>0</v>
      </c>
      <c r="Q994" s="25">
        <f>SUM(tblPayrollMaster[[#This Row],[Basic Pay]:[Allowance 5]])</f>
        <v>0</v>
      </c>
      <c r="R994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94" s="51" cm="1">
        <f t="array" ref="S9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94" s="3" cm="1">
        <f t="array" ref="T994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94" s="25">
        <f>_xlfn.LET(
_xlpm.tos, _xlfn.XLOOKUP(tblPayrollMaster[[#This Row],[Employee ID]], tblEmployee[Employee ID], tblEmployee[Type of Service], ""),
IF(_xlpm.tos="Contract of Service", 8.25, 0)
)</f>
        <v>0</v>
      </c>
      <c r="V994" s="25">
        <f>tblPayrollMaster[[#This Row],[Basic Earnings]]-tblPayrollMaster[[#This Row],[Tax]]-tblPayrollMaster[[#This Row],[NIS - Employee]]-tblPayrollMaster[[#This Row],[Health Surcharge]]</f>
        <v>0</v>
      </c>
      <c r="W994" s="25">
        <f>tblPayrollMaster[[#This Row],[Net Pay]]</f>
        <v>0</v>
      </c>
      <c r="X994" s="25"/>
    </row>
    <row r="995" spans="1:24" x14ac:dyDescent="0.25">
      <c r="A995" s="24"/>
      <c r="B995" s="24" t="str">
        <f>_xlfn.XLOOKUP(tblPayrollMaster[[#This Row],[Employee ID]],tblEmployee[Employee ID],tblEmployee[Employee Name],"")</f>
        <v/>
      </c>
      <c r="C995" s="24" t="str">
        <f>_xlfn.XLOOKUP(tblPayrollMaster[[#This Row],[Employee ID]],tblEmployee[Employee ID],tblEmployee[Employee Position],"")</f>
        <v/>
      </c>
      <c r="D995" s="24" t="str">
        <f>_xlfn.XLOOKUP(tblPayrollMaster[[#This Row],[Employee ID]], tblEmployee[Employee ID], tblEmployee[Pay Status], "Pay")</f>
        <v>Pay</v>
      </c>
      <c r="E995" s="24" t="str">
        <f>_xlfn.XLOOKUP(tblPayrollMaster[[#This Row],[Employee ID]], tblEmployee[Employee ID], tblEmployee[Payable Flag], "Y")</f>
        <v>Y</v>
      </c>
      <c r="F995" s="45">
        <f>IF(tblPayrollMaster[[#This Row],[Payable Flag]]="N",0,_xlfn.XLOOKUP(tblPayrollMaster[[#This Row],[Employee ID]],tblEmployee[Employee ID],tblEmployee[Pay Factor],1))</f>
        <v>1</v>
      </c>
      <c r="G995" s="26" t="str" cm="1">
        <f t="array" ref="G995">IF(tblPayrollMaster[[#This Row],[Employee ID]]="","",_xlfn.XLOOKUP(selPayPeriodID,tblPayCalendar[PayPeriodID],tblPayCalendar[PeriodStart],""))</f>
        <v/>
      </c>
      <c r="H995" s="26" t="str" cm="1">
        <f t="array" ref="H995">IF(tblPayrollMaster[[#This Row],[Employee ID]]="","",_xlfn.XLOOKUP(selPayPeriodID,tblPayCalendar[PayPeriodID],tblPayCalendar[PeriodEnd],""))</f>
        <v/>
      </c>
      <c r="I995" s="24" t="e" cm="1" vm="1">
        <f t="array" aca="1" ref="I995" ca="1">Table18[Employer Name]</f>
        <v>#VALUE!</v>
      </c>
      <c r="J995" s="3" cm="1">
        <f t="array" ref="J995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95" s="25" t="str">
        <f>_xlfn.XLOOKUP(tblPayrollMaster[[#This Row],[Employee Position]],tblPositionandPayRate[Employee Position],tblPositionandPayRate[Overtime], " ")</f>
        <v xml:space="preserve"> </v>
      </c>
      <c r="L995" s="25">
        <f>_xlfn.XLOOKUP(tblPayrollMaster[[#This Row],[Employee Position]],tblPositionandPayRate[Employee Position],tblPositionandPayRate[Allowance 1],0)*tblPayrollMaster[[#This Row],[Pay Factor]]</f>
        <v>0</v>
      </c>
      <c r="M995" s="25">
        <f>_xlfn.XLOOKUP(tblPayrollMaster[[#This Row],[Employee Position]],tblPositionandPayRate[Employee Position],tblPositionandPayRate[Allowance 2],0)*tblPayrollMaster[[#This Row],[Pay Factor]]</f>
        <v>0</v>
      </c>
      <c r="N995" s="25">
        <f>_xlfn.XLOOKUP(tblPayrollMaster[[#This Row],[Employee Position]],tblPositionandPayRate[Employee Position],tblPositionandPayRate[Allowance 3],0)*tblPayrollMaster[[#This Row],[Pay Factor]]</f>
        <v>0</v>
      </c>
      <c r="O995" s="25">
        <f>_xlfn.XLOOKUP(tblPayrollMaster[[#This Row],[Employee Position]],tblPositionandPayRate[Employee Position],tblPositionandPayRate[Allowance 4],0)*tblPayrollMaster[[#This Row],[Pay Factor]]</f>
        <v>0</v>
      </c>
      <c r="P995" s="25">
        <f>_xlfn.XLOOKUP(tblPayrollMaster[[#This Row],[Employee Position]],tblPositionandPayRate[Employee Position],tblPositionandPayRate[Allowance 5],0)*tblPayrollMaster[[#This Row],[Pay Factor]]</f>
        <v>0</v>
      </c>
      <c r="Q995" s="25">
        <f>SUM(tblPayrollMaster[[#This Row],[Basic Pay]:[Allowance 5]])</f>
        <v>0</v>
      </c>
      <c r="R995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95" s="51" cm="1">
        <f t="array" ref="S9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95" s="3" cm="1">
        <f t="array" ref="T995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95" s="25">
        <f>_xlfn.LET(
_xlpm.tos, _xlfn.XLOOKUP(tblPayrollMaster[[#This Row],[Employee ID]], tblEmployee[Employee ID], tblEmployee[Type of Service], ""),
IF(_xlpm.tos="Contract of Service", 8.25, 0)
)</f>
        <v>0</v>
      </c>
      <c r="V995" s="25">
        <f>tblPayrollMaster[[#This Row],[Basic Earnings]]-tblPayrollMaster[[#This Row],[Tax]]-tblPayrollMaster[[#This Row],[NIS - Employee]]-tblPayrollMaster[[#This Row],[Health Surcharge]]</f>
        <v>0</v>
      </c>
      <c r="W995" s="25">
        <f>tblPayrollMaster[[#This Row],[Net Pay]]</f>
        <v>0</v>
      </c>
      <c r="X995" s="25"/>
    </row>
    <row r="996" spans="1:24" x14ac:dyDescent="0.25">
      <c r="A996" s="24"/>
      <c r="B996" s="24" t="str">
        <f>_xlfn.XLOOKUP(tblPayrollMaster[[#This Row],[Employee ID]],tblEmployee[Employee ID],tblEmployee[Employee Name],"")</f>
        <v/>
      </c>
      <c r="C996" s="24" t="str">
        <f>_xlfn.XLOOKUP(tblPayrollMaster[[#This Row],[Employee ID]],tblEmployee[Employee ID],tblEmployee[Employee Position],"")</f>
        <v/>
      </c>
      <c r="D996" s="24" t="str">
        <f>_xlfn.XLOOKUP(tblPayrollMaster[[#This Row],[Employee ID]], tblEmployee[Employee ID], tblEmployee[Pay Status], "Pay")</f>
        <v>Pay</v>
      </c>
      <c r="E996" s="24" t="str">
        <f>_xlfn.XLOOKUP(tblPayrollMaster[[#This Row],[Employee ID]], tblEmployee[Employee ID], tblEmployee[Payable Flag], "Y")</f>
        <v>Y</v>
      </c>
      <c r="F996" s="45">
        <f>IF(tblPayrollMaster[[#This Row],[Payable Flag]]="N",0,_xlfn.XLOOKUP(tblPayrollMaster[[#This Row],[Employee ID]],tblEmployee[Employee ID],tblEmployee[Pay Factor],1))</f>
        <v>1</v>
      </c>
      <c r="G996" s="26" t="str" cm="1">
        <f t="array" ref="G996">IF(tblPayrollMaster[[#This Row],[Employee ID]]="","",_xlfn.XLOOKUP(selPayPeriodID,tblPayCalendar[PayPeriodID],tblPayCalendar[PeriodStart],""))</f>
        <v/>
      </c>
      <c r="H996" s="26" t="str" cm="1">
        <f t="array" ref="H996">IF(tblPayrollMaster[[#This Row],[Employee ID]]="","",_xlfn.XLOOKUP(selPayPeriodID,tblPayCalendar[PayPeriodID],tblPayCalendar[PeriodEnd],""))</f>
        <v/>
      </c>
      <c r="I996" s="24" t="e" cm="1" vm="1">
        <f t="array" aca="1" ref="I996" ca="1">Table18[Employer Name]</f>
        <v>#VALUE!</v>
      </c>
      <c r="J996" s="3" cm="1">
        <f t="array" ref="J996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96" s="25" t="str">
        <f>_xlfn.XLOOKUP(tblPayrollMaster[[#This Row],[Employee Position]],tblPositionandPayRate[Employee Position],tblPositionandPayRate[Overtime], " ")</f>
        <v xml:space="preserve"> </v>
      </c>
      <c r="L996" s="25">
        <f>_xlfn.XLOOKUP(tblPayrollMaster[[#This Row],[Employee Position]],tblPositionandPayRate[Employee Position],tblPositionandPayRate[Allowance 1],0)*tblPayrollMaster[[#This Row],[Pay Factor]]</f>
        <v>0</v>
      </c>
      <c r="M996" s="25">
        <f>_xlfn.XLOOKUP(tblPayrollMaster[[#This Row],[Employee Position]],tblPositionandPayRate[Employee Position],tblPositionandPayRate[Allowance 2],0)*tblPayrollMaster[[#This Row],[Pay Factor]]</f>
        <v>0</v>
      </c>
      <c r="N996" s="25">
        <f>_xlfn.XLOOKUP(tblPayrollMaster[[#This Row],[Employee Position]],tblPositionandPayRate[Employee Position],tblPositionandPayRate[Allowance 3],0)*tblPayrollMaster[[#This Row],[Pay Factor]]</f>
        <v>0</v>
      </c>
      <c r="O996" s="25">
        <f>_xlfn.XLOOKUP(tblPayrollMaster[[#This Row],[Employee Position]],tblPositionandPayRate[Employee Position],tblPositionandPayRate[Allowance 4],0)*tblPayrollMaster[[#This Row],[Pay Factor]]</f>
        <v>0</v>
      </c>
      <c r="P996" s="25">
        <f>_xlfn.XLOOKUP(tblPayrollMaster[[#This Row],[Employee Position]],tblPositionandPayRate[Employee Position],tblPositionandPayRate[Allowance 5],0)*tblPayrollMaster[[#This Row],[Pay Factor]]</f>
        <v>0</v>
      </c>
      <c r="Q996" s="25">
        <f>SUM(tblPayrollMaster[[#This Row],[Basic Pay]:[Allowance 5]])</f>
        <v>0</v>
      </c>
      <c r="R996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96" s="51" cm="1">
        <f t="array" ref="S9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96" s="3" cm="1">
        <f t="array" ref="T996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96" s="25">
        <f>_xlfn.LET(
_xlpm.tos, _xlfn.XLOOKUP(tblPayrollMaster[[#This Row],[Employee ID]], tblEmployee[Employee ID], tblEmployee[Type of Service], ""),
IF(_xlpm.tos="Contract of Service", 8.25, 0)
)</f>
        <v>0</v>
      </c>
      <c r="V996" s="25">
        <f>tblPayrollMaster[[#This Row],[Basic Earnings]]-tblPayrollMaster[[#This Row],[Tax]]-tblPayrollMaster[[#This Row],[NIS - Employee]]-tblPayrollMaster[[#This Row],[Health Surcharge]]</f>
        <v>0</v>
      </c>
      <c r="W996" s="25">
        <f>tblPayrollMaster[[#This Row],[Net Pay]]</f>
        <v>0</v>
      </c>
      <c r="X996" s="25"/>
    </row>
    <row r="997" spans="1:24" x14ac:dyDescent="0.25">
      <c r="A997" s="24"/>
      <c r="B997" s="24" t="str">
        <f>_xlfn.XLOOKUP(tblPayrollMaster[[#This Row],[Employee ID]],tblEmployee[Employee ID],tblEmployee[Employee Name],"")</f>
        <v/>
      </c>
      <c r="C997" s="24" t="str">
        <f>_xlfn.XLOOKUP(tblPayrollMaster[[#This Row],[Employee ID]],tblEmployee[Employee ID],tblEmployee[Employee Position],"")</f>
        <v/>
      </c>
      <c r="D997" s="24" t="str">
        <f>_xlfn.XLOOKUP(tblPayrollMaster[[#This Row],[Employee ID]], tblEmployee[Employee ID], tblEmployee[Pay Status], "Pay")</f>
        <v>Pay</v>
      </c>
      <c r="E997" s="24" t="str">
        <f>_xlfn.XLOOKUP(tblPayrollMaster[[#This Row],[Employee ID]], tblEmployee[Employee ID], tblEmployee[Payable Flag], "Y")</f>
        <v>Y</v>
      </c>
      <c r="F997" s="45">
        <f>IF(tblPayrollMaster[[#This Row],[Payable Flag]]="N",0,_xlfn.XLOOKUP(tblPayrollMaster[[#This Row],[Employee ID]],tblEmployee[Employee ID],tblEmployee[Pay Factor],1))</f>
        <v>1</v>
      </c>
      <c r="G997" s="26" t="str" cm="1">
        <f t="array" ref="G997">IF(tblPayrollMaster[[#This Row],[Employee ID]]="","",_xlfn.XLOOKUP(selPayPeriodID,tblPayCalendar[PayPeriodID],tblPayCalendar[PeriodStart],""))</f>
        <v/>
      </c>
      <c r="H997" s="26" t="str" cm="1">
        <f t="array" ref="H997">IF(tblPayrollMaster[[#This Row],[Employee ID]]="","",_xlfn.XLOOKUP(selPayPeriodID,tblPayCalendar[PayPeriodID],tblPayCalendar[PeriodEnd],""))</f>
        <v/>
      </c>
      <c r="I997" s="24" t="e" cm="1" vm="1">
        <f t="array" aca="1" ref="I997" ca="1">Table18[Employer Name]</f>
        <v>#VALUE!</v>
      </c>
      <c r="J997" s="3" cm="1">
        <f t="array" ref="J997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97" s="25" t="str">
        <f>_xlfn.XLOOKUP(tblPayrollMaster[[#This Row],[Employee Position]],tblPositionandPayRate[Employee Position],tblPositionandPayRate[Overtime], " ")</f>
        <v xml:space="preserve"> </v>
      </c>
      <c r="L997" s="25">
        <f>_xlfn.XLOOKUP(tblPayrollMaster[[#This Row],[Employee Position]],tblPositionandPayRate[Employee Position],tblPositionandPayRate[Allowance 1],0)*tblPayrollMaster[[#This Row],[Pay Factor]]</f>
        <v>0</v>
      </c>
      <c r="M997" s="25">
        <f>_xlfn.XLOOKUP(tblPayrollMaster[[#This Row],[Employee Position]],tblPositionandPayRate[Employee Position],tblPositionandPayRate[Allowance 2],0)*tblPayrollMaster[[#This Row],[Pay Factor]]</f>
        <v>0</v>
      </c>
      <c r="N997" s="25">
        <f>_xlfn.XLOOKUP(tblPayrollMaster[[#This Row],[Employee Position]],tblPositionandPayRate[Employee Position],tblPositionandPayRate[Allowance 3],0)*tblPayrollMaster[[#This Row],[Pay Factor]]</f>
        <v>0</v>
      </c>
      <c r="O997" s="25">
        <f>_xlfn.XLOOKUP(tblPayrollMaster[[#This Row],[Employee Position]],tblPositionandPayRate[Employee Position],tblPositionandPayRate[Allowance 4],0)*tblPayrollMaster[[#This Row],[Pay Factor]]</f>
        <v>0</v>
      </c>
      <c r="P997" s="25">
        <f>_xlfn.XLOOKUP(tblPayrollMaster[[#This Row],[Employee Position]],tblPositionandPayRate[Employee Position],tblPositionandPayRate[Allowance 5],0)*tblPayrollMaster[[#This Row],[Pay Factor]]</f>
        <v>0</v>
      </c>
      <c r="Q997" s="25">
        <f>SUM(tblPayrollMaster[[#This Row],[Basic Pay]:[Allowance 5]])</f>
        <v>0</v>
      </c>
      <c r="R997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97" s="51" cm="1">
        <f t="array" ref="S9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97" s="3" cm="1">
        <f t="array" ref="T997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97" s="25">
        <f>_xlfn.LET(
_xlpm.tos, _xlfn.XLOOKUP(tblPayrollMaster[[#This Row],[Employee ID]], tblEmployee[Employee ID], tblEmployee[Type of Service], ""),
IF(_xlpm.tos="Contract of Service", 8.25, 0)
)</f>
        <v>0</v>
      </c>
      <c r="V997" s="25">
        <f>tblPayrollMaster[[#This Row],[Basic Earnings]]-tblPayrollMaster[[#This Row],[Tax]]-tblPayrollMaster[[#This Row],[NIS - Employee]]-tblPayrollMaster[[#This Row],[Health Surcharge]]</f>
        <v>0</v>
      </c>
      <c r="W997" s="25">
        <f>tblPayrollMaster[[#This Row],[Net Pay]]</f>
        <v>0</v>
      </c>
      <c r="X997" s="25"/>
    </row>
    <row r="998" spans="1:24" x14ac:dyDescent="0.25">
      <c r="A998" s="24"/>
      <c r="B998" s="24" t="str">
        <f>_xlfn.XLOOKUP(tblPayrollMaster[[#This Row],[Employee ID]],tblEmployee[Employee ID],tblEmployee[Employee Name],"")</f>
        <v/>
      </c>
      <c r="C998" s="24" t="str">
        <f>_xlfn.XLOOKUP(tblPayrollMaster[[#This Row],[Employee ID]],tblEmployee[Employee ID],tblEmployee[Employee Position],"")</f>
        <v/>
      </c>
      <c r="D998" s="24" t="str">
        <f>_xlfn.XLOOKUP(tblPayrollMaster[[#This Row],[Employee ID]], tblEmployee[Employee ID], tblEmployee[Pay Status], "Pay")</f>
        <v>Pay</v>
      </c>
      <c r="E998" s="24" t="str">
        <f>_xlfn.XLOOKUP(tblPayrollMaster[[#This Row],[Employee ID]], tblEmployee[Employee ID], tblEmployee[Payable Flag], "Y")</f>
        <v>Y</v>
      </c>
      <c r="F998" s="45">
        <f>IF(tblPayrollMaster[[#This Row],[Payable Flag]]="N",0,_xlfn.XLOOKUP(tblPayrollMaster[[#This Row],[Employee ID]],tblEmployee[Employee ID],tblEmployee[Pay Factor],1))</f>
        <v>1</v>
      </c>
      <c r="G998" s="26" t="str" cm="1">
        <f t="array" ref="G998">IF(tblPayrollMaster[[#This Row],[Employee ID]]="","",_xlfn.XLOOKUP(selPayPeriodID,tblPayCalendar[PayPeriodID],tblPayCalendar[PeriodStart],""))</f>
        <v/>
      </c>
      <c r="H998" s="26" t="str" cm="1">
        <f t="array" ref="H998">IF(tblPayrollMaster[[#This Row],[Employee ID]]="","",_xlfn.XLOOKUP(selPayPeriodID,tblPayCalendar[PayPeriodID],tblPayCalendar[PeriodEnd],""))</f>
        <v/>
      </c>
      <c r="I998" s="24" t="e" cm="1" vm="1">
        <f t="array" aca="1" ref="I998" ca="1">Table18[Employer Name]</f>
        <v>#VALUE!</v>
      </c>
      <c r="J998" s="3" cm="1">
        <f t="array" ref="J998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98" s="25" t="str">
        <f>_xlfn.XLOOKUP(tblPayrollMaster[[#This Row],[Employee Position]],tblPositionandPayRate[Employee Position],tblPositionandPayRate[Overtime], " ")</f>
        <v xml:space="preserve"> </v>
      </c>
      <c r="L998" s="25">
        <f>_xlfn.XLOOKUP(tblPayrollMaster[[#This Row],[Employee Position]],tblPositionandPayRate[Employee Position],tblPositionandPayRate[Allowance 1],0)*tblPayrollMaster[[#This Row],[Pay Factor]]</f>
        <v>0</v>
      </c>
      <c r="M998" s="25">
        <f>_xlfn.XLOOKUP(tblPayrollMaster[[#This Row],[Employee Position]],tblPositionandPayRate[Employee Position],tblPositionandPayRate[Allowance 2],0)*tblPayrollMaster[[#This Row],[Pay Factor]]</f>
        <v>0</v>
      </c>
      <c r="N998" s="25">
        <f>_xlfn.XLOOKUP(tblPayrollMaster[[#This Row],[Employee Position]],tblPositionandPayRate[Employee Position],tblPositionandPayRate[Allowance 3],0)*tblPayrollMaster[[#This Row],[Pay Factor]]</f>
        <v>0</v>
      </c>
      <c r="O998" s="25">
        <f>_xlfn.XLOOKUP(tblPayrollMaster[[#This Row],[Employee Position]],tblPositionandPayRate[Employee Position],tblPositionandPayRate[Allowance 4],0)*tblPayrollMaster[[#This Row],[Pay Factor]]</f>
        <v>0</v>
      </c>
      <c r="P998" s="25">
        <f>_xlfn.XLOOKUP(tblPayrollMaster[[#This Row],[Employee Position]],tblPositionandPayRate[Employee Position],tblPositionandPayRate[Allowance 5],0)*tblPayrollMaster[[#This Row],[Pay Factor]]</f>
        <v>0</v>
      </c>
      <c r="Q998" s="25">
        <f>SUM(tblPayrollMaster[[#This Row],[Basic Pay]:[Allowance 5]])</f>
        <v>0</v>
      </c>
      <c r="R998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98" s="51" cm="1">
        <f t="array" ref="S9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98" s="3" cm="1">
        <f t="array" ref="T998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98" s="25">
        <f>_xlfn.LET(
_xlpm.tos, _xlfn.XLOOKUP(tblPayrollMaster[[#This Row],[Employee ID]], tblEmployee[Employee ID], tblEmployee[Type of Service], ""),
IF(_xlpm.tos="Contract of Service", 8.25, 0)
)</f>
        <v>0</v>
      </c>
      <c r="V998" s="25">
        <f>tblPayrollMaster[[#This Row],[Basic Earnings]]-tblPayrollMaster[[#This Row],[Tax]]-tblPayrollMaster[[#This Row],[NIS - Employee]]-tblPayrollMaster[[#This Row],[Health Surcharge]]</f>
        <v>0</v>
      </c>
      <c r="W998" s="25">
        <f>tblPayrollMaster[[#This Row],[Net Pay]]</f>
        <v>0</v>
      </c>
      <c r="X998" s="25"/>
    </row>
    <row r="999" spans="1:24" x14ac:dyDescent="0.25">
      <c r="A999" s="24"/>
      <c r="B999" s="24" t="str">
        <f>_xlfn.XLOOKUP(tblPayrollMaster[[#This Row],[Employee ID]],tblEmployee[Employee ID],tblEmployee[Employee Name],"")</f>
        <v/>
      </c>
      <c r="C999" s="24" t="str">
        <f>_xlfn.XLOOKUP(tblPayrollMaster[[#This Row],[Employee ID]],tblEmployee[Employee ID],tblEmployee[Employee Position],"")</f>
        <v/>
      </c>
      <c r="D999" s="24" t="str">
        <f>_xlfn.XLOOKUP(tblPayrollMaster[[#This Row],[Employee ID]], tblEmployee[Employee ID], tblEmployee[Pay Status], "Pay")</f>
        <v>Pay</v>
      </c>
      <c r="E999" s="24" t="str">
        <f>_xlfn.XLOOKUP(tblPayrollMaster[[#This Row],[Employee ID]], tblEmployee[Employee ID], tblEmployee[Payable Flag], "Y")</f>
        <v>Y</v>
      </c>
      <c r="F999" s="45">
        <f>IF(tblPayrollMaster[[#This Row],[Payable Flag]]="N",0,_xlfn.XLOOKUP(tblPayrollMaster[[#This Row],[Employee ID]],tblEmployee[Employee ID],tblEmployee[Pay Factor],1))</f>
        <v>1</v>
      </c>
      <c r="G999" s="26" t="str" cm="1">
        <f t="array" ref="G999">IF(tblPayrollMaster[[#This Row],[Employee ID]]="","",_xlfn.XLOOKUP(selPayPeriodID,tblPayCalendar[PayPeriodID],tblPayCalendar[PeriodStart],""))</f>
        <v/>
      </c>
      <c r="H999" s="26" t="str" cm="1">
        <f t="array" ref="H999">IF(tblPayrollMaster[[#This Row],[Employee ID]]="","",_xlfn.XLOOKUP(selPayPeriodID,tblPayCalendar[PayPeriodID],tblPayCalendar[PeriodEnd],""))</f>
        <v/>
      </c>
      <c r="I999" s="24"/>
      <c r="J999" s="3" cm="1">
        <f t="array" ref="J999">_xlfn.LET(_xlpm.id,tblPayrollMaster[[#This Row],[Employee ID]],_xlpm.pp,$H$1,_xlpm.h,IFERROR(_xlfn.XLOOKUP(1,(tblHoursLedger[Employee ID]=_xlpm.id)*(tblHoursLedger[PayPeriodID]=_xlpm.pp),tblHoursLedger[Basic Hours]),0),_xlpm.h*_xlfn.XLOOKUP(tblPayrollMaster[[#This Row],[Employee Position]],tblPositionandPayRate[Employee Position],tblPositionandPayRate[Basic Rate of Pay],0))</f>
        <v>0</v>
      </c>
      <c r="K999" s="25" t="str">
        <f>_xlfn.XLOOKUP(tblPayrollMaster[[#This Row],[Employee Position]],tblPositionandPayRate[Employee Position],tblPositionandPayRate[Overtime], " ")</f>
        <v xml:space="preserve"> </v>
      </c>
      <c r="L999" s="25">
        <f>_xlfn.XLOOKUP(tblPayrollMaster[[#This Row],[Employee Position]],tblPositionandPayRate[Employee Position],tblPositionandPayRate[Allowance 1],0)*tblPayrollMaster[[#This Row],[Pay Factor]]</f>
        <v>0</v>
      </c>
      <c r="M999" s="25">
        <f>_xlfn.XLOOKUP(tblPayrollMaster[[#This Row],[Employee Position]],tblPositionandPayRate[Employee Position],tblPositionandPayRate[Allowance 2],0)*tblPayrollMaster[[#This Row],[Pay Factor]]</f>
        <v>0</v>
      </c>
      <c r="N999" s="25">
        <f>_xlfn.XLOOKUP(tblPayrollMaster[[#This Row],[Employee Position]],tblPositionandPayRate[Employee Position],tblPositionandPayRate[Allowance 3],0)*tblPayrollMaster[[#This Row],[Pay Factor]]</f>
        <v>0</v>
      </c>
      <c r="O999" s="25">
        <f>_xlfn.XLOOKUP(tblPayrollMaster[[#This Row],[Employee Position]],tblPositionandPayRate[Employee Position],tblPositionandPayRate[Allowance 4],0)*tblPayrollMaster[[#This Row],[Pay Factor]]</f>
        <v>0</v>
      </c>
      <c r="P999" s="25">
        <f>_xlfn.XLOOKUP(tblPayrollMaster[[#This Row],[Employee Position]],tblPositionandPayRate[Employee Position],tblPositionandPayRate[Allowance 5],0)*tblPayrollMaster[[#This Row],[Pay Factor]]</f>
        <v>0</v>
      </c>
      <c r="Q999" s="25">
        <f>SUM(tblPayrollMaster[[#This Row],[Basic Pay]:[Allowance 5]])</f>
        <v>0</v>
      </c>
      <c r="R999" s="25">
        <f>_xlfn.LET(
  _xlpm.freq, _xlfn.XLOOKUP(tblPayrollMaster[[#This Row],[Employee ID]], tblEmployee[Employee ID], tblEmployee[Pay Frequency], ""),
  IF(_xlpm.freq="Monthly",
     _xlfn.XLOOKUP(tblPayrollMaster[[#This Row],[Employee ID]], tblEmployeeTax[EmployeeID], tblEmployeeTax[MonthlyPAYE], 0),
     0
  )
)</f>
        <v>0</v>
      </c>
      <c r="S999" s="51" cm="1">
        <f t="array" ref="S9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Rate'!$H$2:$H$17,
_xlpm.i,IFERROR(_xlfn.XMATCH(1,(_xlpm.earn&gt;=_xlpm.low)*(_xlpm.earn&lt;=_xlpm.up),0),0),
_xlpm.nis,IF(_xlpm.i=0,0,INDEX(_xlpm.emp,_xlpm.i)),
IF(_xlpm.tos="Contract of Service",_xlpm.nis,0)
)</f>
        <v>0</v>
      </c>
      <c r="T999" s="3" cm="1">
        <f t="array" ref="T999">_xlfn.LET(
_xlpm.freq,_xlfn.XLOOKUP(tblPayrollMaster[[#This Row],[Employee ID]],tblEmployee[Employee ID],tblEmployee[Pay Frequency],""),
_xlpm.tos,_xlfn.XLOOKUP(tblPayrollMaster[[#This Row],[Employee ID]],tblEmployee[Employee ID],tblEmployee[Type of Service],""),
_xlpm.earn,tblPayrollMaster[[#This Row],[Basic Earnings]],
_xlpm.low,IF(LOWER(_xlpm.freq)="monthly",'NIS Rate'!$F$2:$F$17,'NIS Rate'!$D$2:$D$17),
_xlpm.up,IF(LOWER(_xlpm.freq)="monthly",'NIS Rate'!$G$2:$G$17,'NIS Rate'!$E$2:$E$17),
_xlpm.emp,'NIS Rate'!$I$2:$I$17,
_xlpm.i,IFERROR(_xlfn.XMATCH(1,(_xlpm.earn&gt;=_xlpm.low)*(_xlpm.earn&lt;=_xlpm.up),0),0),
_xlpm.nis,IF(_xlpm.i=0,0,INDEX(_xlpm.emp,_xlpm.i)),
IF(_xlpm.tos="Contract of Service",_xlpm.nis,0)
)</f>
        <v>0</v>
      </c>
      <c r="U999" s="25"/>
      <c r="V999" s="25">
        <f>tblPayrollMaster[[#This Row],[Basic Earnings]]-tblPayrollMaster[[#This Row],[Tax]]-tblPayrollMaster[[#This Row],[NIS - Employee]]-tblPayrollMaster[[#This Row],[Health Surcharge]]</f>
        <v>0</v>
      </c>
      <c r="W999" s="25">
        <f>tblPayrollMaster[[#This Row],[Net Pay]]</f>
        <v>0</v>
      </c>
      <c r="X999" s="25"/>
    </row>
  </sheetData>
  <mergeCells count="1">
    <mergeCell ref="A1:C1"/>
  </mergeCells>
  <phoneticPr fontId="6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2DE8D49A-1FB6-4A08-B3FB-2990E52444E9}">
          <x14:formula1>
            <xm:f>'Pay calendar'!$A:$A</xm:f>
          </x14:formula1>
          <xm:sqref>H1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DF454-FB9B-4238-A05A-7D5B5D9CFD98}">
  <sheetPr codeName="Sheet12"/>
  <dimension ref="A1:Y2"/>
  <sheetViews>
    <sheetView workbookViewId="0">
      <selection activeCell="E2" sqref="E2"/>
    </sheetView>
  </sheetViews>
  <sheetFormatPr defaultRowHeight="15" x14ac:dyDescent="0.25"/>
  <cols>
    <col min="1" max="1" width="15.140625" bestFit="1" customWidth="1"/>
    <col min="2" max="2" width="14.7109375" bestFit="1" customWidth="1"/>
    <col min="3" max="3" width="18.140625" bestFit="1" customWidth="1"/>
    <col min="4" max="4" width="20.42578125" bestFit="1" customWidth="1"/>
    <col min="5" max="5" width="12.5703125" bestFit="1" customWidth="1"/>
    <col min="6" max="6" width="12.42578125" bestFit="1" customWidth="1"/>
    <col min="7" max="7" width="22.42578125" bestFit="1" customWidth="1"/>
    <col min="8" max="8" width="20" bestFit="1" customWidth="1"/>
    <col min="9" max="9" width="17.7109375" bestFit="1" customWidth="1"/>
    <col min="10" max="10" width="11.5703125" bestFit="1" customWidth="1"/>
    <col min="11" max="11" width="16.42578125" bestFit="1" customWidth="1"/>
    <col min="12" max="16" width="13.85546875" bestFit="1" customWidth="1"/>
    <col min="17" max="17" width="16.28515625" bestFit="1" customWidth="1"/>
    <col min="18" max="18" width="6.28515625" bestFit="1" customWidth="1"/>
    <col min="19" max="19" width="17.140625" bestFit="1" customWidth="1"/>
    <col min="20" max="20" width="16.7109375" bestFit="1" customWidth="1"/>
    <col min="21" max="21" width="18.85546875" bestFit="1" customWidth="1"/>
    <col min="22" max="22" width="10.140625" bestFit="1" customWidth="1"/>
    <col min="23" max="23" width="14.85546875" bestFit="1" customWidth="1"/>
    <col min="24" max="24" width="20.7109375" bestFit="1" customWidth="1"/>
    <col min="25" max="25" width="12.5703125" bestFit="1" customWidth="1"/>
  </cols>
  <sheetData>
    <row r="1" spans="1:25" x14ac:dyDescent="0.25">
      <c r="A1" t="s">
        <v>134</v>
      </c>
      <c r="B1" t="s">
        <v>51</v>
      </c>
      <c r="C1" t="s">
        <v>2</v>
      </c>
      <c r="D1" t="s">
        <v>3</v>
      </c>
      <c r="E1" t="s">
        <v>72</v>
      </c>
      <c r="F1" t="s">
        <v>143</v>
      </c>
      <c r="G1" t="s">
        <v>4</v>
      </c>
      <c r="H1" t="s">
        <v>5</v>
      </c>
      <c r="I1" t="s">
        <v>6</v>
      </c>
      <c r="J1" t="s">
        <v>566</v>
      </c>
      <c r="K1" t="s">
        <v>567</v>
      </c>
      <c r="L1" t="s">
        <v>147</v>
      </c>
      <c r="M1" t="s">
        <v>148</v>
      </c>
      <c r="N1" t="s">
        <v>149</v>
      </c>
      <c r="O1" t="s">
        <v>150</v>
      </c>
      <c r="P1" t="s">
        <v>151</v>
      </c>
      <c r="Q1" t="s">
        <v>8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592</v>
      </c>
      <c r="X1" t="s">
        <v>593</v>
      </c>
      <c r="Y1" t="s">
        <v>594</v>
      </c>
    </row>
    <row r="2" spans="1:25" x14ac:dyDescent="0.25">
      <c r="A2" t="s">
        <v>84</v>
      </c>
      <c r="B2">
        <v>1</v>
      </c>
      <c r="C2" t="s">
        <v>612</v>
      </c>
      <c r="D2" t="s">
        <v>611</v>
      </c>
      <c r="E2" t="s">
        <v>613</v>
      </c>
      <c r="F2">
        <v>1</v>
      </c>
      <c r="G2" s="102">
        <v>46048</v>
      </c>
      <c r="H2" s="102">
        <v>46053</v>
      </c>
      <c r="I2">
        <v>0</v>
      </c>
      <c r="J2">
        <v>10000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10000</v>
      </c>
      <c r="R2">
        <v>0</v>
      </c>
      <c r="S2">
        <v>122</v>
      </c>
      <c r="T2">
        <v>366</v>
      </c>
      <c r="U2">
        <v>8.25</v>
      </c>
      <c r="V2">
        <v>9869.75</v>
      </c>
      <c r="W2">
        <v>9869.75</v>
      </c>
      <c r="X2" s="103">
        <v>46075.735335648147</v>
      </c>
      <c r="Y2" t="s">
        <v>614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8664F-B373-4841-8F9C-C7810D745D25}">
  <sheetPr codeName="Sheet11"/>
  <dimension ref="A1:L3"/>
  <sheetViews>
    <sheetView topLeftCell="C1" zoomScaleNormal="100" workbookViewId="0">
      <selection activeCell="G2" sqref="G2"/>
    </sheetView>
  </sheetViews>
  <sheetFormatPr defaultRowHeight="15" x14ac:dyDescent="0.25"/>
  <cols>
    <col min="1" max="1" width="12.85546875" bestFit="1" customWidth="1"/>
    <col min="2" max="2" width="12.42578125" bestFit="1" customWidth="1"/>
    <col min="3" max="3" width="15.85546875" bestFit="1" customWidth="1"/>
    <col min="4" max="4" width="20.140625" style="97" bestFit="1" customWidth="1"/>
    <col min="5" max="5" width="17.7109375" style="97" bestFit="1" customWidth="1"/>
    <col min="6" max="6" width="19.42578125" style="43" bestFit="1" customWidth="1"/>
    <col min="7" max="7" width="16.140625" style="98" bestFit="1" customWidth="1"/>
    <col min="8" max="8" width="20.85546875" style="98" bestFit="1" customWidth="1"/>
    <col min="9" max="9" width="21.85546875" style="98" bestFit="1" customWidth="1"/>
    <col min="10" max="10" width="21.42578125" style="98" bestFit="1" customWidth="1"/>
    <col min="11" max="11" width="23.5703125" style="98" bestFit="1" customWidth="1"/>
    <col min="12" max="12" width="14.7109375" style="98" bestFit="1" customWidth="1"/>
  </cols>
  <sheetData>
    <row r="1" spans="1:12" x14ac:dyDescent="0.25">
      <c r="A1" s="7" t="s">
        <v>134</v>
      </c>
      <c r="B1" s="7" t="s">
        <v>51</v>
      </c>
      <c r="C1" s="7" t="s">
        <v>2</v>
      </c>
      <c r="D1" s="99" t="s">
        <v>4</v>
      </c>
      <c r="E1" s="99" t="s">
        <v>5</v>
      </c>
      <c r="F1" s="101" t="s">
        <v>615</v>
      </c>
      <c r="G1" s="100" t="s">
        <v>616</v>
      </c>
      <c r="H1" s="100" t="s">
        <v>617</v>
      </c>
      <c r="I1" s="100" t="s">
        <v>618</v>
      </c>
      <c r="J1" s="100" t="s">
        <v>619</v>
      </c>
      <c r="K1" s="100" t="s">
        <v>620</v>
      </c>
      <c r="L1" s="100" t="s">
        <v>621</v>
      </c>
    </row>
    <row r="2" spans="1:12" x14ac:dyDescent="0.25">
      <c r="A2" t="s">
        <v>84</v>
      </c>
      <c r="B2">
        <v>1</v>
      </c>
      <c r="C2" t="s">
        <v>612</v>
      </c>
      <c r="D2" s="97">
        <v>46048</v>
      </c>
      <c r="E2" s="97">
        <v>46053</v>
      </c>
      <c r="F2" s="43">
        <v>1</v>
      </c>
      <c r="G2" s="98">
        <v>10000</v>
      </c>
      <c r="H2" s="98">
        <v>10000</v>
      </c>
      <c r="I2" s="98">
        <v>122</v>
      </c>
      <c r="J2" s="98">
        <v>366</v>
      </c>
      <c r="K2" s="98">
        <v>8.25</v>
      </c>
      <c r="L2" s="98">
        <v>9869.75</v>
      </c>
    </row>
    <row r="3" spans="1:12" x14ac:dyDescent="0.25">
      <c r="A3" s="7"/>
      <c r="B3" s="7"/>
      <c r="C3" s="7" t="s">
        <v>622</v>
      </c>
      <c r="D3" s="99"/>
      <c r="E3" s="99"/>
      <c r="F3" s="101">
        <v>1</v>
      </c>
      <c r="G3" s="100">
        <v>10000</v>
      </c>
      <c r="H3" s="100">
        <v>10000</v>
      </c>
      <c r="I3" s="100">
        <v>122</v>
      </c>
      <c r="J3" s="100">
        <v>366</v>
      </c>
      <c r="K3" s="100">
        <v>8.25</v>
      </c>
      <c r="L3" s="100">
        <v>9869.75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E796C-AA4C-4FFA-BB2A-8B98D28155A1}">
  <sheetPr codeName="Sheet13"/>
  <dimension ref="A1:H3"/>
  <sheetViews>
    <sheetView topLeftCell="B1" workbookViewId="0">
      <selection activeCell="D7" sqref="D7"/>
    </sheetView>
  </sheetViews>
  <sheetFormatPr defaultRowHeight="15" x14ac:dyDescent="0.25"/>
  <cols>
    <col min="1" max="1" width="14.7109375" style="105" bestFit="1" customWidth="1"/>
    <col min="2" max="2" width="18.140625" style="105" bestFit="1" customWidth="1"/>
    <col min="3" max="3" width="21.28515625" style="98" bestFit="1" customWidth="1"/>
    <col min="4" max="4" width="22.140625" style="98" bestFit="1" customWidth="1"/>
    <col min="5" max="5" width="21.7109375" style="98" bestFit="1" customWidth="1"/>
    <col min="6" max="6" width="24" style="98" bestFit="1" customWidth="1"/>
    <col min="7" max="7" width="15" style="98" bestFit="1" customWidth="1"/>
    <col min="8" max="8" width="21.7109375" style="98" bestFit="1" customWidth="1"/>
  </cols>
  <sheetData>
    <row r="1" spans="1:8" x14ac:dyDescent="0.25">
      <c r="A1" s="105" t="s">
        <v>51</v>
      </c>
      <c r="B1" s="105" t="s">
        <v>2</v>
      </c>
      <c r="C1" s="98" t="s">
        <v>596</v>
      </c>
      <c r="D1" s="98" t="s">
        <v>597</v>
      </c>
      <c r="E1" s="98" t="s">
        <v>598</v>
      </c>
      <c r="F1" s="98" t="s">
        <v>599</v>
      </c>
      <c r="G1" s="98" t="s">
        <v>600</v>
      </c>
      <c r="H1" s="100" t="s">
        <v>601</v>
      </c>
    </row>
    <row r="2" spans="1:8" x14ac:dyDescent="0.25">
      <c r="G2" s="104"/>
      <c r="H2" s="104"/>
    </row>
    <row r="3" spans="1:8" x14ac:dyDescent="0.25">
      <c r="G3" s="104"/>
      <c r="H3" s="104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D263F-B1F7-458F-BAE0-8BA84FA37C82}">
  <sheetPr codeName="Sheet4"/>
  <dimension ref="A1:F2"/>
  <sheetViews>
    <sheetView workbookViewId="0">
      <selection activeCell="F7" sqref="F7"/>
    </sheetView>
  </sheetViews>
  <sheetFormatPr defaultRowHeight="15" x14ac:dyDescent="0.25"/>
  <cols>
    <col min="1" max="1" width="12.5703125" bestFit="1" customWidth="1"/>
    <col min="2" max="2" width="11.7109375" bestFit="1" customWidth="1"/>
    <col min="3" max="3" width="16.85546875" bestFit="1" customWidth="1"/>
    <col min="4" max="4" width="19.85546875" style="70" bestFit="1" customWidth="1"/>
    <col min="5" max="5" width="17.42578125" style="70" bestFit="1" customWidth="1"/>
    <col min="6" max="6" width="15.28515625" style="3" bestFit="1" customWidth="1"/>
  </cols>
  <sheetData>
    <row r="1" spans="1:6" x14ac:dyDescent="0.25">
      <c r="A1" t="s">
        <v>134</v>
      </c>
      <c r="B1" t="s">
        <v>51</v>
      </c>
      <c r="C1" t="s">
        <v>2</v>
      </c>
      <c r="D1" s="70" t="s">
        <v>4</v>
      </c>
      <c r="E1" s="70" t="s">
        <v>5</v>
      </c>
      <c r="F1" s="3" t="s">
        <v>11</v>
      </c>
    </row>
    <row r="2" spans="1:6" x14ac:dyDescent="0.25">
      <c r="A2" t="e" cm="1" vm="2">
        <f t="array" ref="A2">_xlfn.LET(_xlpm.pp,'Payroll Master Sheet'!$H$1,_xlpm.ids,tblPayrollMaster[Employee ID],_xlpm.names,tblPayrollMaster[Employee Name],_xlpm.pFrom,tblPayrollMaster[Pay Slip Period From:],_xlpm.pTo,tblPayrollMaster[Pay Slip Period To:],_xlpm.nisE,tblPayrollMaster[NIS - Employer],_xlpm.keep,(_xlpm.ids&lt;&gt;"")*(_xlpm.nisE&lt;&gt;0),_xlfn._xlws.FILTER(_xlfn.HSTACK(IF(_xlpm.ids&lt;&gt;"",_xlpm.pp,""),_xlpm.ids,_xlpm.names,_xlpm.pFrom,_xlpm.pTo,_xlpm.nisE),_xlpm.keep))</f>
        <v>#VALUE!</v>
      </c>
    </row>
  </sheetData>
  <pageMargins left="0.7" right="0.7" top="0.75" bottom="0.75" header="0.3" footer="0.3"/>
  <pageSetup orientation="portrait" horizontalDpi="360" verticalDpi="36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894D9-9FB3-40BB-8FD8-990E0665052A}">
  <sheetPr codeName="Sheet3"/>
  <dimension ref="A1:H14"/>
  <sheetViews>
    <sheetView topLeftCell="A4" workbookViewId="0">
      <selection activeCell="B1" sqref="B1"/>
    </sheetView>
  </sheetViews>
  <sheetFormatPr defaultRowHeight="15" x14ac:dyDescent="0.25"/>
  <cols>
    <col min="1" max="1" width="15.85546875" bestFit="1" customWidth="1"/>
    <col min="2" max="2" width="22.85546875" bestFit="1" customWidth="1"/>
    <col min="3" max="3" width="11.140625" bestFit="1" customWidth="1"/>
    <col min="4" max="4" width="11.5703125" bestFit="1" customWidth="1"/>
    <col min="5" max="5" width="16.140625" bestFit="1" customWidth="1"/>
    <col min="6" max="6" width="11.5703125" bestFit="1" customWidth="1"/>
    <col min="7" max="7" width="5.28515625" bestFit="1" customWidth="1"/>
    <col min="8" max="8" width="9.85546875" bestFit="1" customWidth="1"/>
  </cols>
  <sheetData>
    <row r="1" spans="1:8" x14ac:dyDescent="0.25">
      <c r="A1" s="7" t="s">
        <v>51</v>
      </c>
      <c r="B1">
        <v>1</v>
      </c>
    </row>
    <row r="2" spans="1:8" x14ac:dyDescent="0.25">
      <c r="A2" s="7" t="s">
        <v>2</v>
      </c>
    </row>
    <row r="3" spans="1:8" x14ac:dyDescent="0.25">
      <c r="A3" s="7" t="s">
        <v>37</v>
      </c>
      <c r="B3" t="s">
        <v>577</v>
      </c>
    </row>
    <row r="4" spans="1:8" ht="15.75" thickBot="1" x14ac:dyDescent="0.3">
      <c r="A4" s="7" t="s">
        <v>6</v>
      </c>
    </row>
    <row r="5" spans="1:8" x14ac:dyDescent="0.25">
      <c r="A5" s="90" t="s">
        <v>565</v>
      </c>
      <c r="B5" s="91"/>
      <c r="C5" s="91"/>
      <c r="D5" s="92"/>
      <c r="E5" s="90" t="s">
        <v>38</v>
      </c>
      <c r="F5" s="92"/>
    </row>
    <row r="6" spans="1:8" x14ac:dyDescent="0.25">
      <c r="A6" s="75" t="s">
        <v>566</v>
      </c>
      <c r="B6" s="71" t="s">
        <v>7</v>
      </c>
      <c r="C6" s="71" t="s">
        <v>565</v>
      </c>
      <c r="D6" s="76" t="s">
        <v>39</v>
      </c>
      <c r="E6" s="75" t="s">
        <v>40</v>
      </c>
      <c r="F6" s="76" t="s">
        <v>39</v>
      </c>
    </row>
    <row r="7" spans="1:8" x14ac:dyDescent="0.25">
      <c r="A7" s="77">
        <v>0</v>
      </c>
      <c r="B7" s="54">
        <v>0</v>
      </c>
      <c r="C7" s="54">
        <v>0</v>
      </c>
      <c r="D7" s="85">
        <v>0</v>
      </c>
      <c r="E7" s="77" t="s">
        <v>9</v>
      </c>
      <c r="F7" s="78">
        <v>0</v>
      </c>
      <c r="H7" s="27"/>
    </row>
    <row r="8" spans="1:8" x14ac:dyDescent="0.25">
      <c r="A8" s="77"/>
      <c r="B8" s="54"/>
      <c r="C8" s="54"/>
      <c r="D8" s="80"/>
      <c r="E8" s="77" t="s">
        <v>41</v>
      </c>
      <c r="F8" s="78">
        <v>0</v>
      </c>
      <c r="H8" s="27"/>
    </row>
    <row r="9" spans="1:8" x14ac:dyDescent="0.25">
      <c r="A9" s="77"/>
      <c r="B9" s="54"/>
      <c r="C9" s="54"/>
      <c r="D9" s="80"/>
      <c r="E9" s="77" t="s">
        <v>12</v>
      </c>
      <c r="F9" s="78">
        <v>8.25</v>
      </c>
      <c r="H9" s="27"/>
    </row>
    <row r="10" spans="1:8" x14ac:dyDescent="0.25">
      <c r="A10" s="77"/>
      <c r="B10" s="54"/>
      <c r="C10" s="54"/>
      <c r="D10" s="80"/>
      <c r="E10" s="79" t="s">
        <v>13</v>
      </c>
      <c r="F10" s="78">
        <v>-8.25</v>
      </c>
      <c r="H10" s="27"/>
    </row>
    <row r="11" spans="1:8" x14ac:dyDescent="0.25">
      <c r="A11" s="77"/>
      <c r="B11" s="54"/>
      <c r="C11" s="54"/>
      <c r="D11" s="80"/>
      <c r="E11" s="77"/>
      <c r="F11" s="80"/>
    </row>
    <row r="12" spans="1:8" x14ac:dyDescent="0.25">
      <c r="A12" s="77"/>
      <c r="B12" s="56"/>
      <c r="C12" s="56"/>
      <c r="D12" s="80"/>
      <c r="E12" s="77"/>
      <c r="F12" s="81"/>
    </row>
    <row r="13" spans="1:8" x14ac:dyDescent="0.25">
      <c r="A13" s="75" t="s">
        <v>39</v>
      </c>
      <c r="B13" s="72"/>
      <c r="C13" s="72"/>
      <c r="D13" s="86">
        <f>SUM(D7:D12)</f>
        <v>0</v>
      </c>
      <c r="E13" s="75" t="s">
        <v>39</v>
      </c>
      <c r="F13" s="82">
        <v>0</v>
      </c>
    </row>
    <row r="14" spans="1:8" ht="15.75" thickBot="1" x14ac:dyDescent="0.3">
      <c r="A14" s="87"/>
      <c r="B14" s="88"/>
      <c r="C14" s="88"/>
      <c r="D14" s="89"/>
      <c r="E14" s="83" t="s">
        <v>14</v>
      </c>
      <c r="F14" s="84">
        <f>F10</f>
        <v>-8.25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5C0EF-03D3-4D78-B27C-800F35FE3C96}">
  <sheetPr codeName="Sheet2"/>
  <dimension ref="A1:I17"/>
  <sheetViews>
    <sheetView topLeftCell="C1" workbookViewId="0">
      <selection activeCell="H6" sqref="H6"/>
    </sheetView>
  </sheetViews>
  <sheetFormatPr defaultRowHeight="15" x14ac:dyDescent="0.25"/>
  <cols>
    <col min="1" max="1" width="18" bestFit="1" customWidth="1"/>
    <col min="2" max="2" width="20" style="10" bestFit="1" customWidth="1"/>
    <col min="3" max="3" width="17.42578125" style="10" bestFit="1" customWidth="1"/>
    <col min="4" max="4" width="26.5703125" bestFit="1" customWidth="1"/>
    <col min="5" max="5" width="26.7109375" bestFit="1" customWidth="1"/>
    <col min="6" max="7" width="26.7109375" customWidth="1"/>
    <col min="8" max="8" width="35.5703125" bestFit="1" customWidth="1"/>
    <col min="9" max="9" width="29.42578125" bestFit="1" customWidth="1"/>
  </cols>
  <sheetData>
    <row r="1" spans="1:9" x14ac:dyDescent="0.25">
      <c r="A1" s="14" t="s">
        <v>15</v>
      </c>
      <c r="B1" s="15" t="s">
        <v>35</v>
      </c>
      <c r="C1" s="15" t="s">
        <v>36</v>
      </c>
      <c r="D1" s="16" t="s">
        <v>16</v>
      </c>
      <c r="E1" s="16" t="s">
        <v>17</v>
      </c>
      <c r="F1" s="16" t="s">
        <v>145</v>
      </c>
      <c r="G1" s="16" t="s">
        <v>146</v>
      </c>
      <c r="H1" s="16" t="s">
        <v>144</v>
      </c>
      <c r="I1" s="17" t="s">
        <v>18</v>
      </c>
    </row>
    <row r="2" spans="1:9" x14ac:dyDescent="0.25">
      <c r="A2" s="12" t="s">
        <v>19</v>
      </c>
      <c r="B2" s="9">
        <v>46027</v>
      </c>
      <c r="C2" s="9">
        <v>72686</v>
      </c>
      <c r="D2" s="11">
        <v>200</v>
      </c>
      <c r="E2" s="11">
        <v>339.99</v>
      </c>
      <c r="F2" s="11">
        <v>867</v>
      </c>
      <c r="G2" s="11">
        <v>1472.99</v>
      </c>
      <c r="H2" s="8">
        <v>14.6</v>
      </c>
      <c r="I2" s="13">
        <v>43.8</v>
      </c>
    </row>
    <row r="3" spans="1:9" x14ac:dyDescent="0.25">
      <c r="A3" s="12" t="s">
        <v>20</v>
      </c>
      <c r="B3" s="9">
        <v>46027</v>
      </c>
      <c r="C3" s="9">
        <v>72686</v>
      </c>
      <c r="D3" s="11">
        <v>340</v>
      </c>
      <c r="E3" s="11">
        <v>449.99</v>
      </c>
      <c r="F3" s="11">
        <v>1473</v>
      </c>
      <c r="G3" s="11">
        <v>1949.99</v>
      </c>
      <c r="H3" s="8">
        <v>21.3</v>
      </c>
      <c r="I3" s="13">
        <v>63.9</v>
      </c>
    </row>
    <row r="4" spans="1:9" x14ac:dyDescent="0.25">
      <c r="A4" s="12" t="s">
        <v>21</v>
      </c>
      <c r="B4" s="9">
        <v>46027</v>
      </c>
      <c r="C4" s="9">
        <v>72686</v>
      </c>
      <c r="D4" s="11">
        <v>450</v>
      </c>
      <c r="E4" s="11">
        <v>609.99</v>
      </c>
      <c r="F4" s="11">
        <v>1950</v>
      </c>
      <c r="G4" s="11">
        <v>2642.99</v>
      </c>
      <c r="H4" s="8">
        <v>28.6</v>
      </c>
      <c r="I4" s="13">
        <v>85.8</v>
      </c>
    </row>
    <row r="5" spans="1:9" x14ac:dyDescent="0.25">
      <c r="A5" s="12" t="s">
        <v>22</v>
      </c>
      <c r="B5" s="9">
        <v>46027</v>
      </c>
      <c r="C5" s="9">
        <v>72686</v>
      </c>
      <c r="D5" s="11">
        <v>610</v>
      </c>
      <c r="E5" s="11">
        <v>759.99</v>
      </c>
      <c r="F5" s="11">
        <v>2643</v>
      </c>
      <c r="G5" s="11">
        <v>3292.99</v>
      </c>
      <c r="H5" s="8">
        <v>37</v>
      </c>
      <c r="I5" s="13">
        <v>111</v>
      </c>
    </row>
    <row r="6" spans="1:9" x14ac:dyDescent="0.25">
      <c r="A6" s="12" t="s">
        <v>23</v>
      </c>
      <c r="B6" s="9">
        <v>46027</v>
      </c>
      <c r="C6" s="9">
        <v>72686</v>
      </c>
      <c r="D6" s="11">
        <v>760</v>
      </c>
      <c r="E6" s="11">
        <v>929.99</v>
      </c>
      <c r="F6" s="11">
        <v>3293</v>
      </c>
      <c r="G6" s="11">
        <v>4029.99</v>
      </c>
      <c r="H6" s="8">
        <v>45.6</v>
      </c>
      <c r="I6" s="13">
        <v>136.80000000000001</v>
      </c>
    </row>
    <row r="7" spans="1:9" x14ac:dyDescent="0.25">
      <c r="A7" s="12" t="s">
        <v>24</v>
      </c>
      <c r="B7" s="9">
        <v>46027</v>
      </c>
      <c r="C7" s="9">
        <v>72686</v>
      </c>
      <c r="D7" s="11">
        <v>930</v>
      </c>
      <c r="E7" s="11">
        <v>1119.99</v>
      </c>
      <c r="F7" s="11">
        <v>4030</v>
      </c>
      <c r="G7" s="11">
        <v>4852.99</v>
      </c>
      <c r="H7" s="8">
        <v>55.4</v>
      </c>
      <c r="I7" s="13">
        <v>166.2</v>
      </c>
    </row>
    <row r="8" spans="1:9" x14ac:dyDescent="0.25">
      <c r="A8" s="12" t="s">
        <v>25</v>
      </c>
      <c r="B8" s="9">
        <v>46027</v>
      </c>
      <c r="C8" s="9">
        <v>72686</v>
      </c>
      <c r="D8" s="11">
        <v>1120</v>
      </c>
      <c r="E8" s="11">
        <v>1299.99</v>
      </c>
      <c r="F8" s="11">
        <v>4853</v>
      </c>
      <c r="G8" s="11">
        <v>5632.99</v>
      </c>
      <c r="H8" s="8">
        <v>65.3</v>
      </c>
      <c r="I8" s="13">
        <v>195.9</v>
      </c>
    </row>
    <row r="9" spans="1:9" x14ac:dyDescent="0.25">
      <c r="A9" s="12" t="s">
        <v>26</v>
      </c>
      <c r="B9" s="9">
        <v>46027</v>
      </c>
      <c r="C9" s="9">
        <v>72686</v>
      </c>
      <c r="D9" s="11">
        <v>1300</v>
      </c>
      <c r="E9" s="11">
        <v>1489.99</v>
      </c>
      <c r="F9" s="11">
        <v>5633</v>
      </c>
      <c r="G9" s="11">
        <v>6456.99</v>
      </c>
      <c r="H9" s="8">
        <v>75.3</v>
      </c>
      <c r="I9" s="13">
        <v>225.9</v>
      </c>
    </row>
    <row r="10" spans="1:9" x14ac:dyDescent="0.25">
      <c r="A10" s="12" t="s">
        <v>27</v>
      </c>
      <c r="B10" s="9">
        <v>46027</v>
      </c>
      <c r="C10" s="9">
        <v>72686</v>
      </c>
      <c r="D10" s="11">
        <v>1490</v>
      </c>
      <c r="E10" s="11">
        <v>1709.99</v>
      </c>
      <c r="F10" s="11">
        <v>6457</v>
      </c>
      <c r="G10" s="11">
        <v>7409.99</v>
      </c>
      <c r="H10" s="8">
        <v>86.4</v>
      </c>
      <c r="I10" s="13">
        <v>259.2</v>
      </c>
    </row>
    <row r="11" spans="1:9" x14ac:dyDescent="0.25">
      <c r="A11" s="12" t="s">
        <v>28</v>
      </c>
      <c r="B11" s="9">
        <v>46027</v>
      </c>
      <c r="C11" s="9">
        <v>72686</v>
      </c>
      <c r="D11" s="11">
        <v>1710</v>
      </c>
      <c r="E11" s="11">
        <v>1909.99</v>
      </c>
      <c r="F11" s="11">
        <v>7410</v>
      </c>
      <c r="G11" s="11">
        <v>8276.99</v>
      </c>
      <c r="H11" s="8">
        <v>97.7</v>
      </c>
      <c r="I11" s="13">
        <v>293.10000000000002</v>
      </c>
    </row>
    <row r="12" spans="1:9" x14ac:dyDescent="0.25">
      <c r="A12" s="12" t="s">
        <v>29</v>
      </c>
      <c r="B12" s="9">
        <v>46027</v>
      </c>
      <c r="C12" s="9">
        <v>72686</v>
      </c>
      <c r="D12" s="11">
        <v>1910</v>
      </c>
      <c r="E12" s="11">
        <v>2139.9899999999998</v>
      </c>
      <c r="F12" s="11">
        <v>8277</v>
      </c>
      <c r="G12" s="11">
        <v>9272.99</v>
      </c>
      <c r="H12" s="8">
        <v>109.4</v>
      </c>
      <c r="I12" s="13">
        <v>328.2</v>
      </c>
    </row>
    <row r="13" spans="1:9" x14ac:dyDescent="0.25">
      <c r="A13" s="12" t="s">
        <v>30</v>
      </c>
      <c r="B13" s="9">
        <v>46027</v>
      </c>
      <c r="C13" s="9">
        <v>72686</v>
      </c>
      <c r="D13" s="11">
        <v>2140</v>
      </c>
      <c r="E13" s="11">
        <v>2379.9899999999998</v>
      </c>
      <c r="F13" s="11">
        <v>9273</v>
      </c>
      <c r="G13" s="11">
        <v>10312.99</v>
      </c>
      <c r="H13" s="8">
        <v>122</v>
      </c>
      <c r="I13" s="13">
        <v>366</v>
      </c>
    </row>
    <row r="14" spans="1:9" x14ac:dyDescent="0.25">
      <c r="A14" s="12" t="s">
        <v>31</v>
      </c>
      <c r="B14" s="9">
        <v>46027</v>
      </c>
      <c r="C14" s="9">
        <v>72686</v>
      </c>
      <c r="D14" s="11">
        <v>2380</v>
      </c>
      <c r="E14" s="11">
        <v>2629.99</v>
      </c>
      <c r="F14" s="11">
        <v>10313</v>
      </c>
      <c r="G14" s="11">
        <v>11396.99</v>
      </c>
      <c r="H14" s="8">
        <v>135.30000000000001</v>
      </c>
      <c r="I14" s="13">
        <v>405.9</v>
      </c>
    </row>
    <row r="15" spans="1:9" x14ac:dyDescent="0.25">
      <c r="A15" s="12" t="s">
        <v>32</v>
      </c>
      <c r="B15" s="9">
        <v>46027</v>
      </c>
      <c r="C15" s="9">
        <v>72686</v>
      </c>
      <c r="D15" s="11">
        <v>2630</v>
      </c>
      <c r="E15" s="11">
        <v>2919.99</v>
      </c>
      <c r="F15" s="11">
        <v>11397</v>
      </c>
      <c r="G15" s="11">
        <v>12652.99</v>
      </c>
      <c r="H15" s="8">
        <v>149.9</v>
      </c>
      <c r="I15" s="13">
        <v>449.7</v>
      </c>
    </row>
    <row r="16" spans="1:9" x14ac:dyDescent="0.25">
      <c r="A16" s="12" t="s">
        <v>33</v>
      </c>
      <c r="B16" s="9">
        <v>46027</v>
      </c>
      <c r="C16" s="9">
        <v>72686</v>
      </c>
      <c r="D16" s="11">
        <v>2920</v>
      </c>
      <c r="E16" s="11">
        <v>3137.99</v>
      </c>
      <c r="F16" s="11">
        <v>12653</v>
      </c>
      <c r="G16" s="11">
        <v>13599.99</v>
      </c>
      <c r="H16" s="8">
        <v>163.6</v>
      </c>
      <c r="I16" s="13">
        <v>490.8</v>
      </c>
    </row>
    <row r="17" spans="1:9" x14ac:dyDescent="0.25">
      <c r="A17" s="18" t="s">
        <v>34</v>
      </c>
      <c r="B17" s="9">
        <v>46027</v>
      </c>
      <c r="C17" s="9">
        <v>72686</v>
      </c>
      <c r="D17" s="19">
        <v>3138</v>
      </c>
      <c r="E17" s="19">
        <v>999999</v>
      </c>
      <c r="F17" s="19">
        <v>13600</v>
      </c>
      <c r="G17" s="19">
        <v>999999</v>
      </c>
      <c r="H17" s="20">
        <v>169.5</v>
      </c>
      <c r="I17" s="21">
        <v>508.5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FC202-E234-4D7F-8CAE-17EDD42E9A18}">
  <sheetPr codeName="Sheet8"/>
  <dimension ref="A1:D5"/>
  <sheetViews>
    <sheetView workbookViewId="0">
      <selection activeCell="A8" sqref="A8"/>
    </sheetView>
  </sheetViews>
  <sheetFormatPr defaultColWidth="26.85546875" defaultRowHeight="15" x14ac:dyDescent="0.25"/>
  <cols>
    <col min="1" max="1" width="15.140625" bestFit="1" customWidth="1"/>
    <col min="2" max="2" width="19.85546875" bestFit="1" customWidth="1"/>
    <col min="3" max="3" width="17.28515625" bestFit="1" customWidth="1"/>
    <col min="4" max="4" width="22.28515625" bestFit="1" customWidth="1"/>
  </cols>
  <sheetData>
    <row r="1" spans="1:4" x14ac:dyDescent="0.25">
      <c r="A1" s="30" t="s">
        <v>58</v>
      </c>
      <c r="B1" s="30" t="s">
        <v>135</v>
      </c>
      <c r="C1" s="32" t="s">
        <v>136</v>
      </c>
      <c r="D1" s="30" t="s">
        <v>137</v>
      </c>
    </row>
    <row r="2" spans="1:4" x14ac:dyDescent="0.25">
      <c r="A2" s="33" t="s">
        <v>65</v>
      </c>
      <c r="B2" s="33" t="s">
        <v>138</v>
      </c>
      <c r="C2" s="31">
        <v>0</v>
      </c>
      <c r="D2" s="33" t="s">
        <v>139</v>
      </c>
    </row>
    <row r="3" spans="1:4" x14ac:dyDescent="0.25">
      <c r="A3" s="33" t="s">
        <v>62</v>
      </c>
      <c r="B3" s="33" t="s">
        <v>63</v>
      </c>
      <c r="C3" s="31">
        <v>6</v>
      </c>
      <c r="D3" s="33" t="s">
        <v>140</v>
      </c>
    </row>
    <row r="4" spans="1:4" x14ac:dyDescent="0.25">
      <c r="A4" s="33" t="s">
        <v>67</v>
      </c>
      <c r="B4" s="33" t="s">
        <v>70</v>
      </c>
      <c r="C4" s="31">
        <v>0</v>
      </c>
      <c r="D4" s="33" t="s">
        <v>70</v>
      </c>
    </row>
    <row r="5" spans="1:4" x14ac:dyDescent="0.25">
      <c r="A5" s="33" t="s">
        <v>69</v>
      </c>
      <c r="B5" s="33" t="s">
        <v>141</v>
      </c>
      <c r="C5" s="31">
        <v>0</v>
      </c>
      <c r="D5" s="33" t="s">
        <v>142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059780-A45F-4596-8186-C85C9F450A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Rules</vt:lpstr>
      <vt:lpstr>Employee List</vt:lpstr>
      <vt:lpstr>Leave Log</vt:lpstr>
      <vt:lpstr>Pay calendar</vt:lpstr>
      <vt:lpstr>Employee Hours</vt:lpstr>
      <vt:lpstr>Tax</vt:lpstr>
      <vt:lpstr>Payroll Master Sheet</vt:lpstr>
      <vt:lpstr>Payroll History</vt:lpstr>
      <vt:lpstr>Summary Sheet</vt:lpstr>
      <vt:lpstr>Employee Summary</vt:lpstr>
      <vt:lpstr>Total NIS Control Sheet</vt:lpstr>
      <vt:lpstr>Pay Slip</vt:lpstr>
      <vt:lpstr>NIS Rate</vt:lpstr>
      <vt:lpstr>Employer policy</vt:lpstr>
      <vt:lpstr>selPayPeriodID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Riah Gibson</dc:creator>
  <cp:lastModifiedBy>Riah Gibson</cp:lastModifiedBy>
  <dcterms:created xsi:type="dcterms:W3CDTF">2025-12-16T17:10:38Z</dcterms:created>
  <dcterms:modified xsi:type="dcterms:W3CDTF">2026-04-12T17:50:24Z</dcterms:modified>
</cp:coreProperties>
</file>